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tables/table13.xml" ContentType="application/vnd.openxmlformats-officedocument.spreadsheetml.table+xml"/>
  <Override PartName="/xl/queryTables/queryTable13.xml" ContentType="application/vnd.openxmlformats-officedocument.spreadsheetml.queryTable+xml"/>
  <Override PartName="/xl/tables/table14.xml" ContentType="application/vnd.openxmlformats-officedocument.spreadsheetml.table+xml"/>
  <Override PartName="/xl/queryTables/queryTable14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oda2\Projects\Holdings-of-Numerai-GP-LLC\"/>
    </mc:Choice>
  </mc:AlternateContent>
  <xr:revisionPtr revIDLastSave="0" documentId="13_ncr:1_{44E2F3B5-5DA4-48A1-800D-AED225ADBC74}" xr6:coauthVersionLast="47" xr6:coauthVersionMax="47" xr10:uidLastSave="{00000000-0000-0000-0000-000000000000}"/>
  <bookViews>
    <workbookView xWindow="-110" yWindow="-110" windowWidth="19420" windowHeight="12220" tabRatio="982" activeTab="1" xr2:uid="{D66B536F-8315-41F7-882E-C628338C5EA7}"/>
  </bookViews>
  <sheets>
    <sheet name="Change History" sheetId="1" r:id="rId1"/>
    <sheet name="ALL" sheetId="16" r:id="rId2"/>
    <sheet name="2026-03-31" sheetId="25" r:id="rId3"/>
    <sheet name="2025-12-31" sheetId="23" r:id="rId4"/>
    <sheet name="2025-09-30" sheetId="22" r:id="rId5"/>
    <sheet name="2025-06-30" sheetId="21" r:id="rId6"/>
    <sheet name="2025-03-31" sheetId="20" r:id="rId7"/>
    <sheet name="2024-12-31" sheetId="15" r:id="rId8"/>
    <sheet name="2024-09-30" sheetId="12" r:id="rId9"/>
    <sheet name="2024-06-30" sheetId="8" r:id="rId10"/>
    <sheet name="2024-03-31" sheetId="7" r:id="rId11"/>
    <sheet name="2023-12-31" sheetId="2" r:id="rId12"/>
    <sheet name="2023-09-30" sheetId="5" r:id="rId13"/>
    <sheet name="2023-06-30" sheetId="4" r:id="rId14"/>
    <sheet name="2023-03-31" sheetId="3" r:id="rId15"/>
    <sheet name="2022-12-31" sheetId="9" r:id="rId16"/>
  </sheets>
  <definedNames>
    <definedName name="_xlnm._FilterDatabase" localSheetId="1" hidden="1">ALL!$A$1:$N$1414</definedName>
    <definedName name="ExternalData_1" localSheetId="14" hidden="1">'2023-03-31'!$A$1:$E$157</definedName>
    <definedName name="ExternalData_1" localSheetId="13" hidden="1">'2023-06-30'!$A$1:$E$160</definedName>
    <definedName name="ExternalData_1" localSheetId="12" hidden="1">'2023-09-30'!$A$1:$E$220</definedName>
    <definedName name="ExternalData_1" localSheetId="11" hidden="1">'2023-12-31'!$A$1:$E$233</definedName>
    <definedName name="ExternalData_1" localSheetId="10" hidden="1">'2024-03-31'!$A$1:$E$251</definedName>
    <definedName name="ExternalData_1" localSheetId="8" hidden="1">'2024-09-30'!$A$1:$E$346</definedName>
    <definedName name="ExternalData_1" localSheetId="7" hidden="1">'2024-12-31'!$A$1:$E$390</definedName>
    <definedName name="ExternalData_1" localSheetId="6" hidden="1">'2025-03-31'!$A$1:$E$491</definedName>
    <definedName name="ExternalData_1" localSheetId="4" hidden="1">'2025-09-30'!$A$1:$E$547</definedName>
    <definedName name="ExternalData_1" localSheetId="2" hidden="1">'2026-03-31'!$A$1:$E$747</definedName>
    <definedName name="ExternalData_2" localSheetId="15" hidden="1">'2022-12-31'!$A$1:$E$112</definedName>
    <definedName name="ExternalData_2" localSheetId="9" hidden="1">'2024-06-30'!$A$1:$E$312</definedName>
    <definedName name="ExternalData_2" localSheetId="5" hidden="1">'2025-06-30'!$A$1:$E$439</definedName>
    <definedName name="ExternalData_2" localSheetId="3" hidden="1">'2025-12-31'!$A$1:$E$609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1701" i="16" l="1"/>
  <c r="O1701" i="16"/>
  <c r="N1701" i="16"/>
  <c r="M1701" i="16"/>
  <c r="L1701" i="16"/>
  <c r="K1701" i="16"/>
  <c r="J1701" i="16"/>
  <c r="I1701" i="16"/>
  <c r="H1701" i="16"/>
  <c r="G1701" i="16"/>
  <c r="F1701" i="16"/>
  <c r="E1701" i="16"/>
  <c r="D1701" i="16"/>
  <c r="C1701" i="16"/>
  <c r="P1700" i="16"/>
  <c r="O1700" i="16"/>
  <c r="N1700" i="16"/>
  <c r="M1700" i="16"/>
  <c r="L1700" i="16"/>
  <c r="K1700" i="16"/>
  <c r="J1700" i="16"/>
  <c r="I1700" i="16"/>
  <c r="H1700" i="16"/>
  <c r="G1700" i="16"/>
  <c r="F1700" i="16"/>
  <c r="E1700" i="16"/>
  <c r="D1700" i="16"/>
  <c r="C1700" i="16"/>
  <c r="P1699" i="16"/>
  <c r="O1699" i="16"/>
  <c r="N1699" i="16"/>
  <c r="M1699" i="16"/>
  <c r="L1699" i="16"/>
  <c r="K1699" i="16"/>
  <c r="J1699" i="16"/>
  <c r="I1699" i="16"/>
  <c r="H1699" i="16"/>
  <c r="G1699" i="16"/>
  <c r="F1699" i="16"/>
  <c r="E1699" i="16"/>
  <c r="D1699" i="16"/>
  <c r="C1699" i="16"/>
  <c r="P1698" i="16"/>
  <c r="O1698" i="16"/>
  <c r="N1698" i="16"/>
  <c r="M1698" i="16"/>
  <c r="L1698" i="16"/>
  <c r="K1698" i="16"/>
  <c r="J1698" i="16"/>
  <c r="I1698" i="16"/>
  <c r="H1698" i="16"/>
  <c r="G1698" i="16"/>
  <c r="F1698" i="16"/>
  <c r="E1698" i="16"/>
  <c r="D1698" i="16"/>
  <c r="C1698" i="16"/>
  <c r="P1697" i="16"/>
  <c r="O1697" i="16"/>
  <c r="N1697" i="16"/>
  <c r="M1697" i="16"/>
  <c r="L1697" i="16"/>
  <c r="K1697" i="16"/>
  <c r="J1697" i="16"/>
  <c r="I1697" i="16"/>
  <c r="H1697" i="16"/>
  <c r="G1697" i="16"/>
  <c r="F1697" i="16"/>
  <c r="E1697" i="16"/>
  <c r="D1697" i="16"/>
  <c r="C1697" i="16"/>
  <c r="P1696" i="16"/>
  <c r="O1696" i="16"/>
  <c r="N1696" i="16"/>
  <c r="M1696" i="16"/>
  <c r="L1696" i="16"/>
  <c r="K1696" i="16"/>
  <c r="J1696" i="16"/>
  <c r="I1696" i="16"/>
  <c r="H1696" i="16"/>
  <c r="G1696" i="16"/>
  <c r="F1696" i="16"/>
  <c r="E1696" i="16"/>
  <c r="D1696" i="16"/>
  <c r="C1696" i="16"/>
  <c r="P1695" i="16"/>
  <c r="O1695" i="16"/>
  <c r="N1695" i="16"/>
  <c r="M1695" i="16"/>
  <c r="L1695" i="16"/>
  <c r="K1695" i="16"/>
  <c r="J1695" i="16"/>
  <c r="I1695" i="16"/>
  <c r="H1695" i="16"/>
  <c r="G1695" i="16"/>
  <c r="F1695" i="16"/>
  <c r="E1695" i="16"/>
  <c r="D1695" i="16"/>
  <c r="C1695" i="16"/>
  <c r="P1694" i="16"/>
  <c r="O1694" i="16"/>
  <c r="N1694" i="16"/>
  <c r="M1694" i="16"/>
  <c r="L1694" i="16"/>
  <c r="K1694" i="16"/>
  <c r="J1694" i="16"/>
  <c r="I1694" i="16"/>
  <c r="H1694" i="16"/>
  <c r="G1694" i="16"/>
  <c r="F1694" i="16"/>
  <c r="E1694" i="16"/>
  <c r="D1694" i="16"/>
  <c r="C1694" i="16"/>
  <c r="P1693" i="16"/>
  <c r="O1693" i="16"/>
  <c r="N1693" i="16"/>
  <c r="M1693" i="16"/>
  <c r="L1693" i="16"/>
  <c r="K1693" i="16"/>
  <c r="J1693" i="16"/>
  <c r="I1693" i="16"/>
  <c r="H1693" i="16"/>
  <c r="G1693" i="16"/>
  <c r="F1693" i="16"/>
  <c r="E1693" i="16"/>
  <c r="D1693" i="16"/>
  <c r="C1693" i="16"/>
  <c r="P1692" i="16"/>
  <c r="O1692" i="16"/>
  <c r="N1692" i="16"/>
  <c r="M1692" i="16"/>
  <c r="L1692" i="16"/>
  <c r="K1692" i="16"/>
  <c r="J1692" i="16"/>
  <c r="I1692" i="16"/>
  <c r="H1692" i="16"/>
  <c r="G1692" i="16"/>
  <c r="F1692" i="16"/>
  <c r="E1692" i="16"/>
  <c r="D1692" i="16"/>
  <c r="C1692" i="16"/>
  <c r="P1691" i="16"/>
  <c r="O1691" i="16"/>
  <c r="N1691" i="16"/>
  <c r="M1691" i="16"/>
  <c r="L1691" i="16"/>
  <c r="K1691" i="16"/>
  <c r="J1691" i="16"/>
  <c r="I1691" i="16"/>
  <c r="H1691" i="16"/>
  <c r="G1691" i="16"/>
  <c r="F1691" i="16"/>
  <c r="E1691" i="16"/>
  <c r="D1691" i="16"/>
  <c r="C1691" i="16"/>
  <c r="P1690" i="16"/>
  <c r="O1690" i="16"/>
  <c r="N1690" i="16"/>
  <c r="M1690" i="16"/>
  <c r="L1690" i="16"/>
  <c r="K1690" i="16"/>
  <c r="J1690" i="16"/>
  <c r="I1690" i="16"/>
  <c r="H1690" i="16"/>
  <c r="G1690" i="16"/>
  <c r="F1690" i="16"/>
  <c r="E1690" i="16"/>
  <c r="D1690" i="16"/>
  <c r="C1690" i="16"/>
  <c r="P1689" i="16"/>
  <c r="O1689" i="16"/>
  <c r="N1689" i="16"/>
  <c r="M1689" i="16"/>
  <c r="L1689" i="16"/>
  <c r="K1689" i="16"/>
  <c r="J1689" i="16"/>
  <c r="I1689" i="16"/>
  <c r="H1689" i="16"/>
  <c r="G1689" i="16"/>
  <c r="F1689" i="16"/>
  <c r="E1689" i="16"/>
  <c r="D1689" i="16"/>
  <c r="C1689" i="16"/>
  <c r="P1688" i="16"/>
  <c r="O1688" i="16"/>
  <c r="N1688" i="16"/>
  <c r="M1688" i="16"/>
  <c r="L1688" i="16"/>
  <c r="K1688" i="16"/>
  <c r="J1688" i="16"/>
  <c r="I1688" i="16"/>
  <c r="H1688" i="16"/>
  <c r="G1688" i="16"/>
  <c r="F1688" i="16"/>
  <c r="E1688" i="16"/>
  <c r="D1688" i="16"/>
  <c r="C1688" i="16"/>
  <c r="P1687" i="16"/>
  <c r="O1687" i="16"/>
  <c r="N1687" i="16"/>
  <c r="M1687" i="16"/>
  <c r="L1687" i="16"/>
  <c r="K1687" i="16"/>
  <c r="J1687" i="16"/>
  <c r="I1687" i="16"/>
  <c r="H1687" i="16"/>
  <c r="G1687" i="16"/>
  <c r="F1687" i="16"/>
  <c r="E1687" i="16"/>
  <c r="D1687" i="16"/>
  <c r="C1687" i="16"/>
  <c r="P1686" i="16"/>
  <c r="O1686" i="16"/>
  <c r="N1686" i="16"/>
  <c r="M1686" i="16"/>
  <c r="L1686" i="16"/>
  <c r="K1686" i="16"/>
  <c r="J1686" i="16"/>
  <c r="I1686" i="16"/>
  <c r="H1686" i="16"/>
  <c r="G1686" i="16"/>
  <c r="F1686" i="16"/>
  <c r="E1686" i="16"/>
  <c r="D1686" i="16"/>
  <c r="C1686" i="16"/>
  <c r="P1685" i="16"/>
  <c r="O1685" i="16"/>
  <c r="N1685" i="16"/>
  <c r="M1685" i="16"/>
  <c r="L1685" i="16"/>
  <c r="K1685" i="16"/>
  <c r="J1685" i="16"/>
  <c r="I1685" i="16"/>
  <c r="H1685" i="16"/>
  <c r="G1685" i="16"/>
  <c r="F1685" i="16"/>
  <c r="E1685" i="16"/>
  <c r="D1685" i="16"/>
  <c r="C1685" i="16"/>
  <c r="P1684" i="16"/>
  <c r="O1684" i="16"/>
  <c r="N1684" i="16"/>
  <c r="M1684" i="16"/>
  <c r="L1684" i="16"/>
  <c r="K1684" i="16"/>
  <c r="J1684" i="16"/>
  <c r="I1684" i="16"/>
  <c r="H1684" i="16"/>
  <c r="G1684" i="16"/>
  <c r="F1684" i="16"/>
  <c r="E1684" i="16"/>
  <c r="D1684" i="16"/>
  <c r="C1684" i="16"/>
  <c r="P1683" i="16"/>
  <c r="O1683" i="16"/>
  <c r="N1683" i="16"/>
  <c r="M1683" i="16"/>
  <c r="L1683" i="16"/>
  <c r="K1683" i="16"/>
  <c r="J1683" i="16"/>
  <c r="I1683" i="16"/>
  <c r="H1683" i="16"/>
  <c r="G1683" i="16"/>
  <c r="F1683" i="16"/>
  <c r="E1683" i="16"/>
  <c r="D1683" i="16"/>
  <c r="C1683" i="16"/>
  <c r="P1682" i="16"/>
  <c r="O1682" i="16"/>
  <c r="N1682" i="16"/>
  <c r="M1682" i="16"/>
  <c r="L1682" i="16"/>
  <c r="K1682" i="16"/>
  <c r="J1682" i="16"/>
  <c r="I1682" i="16"/>
  <c r="H1682" i="16"/>
  <c r="G1682" i="16"/>
  <c r="F1682" i="16"/>
  <c r="E1682" i="16"/>
  <c r="D1682" i="16"/>
  <c r="C1682" i="16"/>
  <c r="P1681" i="16"/>
  <c r="O1681" i="16"/>
  <c r="N1681" i="16"/>
  <c r="M1681" i="16"/>
  <c r="L1681" i="16"/>
  <c r="K1681" i="16"/>
  <c r="J1681" i="16"/>
  <c r="I1681" i="16"/>
  <c r="H1681" i="16"/>
  <c r="G1681" i="16"/>
  <c r="F1681" i="16"/>
  <c r="E1681" i="16"/>
  <c r="D1681" i="16"/>
  <c r="C1681" i="16"/>
  <c r="P1680" i="16"/>
  <c r="O1680" i="16"/>
  <c r="N1680" i="16"/>
  <c r="M1680" i="16"/>
  <c r="L1680" i="16"/>
  <c r="K1680" i="16"/>
  <c r="J1680" i="16"/>
  <c r="I1680" i="16"/>
  <c r="H1680" i="16"/>
  <c r="G1680" i="16"/>
  <c r="F1680" i="16"/>
  <c r="E1680" i="16"/>
  <c r="D1680" i="16"/>
  <c r="C1680" i="16"/>
  <c r="P1679" i="16"/>
  <c r="O1679" i="16"/>
  <c r="N1679" i="16"/>
  <c r="M1679" i="16"/>
  <c r="L1679" i="16"/>
  <c r="K1679" i="16"/>
  <c r="J1679" i="16"/>
  <c r="I1679" i="16"/>
  <c r="H1679" i="16"/>
  <c r="G1679" i="16"/>
  <c r="F1679" i="16"/>
  <c r="E1679" i="16"/>
  <c r="D1679" i="16"/>
  <c r="C1679" i="16"/>
  <c r="P1678" i="16"/>
  <c r="O1678" i="16"/>
  <c r="N1678" i="16"/>
  <c r="M1678" i="16"/>
  <c r="L1678" i="16"/>
  <c r="K1678" i="16"/>
  <c r="J1678" i="16"/>
  <c r="I1678" i="16"/>
  <c r="H1678" i="16"/>
  <c r="G1678" i="16"/>
  <c r="F1678" i="16"/>
  <c r="E1678" i="16"/>
  <c r="D1678" i="16"/>
  <c r="C1678" i="16"/>
  <c r="P1677" i="16"/>
  <c r="O1677" i="16"/>
  <c r="N1677" i="16"/>
  <c r="M1677" i="16"/>
  <c r="L1677" i="16"/>
  <c r="K1677" i="16"/>
  <c r="J1677" i="16"/>
  <c r="I1677" i="16"/>
  <c r="H1677" i="16"/>
  <c r="G1677" i="16"/>
  <c r="F1677" i="16"/>
  <c r="E1677" i="16"/>
  <c r="D1677" i="16"/>
  <c r="C1677" i="16"/>
  <c r="P1676" i="16"/>
  <c r="O1676" i="16"/>
  <c r="N1676" i="16"/>
  <c r="M1676" i="16"/>
  <c r="L1676" i="16"/>
  <c r="K1676" i="16"/>
  <c r="J1676" i="16"/>
  <c r="I1676" i="16"/>
  <c r="H1676" i="16"/>
  <c r="G1676" i="16"/>
  <c r="F1676" i="16"/>
  <c r="E1676" i="16"/>
  <c r="D1676" i="16"/>
  <c r="C1676" i="16"/>
  <c r="P1675" i="16"/>
  <c r="O1675" i="16"/>
  <c r="N1675" i="16"/>
  <c r="M1675" i="16"/>
  <c r="L1675" i="16"/>
  <c r="K1675" i="16"/>
  <c r="J1675" i="16"/>
  <c r="I1675" i="16"/>
  <c r="H1675" i="16"/>
  <c r="G1675" i="16"/>
  <c r="F1675" i="16"/>
  <c r="E1675" i="16"/>
  <c r="D1675" i="16"/>
  <c r="C1675" i="16"/>
  <c r="P1674" i="16"/>
  <c r="O1674" i="16"/>
  <c r="N1674" i="16"/>
  <c r="M1674" i="16"/>
  <c r="L1674" i="16"/>
  <c r="K1674" i="16"/>
  <c r="J1674" i="16"/>
  <c r="I1674" i="16"/>
  <c r="H1674" i="16"/>
  <c r="G1674" i="16"/>
  <c r="F1674" i="16"/>
  <c r="E1674" i="16"/>
  <c r="D1674" i="16"/>
  <c r="C1674" i="16"/>
  <c r="P1673" i="16"/>
  <c r="O1673" i="16"/>
  <c r="N1673" i="16"/>
  <c r="M1673" i="16"/>
  <c r="L1673" i="16"/>
  <c r="K1673" i="16"/>
  <c r="J1673" i="16"/>
  <c r="I1673" i="16"/>
  <c r="H1673" i="16"/>
  <c r="G1673" i="16"/>
  <c r="F1673" i="16"/>
  <c r="E1673" i="16"/>
  <c r="D1673" i="16"/>
  <c r="C1673" i="16"/>
  <c r="P1672" i="16"/>
  <c r="O1672" i="16"/>
  <c r="N1672" i="16"/>
  <c r="M1672" i="16"/>
  <c r="L1672" i="16"/>
  <c r="K1672" i="16"/>
  <c r="J1672" i="16"/>
  <c r="I1672" i="16"/>
  <c r="H1672" i="16"/>
  <c r="G1672" i="16"/>
  <c r="F1672" i="16"/>
  <c r="E1672" i="16"/>
  <c r="D1672" i="16"/>
  <c r="C1672" i="16"/>
  <c r="P1671" i="16"/>
  <c r="O1671" i="16"/>
  <c r="N1671" i="16"/>
  <c r="M1671" i="16"/>
  <c r="L1671" i="16"/>
  <c r="K1671" i="16"/>
  <c r="J1671" i="16"/>
  <c r="I1671" i="16"/>
  <c r="H1671" i="16"/>
  <c r="G1671" i="16"/>
  <c r="F1671" i="16"/>
  <c r="E1671" i="16"/>
  <c r="D1671" i="16"/>
  <c r="C1671" i="16"/>
  <c r="P1670" i="16"/>
  <c r="O1670" i="16"/>
  <c r="N1670" i="16"/>
  <c r="M1670" i="16"/>
  <c r="L1670" i="16"/>
  <c r="K1670" i="16"/>
  <c r="J1670" i="16"/>
  <c r="I1670" i="16"/>
  <c r="H1670" i="16"/>
  <c r="G1670" i="16"/>
  <c r="F1670" i="16"/>
  <c r="E1670" i="16"/>
  <c r="D1670" i="16"/>
  <c r="C1670" i="16"/>
  <c r="P1669" i="16"/>
  <c r="O1669" i="16"/>
  <c r="N1669" i="16"/>
  <c r="M1669" i="16"/>
  <c r="L1669" i="16"/>
  <c r="K1669" i="16"/>
  <c r="J1669" i="16"/>
  <c r="I1669" i="16"/>
  <c r="H1669" i="16"/>
  <c r="G1669" i="16"/>
  <c r="F1669" i="16"/>
  <c r="E1669" i="16"/>
  <c r="D1669" i="16"/>
  <c r="C1669" i="16"/>
  <c r="P1668" i="16"/>
  <c r="O1668" i="16"/>
  <c r="N1668" i="16"/>
  <c r="M1668" i="16"/>
  <c r="L1668" i="16"/>
  <c r="K1668" i="16"/>
  <c r="J1668" i="16"/>
  <c r="I1668" i="16"/>
  <c r="H1668" i="16"/>
  <c r="G1668" i="16"/>
  <c r="F1668" i="16"/>
  <c r="E1668" i="16"/>
  <c r="D1668" i="16"/>
  <c r="C1668" i="16"/>
  <c r="P1667" i="16"/>
  <c r="O1667" i="16"/>
  <c r="N1667" i="16"/>
  <c r="M1667" i="16"/>
  <c r="L1667" i="16"/>
  <c r="K1667" i="16"/>
  <c r="J1667" i="16"/>
  <c r="I1667" i="16"/>
  <c r="H1667" i="16"/>
  <c r="G1667" i="16"/>
  <c r="F1667" i="16"/>
  <c r="E1667" i="16"/>
  <c r="D1667" i="16"/>
  <c r="C1667" i="16"/>
  <c r="P1666" i="16"/>
  <c r="O1666" i="16"/>
  <c r="N1666" i="16"/>
  <c r="M1666" i="16"/>
  <c r="L1666" i="16"/>
  <c r="K1666" i="16"/>
  <c r="J1666" i="16"/>
  <c r="I1666" i="16"/>
  <c r="H1666" i="16"/>
  <c r="G1666" i="16"/>
  <c r="F1666" i="16"/>
  <c r="E1666" i="16"/>
  <c r="D1666" i="16"/>
  <c r="C1666" i="16"/>
  <c r="P1665" i="16"/>
  <c r="O1665" i="16"/>
  <c r="N1665" i="16"/>
  <c r="M1665" i="16"/>
  <c r="L1665" i="16"/>
  <c r="K1665" i="16"/>
  <c r="J1665" i="16"/>
  <c r="I1665" i="16"/>
  <c r="H1665" i="16"/>
  <c r="G1665" i="16"/>
  <c r="F1665" i="16"/>
  <c r="E1665" i="16"/>
  <c r="D1665" i="16"/>
  <c r="C1665" i="16"/>
  <c r="P1664" i="16"/>
  <c r="O1664" i="16"/>
  <c r="N1664" i="16"/>
  <c r="M1664" i="16"/>
  <c r="L1664" i="16"/>
  <c r="K1664" i="16"/>
  <c r="J1664" i="16"/>
  <c r="I1664" i="16"/>
  <c r="H1664" i="16"/>
  <c r="G1664" i="16"/>
  <c r="F1664" i="16"/>
  <c r="E1664" i="16"/>
  <c r="D1664" i="16"/>
  <c r="C1664" i="16"/>
  <c r="P1663" i="16"/>
  <c r="O1663" i="16"/>
  <c r="N1663" i="16"/>
  <c r="M1663" i="16"/>
  <c r="L1663" i="16"/>
  <c r="K1663" i="16"/>
  <c r="J1663" i="16"/>
  <c r="I1663" i="16"/>
  <c r="H1663" i="16"/>
  <c r="G1663" i="16"/>
  <c r="F1663" i="16"/>
  <c r="E1663" i="16"/>
  <c r="D1663" i="16"/>
  <c r="C1663" i="16"/>
  <c r="P1662" i="16"/>
  <c r="O1662" i="16"/>
  <c r="N1662" i="16"/>
  <c r="M1662" i="16"/>
  <c r="L1662" i="16"/>
  <c r="K1662" i="16"/>
  <c r="J1662" i="16"/>
  <c r="I1662" i="16"/>
  <c r="H1662" i="16"/>
  <c r="G1662" i="16"/>
  <c r="F1662" i="16"/>
  <c r="E1662" i="16"/>
  <c r="D1662" i="16"/>
  <c r="C1662" i="16"/>
  <c r="P1661" i="16"/>
  <c r="O1661" i="16"/>
  <c r="N1661" i="16"/>
  <c r="M1661" i="16"/>
  <c r="L1661" i="16"/>
  <c r="K1661" i="16"/>
  <c r="J1661" i="16"/>
  <c r="I1661" i="16"/>
  <c r="H1661" i="16"/>
  <c r="G1661" i="16"/>
  <c r="F1661" i="16"/>
  <c r="E1661" i="16"/>
  <c r="D1661" i="16"/>
  <c r="C1661" i="16"/>
  <c r="P1660" i="16"/>
  <c r="O1660" i="16"/>
  <c r="N1660" i="16"/>
  <c r="M1660" i="16"/>
  <c r="L1660" i="16"/>
  <c r="K1660" i="16"/>
  <c r="J1660" i="16"/>
  <c r="I1660" i="16"/>
  <c r="H1660" i="16"/>
  <c r="G1660" i="16"/>
  <c r="F1660" i="16"/>
  <c r="E1660" i="16"/>
  <c r="D1660" i="16"/>
  <c r="C1660" i="16"/>
  <c r="P1659" i="16"/>
  <c r="O1659" i="16"/>
  <c r="N1659" i="16"/>
  <c r="M1659" i="16"/>
  <c r="L1659" i="16"/>
  <c r="K1659" i="16"/>
  <c r="J1659" i="16"/>
  <c r="I1659" i="16"/>
  <c r="H1659" i="16"/>
  <c r="G1659" i="16"/>
  <c r="F1659" i="16"/>
  <c r="E1659" i="16"/>
  <c r="D1659" i="16"/>
  <c r="C1659" i="16"/>
  <c r="P1658" i="16"/>
  <c r="O1658" i="16"/>
  <c r="N1658" i="16"/>
  <c r="M1658" i="16"/>
  <c r="L1658" i="16"/>
  <c r="K1658" i="16"/>
  <c r="J1658" i="16"/>
  <c r="I1658" i="16"/>
  <c r="H1658" i="16"/>
  <c r="G1658" i="16"/>
  <c r="F1658" i="16"/>
  <c r="E1658" i="16"/>
  <c r="D1658" i="16"/>
  <c r="C1658" i="16"/>
  <c r="P1657" i="16"/>
  <c r="O1657" i="16"/>
  <c r="N1657" i="16"/>
  <c r="M1657" i="16"/>
  <c r="L1657" i="16"/>
  <c r="K1657" i="16"/>
  <c r="J1657" i="16"/>
  <c r="I1657" i="16"/>
  <c r="H1657" i="16"/>
  <c r="G1657" i="16"/>
  <c r="F1657" i="16"/>
  <c r="E1657" i="16"/>
  <c r="D1657" i="16"/>
  <c r="C1657" i="16"/>
  <c r="P1656" i="16"/>
  <c r="O1656" i="16"/>
  <c r="N1656" i="16"/>
  <c r="M1656" i="16"/>
  <c r="L1656" i="16"/>
  <c r="K1656" i="16"/>
  <c r="J1656" i="16"/>
  <c r="I1656" i="16"/>
  <c r="H1656" i="16"/>
  <c r="G1656" i="16"/>
  <c r="F1656" i="16"/>
  <c r="E1656" i="16"/>
  <c r="D1656" i="16"/>
  <c r="C1656" i="16"/>
  <c r="P1655" i="16"/>
  <c r="O1655" i="16"/>
  <c r="N1655" i="16"/>
  <c r="M1655" i="16"/>
  <c r="L1655" i="16"/>
  <c r="K1655" i="16"/>
  <c r="J1655" i="16"/>
  <c r="I1655" i="16"/>
  <c r="H1655" i="16"/>
  <c r="G1655" i="16"/>
  <c r="F1655" i="16"/>
  <c r="E1655" i="16"/>
  <c r="D1655" i="16"/>
  <c r="C1655" i="16"/>
  <c r="P1654" i="16"/>
  <c r="O1654" i="16"/>
  <c r="N1654" i="16"/>
  <c r="M1654" i="16"/>
  <c r="L1654" i="16"/>
  <c r="K1654" i="16"/>
  <c r="J1654" i="16"/>
  <c r="I1654" i="16"/>
  <c r="H1654" i="16"/>
  <c r="G1654" i="16"/>
  <c r="F1654" i="16"/>
  <c r="E1654" i="16"/>
  <c r="D1654" i="16"/>
  <c r="C1654" i="16"/>
  <c r="P1653" i="16"/>
  <c r="O1653" i="16"/>
  <c r="N1653" i="16"/>
  <c r="M1653" i="16"/>
  <c r="L1653" i="16"/>
  <c r="K1653" i="16"/>
  <c r="J1653" i="16"/>
  <c r="I1653" i="16"/>
  <c r="H1653" i="16"/>
  <c r="G1653" i="16"/>
  <c r="F1653" i="16"/>
  <c r="E1653" i="16"/>
  <c r="D1653" i="16"/>
  <c r="C1653" i="16"/>
  <c r="P1652" i="16"/>
  <c r="O1652" i="16"/>
  <c r="N1652" i="16"/>
  <c r="M1652" i="16"/>
  <c r="L1652" i="16"/>
  <c r="K1652" i="16"/>
  <c r="J1652" i="16"/>
  <c r="I1652" i="16"/>
  <c r="H1652" i="16"/>
  <c r="G1652" i="16"/>
  <c r="F1652" i="16"/>
  <c r="E1652" i="16"/>
  <c r="D1652" i="16"/>
  <c r="C1652" i="16"/>
  <c r="P1651" i="16"/>
  <c r="O1651" i="16"/>
  <c r="N1651" i="16"/>
  <c r="M1651" i="16"/>
  <c r="L1651" i="16"/>
  <c r="K1651" i="16"/>
  <c r="J1651" i="16"/>
  <c r="I1651" i="16"/>
  <c r="H1651" i="16"/>
  <c r="G1651" i="16"/>
  <c r="F1651" i="16"/>
  <c r="E1651" i="16"/>
  <c r="D1651" i="16"/>
  <c r="C1651" i="16"/>
  <c r="P1650" i="16"/>
  <c r="O1650" i="16"/>
  <c r="N1650" i="16"/>
  <c r="M1650" i="16"/>
  <c r="L1650" i="16"/>
  <c r="K1650" i="16"/>
  <c r="J1650" i="16"/>
  <c r="I1650" i="16"/>
  <c r="H1650" i="16"/>
  <c r="G1650" i="16"/>
  <c r="F1650" i="16"/>
  <c r="E1650" i="16"/>
  <c r="D1650" i="16"/>
  <c r="C1650" i="16"/>
  <c r="P1649" i="16"/>
  <c r="O1649" i="16"/>
  <c r="N1649" i="16"/>
  <c r="M1649" i="16"/>
  <c r="L1649" i="16"/>
  <c r="K1649" i="16"/>
  <c r="J1649" i="16"/>
  <c r="I1649" i="16"/>
  <c r="H1649" i="16"/>
  <c r="G1649" i="16"/>
  <c r="F1649" i="16"/>
  <c r="E1649" i="16"/>
  <c r="D1649" i="16"/>
  <c r="C1649" i="16"/>
  <c r="P1648" i="16"/>
  <c r="O1648" i="16"/>
  <c r="N1648" i="16"/>
  <c r="M1648" i="16"/>
  <c r="L1648" i="16"/>
  <c r="K1648" i="16"/>
  <c r="J1648" i="16"/>
  <c r="I1648" i="16"/>
  <c r="H1648" i="16"/>
  <c r="G1648" i="16"/>
  <c r="F1648" i="16"/>
  <c r="E1648" i="16"/>
  <c r="D1648" i="16"/>
  <c r="C1648" i="16"/>
  <c r="P1647" i="16"/>
  <c r="O1647" i="16"/>
  <c r="N1647" i="16"/>
  <c r="M1647" i="16"/>
  <c r="L1647" i="16"/>
  <c r="K1647" i="16"/>
  <c r="J1647" i="16"/>
  <c r="I1647" i="16"/>
  <c r="H1647" i="16"/>
  <c r="G1647" i="16"/>
  <c r="F1647" i="16"/>
  <c r="E1647" i="16"/>
  <c r="D1647" i="16"/>
  <c r="C1647" i="16"/>
  <c r="P1646" i="16"/>
  <c r="O1646" i="16"/>
  <c r="N1646" i="16"/>
  <c r="M1646" i="16"/>
  <c r="L1646" i="16"/>
  <c r="K1646" i="16"/>
  <c r="J1646" i="16"/>
  <c r="I1646" i="16"/>
  <c r="H1646" i="16"/>
  <c r="G1646" i="16"/>
  <c r="F1646" i="16"/>
  <c r="E1646" i="16"/>
  <c r="D1646" i="16"/>
  <c r="C1646" i="16"/>
  <c r="P1645" i="16"/>
  <c r="O1645" i="16"/>
  <c r="N1645" i="16"/>
  <c r="M1645" i="16"/>
  <c r="L1645" i="16"/>
  <c r="K1645" i="16"/>
  <c r="J1645" i="16"/>
  <c r="I1645" i="16"/>
  <c r="H1645" i="16"/>
  <c r="G1645" i="16"/>
  <c r="F1645" i="16"/>
  <c r="E1645" i="16"/>
  <c r="D1645" i="16"/>
  <c r="C1645" i="16"/>
  <c r="P1644" i="16"/>
  <c r="O1644" i="16"/>
  <c r="N1644" i="16"/>
  <c r="M1644" i="16"/>
  <c r="L1644" i="16"/>
  <c r="K1644" i="16"/>
  <c r="J1644" i="16"/>
  <c r="I1644" i="16"/>
  <c r="H1644" i="16"/>
  <c r="G1644" i="16"/>
  <c r="F1644" i="16"/>
  <c r="E1644" i="16"/>
  <c r="D1644" i="16"/>
  <c r="C1644" i="16"/>
  <c r="P1643" i="16"/>
  <c r="O1643" i="16"/>
  <c r="N1643" i="16"/>
  <c r="M1643" i="16"/>
  <c r="L1643" i="16"/>
  <c r="K1643" i="16"/>
  <c r="J1643" i="16"/>
  <c r="I1643" i="16"/>
  <c r="H1643" i="16"/>
  <c r="G1643" i="16"/>
  <c r="F1643" i="16"/>
  <c r="E1643" i="16"/>
  <c r="D1643" i="16"/>
  <c r="C1643" i="16"/>
  <c r="P1642" i="16"/>
  <c r="O1642" i="16"/>
  <c r="N1642" i="16"/>
  <c r="M1642" i="16"/>
  <c r="L1642" i="16"/>
  <c r="K1642" i="16"/>
  <c r="J1642" i="16"/>
  <c r="I1642" i="16"/>
  <c r="H1642" i="16"/>
  <c r="G1642" i="16"/>
  <c r="F1642" i="16"/>
  <c r="E1642" i="16"/>
  <c r="D1642" i="16"/>
  <c r="C1642" i="16"/>
  <c r="P1641" i="16"/>
  <c r="O1641" i="16"/>
  <c r="N1641" i="16"/>
  <c r="M1641" i="16"/>
  <c r="L1641" i="16"/>
  <c r="K1641" i="16"/>
  <c r="J1641" i="16"/>
  <c r="I1641" i="16"/>
  <c r="H1641" i="16"/>
  <c r="G1641" i="16"/>
  <c r="F1641" i="16"/>
  <c r="E1641" i="16"/>
  <c r="D1641" i="16"/>
  <c r="C1641" i="16"/>
  <c r="P1640" i="16"/>
  <c r="O1640" i="16"/>
  <c r="N1640" i="16"/>
  <c r="M1640" i="16"/>
  <c r="L1640" i="16"/>
  <c r="K1640" i="16"/>
  <c r="J1640" i="16"/>
  <c r="I1640" i="16"/>
  <c r="H1640" i="16"/>
  <c r="G1640" i="16"/>
  <c r="F1640" i="16"/>
  <c r="E1640" i="16"/>
  <c r="D1640" i="16"/>
  <c r="C1640" i="16"/>
  <c r="P1639" i="16"/>
  <c r="O1639" i="16"/>
  <c r="N1639" i="16"/>
  <c r="M1639" i="16"/>
  <c r="L1639" i="16"/>
  <c r="K1639" i="16"/>
  <c r="J1639" i="16"/>
  <c r="I1639" i="16"/>
  <c r="H1639" i="16"/>
  <c r="G1639" i="16"/>
  <c r="F1639" i="16"/>
  <c r="E1639" i="16"/>
  <c r="D1639" i="16"/>
  <c r="C1639" i="16"/>
  <c r="P1638" i="16"/>
  <c r="O1638" i="16"/>
  <c r="N1638" i="16"/>
  <c r="M1638" i="16"/>
  <c r="L1638" i="16"/>
  <c r="K1638" i="16"/>
  <c r="J1638" i="16"/>
  <c r="I1638" i="16"/>
  <c r="H1638" i="16"/>
  <c r="G1638" i="16"/>
  <c r="F1638" i="16"/>
  <c r="E1638" i="16"/>
  <c r="D1638" i="16"/>
  <c r="C1638" i="16"/>
  <c r="P1637" i="16"/>
  <c r="O1637" i="16"/>
  <c r="N1637" i="16"/>
  <c r="M1637" i="16"/>
  <c r="L1637" i="16"/>
  <c r="K1637" i="16"/>
  <c r="J1637" i="16"/>
  <c r="I1637" i="16"/>
  <c r="H1637" i="16"/>
  <c r="G1637" i="16"/>
  <c r="F1637" i="16"/>
  <c r="E1637" i="16"/>
  <c r="D1637" i="16"/>
  <c r="C1637" i="16"/>
  <c r="P1636" i="16"/>
  <c r="O1636" i="16"/>
  <c r="N1636" i="16"/>
  <c r="M1636" i="16"/>
  <c r="L1636" i="16"/>
  <c r="K1636" i="16"/>
  <c r="J1636" i="16"/>
  <c r="I1636" i="16"/>
  <c r="H1636" i="16"/>
  <c r="G1636" i="16"/>
  <c r="F1636" i="16"/>
  <c r="E1636" i="16"/>
  <c r="D1636" i="16"/>
  <c r="C1636" i="16"/>
  <c r="P1635" i="16"/>
  <c r="O1635" i="16"/>
  <c r="N1635" i="16"/>
  <c r="M1635" i="16"/>
  <c r="L1635" i="16"/>
  <c r="K1635" i="16"/>
  <c r="J1635" i="16"/>
  <c r="I1635" i="16"/>
  <c r="H1635" i="16"/>
  <c r="G1635" i="16"/>
  <c r="F1635" i="16"/>
  <c r="E1635" i="16"/>
  <c r="D1635" i="16"/>
  <c r="C1635" i="16"/>
  <c r="P1634" i="16"/>
  <c r="O1634" i="16"/>
  <c r="N1634" i="16"/>
  <c r="M1634" i="16"/>
  <c r="L1634" i="16"/>
  <c r="K1634" i="16"/>
  <c r="J1634" i="16"/>
  <c r="I1634" i="16"/>
  <c r="H1634" i="16"/>
  <c r="G1634" i="16"/>
  <c r="F1634" i="16"/>
  <c r="E1634" i="16"/>
  <c r="D1634" i="16"/>
  <c r="C1634" i="16"/>
  <c r="P1633" i="16"/>
  <c r="O1633" i="16"/>
  <c r="N1633" i="16"/>
  <c r="M1633" i="16"/>
  <c r="L1633" i="16"/>
  <c r="K1633" i="16"/>
  <c r="J1633" i="16"/>
  <c r="I1633" i="16"/>
  <c r="H1633" i="16"/>
  <c r="G1633" i="16"/>
  <c r="F1633" i="16"/>
  <c r="E1633" i="16"/>
  <c r="D1633" i="16"/>
  <c r="C1633" i="16"/>
  <c r="P1632" i="16"/>
  <c r="O1632" i="16"/>
  <c r="N1632" i="16"/>
  <c r="M1632" i="16"/>
  <c r="L1632" i="16"/>
  <c r="K1632" i="16"/>
  <c r="J1632" i="16"/>
  <c r="I1632" i="16"/>
  <c r="H1632" i="16"/>
  <c r="G1632" i="16"/>
  <c r="F1632" i="16"/>
  <c r="E1632" i="16"/>
  <c r="D1632" i="16"/>
  <c r="C1632" i="16"/>
  <c r="P1631" i="16"/>
  <c r="O1631" i="16"/>
  <c r="N1631" i="16"/>
  <c r="M1631" i="16"/>
  <c r="L1631" i="16"/>
  <c r="K1631" i="16"/>
  <c r="J1631" i="16"/>
  <c r="I1631" i="16"/>
  <c r="H1631" i="16"/>
  <c r="G1631" i="16"/>
  <c r="F1631" i="16"/>
  <c r="E1631" i="16"/>
  <c r="D1631" i="16"/>
  <c r="C1631" i="16"/>
  <c r="P1630" i="16"/>
  <c r="O1630" i="16"/>
  <c r="N1630" i="16"/>
  <c r="M1630" i="16"/>
  <c r="L1630" i="16"/>
  <c r="K1630" i="16"/>
  <c r="J1630" i="16"/>
  <c r="I1630" i="16"/>
  <c r="H1630" i="16"/>
  <c r="G1630" i="16"/>
  <c r="F1630" i="16"/>
  <c r="E1630" i="16"/>
  <c r="D1630" i="16"/>
  <c r="C1630" i="16"/>
  <c r="P1629" i="16"/>
  <c r="O1629" i="16"/>
  <c r="N1629" i="16"/>
  <c r="M1629" i="16"/>
  <c r="L1629" i="16"/>
  <c r="K1629" i="16"/>
  <c r="J1629" i="16"/>
  <c r="I1629" i="16"/>
  <c r="H1629" i="16"/>
  <c r="G1629" i="16"/>
  <c r="F1629" i="16"/>
  <c r="E1629" i="16"/>
  <c r="D1629" i="16"/>
  <c r="C1629" i="16"/>
  <c r="P1628" i="16"/>
  <c r="O1628" i="16"/>
  <c r="N1628" i="16"/>
  <c r="M1628" i="16"/>
  <c r="L1628" i="16"/>
  <c r="K1628" i="16"/>
  <c r="J1628" i="16"/>
  <c r="I1628" i="16"/>
  <c r="H1628" i="16"/>
  <c r="G1628" i="16"/>
  <c r="F1628" i="16"/>
  <c r="E1628" i="16"/>
  <c r="D1628" i="16"/>
  <c r="C1628" i="16"/>
  <c r="P1627" i="16"/>
  <c r="O1627" i="16"/>
  <c r="N1627" i="16"/>
  <c r="M1627" i="16"/>
  <c r="L1627" i="16"/>
  <c r="K1627" i="16"/>
  <c r="J1627" i="16"/>
  <c r="I1627" i="16"/>
  <c r="H1627" i="16"/>
  <c r="G1627" i="16"/>
  <c r="F1627" i="16"/>
  <c r="E1627" i="16"/>
  <c r="D1627" i="16"/>
  <c r="C1627" i="16"/>
  <c r="P1626" i="16"/>
  <c r="O1626" i="16"/>
  <c r="N1626" i="16"/>
  <c r="M1626" i="16"/>
  <c r="L1626" i="16"/>
  <c r="K1626" i="16"/>
  <c r="J1626" i="16"/>
  <c r="I1626" i="16"/>
  <c r="H1626" i="16"/>
  <c r="G1626" i="16"/>
  <c r="F1626" i="16"/>
  <c r="E1626" i="16"/>
  <c r="D1626" i="16"/>
  <c r="C1626" i="16"/>
  <c r="P1625" i="16"/>
  <c r="O1625" i="16"/>
  <c r="N1625" i="16"/>
  <c r="M1625" i="16"/>
  <c r="L1625" i="16"/>
  <c r="K1625" i="16"/>
  <c r="J1625" i="16"/>
  <c r="I1625" i="16"/>
  <c r="H1625" i="16"/>
  <c r="G1625" i="16"/>
  <c r="F1625" i="16"/>
  <c r="E1625" i="16"/>
  <c r="D1625" i="16"/>
  <c r="C1625" i="16"/>
  <c r="P1624" i="16"/>
  <c r="O1624" i="16"/>
  <c r="N1624" i="16"/>
  <c r="M1624" i="16"/>
  <c r="L1624" i="16"/>
  <c r="K1624" i="16"/>
  <c r="J1624" i="16"/>
  <c r="I1624" i="16"/>
  <c r="H1624" i="16"/>
  <c r="G1624" i="16"/>
  <c r="F1624" i="16"/>
  <c r="E1624" i="16"/>
  <c r="D1624" i="16"/>
  <c r="C1624" i="16"/>
  <c r="P1623" i="16"/>
  <c r="O1623" i="16"/>
  <c r="N1623" i="16"/>
  <c r="M1623" i="16"/>
  <c r="L1623" i="16"/>
  <c r="K1623" i="16"/>
  <c r="J1623" i="16"/>
  <c r="I1623" i="16"/>
  <c r="H1623" i="16"/>
  <c r="G1623" i="16"/>
  <c r="F1623" i="16"/>
  <c r="E1623" i="16"/>
  <c r="D1623" i="16"/>
  <c r="C1623" i="16"/>
  <c r="P1622" i="16"/>
  <c r="O1622" i="16"/>
  <c r="N1622" i="16"/>
  <c r="M1622" i="16"/>
  <c r="L1622" i="16"/>
  <c r="K1622" i="16"/>
  <c r="J1622" i="16"/>
  <c r="I1622" i="16"/>
  <c r="H1622" i="16"/>
  <c r="G1622" i="16"/>
  <c r="F1622" i="16"/>
  <c r="E1622" i="16"/>
  <c r="D1622" i="16"/>
  <c r="C1622" i="16"/>
  <c r="P1621" i="16"/>
  <c r="O1621" i="16"/>
  <c r="N1621" i="16"/>
  <c r="M1621" i="16"/>
  <c r="L1621" i="16"/>
  <c r="K1621" i="16"/>
  <c r="J1621" i="16"/>
  <c r="I1621" i="16"/>
  <c r="H1621" i="16"/>
  <c r="G1621" i="16"/>
  <c r="F1621" i="16"/>
  <c r="E1621" i="16"/>
  <c r="D1621" i="16"/>
  <c r="C1621" i="16"/>
  <c r="P1620" i="16"/>
  <c r="O1620" i="16"/>
  <c r="N1620" i="16"/>
  <c r="M1620" i="16"/>
  <c r="L1620" i="16"/>
  <c r="K1620" i="16"/>
  <c r="J1620" i="16"/>
  <c r="I1620" i="16"/>
  <c r="H1620" i="16"/>
  <c r="G1620" i="16"/>
  <c r="F1620" i="16"/>
  <c r="E1620" i="16"/>
  <c r="D1620" i="16"/>
  <c r="C1620" i="16"/>
  <c r="P1619" i="16"/>
  <c r="O1619" i="16"/>
  <c r="N1619" i="16"/>
  <c r="M1619" i="16"/>
  <c r="L1619" i="16"/>
  <c r="K1619" i="16"/>
  <c r="J1619" i="16"/>
  <c r="I1619" i="16"/>
  <c r="H1619" i="16"/>
  <c r="G1619" i="16"/>
  <c r="F1619" i="16"/>
  <c r="E1619" i="16"/>
  <c r="D1619" i="16"/>
  <c r="C1619" i="16"/>
  <c r="P1618" i="16"/>
  <c r="O1618" i="16"/>
  <c r="N1618" i="16"/>
  <c r="M1618" i="16"/>
  <c r="L1618" i="16"/>
  <c r="K1618" i="16"/>
  <c r="J1618" i="16"/>
  <c r="I1618" i="16"/>
  <c r="H1618" i="16"/>
  <c r="G1618" i="16"/>
  <c r="F1618" i="16"/>
  <c r="E1618" i="16"/>
  <c r="D1618" i="16"/>
  <c r="C1618" i="16"/>
  <c r="P1617" i="16"/>
  <c r="O1617" i="16"/>
  <c r="N1617" i="16"/>
  <c r="M1617" i="16"/>
  <c r="L1617" i="16"/>
  <c r="K1617" i="16"/>
  <c r="J1617" i="16"/>
  <c r="I1617" i="16"/>
  <c r="H1617" i="16"/>
  <c r="G1617" i="16"/>
  <c r="F1617" i="16"/>
  <c r="E1617" i="16"/>
  <c r="D1617" i="16"/>
  <c r="C1617" i="16"/>
  <c r="P1616" i="16"/>
  <c r="O1616" i="16"/>
  <c r="N1616" i="16"/>
  <c r="M1616" i="16"/>
  <c r="L1616" i="16"/>
  <c r="K1616" i="16"/>
  <c r="J1616" i="16"/>
  <c r="I1616" i="16"/>
  <c r="H1616" i="16"/>
  <c r="G1616" i="16"/>
  <c r="F1616" i="16"/>
  <c r="E1616" i="16"/>
  <c r="D1616" i="16"/>
  <c r="C1616" i="16"/>
  <c r="P1615" i="16"/>
  <c r="O1615" i="16"/>
  <c r="N1615" i="16"/>
  <c r="M1615" i="16"/>
  <c r="L1615" i="16"/>
  <c r="K1615" i="16"/>
  <c r="J1615" i="16"/>
  <c r="I1615" i="16"/>
  <c r="H1615" i="16"/>
  <c r="G1615" i="16"/>
  <c r="F1615" i="16"/>
  <c r="E1615" i="16"/>
  <c r="D1615" i="16"/>
  <c r="C1615" i="16"/>
  <c r="P1614" i="16"/>
  <c r="O1614" i="16"/>
  <c r="N1614" i="16"/>
  <c r="M1614" i="16"/>
  <c r="L1614" i="16"/>
  <c r="K1614" i="16"/>
  <c r="J1614" i="16"/>
  <c r="I1614" i="16"/>
  <c r="H1614" i="16"/>
  <c r="G1614" i="16"/>
  <c r="F1614" i="16"/>
  <c r="E1614" i="16"/>
  <c r="D1614" i="16"/>
  <c r="C1614" i="16"/>
  <c r="P1613" i="16"/>
  <c r="O1613" i="16"/>
  <c r="N1613" i="16"/>
  <c r="M1613" i="16"/>
  <c r="L1613" i="16"/>
  <c r="K1613" i="16"/>
  <c r="J1613" i="16"/>
  <c r="I1613" i="16"/>
  <c r="H1613" i="16"/>
  <c r="G1613" i="16"/>
  <c r="F1613" i="16"/>
  <c r="E1613" i="16"/>
  <c r="D1613" i="16"/>
  <c r="C1613" i="16"/>
  <c r="P1612" i="16"/>
  <c r="O1612" i="16"/>
  <c r="N1612" i="16"/>
  <c r="M1612" i="16"/>
  <c r="L1612" i="16"/>
  <c r="K1612" i="16"/>
  <c r="J1612" i="16"/>
  <c r="I1612" i="16"/>
  <c r="H1612" i="16"/>
  <c r="G1612" i="16"/>
  <c r="F1612" i="16"/>
  <c r="E1612" i="16"/>
  <c r="D1612" i="16"/>
  <c r="C1612" i="16"/>
  <c r="P1611" i="16"/>
  <c r="O1611" i="16"/>
  <c r="N1611" i="16"/>
  <c r="M1611" i="16"/>
  <c r="L1611" i="16"/>
  <c r="K1611" i="16"/>
  <c r="J1611" i="16"/>
  <c r="I1611" i="16"/>
  <c r="H1611" i="16"/>
  <c r="G1611" i="16"/>
  <c r="F1611" i="16"/>
  <c r="E1611" i="16"/>
  <c r="D1611" i="16"/>
  <c r="C1611" i="16"/>
  <c r="P1610" i="16"/>
  <c r="O1610" i="16"/>
  <c r="N1610" i="16"/>
  <c r="M1610" i="16"/>
  <c r="L1610" i="16"/>
  <c r="K1610" i="16"/>
  <c r="J1610" i="16"/>
  <c r="I1610" i="16"/>
  <c r="H1610" i="16"/>
  <c r="G1610" i="16"/>
  <c r="F1610" i="16"/>
  <c r="E1610" i="16"/>
  <c r="D1610" i="16"/>
  <c r="C1610" i="16"/>
  <c r="P1609" i="16"/>
  <c r="O1609" i="16"/>
  <c r="N1609" i="16"/>
  <c r="M1609" i="16"/>
  <c r="L1609" i="16"/>
  <c r="K1609" i="16"/>
  <c r="J1609" i="16"/>
  <c r="I1609" i="16"/>
  <c r="H1609" i="16"/>
  <c r="G1609" i="16"/>
  <c r="F1609" i="16"/>
  <c r="E1609" i="16"/>
  <c r="D1609" i="16"/>
  <c r="C1609" i="16"/>
  <c r="P1608" i="16"/>
  <c r="O1608" i="16"/>
  <c r="N1608" i="16"/>
  <c r="M1608" i="16"/>
  <c r="L1608" i="16"/>
  <c r="K1608" i="16"/>
  <c r="J1608" i="16"/>
  <c r="I1608" i="16"/>
  <c r="H1608" i="16"/>
  <c r="G1608" i="16"/>
  <c r="F1608" i="16"/>
  <c r="E1608" i="16"/>
  <c r="D1608" i="16"/>
  <c r="C1608" i="16"/>
  <c r="P1607" i="16"/>
  <c r="O1607" i="16"/>
  <c r="N1607" i="16"/>
  <c r="M1607" i="16"/>
  <c r="L1607" i="16"/>
  <c r="K1607" i="16"/>
  <c r="J1607" i="16"/>
  <c r="I1607" i="16"/>
  <c r="H1607" i="16"/>
  <c r="G1607" i="16"/>
  <c r="F1607" i="16"/>
  <c r="E1607" i="16"/>
  <c r="D1607" i="16"/>
  <c r="C1607" i="16"/>
  <c r="P1606" i="16"/>
  <c r="O1606" i="16"/>
  <c r="N1606" i="16"/>
  <c r="M1606" i="16"/>
  <c r="L1606" i="16"/>
  <c r="K1606" i="16"/>
  <c r="J1606" i="16"/>
  <c r="I1606" i="16"/>
  <c r="H1606" i="16"/>
  <c r="G1606" i="16"/>
  <c r="F1606" i="16"/>
  <c r="E1606" i="16"/>
  <c r="D1606" i="16"/>
  <c r="C1606" i="16"/>
  <c r="P1605" i="16"/>
  <c r="O1605" i="16"/>
  <c r="N1605" i="16"/>
  <c r="M1605" i="16"/>
  <c r="L1605" i="16"/>
  <c r="K1605" i="16"/>
  <c r="J1605" i="16"/>
  <c r="I1605" i="16"/>
  <c r="H1605" i="16"/>
  <c r="G1605" i="16"/>
  <c r="F1605" i="16"/>
  <c r="E1605" i="16"/>
  <c r="D1605" i="16"/>
  <c r="C1605" i="16"/>
  <c r="P1604" i="16"/>
  <c r="O1604" i="16"/>
  <c r="N1604" i="16"/>
  <c r="M1604" i="16"/>
  <c r="L1604" i="16"/>
  <c r="K1604" i="16"/>
  <c r="J1604" i="16"/>
  <c r="I1604" i="16"/>
  <c r="H1604" i="16"/>
  <c r="G1604" i="16"/>
  <c r="F1604" i="16"/>
  <c r="E1604" i="16"/>
  <c r="D1604" i="16"/>
  <c r="C1604" i="16"/>
  <c r="P1603" i="16"/>
  <c r="O1603" i="16"/>
  <c r="N1603" i="16"/>
  <c r="M1603" i="16"/>
  <c r="L1603" i="16"/>
  <c r="K1603" i="16"/>
  <c r="J1603" i="16"/>
  <c r="I1603" i="16"/>
  <c r="H1603" i="16"/>
  <c r="G1603" i="16"/>
  <c r="F1603" i="16"/>
  <c r="E1603" i="16"/>
  <c r="D1603" i="16"/>
  <c r="C1603" i="16"/>
  <c r="P1602" i="16"/>
  <c r="O1602" i="16"/>
  <c r="N1602" i="16"/>
  <c r="M1602" i="16"/>
  <c r="L1602" i="16"/>
  <c r="K1602" i="16"/>
  <c r="J1602" i="16"/>
  <c r="I1602" i="16"/>
  <c r="H1602" i="16"/>
  <c r="G1602" i="16"/>
  <c r="F1602" i="16"/>
  <c r="E1602" i="16"/>
  <c r="D1602" i="16"/>
  <c r="C1602" i="16"/>
  <c r="P1601" i="16"/>
  <c r="O1601" i="16"/>
  <c r="N1601" i="16"/>
  <c r="M1601" i="16"/>
  <c r="L1601" i="16"/>
  <c r="K1601" i="16"/>
  <c r="J1601" i="16"/>
  <c r="I1601" i="16"/>
  <c r="H1601" i="16"/>
  <c r="G1601" i="16"/>
  <c r="F1601" i="16"/>
  <c r="E1601" i="16"/>
  <c r="D1601" i="16"/>
  <c r="C1601" i="16"/>
  <c r="P1600" i="16"/>
  <c r="O1600" i="16"/>
  <c r="N1600" i="16"/>
  <c r="M1600" i="16"/>
  <c r="L1600" i="16"/>
  <c r="K1600" i="16"/>
  <c r="J1600" i="16"/>
  <c r="I1600" i="16"/>
  <c r="H1600" i="16"/>
  <c r="G1600" i="16"/>
  <c r="F1600" i="16"/>
  <c r="E1600" i="16"/>
  <c r="D1600" i="16"/>
  <c r="C1600" i="16"/>
  <c r="P1599" i="16"/>
  <c r="O1599" i="16"/>
  <c r="N1599" i="16"/>
  <c r="M1599" i="16"/>
  <c r="L1599" i="16"/>
  <c r="K1599" i="16"/>
  <c r="J1599" i="16"/>
  <c r="I1599" i="16"/>
  <c r="H1599" i="16"/>
  <c r="G1599" i="16"/>
  <c r="F1599" i="16"/>
  <c r="E1599" i="16"/>
  <c r="D1599" i="16"/>
  <c r="C1599" i="16"/>
  <c r="P1598" i="16"/>
  <c r="O1598" i="16"/>
  <c r="N1598" i="16"/>
  <c r="M1598" i="16"/>
  <c r="L1598" i="16"/>
  <c r="K1598" i="16"/>
  <c r="J1598" i="16"/>
  <c r="I1598" i="16"/>
  <c r="H1598" i="16"/>
  <c r="G1598" i="16"/>
  <c r="F1598" i="16"/>
  <c r="E1598" i="16"/>
  <c r="D1598" i="16"/>
  <c r="C1598" i="16"/>
  <c r="P1597" i="16"/>
  <c r="O1597" i="16"/>
  <c r="N1597" i="16"/>
  <c r="M1597" i="16"/>
  <c r="L1597" i="16"/>
  <c r="K1597" i="16"/>
  <c r="J1597" i="16"/>
  <c r="I1597" i="16"/>
  <c r="H1597" i="16"/>
  <c r="G1597" i="16"/>
  <c r="F1597" i="16"/>
  <c r="E1597" i="16"/>
  <c r="D1597" i="16"/>
  <c r="C1597" i="16"/>
  <c r="P1596" i="16"/>
  <c r="O1596" i="16"/>
  <c r="N1596" i="16"/>
  <c r="M1596" i="16"/>
  <c r="L1596" i="16"/>
  <c r="K1596" i="16"/>
  <c r="J1596" i="16"/>
  <c r="I1596" i="16"/>
  <c r="H1596" i="16"/>
  <c r="G1596" i="16"/>
  <c r="F1596" i="16"/>
  <c r="E1596" i="16"/>
  <c r="D1596" i="16"/>
  <c r="C1596" i="16"/>
  <c r="P1595" i="16"/>
  <c r="O1595" i="16"/>
  <c r="N1595" i="16"/>
  <c r="M1595" i="16"/>
  <c r="L1595" i="16"/>
  <c r="K1595" i="16"/>
  <c r="J1595" i="16"/>
  <c r="I1595" i="16"/>
  <c r="H1595" i="16"/>
  <c r="G1595" i="16"/>
  <c r="F1595" i="16"/>
  <c r="E1595" i="16"/>
  <c r="D1595" i="16"/>
  <c r="C1595" i="16"/>
  <c r="P1594" i="16"/>
  <c r="O1594" i="16"/>
  <c r="N1594" i="16"/>
  <c r="M1594" i="16"/>
  <c r="L1594" i="16"/>
  <c r="K1594" i="16"/>
  <c r="J1594" i="16"/>
  <c r="I1594" i="16"/>
  <c r="H1594" i="16"/>
  <c r="G1594" i="16"/>
  <c r="F1594" i="16"/>
  <c r="E1594" i="16"/>
  <c r="D1594" i="16"/>
  <c r="C1594" i="16"/>
  <c r="P1593" i="16"/>
  <c r="O1593" i="16"/>
  <c r="N1593" i="16"/>
  <c r="M1593" i="16"/>
  <c r="L1593" i="16"/>
  <c r="K1593" i="16"/>
  <c r="J1593" i="16"/>
  <c r="I1593" i="16"/>
  <c r="H1593" i="16"/>
  <c r="G1593" i="16"/>
  <c r="F1593" i="16"/>
  <c r="E1593" i="16"/>
  <c r="D1593" i="16"/>
  <c r="C1593" i="16"/>
  <c r="P1592" i="16"/>
  <c r="O1592" i="16"/>
  <c r="N1592" i="16"/>
  <c r="M1592" i="16"/>
  <c r="L1592" i="16"/>
  <c r="K1592" i="16"/>
  <c r="J1592" i="16"/>
  <c r="I1592" i="16"/>
  <c r="H1592" i="16"/>
  <c r="G1592" i="16"/>
  <c r="F1592" i="16"/>
  <c r="E1592" i="16"/>
  <c r="D1592" i="16"/>
  <c r="C1592" i="16"/>
  <c r="P1591" i="16"/>
  <c r="O1591" i="16"/>
  <c r="N1591" i="16"/>
  <c r="M1591" i="16"/>
  <c r="L1591" i="16"/>
  <c r="K1591" i="16"/>
  <c r="J1591" i="16"/>
  <c r="I1591" i="16"/>
  <c r="H1591" i="16"/>
  <c r="G1591" i="16"/>
  <c r="F1591" i="16"/>
  <c r="E1591" i="16"/>
  <c r="D1591" i="16"/>
  <c r="C1591" i="16"/>
  <c r="P1590" i="16"/>
  <c r="O1590" i="16"/>
  <c r="N1590" i="16"/>
  <c r="M1590" i="16"/>
  <c r="L1590" i="16"/>
  <c r="K1590" i="16"/>
  <c r="J1590" i="16"/>
  <c r="I1590" i="16"/>
  <c r="H1590" i="16"/>
  <c r="G1590" i="16"/>
  <c r="F1590" i="16"/>
  <c r="E1590" i="16"/>
  <c r="D1590" i="16"/>
  <c r="C1590" i="16"/>
  <c r="P1589" i="16"/>
  <c r="O1589" i="16"/>
  <c r="N1589" i="16"/>
  <c r="M1589" i="16"/>
  <c r="L1589" i="16"/>
  <c r="K1589" i="16"/>
  <c r="J1589" i="16"/>
  <c r="I1589" i="16"/>
  <c r="H1589" i="16"/>
  <c r="G1589" i="16"/>
  <c r="F1589" i="16"/>
  <c r="E1589" i="16"/>
  <c r="D1589" i="16"/>
  <c r="C1589" i="16"/>
  <c r="P1588" i="16"/>
  <c r="O1588" i="16"/>
  <c r="N1588" i="16"/>
  <c r="M1588" i="16"/>
  <c r="L1588" i="16"/>
  <c r="K1588" i="16"/>
  <c r="J1588" i="16"/>
  <c r="I1588" i="16"/>
  <c r="H1588" i="16"/>
  <c r="G1588" i="16"/>
  <c r="F1588" i="16"/>
  <c r="E1588" i="16"/>
  <c r="D1588" i="16"/>
  <c r="C1588" i="16"/>
  <c r="P1587" i="16"/>
  <c r="O1587" i="16"/>
  <c r="N1587" i="16"/>
  <c r="M1587" i="16"/>
  <c r="L1587" i="16"/>
  <c r="K1587" i="16"/>
  <c r="J1587" i="16"/>
  <c r="I1587" i="16"/>
  <c r="H1587" i="16"/>
  <c r="G1587" i="16"/>
  <c r="F1587" i="16"/>
  <c r="E1587" i="16"/>
  <c r="D1587" i="16"/>
  <c r="C1587" i="16"/>
  <c r="P1586" i="16"/>
  <c r="O1586" i="16"/>
  <c r="N1586" i="16"/>
  <c r="M1586" i="16"/>
  <c r="L1586" i="16"/>
  <c r="K1586" i="16"/>
  <c r="J1586" i="16"/>
  <c r="I1586" i="16"/>
  <c r="H1586" i="16"/>
  <c r="G1586" i="16"/>
  <c r="F1586" i="16"/>
  <c r="E1586" i="16"/>
  <c r="D1586" i="16"/>
  <c r="C1586" i="16"/>
  <c r="P1585" i="16"/>
  <c r="O1585" i="16"/>
  <c r="N1585" i="16"/>
  <c r="M1585" i="16"/>
  <c r="L1585" i="16"/>
  <c r="K1585" i="16"/>
  <c r="J1585" i="16"/>
  <c r="I1585" i="16"/>
  <c r="H1585" i="16"/>
  <c r="G1585" i="16"/>
  <c r="F1585" i="16"/>
  <c r="E1585" i="16"/>
  <c r="D1585" i="16"/>
  <c r="C1585" i="16"/>
  <c r="P1584" i="16"/>
  <c r="O1584" i="16"/>
  <c r="N1584" i="16"/>
  <c r="M1584" i="16"/>
  <c r="L1584" i="16"/>
  <c r="K1584" i="16"/>
  <c r="J1584" i="16"/>
  <c r="I1584" i="16"/>
  <c r="H1584" i="16"/>
  <c r="G1584" i="16"/>
  <c r="F1584" i="16"/>
  <c r="E1584" i="16"/>
  <c r="D1584" i="16"/>
  <c r="C1584" i="16"/>
  <c r="P1583" i="16"/>
  <c r="O1583" i="16"/>
  <c r="N1583" i="16"/>
  <c r="M1583" i="16"/>
  <c r="L1583" i="16"/>
  <c r="K1583" i="16"/>
  <c r="J1583" i="16"/>
  <c r="I1583" i="16"/>
  <c r="H1583" i="16"/>
  <c r="G1583" i="16"/>
  <c r="F1583" i="16"/>
  <c r="E1583" i="16"/>
  <c r="D1583" i="16"/>
  <c r="C1583" i="16"/>
  <c r="P1582" i="16"/>
  <c r="O1582" i="16"/>
  <c r="N1582" i="16"/>
  <c r="M1582" i="16"/>
  <c r="L1582" i="16"/>
  <c r="K1582" i="16"/>
  <c r="J1582" i="16"/>
  <c r="I1582" i="16"/>
  <c r="H1582" i="16"/>
  <c r="G1582" i="16"/>
  <c r="F1582" i="16"/>
  <c r="E1582" i="16"/>
  <c r="D1582" i="16"/>
  <c r="C1582" i="16"/>
  <c r="P1581" i="16"/>
  <c r="O1581" i="16"/>
  <c r="N1581" i="16"/>
  <c r="M1581" i="16"/>
  <c r="L1581" i="16"/>
  <c r="K1581" i="16"/>
  <c r="J1581" i="16"/>
  <c r="I1581" i="16"/>
  <c r="H1581" i="16"/>
  <c r="G1581" i="16"/>
  <c r="F1581" i="16"/>
  <c r="E1581" i="16"/>
  <c r="D1581" i="16"/>
  <c r="C1581" i="16"/>
  <c r="P1580" i="16"/>
  <c r="O1580" i="16"/>
  <c r="N1580" i="16"/>
  <c r="M1580" i="16"/>
  <c r="L1580" i="16"/>
  <c r="K1580" i="16"/>
  <c r="J1580" i="16"/>
  <c r="I1580" i="16"/>
  <c r="H1580" i="16"/>
  <c r="G1580" i="16"/>
  <c r="F1580" i="16"/>
  <c r="E1580" i="16"/>
  <c r="D1580" i="16"/>
  <c r="C1580" i="16"/>
  <c r="P1579" i="16"/>
  <c r="O1579" i="16"/>
  <c r="N1579" i="16"/>
  <c r="M1579" i="16"/>
  <c r="L1579" i="16"/>
  <c r="K1579" i="16"/>
  <c r="J1579" i="16"/>
  <c r="I1579" i="16"/>
  <c r="H1579" i="16"/>
  <c r="G1579" i="16"/>
  <c r="F1579" i="16"/>
  <c r="E1579" i="16"/>
  <c r="D1579" i="16"/>
  <c r="C1579" i="16"/>
  <c r="P1578" i="16"/>
  <c r="O1578" i="16"/>
  <c r="N1578" i="16"/>
  <c r="M1578" i="16"/>
  <c r="L1578" i="16"/>
  <c r="K1578" i="16"/>
  <c r="J1578" i="16"/>
  <c r="I1578" i="16"/>
  <c r="H1578" i="16"/>
  <c r="G1578" i="16"/>
  <c r="F1578" i="16"/>
  <c r="E1578" i="16"/>
  <c r="D1578" i="16"/>
  <c r="C1578" i="16"/>
  <c r="P1577" i="16"/>
  <c r="O1577" i="16"/>
  <c r="N1577" i="16"/>
  <c r="M1577" i="16"/>
  <c r="L1577" i="16"/>
  <c r="K1577" i="16"/>
  <c r="J1577" i="16"/>
  <c r="I1577" i="16"/>
  <c r="H1577" i="16"/>
  <c r="G1577" i="16"/>
  <c r="F1577" i="16"/>
  <c r="E1577" i="16"/>
  <c r="D1577" i="16"/>
  <c r="C1577" i="16"/>
  <c r="P1576" i="16"/>
  <c r="O1576" i="16"/>
  <c r="N1576" i="16"/>
  <c r="M1576" i="16"/>
  <c r="L1576" i="16"/>
  <c r="K1576" i="16"/>
  <c r="J1576" i="16"/>
  <c r="I1576" i="16"/>
  <c r="H1576" i="16"/>
  <c r="G1576" i="16"/>
  <c r="F1576" i="16"/>
  <c r="E1576" i="16"/>
  <c r="D1576" i="16"/>
  <c r="C1576" i="16"/>
  <c r="P1575" i="16"/>
  <c r="O1575" i="16"/>
  <c r="N1575" i="16"/>
  <c r="M1575" i="16"/>
  <c r="L1575" i="16"/>
  <c r="K1575" i="16"/>
  <c r="J1575" i="16"/>
  <c r="I1575" i="16"/>
  <c r="H1575" i="16"/>
  <c r="G1575" i="16"/>
  <c r="F1575" i="16"/>
  <c r="E1575" i="16"/>
  <c r="D1575" i="16"/>
  <c r="C1575" i="16"/>
  <c r="P1574" i="16"/>
  <c r="O1574" i="16"/>
  <c r="N1574" i="16"/>
  <c r="M1574" i="16"/>
  <c r="L1574" i="16"/>
  <c r="K1574" i="16"/>
  <c r="J1574" i="16"/>
  <c r="I1574" i="16"/>
  <c r="H1574" i="16"/>
  <c r="G1574" i="16"/>
  <c r="F1574" i="16"/>
  <c r="E1574" i="16"/>
  <c r="D1574" i="16"/>
  <c r="C1574" i="16"/>
  <c r="P1573" i="16"/>
  <c r="O1573" i="16"/>
  <c r="N1573" i="16"/>
  <c r="M1573" i="16"/>
  <c r="L1573" i="16"/>
  <c r="K1573" i="16"/>
  <c r="J1573" i="16"/>
  <c r="I1573" i="16"/>
  <c r="H1573" i="16"/>
  <c r="G1573" i="16"/>
  <c r="F1573" i="16"/>
  <c r="E1573" i="16"/>
  <c r="D1573" i="16"/>
  <c r="C1573" i="16"/>
  <c r="P1572" i="16"/>
  <c r="O1572" i="16"/>
  <c r="N1572" i="16"/>
  <c r="M1572" i="16"/>
  <c r="L1572" i="16"/>
  <c r="K1572" i="16"/>
  <c r="J1572" i="16"/>
  <c r="I1572" i="16"/>
  <c r="H1572" i="16"/>
  <c r="G1572" i="16"/>
  <c r="F1572" i="16"/>
  <c r="E1572" i="16"/>
  <c r="D1572" i="16"/>
  <c r="C1572" i="16"/>
  <c r="P1571" i="16"/>
  <c r="O1571" i="16"/>
  <c r="N1571" i="16"/>
  <c r="M1571" i="16"/>
  <c r="L1571" i="16"/>
  <c r="K1571" i="16"/>
  <c r="J1571" i="16"/>
  <c r="I1571" i="16"/>
  <c r="H1571" i="16"/>
  <c r="G1571" i="16"/>
  <c r="F1571" i="16"/>
  <c r="E1571" i="16"/>
  <c r="D1571" i="16"/>
  <c r="C1571" i="16"/>
  <c r="P1570" i="16"/>
  <c r="O1570" i="16"/>
  <c r="N1570" i="16"/>
  <c r="M1570" i="16"/>
  <c r="L1570" i="16"/>
  <c r="K1570" i="16"/>
  <c r="J1570" i="16"/>
  <c r="I1570" i="16"/>
  <c r="H1570" i="16"/>
  <c r="G1570" i="16"/>
  <c r="F1570" i="16"/>
  <c r="E1570" i="16"/>
  <c r="D1570" i="16"/>
  <c r="C1570" i="16"/>
  <c r="P1569" i="16"/>
  <c r="O1569" i="16"/>
  <c r="N1569" i="16"/>
  <c r="M1569" i="16"/>
  <c r="L1569" i="16"/>
  <c r="K1569" i="16"/>
  <c r="J1569" i="16"/>
  <c r="I1569" i="16"/>
  <c r="H1569" i="16"/>
  <c r="G1569" i="16"/>
  <c r="F1569" i="16"/>
  <c r="E1569" i="16"/>
  <c r="D1569" i="16"/>
  <c r="C1569" i="16"/>
  <c r="P1568" i="16"/>
  <c r="O1568" i="16"/>
  <c r="N1568" i="16"/>
  <c r="M1568" i="16"/>
  <c r="L1568" i="16"/>
  <c r="K1568" i="16"/>
  <c r="J1568" i="16"/>
  <c r="I1568" i="16"/>
  <c r="H1568" i="16"/>
  <c r="G1568" i="16"/>
  <c r="F1568" i="16"/>
  <c r="E1568" i="16"/>
  <c r="D1568" i="16"/>
  <c r="C1568" i="16"/>
  <c r="P1567" i="16"/>
  <c r="O1567" i="16"/>
  <c r="N1567" i="16"/>
  <c r="M1567" i="16"/>
  <c r="L1567" i="16"/>
  <c r="K1567" i="16"/>
  <c r="J1567" i="16"/>
  <c r="I1567" i="16"/>
  <c r="H1567" i="16"/>
  <c r="G1567" i="16"/>
  <c r="F1567" i="16"/>
  <c r="E1567" i="16"/>
  <c r="D1567" i="16"/>
  <c r="C1567" i="16"/>
  <c r="P1566" i="16"/>
  <c r="O1566" i="16"/>
  <c r="N1566" i="16"/>
  <c r="M1566" i="16"/>
  <c r="L1566" i="16"/>
  <c r="K1566" i="16"/>
  <c r="J1566" i="16"/>
  <c r="I1566" i="16"/>
  <c r="H1566" i="16"/>
  <c r="G1566" i="16"/>
  <c r="F1566" i="16"/>
  <c r="E1566" i="16"/>
  <c r="D1566" i="16"/>
  <c r="C1566" i="16"/>
  <c r="P1565" i="16"/>
  <c r="O1565" i="16"/>
  <c r="N1565" i="16"/>
  <c r="M1565" i="16"/>
  <c r="L1565" i="16"/>
  <c r="K1565" i="16"/>
  <c r="J1565" i="16"/>
  <c r="I1565" i="16"/>
  <c r="H1565" i="16"/>
  <c r="G1565" i="16"/>
  <c r="F1565" i="16"/>
  <c r="E1565" i="16"/>
  <c r="D1565" i="16"/>
  <c r="C1565" i="16"/>
  <c r="P1564" i="16"/>
  <c r="O1564" i="16"/>
  <c r="N1564" i="16"/>
  <c r="M1564" i="16"/>
  <c r="L1564" i="16"/>
  <c r="K1564" i="16"/>
  <c r="J1564" i="16"/>
  <c r="I1564" i="16"/>
  <c r="H1564" i="16"/>
  <c r="G1564" i="16"/>
  <c r="F1564" i="16"/>
  <c r="E1564" i="16"/>
  <c r="D1564" i="16"/>
  <c r="C1564" i="16"/>
  <c r="P1563" i="16"/>
  <c r="O1563" i="16"/>
  <c r="N1563" i="16"/>
  <c r="M1563" i="16"/>
  <c r="L1563" i="16"/>
  <c r="K1563" i="16"/>
  <c r="J1563" i="16"/>
  <c r="I1563" i="16"/>
  <c r="H1563" i="16"/>
  <c r="G1563" i="16"/>
  <c r="F1563" i="16"/>
  <c r="E1563" i="16"/>
  <c r="D1563" i="16"/>
  <c r="C1563" i="16"/>
  <c r="P1562" i="16"/>
  <c r="O1562" i="16"/>
  <c r="N1562" i="16"/>
  <c r="M1562" i="16"/>
  <c r="L1562" i="16"/>
  <c r="K1562" i="16"/>
  <c r="J1562" i="16"/>
  <c r="I1562" i="16"/>
  <c r="H1562" i="16"/>
  <c r="G1562" i="16"/>
  <c r="F1562" i="16"/>
  <c r="E1562" i="16"/>
  <c r="D1562" i="16"/>
  <c r="C1562" i="16"/>
  <c r="P1561" i="16"/>
  <c r="O1561" i="16"/>
  <c r="N1561" i="16"/>
  <c r="M1561" i="16"/>
  <c r="L1561" i="16"/>
  <c r="K1561" i="16"/>
  <c r="J1561" i="16"/>
  <c r="I1561" i="16"/>
  <c r="H1561" i="16"/>
  <c r="G1561" i="16"/>
  <c r="F1561" i="16"/>
  <c r="E1561" i="16"/>
  <c r="D1561" i="16"/>
  <c r="C1561" i="16"/>
  <c r="P1560" i="16"/>
  <c r="O1560" i="16"/>
  <c r="N1560" i="16"/>
  <c r="M1560" i="16"/>
  <c r="L1560" i="16"/>
  <c r="K1560" i="16"/>
  <c r="J1560" i="16"/>
  <c r="I1560" i="16"/>
  <c r="H1560" i="16"/>
  <c r="G1560" i="16"/>
  <c r="F1560" i="16"/>
  <c r="E1560" i="16"/>
  <c r="D1560" i="16"/>
  <c r="C1560" i="16"/>
  <c r="P1559" i="16"/>
  <c r="O1559" i="16"/>
  <c r="N1559" i="16"/>
  <c r="M1559" i="16"/>
  <c r="L1559" i="16"/>
  <c r="K1559" i="16"/>
  <c r="J1559" i="16"/>
  <c r="I1559" i="16"/>
  <c r="H1559" i="16"/>
  <c r="G1559" i="16"/>
  <c r="F1559" i="16"/>
  <c r="E1559" i="16"/>
  <c r="D1559" i="16"/>
  <c r="C1559" i="16"/>
  <c r="P1558" i="16"/>
  <c r="O1558" i="16"/>
  <c r="N1558" i="16"/>
  <c r="M1558" i="16"/>
  <c r="L1558" i="16"/>
  <c r="K1558" i="16"/>
  <c r="J1558" i="16"/>
  <c r="I1558" i="16"/>
  <c r="H1558" i="16"/>
  <c r="G1558" i="16"/>
  <c r="F1558" i="16"/>
  <c r="E1558" i="16"/>
  <c r="D1558" i="16"/>
  <c r="C1558" i="16"/>
  <c r="P1557" i="16"/>
  <c r="O1557" i="16"/>
  <c r="N1557" i="16"/>
  <c r="M1557" i="16"/>
  <c r="L1557" i="16"/>
  <c r="K1557" i="16"/>
  <c r="J1557" i="16"/>
  <c r="I1557" i="16"/>
  <c r="H1557" i="16"/>
  <c r="G1557" i="16"/>
  <c r="F1557" i="16"/>
  <c r="E1557" i="16"/>
  <c r="D1557" i="16"/>
  <c r="C1557" i="16"/>
  <c r="P1556" i="16"/>
  <c r="O1556" i="16"/>
  <c r="N1556" i="16"/>
  <c r="M1556" i="16"/>
  <c r="L1556" i="16"/>
  <c r="K1556" i="16"/>
  <c r="J1556" i="16"/>
  <c r="I1556" i="16"/>
  <c r="H1556" i="16"/>
  <c r="G1556" i="16"/>
  <c r="F1556" i="16"/>
  <c r="E1556" i="16"/>
  <c r="D1556" i="16"/>
  <c r="C1556" i="16"/>
  <c r="P1555" i="16"/>
  <c r="O1555" i="16"/>
  <c r="N1555" i="16"/>
  <c r="M1555" i="16"/>
  <c r="L1555" i="16"/>
  <c r="K1555" i="16"/>
  <c r="J1555" i="16"/>
  <c r="I1555" i="16"/>
  <c r="H1555" i="16"/>
  <c r="G1555" i="16"/>
  <c r="F1555" i="16"/>
  <c r="E1555" i="16"/>
  <c r="D1555" i="16"/>
  <c r="C1555" i="16"/>
  <c r="P1554" i="16"/>
  <c r="O1554" i="16"/>
  <c r="N1554" i="16"/>
  <c r="M1554" i="16"/>
  <c r="L1554" i="16"/>
  <c r="K1554" i="16"/>
  <c r="J1554" i="16"/>
  <c r="I1554" i="16"/>
  <c r="H1554" i="16"/>
  <c r="G1554" i="16"/>
  <c r="F1554" i="16"/>
  <c r="E1554" i="16"/>
  <c r="D1554" i="16"/>
  <c r="C1554" i="16"/>
  <c r="P1553" i="16"/>
  <c r="O1553" i="16"/>
  <c r="N1553" i="16"/>
  <c r="M1553" i="16"/>
  <c r="L1553" i="16"/>
  <c r="K1553" i="16"/>
  <c r="J1553" i="16"/>
  <c r="I1553" i="16"/>
  <c r="H1553" i="16"/>
  <c r="G1553" i="16"/>
  <c r="F1553" i="16"/>
  <c r="E1553" i="16"/>
  <c r="D1553" i="16"/>
  <c r="C1553" i="16"/>
  <c r="P1552" i="16"/>
  <c r="O1552" i="16"/>
  <c r="N1552" i="16"/>
  <c r="M1552" i="16"/>
  <c r="L1552" i="16"/>
  <c r="K1552" i="16"/>
  <c r="J1552" i="16"/>
  <c r="I1552" i="16"/>
  <c r="H1552" i="16"/>
  <c r="G1552" i="16"/>
  <c r="F1552" i="16"/>
  <c r="E1552" i="16"/>
  <c r="D1552" i="16"/>
  <c r="C1552" i="16"/>
  <c r="P1551" i="16"/>
  <c r="O1551" i="16"/>
  <c r="N1551" i="16"/>
  <c r="M1551" i="16"/>
  <c r="L1551" i="16"/>
  <c r="K1551" i="16"/>
  <c r="J1551" i="16"/>
  <c r="I1551" i="16"/>
  <c r="H1551" i="16"/>
  <c r="G1551" i="16"/>
  <c r="F1551" i="16"/>
  <c r="E1551" i="16"/>
  <c r="D1551" i="16"/>
  <c r="C1551" i="16"/>
  <c r="P1550" i="16"/>
  <c r="O1550" i="16"/>
  <c r="N1550" i="16"/>
  <c r="M1550" i="16"/>
  <c r="L1550" i="16"/>
  <c r="K1550" i="16"/>
  <c r="J1550" i="16"/>
  <c r="I1550" i="16"/>
  <c r="H1550" i="16"/>
  <c r="G1550" i="16"/>
  <c r="F1550" i="16"/>
  <c r="E1550" i="16"/>
  <c r="D1550" i="16"/>
  <c r="C1550" i="16"/>
  <c r="P1549" i="16"/>
  <c r="O1549" i="16"/>
  <c r="N1549" i="16"/>
  <c r="M1549" i="16"/>
  <c r="L1549" i="16"/>
  <c r="K1549" i="16"/>
  <c r="J1549" i="16"/>
  <c r="I1549" i="16"/>
  <c r="H1549" i="16"/>
  <c r="G1549" i="16"/>
  <c r="F1549" i="16"/>
  <c r="E1549" i="16"/>
  <c r="D1549" i="16"/>
  <c r="C1549" i="16"/>
  <c r="P1548" i="16"/>
  <c r="O1548" i="16"/>
  <c r="N1548" i="16"/>
  <c r="M1548" i="16"/>
  <c r="L1548" i="16"/>
  <c r="K1548" i="16"/>
  <c r="J1548" i="16"/>
  <c r="I1548" i="16"/>
  <c r="H1548" i="16"/>
  <c r="G1548" i="16"/>
  <c r="F1548" i="16"/>
  <c r="E1548" i="16"/>
  <c r="D1548" i="16"/>
  <c r="C1548" i="16"/>
  <c r="P1547" i="16"/>
  <c r="O1547" i="16"/>
  <c r="N1547" i="16"/>
  <c r="M1547" i="16"/>
  <c r="L1547" i="16"/>
  <c r="K1547" i="16"/>
  <c r="J1547" i="16"/>
  <c r="I1547" i="16"/>
  <c r="H1547" i="16"/>
  <c r="G1547" i="16"/>
  <c r="F1547" i="16"/>
  <c r="E1547" i="16"/>
  <c r="D1547" i="16"/>
  <c r="C1547" i="16"/>
  <c r="P1546" i="16"/>
  <c r="O1546" i="16"/>
  <c r="N1546" i="16"/>
  <c r="M1546" i="16"/>
  <c r="L1546" i="16"/>
  <c r="K1546" i="16"/>
  <c r="J1546" i="16"/>
  <c r="I1546" i="16"/>
  <c r="H1546" i="16"/>
  <c r="G1546" i="16"/>
  <c r="F1546" i="16"/>
  <c r="E1546" i="16"/>
  <c r="D1546" i="16"/>
  <c r="C1546" i="16"/>
  <c r="P1545" i="16"/>
  <c r="O1545" i="16"/>
  <c r="N1545" i="16"/>
  <c r="M1545" i="16"/>
  <c r="L1545" i="16"/>
  <c r="K1545" i="16"/>
  <c r="J1545" i="16"/>
  <c r="I1545" i="16"/>
  <c r="H1545" i="16"/>
  <c r="G1545" i="16"/>
  <c r="F1545" i="16"/>
  <c r="E1545" i="16"/>
  <c r="D1545" i="16"/>
  <c r="C1545" i="16"/>
  <c r="P1544" i="16"/>
  <c r="O1544" i="16"/>
  <c r="N1544" i="16"/>
  <c r="M1544" i="16"/>
  <c r="L1544" i="16"/>
  <c r="K1544" i="16"/>
  <c r="J1544" i="16"/>
  <c r="I1544" i="16"/>
  <c r="H1544" i="16"/>
  <c r="G1544" i="16"/>
  <c r="F1544" i="16"/>
  <c r="E1544" i="16"/>
  <c r="D1544" i="16"/>
  <c r="C1544" i="16"/>
  <c r="P1543" i="16"/>
  <c r="O1543" i="16"/>
  <c r="N1543" i="16"/>
  <c r="M1543" i="16"/>
  <c r="L1543" i="16"/>
  <c r="K1543" i="16"/>
  <c r="J1543" i="16"/>
  <c r="I1543" i="16"/>
  <c r="H1543" i="16"/>
  <c r="G1543" i="16"/>
  <c r="F1543" i="16"/>
  <c r="E1543" i="16"/>
  <c r="D1543" i="16"/>
  <c r="C1543" i="16"/>
  <c r="P1542" i="16"/>
  <c r="O1542" i="16"/>
  <c r="N1542" i="16"/>
  <c r="M1542" i="16"/>
  <c r="L1542" i="16"/>
  <c r="K1542" i="16"/>
  <c r="J1542" i="16"/>
  <c r="I1542" i="16"/>
  <c r="H1542" i="16"/>
  <c r="G1542" i="16"/>
  <c r="F1542" i="16"/>
  <c r="E1542" i="16"/>
  <c r="D1542" i="16"/>
  <c r="C1542" i="16"/>
  <c r="P1541" i="16"/>
  <c r="O1541" i="16"/>
  <c r="N1541" i="16"/>
  <c r="M1541" i="16"/>
  <c r="L1541" i="16"/>
  <c r="K1541" i="16"/>
  <c r="J1541" i="16"/>
  <c r="I1541" i="16"/>
  <c r="H1541" i="16"/>
  <c r="G1541" i="16"/>
  <c r="F1541" i="16"/>
  <c r="E1541" i="16"/>
  <c r="D1541" i="16"/>
  <c r="C1541" i="16"/>
  <c r="P1540" i="16"/>
  <c r="O1540" i="16"/>
  <c r="N1540" i="16"/>
  <c r="M1540" i="16"/>
  <c r="L1540" i="16"/>
  <c r="K1540" i="16"/>
  <c r="J1540" i="16"/>
  <c r="I1540" i="16"/>
  <c r="H1540" i="16"/>
  <c r="G1540" i="16"/>
  <c r="F1540" i="16"/>
  <c r="E1540" i="16"/>
  <c r="D1540" i="16"/>
  <c r="C1540" i="16"/>
  <c r="P1539" i="16"/>
  <c r="O1539" i="16"/>
  <c r="N1539" i="16"/>
  <c r="M1539" i="16"/>
  <c r="L1539" i="16"/>
  <c r="K1539" i="16"/>
  <c r="J1539" i="16"/>
  <c r="I1539" i="16"/>
  <c r="H1539" i="16"/>
  <c r="G1539" i="16"/>
  <c r="F1539" i="16"/>
  <c r="E1539" i="16"/>
  <c r="D1539" i="16"/>
  <c r="C1539" i="16"/>
  <c r="P1538" i="16"/>
  <c r="O1538" i="16"/>
  <c r="N1538" i="16"/>
  <c r="M1538" i="16"/>
  <c r="L1538" i="16"/>
  <c r="K1538" i="16"/>
  <c r="J1538" i="16"/>
  <c r="I1538" i="16"/>
  <c r="H1538" i="16"/>
  <c r="G1538" i="16"/>
  <c r="F1538" i="16"/>
  <c r="E1538" i="16"/>
  <c r="D1538" i="16"/>
  <c r="C1538" i="16"/>
  <c r="P1537" i="16"/>
  <c r="O1537" i="16"/>
  <c r="N1537" i="16"/>
  <c r="M1537" i="16"/>
  <c r="L1537" i="16"/>
  <c r="K1537" i="16"/>
  <c r="J1537" i="16"/>
  <c r="I1537" i="16"/>
  <c r="H1537" i="16"/>
  <c r="G1537" i="16"/>
  <c r="F1537" i="16"/>
  <c r="E1537" i="16"/>
  <c r="D1537" i="16"/>
  <c r="C1537" i="16"/>
  <c r="P1536" i="16"/>
  <c r="O1536" i="16"/>
  <c r="N1536" i="16"/>
  <c r="M1536" i="16"/>
  <c r="L1536" i="16"/>
  <c r="K1536" i="16"/>
  <c r="J1536" i="16"/>
  <c r="I1536" i="16"/>
  <c r="H1536" i="16"/>
  <c r="G1536" i="16"/>
  <c r="F1536" i="16"/>
  <c r="E1536" i="16"/>
  <c r="D1536" i="16"/>
  <c r="C1536" i="16"/>
  <c r="P1535" i="16"/>
  <c r="O1535" i="16"/>
  <c r="N1535" i="16"/>
  <c r="M1535" i="16"/>
  <c r="L1535" i="16"/>
  <c r="K1535" i="16"/>
  <c r="J1535" i="16"/>
  <c r="I1535" i="16"/>
  <c r="H1535" i="16"/>
  <c r="G1535" i="16"/>
  <c r="F1535" i="16"/>
  <c r="E1535" i="16"/>
  <c r="D1535" i="16"/>
  <c r="C1535" i="16"/>
  <c r="P1534" i="16"/>
  <c r="O1534" i="16"/>
  <c r="N1534" i="16"/>
  <c r="M1534" i="16"/>
  <c r="L1534" i="16"/>
  <c r="K1534" i="16"/>
  <c r="J1534" i="16"/>
  <c r="I1534" i="16"/>
  <c r="H1534" i="16"/>
  <c r="G1534" i="16"/>
  <c r="F1534" i="16"/>
  <c r="E1534" i="16"/>
  <c r="D1534" i="16"/>
  <c r="C1534" i="16"/>
  <c r="P1533" i="16"/>
  <c r="O1533" i="16"/>
  <c r="N1533" i="16"/>
  <c r="M1533" i="16"/>
  <c r="L1533" i="16"/>
  <c r="K1533" i="16"/>
  <c r="J1533" i="16"/>
  <c r="I1533" i="16"/>
  <c r="H1533" i="16"/>
  <c r="G1533" i="16"/>
  <c r="F1533" i="16"/>
  <c r="E1533" i="16"/>
  <c r="D1533" i="16"/>
  <c r="C1533" i="16"/>
  <c r="P1532" i="16"/>
  <c r="O1532" i="16"/>
  <c r="N1532" i="16"/>
  <c r="M1532" i="16"/>
  <c r="L1532" i="16"/>
  <c r="K1532" i="16"/>
  <c r="J1532" i="16"/>
  <c r="I1532" i="16"/>
  <c r="H1532" i="16"/>
  <c r="G1532" i="16"/>
  <c r="F1532" i="16"/>
  <c r="E1532" i="16"/>
  <c r="D1532" i="16"/>
  <c r="C1532" i="16"/>
  <c r="P1531" i="16"/>
  <c r="O1531" i="16"/>
  <c r="N1531" i="16"/>
  <c r="M1531" i="16"/>
  <c r="L1531" i="16"/>
  <c r="K1531" i="16"/>
  <c r="J1531" i="16"/>
  <c r="I1531" i="16"/>
  <c r="H1531" i="16"/>
  <c r="G1531" i="16"/>
  <c r="F1531" i="16"/>
  <c r="E1531" i="16"/>
  <c r="D1531" i="16"/>
  <c r="C1531" i="16"/>
  <c r="P1530" i="16"/>
  <c r="O1530" i="16"/>
  <c r="N1530" i="16"/>
  <c r="M1530" i="16"/>
  <c r="L1530" i="16"/>
  <c r="K1530" i="16"/>
  <c r="J1530" i="16"/>
  <c r="I1530" i="16"/>
  <c r="H1530" i="16"/>
  <c r="G1530" i="16"/>
  <c r="F1530" i="16"/>
  <c r="E1530" i="16"/>
  <c r="D1530" i="16"/>
  <c r="C1530" i="16"/>
  <c r="P1529" i="16"/>
  <c r="O1529" i="16"/>
  <c r="N1529" i="16"/>
  <c r="M1529" i="16"/>
  <c r="L1529" i="16"/>
  <c r="K1529" i="16"/>
  <c r="J1529" i="16"/>
  <c r="I1529" i="16"/>
  <c r="H1529" i="16"/>
  <c r="G1529" i="16"/>
  <c r="F1529" i="16"/>
  <c r="E1529" i="16"/>
  <c r="D1529" i="16"/>
  <c r="C1529" i="16"/>
  <c r="P1528" i="16"/>
  <c r="O1528" i="16"/>
  <c r="N1528" i="16"/>
  <c r="M1528" i="16"/>
  <c r="L1528" i="16"/>
  <c r="K1528" i="16"/>
  <c r="J1528" i="16"/>
  <c r="I1528" i="16"/>
  <c r="H1528" i="16"/>
  <c r="G1528" i="16"/>
  <c r="F1528" i="16"/>
  <c r="E1528" i="16"/>
  <c r="D1528" i="16"/>
  <c r="C1528" i="16"/>
  <c r="P1527" i="16"/>
  <c r="O1527" i="16"/>
  <c r="N1527" i="16"/>
  <c r="M1527" i="16"/>
  <c r="L1527" i="16"/>
  <c r="K1527" i="16"/>
  <c r="J1527" i="16"/>
  <c r="I1527" i="16"/>
  <c r="H1527" i="16"/>
  <c r="G1527" i="16"/>
  <c r="F1527" i="16"/>
  <c r="E1527" i="16"/>
  <c r="D1527" i="16"/>
  <c r="C1527" i="16"/>
  <c r="P1526" i="16"/>
  <c r="O1526" i="16"/>
  <c r="N1526" i="16"/>
  <c r="M1526" i="16"/>
  <c r="L1526" i="16"/>
  <c r="K1526" i="16"/>
  <c r="J1526" i="16"/>
  <c r="I1526" i="16"/>
  <c r="H1526" i="16"/>
  <c r="G1526" i="16"/>
  <c r="F1526" i="16"/>
  <c r="E1526" i="16"/>
  <c r="D1526" i="16"/>
  <c r="C1526" i="16"/>
  <c r="P1525" i="16"/>
  <c r="O1525" i="16"/>
  <c r="N1525" i="16"/>
  <c r="M1525" i="16"/>
  <c r="L1525" i="16"/>
  <c r="K1525" i="16"/>
  <c r="J1525" i="16"/>
  <c r="I1525" i="16"/>
  <c r="H1525" i="16"/>
  <c r="G1525" i="16"/>
  <c r="F1525" i="16"/>
  <c r="E1525" i="16"/>
  <c r="D1525" i="16"/>
  <c r="C1525" i="16"/>
  <c r="P1524" i="16"/>
  <c r="O1524" i="16"/>
  <c r="N1524" i="16"/>
  <c r="M1524" i="16"/>
  <c r="L1524" i="16"/>
  <c r="K1524" i="16"/>
  <c r="J1524" i="16"/>
  <c r="I1524" i="16"/>
  <c r="H1524" i="16"/>
  <c r="G1524" i="16"/>
  <c r="F1524" i="16"/>
  <c r="E1524" i="16"/>
  <c r="D1524" i="16"/>
  <c r="C1524" i="16"/>
  <c r="P1523" i="16"/>
  <c r="O1523" i="16"/>
  <c r="N1523" i="16"/>
  <c r="M1523" i="16"/>
  <c r="L1523" i="16"/>
  <c r="K1523" i="16"/>
  <c r="J1523" i="16"/>
  <c r="I1523" i="16"/>
  <c r="H1523" i="16"/>
  <c r="G1523" i="16"/>
  <c r="F1523" i="16"/>
  <c r="E1523" i="16"/>
  <c r="D1523" i="16"/>
  <c r="C1523" i="16"/>
  <c r="P1522" i="16"/>
  <c r="O1522" i="16"/>
  <c r="N1522" i="16"/>
  <c r="M1522" i="16"/>
  <c r="L1522" i="16"/>
  <c r="K1522" i="16"/>
  <c r="J1522" i="16"/>
  <c r="I1522" i="16"/>
  <c r="H1522" i="16"/>
  <c r="G1522" i="16"/>
  <c r="F1522" i="16"/>
  <c r="E1522" i="16"/>
  <c r="D1522" i="16"/>
  <c r="C1522" i="16"/>
  <c r="P1521" i="16"/>
  <c r="O1521" i="16"/>
  <c r="N1521" i="16"/>
  <c r="M1521" i="16"/>
  <c r="L1521" i="16"/>
  <c r="K1521" i="16"/>
  <c r="J1521" i="16"/>
  <c r="I1521" i="16"/>
  <c r="H1521" i="16"/>
  <c r="G1521" i="16"/>
  <c r="F1521" i="16"/>
  <c r="E1521" i="16"/>
  <c r="D1521" i="16"/>
  <c r="C1521" i="16"/>
  <c r="P1520" i="16"/>
  <c r="O1520" i="16"/>
  <c r="N1520" i="16"/>
  <c r="M1520" i="16"/>
  <c r="L1520" i="16"/>
  <c r="K1520" i="16"/>
  <c r="J1520" i="16"/>
  <c r="I1520" i="16"/>
  <c r="H1520" i="16"/>
  <c r="G1520" i="16"/>
  <c r="F1520" i="16"/>
  <c r="E1520" i="16"/>
  <c r="D1520" i="16"/>
  <c r="C1520" i="16"/>
  <c r="P1519" i="16"/>
  <c r="O1519" i="16"/>
  <c r="N1519" i="16"/>
  <c r="M1519" i="16"/>
  <c r="L1519" i="16"/>
  <c r="K1519" i="16"/>
  <c r="J1519" i="16"/>
  <c r="I1519" i="16"/>
  <c r="H1519" i="16"/>
  <c r="G1519" i="16"/>
  <c r="F1519" i="16"/>
  <c r="E1519" i="16"/>
  <c r="D1519" i="16"/>
  <c r="C1519" i="16"/>
  <c r="P1518" i="16"/>
  <c r="O1518" i="16"/>
  <c r="N1518" i="16"/>
  <c r="M1518" i="16"/>
  <c r="L1518" i="16"/>
  <c r="K1518" i="16"/>
  <c r="J1518" i="16"/>
  <c r="I1518" i="16"/>
  <c r="H1518" i="16"/>
  <c r="G1518" i="16"/>
  <c r="F1518" i="16"/>
  <c r="E1518" i="16"/>
  <c r="D1518" i="16"/>
  <c r="C1518" i="16"/>
  <c r="P1517" i="16"/>
  <c r="O1517" i="16"/>
  <c r="N1517" i="16"/>
  <c r="M1517" i="16"/>
  <c r="L1517" i="16"/>
  <c r="K1517" i="16"/>
  <c r="J1517" i="16"/>
  <c r="I1517" i="16"/>
  <c r="H1517" i="16"/>
  <c r="G1517" i="16"/>
  <c r="F1517" i="16"/>
  <c r="E1517" i="16"/>
  <c r="D1517" i="16"/>
  <c r="C1517" i="16"/>
  <c r="P1516" i="16"/>
  <c r="O1516" i="16"/>
  <c r="N1516" i="16"/>
  <c r="M1516" i="16"/>
  <c r="L1516" i="16"/>
  <c r="K1516" i="16"/>
  <c r="J1516" i="16"/>
  <c r="I1516" i="16"/>
  <c r="H1516" i="16"/>
  <c r="G1516" i="16"/>
  <c r="F1516" i="16"/>
  <c r="E1516" i="16"/>
  <c r="D1516" i="16"/>
  <c r="C1516" i="16"/>
  <c r="P1515" i="16"/>
  <c r="O1515" i="16"/>
  <c r="N1515" i="16"/>
  <c r="M1515" i="16"/>
  <c r="L1515" i="16"/>
  <c r="K1515" i="16"/>
  <c r="J1515" i="16"/>
  <c r="I1515" i="16"/>
  <c r="H1515" i="16"/>
  <c r="G1515" i="16"/>
  <c r="F1515" i="16"/>
  <c r="E1515" i="16"/>
  <c r="D1515" i="16"/>
  <c r="C1515" i="16"/>
  <c r="P1514" i="16"/>
  <c r="O1514" i="16"/>
  <c r="N1514" i="16"/>
  <c r="M1514" i="16"/>
  <c r="L1514" i="16"/>
  <c r="K1514" i="16"/>
  <c r="J1514" i="16"/>
  <c r="I1514" i="16"/>
  <c r="H1514" i="16"/>
  <c r="G1514" i="16"/>
  <c r="F1514" i="16"/>
  <c r="E1514" i="16"/>
  <c r="D1514" i="16"/>
  <c r="C1514" i="16"/>
  <c r="P1513" i="16"/>
  <c r="O1513" i="16"/>
  <c r="N1513" i="16"/>
  <c r="M1513" i="16"/>
  <c r="L1513" i="16"/>
  <c r="K1513" i="16"/>
  <c r="J1513" i="16"/>
  <c r="I1513" i="16"/>
  <c r="H1513" i="16"/>
  <c r="G1513" i="16"/>
  <c r="F1513" i="16"/>
  <c r="E1513" i="16"/>
  <c r="D1513" i="16"/>
  <c r="C1513" i="16"/>
  <c r="P1512" i="16"/>
  <c r="O1512" i="16"/>
  <c r="N1512" i="16"/>
  <c r="M1512" i="16"/>
  <c r="L1512" i="16"/>
  <c r="K1512" i="16"/>
  <c r="J1512" i="16"/>
  <c r="I1512" i="16"/>
  <c r="H1512" i="16"/>
  <c r="G1512" i="16"/>
  <c r="F1512" i="16"/>
  <c r="E1512" i="16"/>
  <c r="D1512" i="16"/>
  <c r="C1512" i="16"/>
  <c r="P1511" i="16"/>
  <c r="O1511" i="16"/>
  <c r="N1511" i="16"/>
  <c r="M1511" i="16"/>
  <c r="L1511" i="16"/>
  <c r="K1511" i="16"/>
  <c r="J1511" i="16"/>
  <c r="I1511" i="16"/>
  <c r="H1511" i="16"/>
  <c r="G1511" i="16"/>
  <c r="F1511" i="16"/>
  <c r="E1511" i="16"/>
  <c r="D1511" i="16"/>
  <c r="C1511" i="16"/>
  <c r="P1510" i="16"/>
  <c r="O1510" i="16"/>
  <c r="N1510" i="16"/>
  <c r="M1510" i="16"/>
  <c r="L1510" i="16"/>
  <c r="K1510" i="16"/>
  <c r="J1510" i="16"/>
  <c r="I1510" i="16"/>
  <c r="H1510" i="16"/>
  <c r="G1510" i="16"/>
  <c r="F1510" i="16"/>
  <c r="E1510" i="16"/>
  <c r="D1510" i="16"/>
  <c r="C1510" i="16"/>
  <c r="P1509" i="16"/>
  <c r="O1509" i="16"/>
  <c r="N1509" i="16"/>
  <c r="M1509" i="16"/>
  <c r="L1509" i="16"/>
  <c r="K1509" i="16"/>
  <c r="J1509" i="16"/>
  <c r="I1509" i="16"/>
  <c r="H1509" i="16"/>
  <c r="G1509" i="16"/>
  <c r="F1509" i="16"/>
  <c r="E1509" i="16"/>
  <c r="D1509" i="16"/>
  <c r="C1509" i="16"/>
  <c r="P1508" i="16"/>
  <c r="O1508" i="16"/>
  <c r="N1508" i="16"/>
  <c r="M1508" i="16"/>
  <c r="L1508" i="16"/>
  <c r="K1508" i="16"/>
  <c r="J1508" i="16"/>
  <c r="I1508" i="16"/>
  <c r="H1508" i="16"/>
  <c r="G1508" i="16"/>
  <c r="F1508" i="16"/>
  <c r="E1508" i="16"/>
  <c r="D1508" i="16"/>
  <c r="C1508" i="16"/>
  <c r="P1507" i="16"/>
  <c r="O1507" i="16"/>
  <c r="N1507" i="16"/>
  <c r="M1507" i="16"/>
  <c r="L1507" i="16"/>
  <c r="K1507" i="16"/>
  <c r="J1507" i="16"/>
  <c r="I1507" i="16"/>
  <c r="H1507" i="16"/>
  <c r="G1507" i="16"/>
  <c r="F1507" i="16"/>
  <c r="E1507" i="16"/>
  <c r="D1507" i="16"/>
  <c r="C1507" i="16"/>
  <c r="P1506" i="16"/>
  <c r="O1506" i="16"/>
  <c r="N1506" i="16"/>
  <c r="M1506" i="16"/>
  <c r="L1506" i="16"/>
  <c r="K1506" i="16"/>
  <c r="J1506" i="16"/>
  <c r="I1506" i="16"/>
  <c r="H1506" i="16"/>
  <c r="G1506" i="16"/>
  <c r="F1506" i="16"/>
  <c r="E1506" i="16"/>
  <c r="D1506" i="16"/>
  <c r="C1506" i="16"/>
  <c r="P1505" i="16"/>
  <c r="O1505" i="16"/>
  <c r="N1505" i="16"/>
  <c r="M1505" i="16"/>
  <c r="L1505" i="16"/>
  <c r="K1505" i="16"/>
  <c r="J1505" i="16"/>
  <c r="I1505" i="16"/>
  <c r="H1505" i="16"/>
  <c r="G1505" i="16"/>
  <c r="F1505" i="16"/>
  <c r="E1505" i="16"/>
  <c r="D1505" i="16"/>
  <c r="C1505" i="16"/>
  <c r="P1504" i="16"/>
  <c r="O1504" i="16"/>
  <c r="N1504" i="16"/>
  <c r="M1504" i="16"/>
  <c r="L1504" i="16"/>
  <c r="K1504" i="16"/>
  <c r="J1504" i="16"/>
  <c r="I1504" i="16"/>
  <c r="H1504" i="16"/>
  <c r="G1504" i="16"/>
  <c r="F1504" i="16"/>
  <c r="E1504" i="16"/>
  <c r="D1504" i="16"/>
  <c r="C1504" i="16"/>
  <c r="P1503" i="16"/>
  <c r="O1503" i="16"/>
  <c r="N1503" i="16"/>
  <c r="M1503" i="16"/>
  <c r="L1503" i="16"/>
  <c r="K1503" i="16"/>
  <c r="J1503" i="16"/>
  <c r="I1503" i="16"/>
  <c r="H1503" i="16"/>
  <c r="G1503" i="16"/>
  <c r="F1503" i="16"/>
  <c r="E1503" i="16"/>
  <c r="D1503" i="16"/>
  <c r="C1503" i="16"/>
  <c r="P1502" i="16"/>
  <c r="O1502" i="16"/>
  <c r="N1502" i="16"/>
  <c r="M1502" i="16"/>
  <c r="L1502" i="16"/>
  <c r="K1502" i="16"/>
  <c r="J1502" i="16"/>
  <c r="I1502" i="16"/>
  <c r="H1502" i="16"/>
  <c r="G1502" i="16"/>
  <c r="F1502" i="16"/>
  <c r="E1502" i="16"/>
  <c r="D1502" i="16"/>
  <c r="C1502" i="16"/>
  <c r="P1501" i="16"/>
  <c r="O1501" i="16"/>
  <c r="N1501" i="16"/>
  <c r="M1501" i="16"/>
  <c r="L1501" i="16"/>
  <c r="K1501" i="16"/>
  <c r="J1501" i="16"/>
  <c r="I1501" i="16"/>
  <c r="H1501" i="16"/>
  <c r="G1501" i="16"/>
  <c r="F1501" i="16"/>
  <c r="E1501" i="16"/>
  <c r="D1501" i="16"/>
  <c r="C1501" i="16"/>
  <c r="P1500" i="16"/>
  <c r="O1500" i="16"/>
  <c r="N1500" i="16"/>
  <c r="M1500" i="16"/>
  <c r="L1500" i="16"/>
  <c r="K1500" i="16"/>
  <c r="J1500" i="16"/>
  <c r="I1500" i="16"/>
  <c r="H1500" i="16"/>
  <c r="G1500" i="16"/>
  <c r="F1500" i="16"/>
  <c r="E1500" i="16"/>
  <c r="D1500" i="16"/>
  <c r="C1500" i="16"/>
  <c r="P1499" i="16"/>
  <c r="O1499" i="16"/>
  <c r="N1499" i="16"/>
  <c r="M1499" i="16"/>
  <c r="L1499" i="16"/>
  <c r="K1499" i="16"/>
  <c r="J1499" i="16"/>
  <c r="I1499" i="16"/>
  <c r="H1499" i="16"/>
  <c r="G1499" i="16"/>
  <c r="F1499" i="16"/>
  <c r="E1499" i="16"/>
  <c r="D1499" i="16"/>
  <c r="C1499" i="16"/>
  <c r="P1498" i="16"/>
  <c r="O1498" i="16"/>
  <c r="N1498" i="16"/>
  <c r="M1498" i="16"/>
  <c r="L1498" i="16"/>
  <c r="K1498" i="16"/>
  <c r="J1498" i="16"/>
  <c r="I1498" i="16"/>
  <c r="H1498" i="16"/>
  <c r="G1498" i="16"/>
  <c r="F1498" i="16"/>
  <c r="E1498" i="16"/>
  <c r="D1498" i="16"/>
  <c r="C1498" i="16"/>
  <c r="P1497" i="16"/>
  <c r="O1497" i="16"/>
  <c r="N1497" i="16"/>
  <c r="M1497" i="16"/>
  <c r="L1497" i="16"/>
  <c r="K1497" i="16"/>
  <c r="J1497" i="16"/>
  <c r="I1497" i="16"/>
  <c r="H1497" i="16"/>
  <c r="G1497" i="16"/>
  <c r="F1497" i="16"/>
  <c r="E1497" i="16"/>
  <c r="D1497" i="16"/>
  <c r="C1497" i="16"/>
  <c r="P1496" i="16"/>
  <c r="O1496" i="16"/>
  <c r="N1496" i="16"/>
  <c r="M1496" i="16"/>
  <c r="L1496" i="16"/>
  <c r="K1496" i="16"/>
  <c r="J1496" i="16"/>
  <c r="I1496" i="16"/>
  <c r="H1496" i="16"/>
  <c r="G1496" i="16"/>
  <c r="F1496" i="16"/>
  <c r="E1496" i="16"/>
  <c r="D1496" i="16"/>
  <c r="C1496" i="16"/>
  <c r="P1495" i="16"/>
  <c r="O1495" i="16"/>
  <c r="N1495" i="16"/>
  <c r="M1495" i="16"/>
  <c r="L1495" i="16"/>
  <c r="K1495" i="16"/>
  <c r="J1495" i="16"/>
  <c r="I1495" i="16"/>
  <c r="H1495" i="16"/>
  <c r="G1495" i="16"/>
  <c r="F1495" i="16"/>
  <c r="E1495" i="16"/>
  <c r="D1495" i="16"/>
  <c r="C1495" i="16"/>
  <c r="P1494" i="16"/>
  <c r="O1494" i="16"/>
  <c r="N1494" i="16"/>
  <c r="M1494" i="16"/>
  <c r="L1494" i="16"/>
  <c r="K1494" i="16"/>
  <c r="J1494" i="16"/>
  <c r="I1494" i="16"/>
  <c r="H1494" i="16"/>
  <c r="G1494" i="16"/>
  <c r="F1494" i="16"/>
  <c r="E1494" i="16"/>
  <c r="D1494" i="16"/>
  <c r="C1494" i="16"/>
  <c r="P1493" i="16"/>
  <c r="O1493" i="16"/>
  <c r="N1493" i="16"/>
  <c r="M1493" i="16"/>
  <c r="L1493" i="16"/>
  <c r="K1493" i="16"/>
  <c r="J1493" i="16"/>
  <c r="I1493" i="16"/>
  <c r="H1493" i="16"/>
  <c r="G1493" i="16"/>
  <c r="F1493" i="16"/>
  <c r="E1493" i="16"/>
  <c r="D1493" i="16"/>
  <c r="C1493" i="16"/>
  <c r="P1492" i="16"/>
  <c r="O1492" i="16"/>
  <c r="N1492" i="16"/>
  <c r="M1492" i="16"/>
  <c r="L1492" i="16"/>
  <c r="K1492" i="16"/>
  <c r="J1492" i="16"/>
  <c r="I1492" i="16"/>
  <c r="H1492" i="16"/>
  <c r="G1492" i="16"/>
  <c r="F1492" i="16"/>
  <c r="E1492" i="16"/>
  <c r="D1492" i="16"/>
  <c r="C1492" i="16"/>
  <c r="P1491" i="16"/>
  <c r="O1491" i="16"/>
  <c r="N1491" i="16"/>
  <c r="M1491" i="16"/>
  <c r="L1491" i="16"/>
  <c r="K1491" i="16"/>
  <c r="J1491" i="16"/>
  <c r="I1491" i="16"/>
  <c r="H1491" i="16"/>
  <c r="G1491" i="16"/>
  <c r="F1491" i="16"/>
  <c r="E1491" i="16"/>
  <c r="D1491" i="16"/>
  <c r="C1491" i="16"/>
  <c r="P1490" i="16"/>
  <c r="O1490" i="16"/>
  <c r="N1490" i="16"/>
  <c r="M1490" i="16"/>
  <c r="L1490" i="16"/>
  <c r="K1490" i="16"/>
  <c r="J1490" i="16"/>
  <c r="I1490" i="16"/>
  <c r="H1490" i="16"/>
  <c r="G1490" i="16"/>
  <c r="F1490" i="16"/>
  <c r="E1490" i="16"/>
  <c r="D1490" i="16"/>
  <c r="C1490" i="16"/>
  <c r="P1489" i="16"/>
  <c r="O1489" i="16"/>
  <c r="N1489" i="16"/>
  <c r="M1489" i="16"/>
  <c r="L1489" i="16"/>
  <c r="K1489" i="16"/>
  <c r="J1489" i="16"/>
  <c r="I1489" i="16"/>
  <c r="H1489" i="16"/>
  <c r="G1489" i="16"/>
  <c r="F1489" i="16"/>
  <c r="E1489" i="16"/>
  <c r="D1489" i="16"/>
  <c r="C1489" i="16"/>
  <c r="P1488" i="16"/>
  <c r="O1488" i="16"/>
  <c r="N1488" i="16"/>
  <c r="M1488" i="16"/>
  <c r="L1488" i="16"/>
  <c r="K1488" i="16"/>
  <c r="J1488" i="16"/>
  <c r="I1488" i="16"/>
  <c r="H1488" i="16"/>
  <c r="G1488" i="16"/>
  <c r="F1488" i="16"/>
  <c r="E1488" i="16"/>
  <c r="D1488" i="16"/>
  <c r="C1488" i="16"/>
  <c r="P1487" i="16"/>
  <c r="O1487" i="16"/>
  <c r="N1487" i="16"/>
  <c r="M1487" i="16"/>
  <c r="L1487" i="16"/>
  <c r="K1487" i="16"/>
  <c r="J1487" i="16"/>
  <c r="I1487" i="16"/>
  <c r="H1487" i="16"/>
  <c r="G1487" i="16"/>
  <c r="F1487" i="16"/>
  <c r="E1487" i="16"/>
  <c r="D1487" i="16"/>
  <c r="C1487" i="16"/>
  <c r="P1486" i="16"/>
  <c r="O1486" i="16"/>
  <c r="N1486" i="16"/>
  <c r="M1486" i="16"/>
  <c r="L1486" i="16"/>
  <c r="K1486" i="16"/>
  <c r="J1486" i="16"/>
  <c r="I1486" i="16"/>
  <c r="H1486" i="16"/>
  <c r="G1486" i="16"/>
  <c r="F1486" i="16"/>
  <c r="E1486" i="16"/>
  <c r="D1486" i="16"/>
  <c r="C1486" i="16"/>
  <c r="P1485" i="16"/>
  <c r="O1485" i="16"/>
  <c r="N1485" i="16"/>
  <c r="M1485" i="16"/>
  <c r="L1485" i="16"/>
  <c r="K1485" i="16"/>
  <c r="J1485" i="16"/>
  <c r="I1485" i="16"/>
  <c r="H1485" i="16"/>
  <c r="G1485" i="16"/>
  <c r="F1485" i="16"/>
  <c r="E1485" i="16"/>
  <c r="D1485" i="16"/>
  <c r="C1485" i="16"/>
  <c r="P1484" i="16"/>
  <c r="O1484" i="16"/>
  <c r="N1484" i="16"/>
  <c r="M1484" i="16"/>
  <c r="L1484" i="16"/>
  <c r="K1484" i="16"/>
  <c r="J1484" i="16"/>
  <c r="I1484" i="16"/>
  <c r="H1484" i="16"/>
  <c r="G1484" i="16"/>
  <c r="F1484" i="16"/>
  <c r="E1484" i="16"/>
  <c r="D1484" i="16"/>
  <c r="C1484" i="16"/>
  <c r="P1483" i="16"/>
  <c r="O1483" i="16"/>
  <c r="N1483" i="16"/>
  <c r="M1483" i="16"/>
  <c r="L1483" i="16"/>
  <c r="K1483" i="16"/>
  <c r="J1483" i="16"/>
  <c r="I1483" i="16"/>
  <c r="H1483" i="16"/>
  <c r="G1483" i="16"/>
  <c r="F1483" i="16"/>
  <c r="E1483" i="16"/>
  <c r="D1483" i="16"/>
  <c r="C1483" i="16"/>
  <c r="P1482" i="16"/>
  <c r="O1482" i="16"/>
  <c r="N1482" i="16"/>
  <c r="M1482" i="16"/>
  <c r="L1482" i="16"/>
  <c r="K1482" i="16"/>
  <c r="J1482" i="16"/>
  <c r="I1482" i="16"/>
  <c r="H1482" i="16"/>
  <c r="G1482" i="16"/>
  <c r="F1482" i="16"/>
  <c r="E1482" i="16"/>
  <c r="D1482" i="16"/>
  <c r="C1482" i="16"/>
  <c r="P1481" i="16"/>
  <c r="O1481" i="16"/>
  <c r="N1481" i="16"/>
  <c r="M1481" i="16"/>
  <c r="L1481" i="16"/>
  <c r="K1481" i="16"/>
  <c r="J1481" i="16"/>
  <c r="I1481" i="16"/>
  <c r="H1481" i="16"/>
  <c r="G1481" i="16"/>
  <c r="F1481" i="16"/>
  <c r="E1481" i="16"/>
  <c r="D1481" i="16"/>
  <c r="C1481" i="16"/>
  <c r="P1480" i="16"/>
  <c r="O1480" i="16"/>
  <c r="N1480" i="16"/>
  <c r="M1480" i="16"/>
  <c r="L1480" i="16"/>
  <c r="K1480" i="16"/>
  <c r="J1480" i="16"/>
  <c r="I1480" i="16"/>
  <c r="H1480" i="16"/>
  <c r="G1480" i="16"/>
  <c r="F1480" i="16"/>
  <c r="E1480" i="16"/>
  <c r="D1480" i="16"/>
  <c r="C1480" i="16"/>
  <c r="P1479" i="16"/>
  <c r="O1479" i="16"/>
  <c r="N1479" i="16"/>
  <c r="M1479" i="16"/>
  <c r="L1479" i="16"/>
  <c r="K1479" i="16"/>
  <c r="J1479" i="16"/>
  <c r="I1479" i="16"/>
  <c r="H1479" i="16"/>
  <c r="G1479" i="16"/>
  <c r="F1479" i="16"/>
  <c r="E1479" i="16"/>
  <c r="D1479" i="16"/>
  <c r="C1479" i="16"/>
  <c r="P1478" i="16"/>
  <c r="O1478" i="16"/>
  <c r="N1478" i="16"/>
  <c r="M1478" i="16"/>
  <c r="L1478" i="16"/>
  <c r="K1478" i="16"/>
  <c r="J1478" i="16"/>
  <c r="I1478" i="16"/>
  <c r="H1478" i="16"/>
  <c r="G1478" i="16"/>
  <c r="F1478" i="16"/>
  <c r="E1478" i="16"/>
  <c r="D1478" i="16"/>
  <c r="C1478" i="16"/>
  <c r="P1477" i="16"/>
  <c r="O1477" i="16"/>
  <c r="N1477" i="16"/>
  <c r="M1477" i="16"/>
  <c r="L1477" i="16"/>
  <c r="K1477" i="16"/>
  <c r="J1477" i="16"/>
  <c r="I1477" i="16"/>
  <c r="H1477" i="16"/>
  <c r="G1477" i="16"/>
  <c r="F1477" i="16"/>
  <c r="E1477" i="16"/>
  <c r="D1477" i="16"/>
  <c r="C1477" i="16"/>
  <c r="P1476" i="16"/>
  <c r="O1476" i="16"/>
  <c r="N1476" i="16"/>
  <c r="M1476" i="16"/>
  <c r="L1476" i="16"/>
  <c r="K1476" i="16"/>
  <c r="J1476" i="16"/>
  <c r="I1476" i="16"/>
  <c r="H1476" i="16"/>
  <c r="G1476" i="16"/>
  <c r="F1476" i="16"/>
  <c r="E1476" i="16"/>
  <c r="D1476" i="16"/>
  <c r="C1476" i="16"/>
  <c r="P1475" i="16"/>
  <c r="O1475" i="16"/>
  <c r="N1475" i="16"/>
  <c r="M1475" i="16"/>
  <c r="L1475" i="16"/>
  <c r="K1475" i="16"/>
  <c r="J1475" i="16"/>
  <c r="I1475" i="16"/>
  <c r="H1475" i="16"/>
  <c r="G1475" i="16"/>
  <c r="F1475" i="16"/>
  <c r="E1475" i="16"/>
  <c r="D1475" i="16"/>
  <c r="C1475" i="16"/>
  <c r="P1474" i="16"/>
  <c r="O1474" i="16"/>
  <c r="N1474" i="16"/>
  <c r="M1474" i="16"/>
  <c r="L1474" i="16"/>
  <c r="K1474" i="16"/>
  <c r="J1474" i="16"/>
  <c r="I1474" i="16"/>
  <c r="H1474" i="16"/>
  <c r="G1474" i="16"/>
  <c r="F1474" i="16"/>
  <c r="E1474" i="16"/>
  <c r="D1474" i="16"/>
  <c r="C1474" i="16"/>
  <c r="P1473" i="16"/>
  <c r="O1473" i="16"/>
  <c r="N1473" i="16"/>
  <c r="M1473" i="16"/>
  <c r="L1473" i="16"/>
  <c r="K1473" i="16"/>
  <c r="J1473" i="16"/>
  <c r="I1473" i="16"/>
  <c r="H1473" i="16"/>
  <c r="G1473" i="16"/>
  <c r="F1473" i="16"/>
  <c r="E1473" i="16"/>
  <c r="D1473" i="16"/>
  <c r="C1473" i="16"/>
  <c r="P1472" i="16"/>
  <c r="O1472" i="16"/>
  <c r="N1472" i="16"/>
  <c r="M1472" i="16"/>
  <c r="L1472" i="16"/>
  <c r="K1472" i="16"/>
  <c r="J1472" i="16"/>
  <c r="I1472" i="16"/>
  <c r="H1472" i="16"/>
  <c r="G1472" i="16"/>
  <c r="F1472" i="16"/>
  <c r="E1472" i="16"/>
  <c r="D1472" i="16"/>
  <c r="C1472" i="16"/>
  <c r="P1471" i="16"/>
  <c r="O1471" i="16"/>
  <c r="N1471" i="16"/>
  <c r="M1471" i="16"/>
  <c r="L1471" i="16"/>
  <c r="K1471" i="16"/>
  <c r="J1471" i="16"/>
  <c r="I1471" i="16"/>
  <c r="H1471" i="16"/>
  <c r="G1471" i="16"/>
  <c r="F1471" i="16"/>
  <c r="E1471" i="16"/>
  <c r="D1471" i="16"/>
  <c r="C1471" i="16"/>
  <c r="P1470" i="16"/>
  <c r="O1470" i="16"/>
  <c r="N1470" i="16"/>
  <c r="M1470" i="16"/>
  <c r="L1470" i="16"/>
  <c r="K1470" i="16"/>
  <c r="J1470" i="16"/>
  <c r="I1470" i="16"/>
  <c r="H1470" i="16"/>
  <c r="G1470" i="16"/>
  <c r="F1470" i="16"/>
  <c r="E1470" i="16"/>
  <c r="D1470" i="16"/>
  <c r="C1470" i="16"/>
  <c r="P1469" i="16"/>
  <c r="O1469" i="16"/>
  <c r="N1469" i="16"/>
  <c r="M1469" i="16"/>
  <c r="L1469" i="16"/>
  <c r="K1469" i="16"/>
  <c r="J1469" i="16"/>
  <c r="I1469" i="16"/>
  <c r="H1469" i="16"/>
  <c r="G1469" i="16"/>
  <c r="F1469" i="16"/>
  <c r="E1469" i="16"/>
  <c r="D1469" i="16"/>
  <c r="C1469" i="16"/>
  <c r="P1468" i="16"/>
  <c r="O1468" i="16"/>
  <c r="N1468" i="16"/>
  <c r="M1468" i="16"/>
  <c r="L1468" i="16"/>
  <c r="K1468" i="16"/>
  <c r="J1468" i="16"/>
  <c r="I1468" i="16"/>
  <c r="H1468" i="16"/>
  <c r="G1468" i="16"/>
  <c r="F1468" i="16"/>
  <c r="E1468" i="16"/>
  <c r="D1468" i="16"/>
  <c r="C1468" i="16"/>
  <c r="P1467" i="16"/>
  <c r="O1467" i="16"/>
  <c r="N1467" i="16"/>
  <c r="M1467" i="16"/>
  <c r="L1467" i="16"/>
  <c r="K1467" i="16"/>
  <c r="J1467" i="16"/>
  <c r="I1467" i="16"/>
  <c r="H1467" i="16"/>
  <c r="G1467" i="16"/>
  <c r="F1467" i="16"/>
  <c r="E1467" i="16"/>
  <c r="D1467" i="16"/>
  <c r="C1467" i="16"/>
  <c r="P1466" i="16"/>
  <c r="O1466" i="16"/>
  <c r="N1466" i="16"/>
  <c r="M1466" i="16"/>
  <c r="L1466" i="16"/>
  <c r="K1466" i="16"/>
  <c r="J1466" i="16"/>
  <c r="I1466" i="16"/>
  <c r="H1466" i="16"/>
  <c r="G1466" i="16"/>
  <c r="F1466" i="16"/>
  <c r="E1466" i="16"/>
  <c r="D1466" i="16"/>
  <c r="C1466" i="16"/>
  <c r="P1465" i="16"/>
  <c r="O1465" i="16"/>
  <c r="N1465" i="16"/>
  <c r="M1465" i="16"/>
  <c r="L1465" i="16"/>
  <c r="K1465" i="16"/>
  <c r="J1465" i="16"/>
  <c r="I1465" i="16"/>
  <c r="H1465" i="16"/>
  <c r="G1465" i="16"/>
  <c r="F1465" i="16"/>
  <c r="E1465" i="16"/>
  <c r="D1465" i="16"/>
  <c r="C1465" i="16"/>
  <c r="P1464" i="16"/>
  <c r="O1464" i="16"/>
  <c r="N1464" i="16"/>
  <c r="M1464" i="16"/>
  <c r="L1464" i="16"/>
  <c r="K1464" i="16"/>
  <c r="J1464" i="16"/>
  <c r="I1464" i="16"/>
  <c r="H1464" i="16"/>
  <c r="G1464" i="16"/>
  <c r="F1464" i="16"/>
  <c r="E1464" i="16"/>
  <c r="D1464" i="16"/>
  <c r="C1464" i="16"/>
  <c r="P1463" i="16"/>
  <c r="O1463" i="16"/>
  <c r="N1463" i="16"/>
  <c r="M1463" i="16"/>
  <c r="L1463" i="16"/>
  <c r="K1463" i="16"/>
  <c r="J1463" i="16"/>
  <c r="I1463" i="16"/>
  <c r="H1463" i="16"/>
  <c r="G1463" i="16"/>
  <c r="F1463" i="16"/>
  <c r="E1463" i="16"/>
  <c r="D1463" i="16"/>
  <c r="C1463" i="16"/>
  <c r="P1462" i="16"/>
  <c r="O1462" i="16"/>
  <c r="N1462" i="16"/>
  <c r="M1462" i="16"/>
  <c r="L1462" i="16"/>
  <c r="K1462" i="16"/>
  <c r="J1462" i="16"/>
  <c r="I1462" i="16"/>
  <c r="H1462" i="16"/>
  <c r="G1462" i="16"/>
  <c r="F1462" i="16"/>
  <c r="E1462" i="16"/>
  <c r="D1462" i="16"/>
  <c r="C1462" i="16"/>
  <c r="P1461" i="16"/>
  <c r="O1461" i="16"/>
  <c r="N1461" i="16"/>
  <c r="M1461" i="16"/>
  <c r="L1461" i="16"/>
  <c r="K1461" i="16"/>
  <c r="J1461" i="16"/>
  <c r="I1461" i="16"/>
  <c r="H1461" i="16"/>
  <c r="G1461" i="16"/>
  <c r="F1461" i="16"/>
  <c r="E1461" i="16"/>
  <c r="D1461" i="16"/>
  <c r="C1461" i="16"/>
  <c r="P1460" i="16"/>
  <c r="O1460" i="16"/>
  <c r="N1460" i="16"/>
  <c r="M1460" i="16"/>
  <c r="L1460" i="16"/>
  <c r="K1460" i="16"/>
  <c r="J1460" i="16"/>
  <c r="I1460" i="16"/>
  <c r="H1460" i="16"/>
  <c r="G1460" i="16"/>
  <c r="F1460" i="16"/>
  <c r="E1460" i="16"/>
  <c r="D1460" i="16"/>
  <c r="C1460" i="16"/>
  <c r="P1459" i="16"/>
  <c r="O1459" i="16"/>
  <c r="N1459" i="16"/>
  <c r="M1459" i="16"/>
  <c r="L1459" i="16"/>
  <c r="K1459" i="16"/>
  <c r="J1459" i="16"/>
  <c r="I1459" i="16"/>
  <c r="H1459" i="16"/>
  <c r="G1459" i="16"/>
  <c r="F1459" i="16"/>
  <c r="E1459" i="16"/>
  <c r="D1459" i="16"/>
  <c r="C1459" i="16"/>
  <c r="P1458" i="16"/>
  <c r="O1458" i="16"/>
  <c r="N1458" i="16"/>
  <c r="M1458" i="16"/>
  <c r="L1458" i="16"/>
  <c r="K1458" i="16"/>
  <c r="J1458" i="16"/>
  <c r="I1458" i="16"/>
  <c r="H1458" i="16"/>
  <c r="G1458" i="16"/>
  <c r="F1458" i="16"/>
  <c r="E1458" i="16"/>
  <c r="D1458" i="16"/>
  <c r="C1458" i="16"/>
  <c r="P1457" i="16"/>
  <c r="O1457" i="16"/>
  <c r="N1457" i="16"/>
  <c r="M1457" i="16"/>
  <c r="L1457" i="16"/>
  <c r="K1457" i="16"/>
  <c r="J1457" i="16"/>
  <c r="I1457" i="16"/>
  <c r="H1457" i="16"/>
  <c r="G1457" i="16"/>
  <c r="F1457" i="16"/>
  <c r="E1457" i="16"/>
  <c r="D1457" i="16"/>
  <c r="C1457" i="16"/>
  <c r="P1456" i="16"/>
  <c r="O1456" i="16"/>
  <c r="N1456" i="16"/>
  <c r="M1456" i="16"/>
  <c r="L1456" i="16"/>
  <c r="K1456" i="16"/>
  <c r="J1456" i="16"/>
  <c r="I1456" i="16"/>
  <c r="H1456" i="16"/>
  <c r="G1456" i="16"/>
  <c r="F1456" i="16"/>
  <c r="E1456" i="16"/>
  <c r="D1456" i="16"/>
  <c r="C1456" i="16"/>
  <c r="P1455" i="16"/>
  <c r="O1455" i="16"/>
  <c r="N1455" i="16"/>
  <c r="M1455" i="16"/>
  <c r="L1455" i="16"/>
  <c r="K1455" i="16"/>
  <c r="J1455" i="16"/>
  <c r="I1455" i="16"/>
  <c r="H1455" i="16"/>
  <c r="G1455" i="16"/>
  <c r="F1455" i="16"/>
  <c r="E1455" i="16"/>
  <c r="D1455" i="16"/>
  <c r="C1455" i="16"/>
  <c r="P1454" i="16"/>
  <c r="O1454" i="16"/>
  <c r="N1454" i="16"/>
  <c r="M1454" i="16"/>
  <c r="L1454" i="16"/>
  <c r="K1454" i="16"/>
  <c r="J1454" i="16"/>
  <c r="I1454" i="16"/>
  <c r="H1454" i="16"/>
  <c r="G1454" i="16"/>
  <c r="F1454" i="16"/>
  <c r="E1454" i="16"/>
  <c r="D1454" i="16"/>
  <c r="C1454" i="16"/>
  <c r="P1453" i="16"/>
  <c r="O1453" i="16"/>
  <c r="N1453" i="16"/>
  <c r="M1453" i="16"/>
  <c r="L1453" i="16"/>
  <c r="K1453" i="16"/>
  <c r="J1453" i="16"/>
  <c r="I1453" i="16"/>
  <c r="H1453" i="16"/>
  <c r="G1453" i="16"/>
  <c r="F1453" i="16"/>
  <c r="E1453" i="16"/>
  <c r="D1453" i="16"/>
  <c r="C1453" i="16"/>
  <c r="P1452" i="16"/>
  <c r="O1452" i="16"/>
  <c r="N1452" i="16"/>
  <c r="M1452" i="16"/>
  <c r="L1452" i="16"/>
  <c r="K1452" i="16"/>
  <c r="J1452" i="16"/>
  <c r="I1452" i="16"/>
  <c r="H1452" i="16"/>
  <c r="G1452" i="16"/>
  <c r="F1452" i="16"/>
  <c r="E1452" i="16"/>
  <c r="D1452" i="16"/>
  <c r="C1452" i="16"/>
  <c r="P1451" i="16"/>
  <c r="O1451" i="16"/>
  <c r="N1451" i="16"/>
  <c r="M1451" i="16"/>
  <c r="L1451" i="16"/>
  <c r="K1451" i="16"/>
  <c r="J1451" i="16"/>
  <c r="I1451" i="16"/>
  <c r="H1451" i="16"/>
  <c r="G1451" i="16"/>
  <c r="F1451" i="16"/>
  <c r="E1451" i="16"/>
  <c r="D1451" i="16"/>
  <c r="C1451" i="16"/>
  <c r="P1450" i="16"/>
  <c r="O1450" i="16"/>
  <c r="N1450" i="16"/>
  <c r="M1450" i="16"/>
  <c r="L1450" i="16"/>
  <c r="K1450" i="16"/>
  <c r="J1450" i="16"/>
  <c r="I1450" i="16"/>
  <c r="H1450" i="16"/>
  <c r="G1450" i="16"/>
  <c r="F1450" i="16"/>
  <c r="E1450" i="16"/>
  <c r="D1450" i="16"/>
  <c r="C1450" i="16"/>
  <c r="P1449" i="16"/>
  <c r="O1449" i="16"/>
  <c r="N1449" i="16"/>
  <c r="M1449" i="16"/>
  <c r="L1449" i="16"/>
  <c r="K1449" i="16"/>
  <c r="J1449" i="16"/>
  <c r="I1449" i="16"/>
  <c r="H1449" i="16"/>
  <c r="G1449" i="16"/>
  <c r="F1449" i="16"/>
  <c r="E1449" i="16"/>
  <c r="D1449" i="16"/>
  <c r="C1449" i="16"/>
  <c r="P1448" i="16"/>
  <c r="O1448" i="16"/>
  <c r="N1448" i="16"/>
  <c r="M1448" i="16"/>
  <c r="L1448" i="16"/>
  <c r="K1448" i="16"/>
  <c r="J1448" i="16"/>
  <c r="I1448" i="16"/>
  <c r="H1448" i="16"/>
  <c r="G1448" i="16"/>
  <c r="F1448" i="16"/>
  <c r="E1448" i="16"/>
  <c r="D1448" i="16"/>
  <c r="C1448" i="16"/>
  <c r="P1447" i="16"/>
  <c r="O1447" i="16"/>
  <c r="N1447" i="16"/>
  <c r="M1447" i="16"/>
  <c r="L1447" i="16"/>
  <c r="K1447" i="16"/>
  <c r="J1447" i="16"/>
  <c r="I1447" i="16"/>
  <c r="H1447" i="16"/>
  <c r="G1447" i="16"/>
  <c r="F1447" i="16"/>
  <c r="E1447" i="16"/>
  <c r="D1447" i="16"/>
  <c r="C1447" i="16"/>
  <c r="P1446" i="16"/>
  <c r="O1446" i="16"/>
  <c r="N1446" i="16"/>
  <c r="M1446" i="16"/>
  <c r="L1446" i="16"/>
  <c r="K1446" i="16"/>
  <c r="J1446" i="16"/>
  <c r="I1446" i="16"/>
  <c r="H1446" i="16"/>
  <c r="G1446" i="16"/>
  <c r="F1446" i="16"/>
  <c r="E1446" i="16"/>
  <c r="D1446" i="16"/>
  <c r="C1446" i="16"/>
  <c r="P1445" i="16"/>
  <c r="O1445" i="16"/>
  <c r="N1445" i="16"/>
  <c r="M1445" i="16"/>
  <c r="L1445" i="16"/>
  <c r="K1445" i="16"/>
  <c r="J1445" i="16"/>
  <c r="I1445" i="16"/>
  <c r="H1445" i="16"/>
  <c r="G1445" i="16"/>
  <c r="F1445" i="16"/>
  <c r="E1445" i="16"/>
  <c r="D1445" i="16"/>
  <c r="C1445" i="16"/>
  <c r="P1444" i="16"/>
  <c r="O1444" i="16"/>
  <c r="N1444" i="16"/>
  <c r="M1444" i="16"/>
  <c r="L1444" i="16"/>
  <c r="K1444" i="16"/>
  <c r="J1444" i="16"/>
  <c r="I1444" i="16"/>
  <c r="H1444" i="16"/>
  <c r="G1444" i="16"/>
  <c r="F1444" i="16"/>
  <c r="E1444" i="16"/>
  <c r="D1444" i="16"/>
  <c r="C1444" i="16"/>
  <c r="P1443" i="16"/>
  <c r="O1443" i="16"/>
  <c r="N1443" i="16"/>
  <c r="M1443" i="16"/>
  <c r="L1443" i="16"/>
  <c r="K1443" i="16"/>
  <c r="J1443" i="16"/>
  <c r="I1443" i="16"/>
  <c r="H1443" i="16"/>
  <c r="G1443" i="16"/>
  <c r="F1443" i="16"/>
  <c r="E1443" i="16"/>
  <c r="D1443" i="16"/>
  <c r="C1443" i="16"/>
  <c r="P1442" i="16"/>
  <c r="O1442" i="16"/>
  <c r="N1442" i="16"/>
  <c r="M1442" i="16"/>
  <c r="L1442" i="16"/>
  <c r="K1442" i="16"/>
  <c r="J1442" i="16"/>
  <c r="I1442" i="16"/>
  <c r="H1442" i="16"/>
  <c r="G1442" i="16"/>
  <c r="F1442" i="16"/>
  <c r="E1442" i="16"/>
  <c r="D1442" i="16"/>
  <c r="C1442" i="16"/>
  <c r="P1441" i="16"/>
  <c r="O1441" i="16"/>
  <c r="N1441" i="16"/>
  <c r="M1441" i="16"/>
  <c r="L1441" i="16"/>
  <c r="K1441" i="16"/>
  <c r="J1441" i="16"/>
  <c r="I1441" i="16"/>
  <c r="H1441" i="16"/>
  <c r="G1441" i="16"/>
  <c r="F1441" i="16"/>
  <c r="E1441" i="16"/>
  <c r="D1441" i="16"/>
  <c r="C1441" i="16"/>
  <c r="P1440" i="16"/>
  <c r="O1440" i="16"/>
  <c r="N1440" i="16"/>
  <c r="M1440" i="16"/>
  <c r="L1440" i="16"/>
  <c r="K1440" i="16"/>
  <c r="J1440" i="16"/>
  <c r="I1440" i="16"/>
  <c r="H1440" i="16"/>
  <c r="G1440" i="16"/>
  <c r="F1440" i="16"/>
  <c r="E1440" i="16"/>
  <c r="D1440" i="16"/>
  <c r="C1440" i="16"/>
  <c r="P1439" i="16"/>
  <c r="O1439" i="16"/>
  <c r="N1439" i="16"/>
  <c r="M1439" i="16"/>
  <c r="L1439" i="16"/>
  <c r="K1439" i="16"/>
  <c r="J1439" i="16"/>
  <c r="I1439" i="16"/>
  <c r="H1439" i="16"/>
  <c r="G1439" i="16"/>
  <c r="F1439" i="16"/>
  <c r="E1439" i="16"/>
  <c r="D1439" i="16"/>
  <c r="C1439" i="16"/>
  <c r="P1438" i="16"/>
  <c r="O1438" i="16"/>
  <c r="N1438" i="16"/>
  <c r="M1438" i="16"/>
  <c r="L1438" i="16"/>
  <c r="K1438" i="16"/>
  <c r="J1438" i="16"/>
  <c r="I1438" i="16"/>
  <c r="H1438" i="16"/>
  <c r="G1438" i="16"/>
  <c r="F1438" i="16"/>
  <c r="E1438" i="16"/>
  <c r="D1438" i="16"/>
  <c r="C1438" i="16"/>
  <c r="P1437" i="16"/>
  <c r="O1437" i="16"/>
  <c r="N1437" i="16"/>
  <c r="M1437" i="16"/>
  <c r="L1437" i="16"/>
  <c r="K1437" i="16"/>
  <c r="J1437" i="16"/>
  <c r="I1437" i="16"/>
  <c r="H1437" i="16"/>
  <c r="G1437" i="16"/>
  <c r="F1437" i="16"/>
  <c r="E1437" i="16"/>
  <c r="D1437" i="16"/>
  <c r="C1437" i="16"/>
  <c r="P1436" i="16"/>
  <c r="O1436" i="16"/>
  <c r="N1436" i="16"/>
  <c r="M1436" i="16"/>
  <c r="L1436" i="16"/>
  <c r="K1436" i="16"/>
  <c r="J1436" i="16"/>
  <c r="I1436" i="16"/>
  <c r="H1436" i="16"/>
  <c r="G1436" i="16"/>
  <c r="F1436" i="16"/>
  <c r="E1436" i="16"/>
  <c r="D1436" i="16"/>
  <c r="C1436" i="16"/>
  <c r="P1435" i="16"/>
  <c r="O1435" i="16"/>
  <c r="N1435" i="16"/>
  <c r="M1435" i="16"/>
  <c r="L1435" i="16"/>
  <c r="K1435" i="16"/>
  <c r="J1435" i="16"/>
  <c r="I1435" i="16"/>
  <c r="H1435" i="16"/>
  <c r="G1435" i="16"/>
  <c r="F1435" i="16"/>
  <c r="E1435" i="16"/>
  <c r="D1435" i="16"/>
  <c r="C1435" i="16"/>
  <c r="P1434" i="16"/>
  <c r="O1434" i="16"/>
  <c r="N1434" i="16"/>
  <c r="M1434" i="16"/>
  <c r="L1434" i="16"/>
  <c r="K1434" i="16"/>
  <c r="J1434" i="16"/>
  <c r="I1434" i="16"/>
  <c r="H1434" i="16"/>
  <c r="G1434" i="16"/>
  <c r="F1434" i="16"/>
  <c r="E1434" i="16"/>
  <c r="D1434" i="16"/>
  <c r="C1434" i="16"/>
  <c r="P1433" i="16"/>
  <c r="O1433" i="16"/>
  <c r="N1433" i="16"/>
  <c r="M1433" i="16"/>
  <c r="L1433" i="16"/>
  <c r="K1433" i="16"/>
  <c r="J1433" i="16"/>
  <c r="I1433" i="16"/>
  <c r="H1433" i="16"/>
  <c r="G1433" i="16"/>
  <c r="F1433" i="16"/>
  <c r="E1433" i="16"/>
  <c r="D1433" i="16"/>
  <c r="C1433" i="16"/>
  <c r="P1432" i="16"/>
  <c r="O1432" i="16"/>
  <c r="N1432" i="16"/>
  <c r="M1432" i="16"/>
  <c r="L1432" i="16"/>
  <c r="K1432" i="16"/>
  <c r="J1432" i="16"/>
  <c r="I1432" i="16"/>
  <c r="H1432" i="16"/>
  <c r="G1432" i="16"/>
  <c r="F1432" i="16"/>
  <c r="E1432" i="16"/>
  <c r="D1432" i="16"/>
  <c r="C1432" i="16"/>
  <c r="P1431" i="16"/>
  <c r="O1431" i="16"/>
  <c r="N1431" i="16"/>
  <c r="M1431" i="16"/>
  <c r="L1431" i="16"/>
  <c r="K1431" i="16"/>
  <c r="J1431" i="16"/>
  <c r="I1431" i="16"/>
  <c r="H1431" i="16"/>
  <c r="G1431" i="16"/>
  <c r="F1431" i="16"/>
  <c r="E1431" i="16"/>
  <c r="D1431" i="16"/>
  <c r="C1431" i="16"/>
  <c r="P1430" i="16"/>
  <c r="O1430" i="16"/>
  <c r="N1430" i="16"/>
  <c r="M1430" i="16"/>
  <c r="L1430" i="16"/>
  <c r="K1430" i="16"/>
  <c r="J1430" i="16"/>
  <c r="I1430" i="16"/>
  <c r="H1430" i="16"/>
  <c r="G1430" i="16"/>
  <c r="F1430" i="16"/>
  <c r="E1430" i="16"/>
  <c r="D1430" i="16"/>
  <c r="C1430" i="16"/>
  <c r="P1429" i="16"/>
  <c r="O1429" i="16"/>
  <c r="N1429" i="16"/>
  <c r="M1429" i="16"/>
  <c r="L1429" i="16"/>
  <c r="K1429" i="16"/>
  <c r="J1429" i="16"/>
  <c r="I1429" i="16"/>
  <c r="H1429" i="16"/>
  <c r="G1429" i="16"/>
  <c r="F1429" i="16"/>
  <c r="E1429" i="16"/>
  <c r="D1429" i="16"/>
  <c r="C1429" i="16"/>
  <c r="P1428" i="16"/>
  <c r="O1428" i="16"/>
  <c r="N1428" i="16"/>
  <c r="M1428" i="16"/>
  <c r="L1428" i="16"/>
  <c r="K1428" i="16"/>
  <c r="J1428" i="16"/>
  <c r="I1428" i="16"/>
  <c r="H1428" i="16"/>
  <c r="G1428" i="16"/>
  <c r="F1428" i="16"/>
  <c r="E1428" i="16"/>
  <c r="D1428" i="16"/>
  <c r="C1428" i="16"/>
  <c r="P1427" i="16"/>
  <c r="O1427" i="16"/>
  <c r="N1427" i="16"/>
  <c r="M1427" i="16"/>
  <c r="L1427" i="16"/>
  <c r="K1427" i="16"/>
  <c r="J1427" i="16"/>
  <c r="I1427" i="16"/>
  <c r="H1427" i="16"/>
  <c r="G1427" i="16"/>
  <c r="F1427" i="16"/>
  <c r="E1427" i="16"/>
  <c r="D1427" i="16"/>
  <c r="C1427" i="16"/>
  <c r="P1426" i="16"/>
  <c r="O1426" i="16"/>
  <c r="N1426" i="16"/>
  <c r="M1426" i="16"/>
  <c r="L1426" i="16"/>
  <c r="K1426" i="16"/>
  <c r="J1426" i="16"/>
  <c r="I1426" i="16"/>
  <c r="H1426" i="16"/>
  <c r="G1426" i="16"/>
  <c r="F1426" i="16"/>
  <c r="E1426" i="16"/>
  <c r="D1426" i="16"/>
  <c r="C1426" i="16"/>
  <c r="P1425" i="16"/>
  <c r="O1425" i="16"/>
  <c r="N1425" i="16"/>
  <c r="M1425" i="16"/>
  <c r="L1425" i="16"/>
  <c r="K1425" i="16"/>
  <c r="J1425" i="16"/>
  <c r="I1425" i="16"/>
  <c r="H1425" i="16"/>
  <c r="G1425" i="16"/>
  <c r="F1425" i="16"/>
  <c r="E1425" i="16"/>
  <c r="D1425" i="16"/>
  <c r="C1425" i="16"/>
  <c r="P1424" i="16"/>
  <c r="O1424" i="16"/>
  <c r="N1424" i="16"/>
  <c r="M1424" i="16"/>
  <c r="L1424" i="16"/>
  <c r="K1424" i="16"/>
  <c r="J1424" i="16"/>
  <c r="I1424" i="16"/>
  <c r="H1424" i="16"/>
  <c r="G1424" i="16"/>
  <c r="F1424" i="16"/>
  <c r="E1424" i="16"/>
  <c r="D1424" i="16"/>
  <c r="C1424" i="16"/>
  <c r="P1423" i="16"/>
  <c r="O1423" i="16"/>
  <c r="N1423" i="16"/>
  <c r="M1423" i="16"/>
  <c r="L1423" i="16"/>
  <c r="K1423" i="16"/>
  <c r="J1423" i="16"/>
  <c r="I1423" i="16"/>
  <c r="H1423" i="16"/>
  <c r="G1423" i="16"/>
  <c r="F1423" i="16"/>
  <c r="E1423" i="16"/>
  <c r="D1423" i="16"/>
  <c r="C1423" i="16"/>
  <c r="P1422" i="16"/>
  <c r="O1422" i="16"/>
  <c r="N1422" i="16"/>
  <c r="M1422" i="16"/>
  <c r="L1422" i="16"/>
  <c r="K1422" i="16"/>
  <c r="J1422" i="16"/>
  <c r="I1422" i="16"/>
  <c r="H1422" i="16"/>
  <c r="G1422" i="16"/>
  <c r="F1422" i="16"/>
  <c r="E1422" i="16"/>
  <c r="D1422" i="16"/>
  <c r="C1422" i="16"/>
  <c r="P1421" i="16"/>
  <c r="O1421" i="16"/>
  <c r="N1421" i="16"/>
  <c r="M1421" i="16"/>
  <c r="L1421" i="16"/>
  <c r="K1421" i="16"/>
  <c r="J1421" i="16"/>
  <c r="I1421" i="16"/>
  <c r="H1421" i="16"/>
  <c r="G1421" i="16"/>
  <c r="F1421" i="16"/>
  <c r="E1421" i="16"/>
  <c r="D1421" i="16"/>
  <c r="C1421" i="16"/>
  <c r="P1420" i="16"/>
  <c r="O1420" i="16"/>
  <c r="N1420" i="16"/>
  <c r="M1420" i="16"/>
  <c r="L1420" i="16"/>
  <c r="K1420" i="16"/>
  <c r="J1420" i="16"/>
  <c r="I1420" i="16"/>
  <c r="H1420" i="16"/>
  <c r="G1420" i="16"/>
  <c r="F1420" i="16"/>
  <c r="E1420" i="16"/>
  <c r="D1420" i="16"/>
  <c r="C1420" i="16"/>
  <c r="P1419" i="16"/>
  <c r="O1419" i="16"/>
  <c r="N1419" i="16"/>
  <c r="M1419" i="16"/>
  <c r="L1419" i="16"/>
  <c r="K1419" i="16"/>
  <c r="J1419" i="16"/>
  <c r="I1419" i="16"/>
  <c r="H1419" i="16"/>
  <c r="G1419" i="16"/>
  <c r="F1419" i="16"/>
  <c r="E1419" i="16"/>
  <c r="D1419" i="16"/>
  <c r="C1419" i="16"/>
  <c r="P1418" i="16"/>
  <c r="O1418" i="16"/>
  <c r="N1418" i="16"/>
  <c r="M1418" i="16"/>
  <c r="L1418" i="16"/>
  <c r="K1418" i="16"/>
  <c r="J1418" i="16"/>
  <c r="I1418" i="16"/>
  <c r="H1418" i="16"/>
  <c r="G1418" i="16"/>
  <c r="F1418" i="16"/>
  <c r="E1418" i="16"/>
  <c r="D1418" i="16"/>
  <c r="C1418" i="16"/>
  <c r="P1417" i="16"/>
  <c r="O1417" i="16"/>
  <c r="N1417" i="16"/>
  <c r="M1417" i="16"/>
  <c r="L1417" i="16"/>
  <c r="K1417" i="16"/>
  <c r="J1417" i="16"/>
  <c r="I1417" i="16"/>
  <c r="H1417" i="16"/>
  <c r="G1417" i="16"/>
  <c r="F1417" i="16"/>
  <c r="E1417" i="16"/>
  <c r="D1417" i="16"/>
  <c r="C1417" i="16"/>
  <c r="P1416" i="16"/>
  <c r="O1416" i="16"/>
  <c r="N1416" i="16"/>
  <c r="M1416" i="16"/>
  <c r="L1416" i="16"/>
  <c r="K1416" i="16"/>
  <c r="J1416" i="16"/>
  <c r="I1416" i="16"/>
  <c r="H1416" i="16"/>
  <c r="G1416" i="16"/>
  <c r="F1416" i="16"/>
  <c r="E1416" i="16"/>
  <c r="D1416" i="16"/>
  <c r="C1416" i="16"/>
  <c r="P1415" i="16"/>
  <c r="O1415" i="16"/>
  <c r="N1415" i="16"/>
  <c r="M1415" i="16"/>
  <c r="L1415" i="16"/>
  <c r="K1415" i="16"/>
  <c r="J1415" i="16"/>
  <c r="I1415" i="16"/>
  <c r="H1415" i="16"/>
  <c r="G1415" i="16"/>
  <c r="F1415" i="16"/>
  <c r="E1415" i="16"/>
  <c r="D1415" i="16"/>
  <c r="C1415" i="16"/>
  <c r="P1414" i="16"/>
  <c r="O1414" i="16"/>
  <c r="N1414" i="16"/>
  <c r="M1414" i="16"/>
  <c r="L1414" i="16"/>
  <c r="K1414" i="16"/>
  <c r="J1414" i="16"/>
  <c r="I1414" i="16"/>
  <c r="H1414" i="16"/>
  <c r="G1414" i="16"/>
  <c r="F1414" i="16"/>
  <c r="E1414" i="16"/>
  <c r="D1414" i="16"/>
  <c r="C1414" i="16"/>
  <c r="P1413" i="16"/>
  <c r="O1413" i="16"/>
  <c r="N1413" i="16"/>
  <c r="M1413" i="16"/>
  <c r="L1413" i="16"/>
  <c r="K1413" i="16"/>
  <c r="J1413" i="16"/>
  <c r="I1413" i="16"/>
  <c r="H1413" i="16"/>
  <c r="G1413" i="16"/>
  <c r="F1413" i="16"/>
  <c r="E1413" i="16"/>
  <c r="D1413" i="16"/>
  <c r="C1413" i="16"/>
  <c r="P1412" i="16"/>
  <c r="O1412" i="16"/>
  <c r="N1412" i="16"/>
  <c r="M1412" i="16"/>
  <c r="L1412" i="16"/>
  <c r="K1412" i="16"/>
  <c r="J1412" i="16"/>
  <c r="I1412" i="16"/>
  <c r="H1412" i="16"/>
  <c r="G1412" i="16"/>
  <c r="F1412" i="16"/>
  <c r="E1412" i="16"/>
  <c r="D1412" i="16"/>
  <c r="C1412" i="16"/>
  <c r="P1411" i="16"/>
  <c r="O1411" i="16"/>
  <c r="N1411" i="16"/>
  <c r="M1411" i="16"/>
  <c r="L1411" i="16"/>
  <c r="K1411" i="16"/>
  <c r="J1411" i="16"/>
  <c r="I1411" i="16"/>
  <c r="H1411" i="16"/>
  <c r="G1411" i="16"/>
  <c r="F1411" i="16"/>
  <c r="E1411" i="16"/>
  <c r="D1411" i="16"/>
  <c r="C1411" i="16"/>
  <c r="P1410" i="16"/>
  <c r="O1410" i="16"/>
  <c r="N1410" i="16"/>
  <c r="M1410" i="16"/>
  <c r="L1410" i="16"/>
  <c r="K1410" i="16"/>
  <c r="J1410" i="16"/>
  <c r="I1410" i="16"/>
  <c r="H1410" i="16"/>
  <c r="G1410" i="16"/>
  <c r="F1410" i="16"/>
  <c r="E1410" i="16"/>
  <c r="D1410" i="16"/>
  <c r="C1410" i="16"/>
  <c r="P1409" i="16"/>
  <c r="O1409" i="16"/>
  <c r="N1409" i="16"/>
  <c r="M1409" i="16"/>
  <c r="L1409" i="16"/>
  <c r="K1409" i="16"/>
  <c r="J1409" i="16"/>
  <c r="I1409" i="16"/>
  <c r="H1409" i="16"/>
  <c r="G1409" i="16"/>
  <c r="F1409" i="16"/>
  <c r="E1409" i="16"/>
  <c r="D1409" i="16"/>
  <c r="C1409" i="16"/>
  <c r="P1408" i="16"/>
  <c r="O1408" i="16"/>
  <c r="N1408" i="16"/>
  <c r="M1408" i="16"/>
  <c r="L1408" i="16"/>
  <c r="K1408" i="16"/>
  <c r="J1408" i="16"/>
  <c r="I1408" i="16"/>
  <c r="H1408" i="16"/>
  <c r="G1408" i="16"/>
  <c r="F1408" i="16"/>
  <c r="E1408" i="16"/>
  <c r="D1408" i="16"/>
  <c r="C1408" i="16"/>
  <c r="P1407" i="16"/>
  <c r="O1407" i="16"/>
  <c r="N1407" i="16"/>
  <c r="M1407" i="16"/>
  <c r="L1407" i="16"/>
  <c r="K1407" i="16"/>
  <c r="J1407" i="16"/>
  <c r="I1407" i="16"/>
  <c r="H1407" i="16"/>
  <c r="G1407" i="16"/>
  <c r="F1407" i="16"/>
  <c r="E1407" i="16"/>
  <c r="D1407" i="16"/>
  <c r="C1407" i="16"/>
  <c r="P1406" i="16"/>
  <c r="O1406" i="16"/>
  <c r="N1406" i="16"/>
  <c r="M1406" i="16"/>
  <c r="L1406" i="16"/>
  <c r="K1406" i="16"/>
  <c r="J1406" i="16"/>
  <c r="I1406" i="16"/>
  <c r="H1406" i="16"/>
  <c r="G1406" i="16"/>
  <c r="F1406" i="16"/>
  <c r="E1406" i="16"/>
  <c r="D1406" i="16"/>
  <c r="C1406" i="16"/>
  <c r="P1405" i="16"/>
  <c r="O1405" i="16"/>
  <c r="N1405" i="16"/>
  <c r="M1405" i="16"/>
  <c r="L1405" i="16"/>
  <c r="K1405" i="16"/>
  <c r="J1405" i="16"/>
  <c r="I1405" i="16"/>
  <c r="H1405" i="16"/>
  <c r="G1405" i="16"/>
  <c r="F1405" i="16"/>
  <c r="E1405" i="16"/>
  <c r="D1405" i="16"/>
  <c r="C1405" i="16"/>
  <c r="P1404" i="16"/>
  <c r="O1404" i="16"/>
  <c r="N1404" i="16"/>
  <c r="M1404" i="16"/>
  <c r="L1404" i="16"/>
  <c r="K1404" i="16"/>
  <c r="J1404" i="16"/>
  <c r="I1404" i="16"/>
  <c r="H1404" i="16"/>
  <c r="G1404" i="16"/>
  <c r="F1404" i="16"/>
  <c r="E1404" i="16"/>
  <c r="D1404" i="16"/>
  <c r="C1404" i="16"/>
  <c r="P1403" i="16"/>
  <c r="O1403" i="16"/>
  <c r="N1403" i="16"/>
  <c r="M1403" i="16"/>
  <c r="L1403" i="16"/>
  <c r="K1403" i="16"/>
  <c r="J1403" i="16"/>
  <c r="I1403" i="16"/>
  <c r="H1403" i="16"/>
  <c r="G1403" i="16"/>
  <c r="F1403" i="16"/>
  <c r="E1403" i="16"/>
  <c r="D1403" i="16"/>
  <c r="C1403" i="16"/>
  <c r="P1402" i="16"/>
  <c r="O1402" i="16"/>
  <c r="N1402" i="16"/>
  <c r="M1402" i="16"/>
  <c r="L1402" i="16"/>
  <c r="K1402" i="16"/>
  <c r="J1402" i="16"/>
  <c r="I1402" i="16"/>
  <c r="H1402" i="16"/>
  <c r="G1402" i="16"/>
  <c r="F1402" i="16"/>
  <c r="E1402" i="16"/>
  <c r="D1402" i="16"/>
  <c r="C1402" i="16"/>
  <c r="P1401" i="16"/>
  <c r="O1401" i="16"/>
  <c r="N1401" i="16"/>
  <c r="M1401" i="16"/>
  <c r="L1401" i="16"/>
  <c r="K1401" i="16"/>
  <c r="J1401" i="16"/>
  <c r="I1401" i="16"/>
  <c r="H1401" i="16"/>
  <c r="G1401" i="16"/>
  <c r="F1401" i="16"/>
  <c r="E1401" i="16"/>
  <c r="D1401" i="16"/>
  <c r="C1401" i="16"/>
  <c r="P1400" i="16"/>
  <c r="O1400" i="16"/>
  <c r="N1400" i="16"/>
  <c r="M1400" i="16"/>
  <c r="L1400" i="16"/>
  <c r="K1400" i="16"/>
  <c r="J1400" i="16"/>
  <c r="I1400" i="16"/>
  <c r="H1400" i="16"/>
  <c r="G1400" i="16"/>
  <c r="F1400" i="16"/>
  <c r="E1400" i="16"/>
  <c r="D1400" i="16"/>
  <c r="C1400" i="16"/>
  <c r="P1399" i="16"/>
  <c r="O1399" i="16"/>
  <c r="N1399" i="16"/>
  <c r="M1399" i="16"/>
  <c r="L1399" i="16"/>
  <c r="K1399" i="16"/>
  <c r="J1399" i="16"/>
  <c r="I1399" i="16"/>
  <c r="H1399" i="16"/>
  <c r="G1399" i="16"/>
  <c r="F1399" i="16"/>
  <c r="E1399" i="16"/>
  <c r="D1399" i="16"/>
  <c r="C1399" i="16"/>
  <c r="P1398" i="16"/>
  <c r="O1398" i="16"/>
  <c r="N1398" i="16"/>
  <c r="M1398" i="16"/>
  <c r="L1398" i="16"/>
  <c r="K1398" i="16"/>
  <c r="J1398" i="16"/>
  <c r="I1398" i="16"/>
  <c r="H1398" i="16"/>
  <c r="G1398" i="16"/>
  <c r="F1398" i="16"/>
  <c r="E1398" i="16"/>
  <c r="D1398" i="16"/>
  <c r="C1398" i="16"/>
  <c r="P1397" i="16"/>
  <c r="O1397" i="16"/>
  <c r="N1397" i="16"/>
  <c r="M1397" i="16"/>
  <c r="L1397" i="16"/>
  <c r="K1397" i="16"/>
  <c r="J1397" i="16"/>
  <c r="I1397" i="16"/>
  <c r="H1397" i="16"/>
  <c r="G1397" i="16"/>
  <c r="F1397" i="16"/>
  <c r="E1397" i="16"/>
  <c r="D1397" i="16"/>
  <c r="C1397" i="16"/>
  <c r="P1396" i="16"/>
  <c r="O1396" i="16"/>
  <c r="N1396" i="16"/>
  <c r="M1396" i="16"/>
  <c r="L1396" i="16"/>
  <c r="K1396" i="16"/>
  <c r="J1396" i="16"/>
  <c r="I1396" i="16"/>
  <c r="H1396" i="16"/>
  <c r="G1396" i="16"/>
  <c r="F1396" i="16"/>
  <c r="E1396" i="16"/>
  <c r="D1396" i="16"/>
  <c r="C1396" i="16"/>
  <c r="P1395" i="16"/>
  <c r="O1395" i="16"/>
  <c r="N1395" i="16"/>
  <c r="M1395" i="16"/>
  <c r="L1395" i="16"/>
  <c r="K1395" i="16"/>
  <c r="J1395" i="16"/>
  <c r="I1395" i="16"/>
  <c r="H1395" i="16"/>
  <c r="G1395" i="16"/>
  <c r="F1395" i="16"/>
  <c r="E1395" i="16"/>
  <c r="D1395" i="16"/>
  <c r="C1395" i="16"/>
  <c r="P1394" i="16"/>
  <c r="O1394" i="16"/>
  <c r="N1394" i="16"/>
  <c r="M1394" i="16"/>
  <c r="L1394" i="16"/>
  <c r="K1394" i="16"/>
  <c r="J1394" i="16"/>
  <c r="I1394" i="16"/>
  <c r="H1394" i="16"/>
  <c r="G1394" i="16"/>
  <c r="F1394" i="16"/>
  <c r="E1394" i="16"/>
  <c r="D1394" i="16"/>
  <c r="C1394" i="16"/>
  <c r="P1393" i="16"/>
  <c r="O1393" i="16"/>
  <c r="N1393" i="16"/>
  <c r="M1393" i="16"/>
  <c r="L1393" i="16"/>
  <c r="K1393" i="16"/>
  <c r="J1393" i="16"/>
  <c r="I1393" i="16"/>
  <c r="H1393" i="16"/>
  <c r="G1393" i="16"/>
  <c r="F1393" i="16"/>
  <c r="E1393" i="16"/>
  <c r="D1393" i="16"/>
  <c r="C1393" i="16"/>
  <c r="P1392" i="16"/>
  <c r="O1392" i="16"/>
  <c r="N1392" i="16"/>
  <c r="M1392" i="16"/>
  <c r="L1392" i="16"/>
  <c r="K1392" i="16"/>
  <c r="J1392" i="16"/>
  <c r="I1392" i="16"/>
  <c r="H1392" i="16"/>
  <c r="G1392" i="16"/>
  <c r="F1392" i="16"/>
  <c r="E1392" i="16"/>
  <c r="D1392" i="16"/>
  <c r="C1392" i="16"/>
  <c r="P1391" i="16"/>
  <c r="O1391" i="16"/>
  <c r="N1391" i="16"/>
  <c r="M1391" i="16"/>
  <c r="L1391" i="16"/>
  <c r="K1391" i="16"/>
  <c r="J1391" i="16"/>
  <c r="I1391" i="16"/>
  <c r="H1391" i="16"/>
  <c r="G1391" i="16"/>
  <c r="F1391" i="16"/>
  <c r="E1391" i="16"/>
  <c r="D1391" i="16"/>
  <c r="C1391" i="16"/>
  <c r="P1390" i="16"/>
  <c r="O1390" i="16"/>
  <c r="N1390" i="16"/>
  <c r="M1390" i="16"/>
  <c r="L1390" i="16"/>
  <c r="K1390" i="16"/>
  <c r="J1390" i="16"/>
  <c r="I1390" i="16"/>
  <c r="H1390" i="16"/>
  <c r="G1390" i="16"/>
  <c r="F1390" i="16"/>
  <c r="E1390" i="16"/>
  <c r="D1390" i="16"/>
  <c r="C1390" i="16"/>
  <c r="P1389" i="16"/>
  <c r="O1389" i="16"/>
  <c r="N1389" i="16"/>
  <c r="M1389" i="16"/>
  <c r="L1389" i="16"/>
  <c r="K1389" i="16"/>
  <c r="J1389" i="16"/>
  <c r="I1389" i="16"/>
  <c r="H1389" i="16"/>
  <c r="G1389" i="16"/>
  <c r="F1389" i="16"/>
  <c r="E1389" i="16"/>
  <c r="D1389" i="16"/>
  <c r="C1389" i="16"/>
  <c r="P1388" i="16"/>
  <c r="O1388" i="16"/>
  <c r="N1388" i="16"/>
  <c r="M1388" i="16"/>
  <c r="L1388" i="16"/>
  <c r="K1388" i="16"/>
  <c r="J1388" i="16"/>
  <c r="I1388" i="16"/>
  <c r="H1388" i="16"/>
  <c r="G1388" i="16"/>
  <c r="F1388" i="16"/>
  <c r="E1388" i="16"/>
  <c r="D1388" i="16"/>
  <c r="C1388" i="16"/>
  <c r="P1387" i="16"/>
  <c r="O1387" i="16"/>
  <c r="N1387" i="16"/>
  <c r="M1387" i="16"/>
  <c r="L1387" i="16"/>
  <c r="K1387" i="16"/>
  <c r="J1387" i="16"/>
  <c r="I1387" i="16"/>
  <c r="H1387" i="16"/>
  <c r="G1387" i="16"/>
  <c r="F1387" i="16"/>
  <c r="E1387" i="16"/>
  <c r="D1387" i="16"/>
  <c r="C1387" i="16"/>
  <c r="P1386" i="16"/>
  <c r="O1386" i="16"/>
  <c r="N1386" i="16"/>
  <c r="M1386" i="16"/>
  <c r="L1386" i="16"/>
  <c r="K1386" i="16"/>
  <c r="J1386" i="16"/>
  <c r="I1386" i="16"/>
  <c r="H1386" i="16"/>
  <c r="G1386" i="16"/>
  <c r="F1386" i="16"/>
  <c r="E1386" i="16"/>
  <c r="D1386" i="16"/>
  <c r="C1386" i="16"/>
  <c r="P1385" i="16"/>
  <c r="O1385" i="16"/>
  <c r="N1385" i="16"/>
  <c r="M1385" i="16"/>
  <c r="L1385" i="16"/>
  <c r="K1385" i="16"/>
  <c r="J1385" i="16"/>
  <c r="I1385" i="16"/>
  <c r="H1385" i="16"/>
  <c r="G1385" i="16"/>
  <c r="F1385" i="16"/>
  <c r="E1385" i="16"/>
  <c r="D1385" i="16"/>
  <c r="C1385" i="16"/>
  <c r="P1384" i="16"/>
  <c r="O1384" i="16"/>
  <c r="N1384" i="16"/>
  <c r="M1384" i="16"/>
  <c r="L1384" i="16"/>
  <c r="K1384" i="16"/>
  <c r="J1384" i="16"/>
  <c r="I1384" i="16"/>
  <c r="H1384" i="16"/>
  <c r="G1384" i="16"/>
  <c r="F1384" i="16"/>
  <c r="E1384" i="16"/>
  <c r="D1384" i="16"/>
  <c r="C1384" i="16"/>
  <c r="P1383" i="16"/>
  <c r="O1383" i="16"/>
  <c r="N1383" i="16"/>
  <c r="M1383" i="16"/>
  <c r="L1383" i="16"/>
  <c r="K1383" i="16"/>
  <c r="J1383" i="16"/>
  <c r="I1383" i="16"/>
  <c r="H1383" i="16"/>
  <c r="G1383" i="16"/>
  <c r="F1383" i="16"/>
  <c r="E1383" i="16"/>
  <c r="D1383" i="16"/>
  <c r="C1383" i="16"/>
  <c r="P1382" i="16"/>
  <c r="O1382" i="16"/>
  <c r="N1382" i="16"/>
  <c r="M1382" i="16"/>
  <c r="L1382" i="16"/>
  <c r="K1382" i="16"/>
  <c r="J1382" i="16"/>
  <c r="I1382" i="16"/>
  <c r="H1382" i="16"/>
  <c r="G1382" i="16"/>
  <c r="F1382" i="16"/>
  <c r="E1382" i="16"/>
  <c r="D1382" i="16"/>
  <c r="C1382" i="16"/>
  <c r="P1381" i="16"/>
  <c r="O1381" i="16"/>
  <c r="N1381" i="16"/>
  <c r="M1381" i="16"/>
  <c r="L1381" i="16"/>
  <c r="K1381" i="16"/>
  <c r="J1381" i="16"/>
  <c r="I1381" i="16"/>
  <c r="H1381" i="16"/>
  <c r="G1381" i="16"/>
  <c r="F1381" i="16"/>
  <c r="E1381" i="16"/>
  <c r="D1381" i="16"/>
  <c r="C1381" i="16"/>
  <c r="P1380" i="16"/>
  <c r="O1380" i="16"/>
  <c r="N1380" i="16"/>
  <c r="M1380" i="16"/>
  <c r="L1380" i="16"/>
  <c r="K1380" i="16"/>
  <c r="J1380" i="16"/>
  <c r="I1380" i="16"/>
  <c r="H1380" i="16"/>
  <c r="G1380" i="16"/>
  <c r="F1380" i="16"/>
  <c r="E1380" i="16"/>
  <c r="D1380" i="16"/>
  <c r="C1380" i="16"/>
  <c r="P1379" i="16"/>
  <c r="O1379" i="16"/>
  <c r="N1379" i="16"/>
  <c r="M1379" i="16"/>
  <c r="L1379" i="16"/>
  <c r="K1379" i="16"/>
  <c r="J1379" i="16"/>
  <c r="I1379" i="16"/>
  <c r="H1379" i="16"/>
  <c r="G1379" i="16"/>
  <c r="F1379" i="16"/>
  <c r="E1379" i="16"/>
  <c r="D1379" i="16"/>
  <c r="C1379" i="16"/>
  <c r="P1378" i="16"/>
  <c r="O1378" i="16"/>
  <c r="N1378" i="16"/>
  <c r="M1378" i="16"/>
  <c r="L1378" i="16"/>
  <c r="K1378" i="16"/>
  <c r="J1378" i="16"/>
  <c r="I1378" i="16"/>
  <c r="H1378" i="16"/>
  <c r="G1378" i="16"/>
  <c r="F1378" i="16"/>
  <c r="E1378" i="16"/>
  <c r="D1378" i="16"/>
  <c r="C1378" i="16"/>
  <c r="P1377" i="16"/>
  <c r="O1377" i="16"/>
  <c r="N1377" i="16"/>
  <c r="M1377" i="16"/>
  <c r="L1377" i="16"/>
  <c r="K1377" i="16"/>
  <c r="J1377" i="16"/>
  <c r="I1377" i="16"/>
  <c r="H1377" i="16"/>
  <c r="G1377" i="16"/>
  <c r="F1377" i="16"/>
  <c r="E1377" i="16"/>
  <c r="D1377" i="16"/>
  <c r="C1377" i="16"/>
  <c r="P1376" i="16"/>
  <c r="O1376" i="16"/>
  <c r="N1376" i="16"/>
  <c r="M1376" i="16"/>
  <c r="L1376" i="16"/>
  <c r="K1376" i="16"/>
  <c r="J1376" i="16"/>
  <c r="I1376" i="16"/>
  <c r="H1376" i="16"/>
  <c r="G1376" i="16"/>
  <c r="F1376" i="16"/>
  <c r="E1376" i="16"/>
  <c r="D1376" i="16"/>
  <c r="C1376" i="16"/>
  <c r="P1375" i="16"/>
  <c r="O1375" i="16"/>
  <c r="N1375" i="16"/>
  <c r="M1375" i="16"/>
  <c r="L1375" i="16"/>
  <c r="K1375" i="16"/>
  <c r="J1375" i="16"/>
  <c r="I1375" i="16"/>
  <c r="H1375" i="16"/>
  <c r="G1375" i="16"/>
  <c r="F1375" i="16"/>
  <c r="E1375" i="16"/>
  <c r="D1375" i="16"/>
  <c r="C1375" i="16"/>
  <c r="P1374" i="16"/>
  <c r="O1374" i="16"/>
  <c r="N1374" i="16"/>
  <c r="M1374" i="16"/>
  <c r="L1374" i="16"/>
  <c r="K1374" i="16"/>
  <c r="J1374" i="16"/>
  <c r="I1374" i="16"/>
  <c r="H1374" i="16"/>
  <c r="G1374" i="16"/>
  <c r="F1374" i="16"/>
  <c r="E1374" i="16"/>
  <c r="D1374" i="16"/>
  <c r="C1374" i="16"/>
  <c r="P1373" i="16"/>
  <c r="O1373" i="16"/>
  <c r="N1373" i="16"/>
  <c r="M1373" i="16"/>
  <c r="L1373" i="16"/>
  <c r="K1373" i="16"/>
  <c r="J1373" i="16"/>
  <c r="I1373" i="16"/>
  <c r="H1373" i="16"/>
  <c r="G1373" i="16"/>
  <c r="F1373" i="16"/>
  <c r="E1373" i="16"/>
  <c r="D1373" i="16"/>
  <c r="C1373" i="16"/>
  <c r="P1372" i="16"/>
  <c r="O1372" i="16"/>
  <c r="N1372" i="16"/>
  <c r="M1372" i="16"/>
  <c r="L1372" i="16"/>
  <c r="K1372" i="16"/>
  <c r="J1372" i="16"/>
  <c r="I1372" i="16"/>
  <c r="H1372" i="16"/>
  <c r="G1372" i="16"/>
  <c r="F1372" i="16"/>
  <c r="E1372" i="16"/>
  <c r="D1372" i="16"/>
  <c r="C1372" i="16"/>
  <c r="P1371" i="16"/>
  <c r="O1371" i="16"/>
  <c r="N1371" i="16"/>
  <c r="M1371" i="16"/>
  <c r="L1371" i="16"/>
  <c r="K1371" i="16"/>
  <c r="J1371" i="16"/>
  <c r="I1371" i="16"/>
  <c r="H1371" i="16"/>
  <c r="G1371" i="16"/>
  <c r="F1371" i="16"/>
  <c r="E1371" i="16"/>
  <c r="D1371" i="16"/>
  <c r="C1371" i="16"/>
  <c r="P1370" i="16"/>
  <c r="O1370" i="16"/>
  <c r="N1370" i="16"/>
  <c r="M1370" i="16"/>
  <c r="L1370" i="16"/>
  <c r="K1370" i="16"/>
  <c r="J1370" i="16"/>
  <c r="I1370" i="16"/>
  <c r="H1370" i="16"/>
  <c r="G1370" i="16"/>
  <c r="F1370" i="16"/>
  <c r="E1370" i="16"/>
  <c r="D1370" i="16"/>
  <c r="C1370" i="16"/>
  <c r="P1369" i="16"/>
  <c r="O1369" i="16"/>
  <c r="N1369" i="16"/>
  <c r="M1369" i="16"/>
  <c r="L1369" i="16"/>
  <c r="K1369" i="16"/>
  <c r="J1369" i="16"/>
  <c r="I1369" i="16"/>
  <c r="H1369" i="16"/>
  <c r="G1369" i="16"/>
  <c r="F1369" i="16"/>
  <c r="E1369" i="16"/>
  <c r="D1369" i="16"/>
  <c r="C1369" i="16"/>
  <c r="P1368" i="16"/>
  <c r="O1368" i="16"/>
  <c r="N1368" i="16"/>
  <c r="M1368" i="16"/>
  <c r="L1368" i="16"/>
  <c r="K1368" i="16"/>
  <c r="J1368" i="16"/>
  <c r="I1368" i="16"/>
  <c r="H1368" i="16"/>
  <c r="G1368" i="16"/>
  <c r="F1368" i="16"/>
  <c r="E1368" i="16"/>
  <c r="D1368" i="16"/>
  <c r="C1368" i="16"/>
  <c r="P1367" i="16"/>
  <c r="O1367" i="16"/>
  <c r="N1367" i="16"/>
  <c r="M1367" i="16"/>
  <c r="L1367" i="16"/>
  <c r="K1367" i="16"/>
  <c r="J1367" i="16"/>
  <c r="I1367" i="16"/>
  <c r="H1367" i="16"/>
  <c r="G1367" i="16"/>
  <c r="F1367" i="16"/>
  <c r="E1367" i="16"/>
  <c r="D1367" i="16"/>
  <c r="C1367" i="16"/>
  <c r="P1366" i="16"/>
  <c r="O1366" i="16"/>
  <c r="N1366" i="16"/>
  <c r="M1366" i="16"/>
  <c r="L1366" i="16"/>
  <c r="K1366" i="16"/>
  <c r="J1366" i="16"/>
  <c r="I1366" i="16"/>
  <c r="H1366" i="16"/>
  <c r="G1366" i="16"/>
  <c r="F1366" i="16"/>
  <c r="E1366" i="16"/>
  <c r="D1366" i="16"/>
  <c r="C1366" i="16"/>
  <c r="P1365" i="16"/>
  <c r="O1365" i="16"/>
  <c r="N1365" i="16"/>
  <c r="M1365" i="16"/>
  <c r="L1365" i="16"/>
  <c r="K1365" i="16"/>
  <c r="J1365" i="16"/>
  <c r="I1365" i="16"/>
  <c r="H1365" i="16"/>
  <c r="G1365" i="16"/>
  <c r="F1365" i="16"/>
  <c r="E1365" i="16"/>
  <c r="D1365" i="16"/>
  <c r="C1365" i="16"/>
  <c r="P1364" i="16"/>
  <c r="O1364" i="16"/>
  <c r="N1364" i="16"/>
  <c r="M1364" i="16"/>
  <c r="L1364" i="16"/>
  <c r="K1364" i="16"/>
  <c r="J1364" i="16"/>
  <c r="I1364" i="16"/>
  <c r="H1364" i="16"/>
  <c r="G1364" i="16"/>
  <c r="F1364" i="16"/>
  <c r="E1364" i="16"/>
  <c r="D1364" i="16"/>
  <c r="C1364" i="16"/>
  <c r="P1363" i="16"/>
  <c r="O1363" i="16"/>
  <c r="N1363" i="16"/>
  <c r="M1363" i="16"/>
  <c r="L1363" i="16"/>
  <c r="K1363" i="16"/>
  <c r="J1363" i="16"/>
  <c r="I1363" i="16"/>
  <c r="H1363" i="16"/>
  <c r="G1363" i="16"/>
  <c r="F1363" i="16"/>
  <c r="E1363" i="16"/>
  <c r="D1363" i="16"/>
  <c r="C1363" i="16"/>
  <c r="P1362" i="16"/>
  <c r="O1362" i="16"/>
  <c r="N1362" i="16"/>
  <c r="M1362" i="16"/>
  <c r="L1362" i="16"/>
  <c r="K1362" i="16"/>
  <c r="J1362" i="16"/>
  <c r="I1362" i="16"/>
  <c r="H1362" i="16"/>
  <c r="G1362" i="16"/>
  <c r="F1362" i="16"/>
  <c r="E1362" i="16"/>
  <c r="D1362" i="16"/>
  <c r="C1362" i="16"/>
  <c r="P1361" i="16"/>
  <c r="O1361" i="16"/>
  <c r="N1361" i="16"/>
  <c r="M1361" i="16"/>
  <c r="L1361" i="16"/>
  <c r="K1361" i="16"/>
  <c r="J1361" i="16"/>
  <c r="I1361" i="16"/>
  <c r="H1361" i="16"/>
  <c r="G1361" i="16"/>
  <c r="F1361" i="16"/>
  <c r="E1361" i="16"/>
  <c r="D1361" i="16"/>
  <c r="C1361" i="16"/>
  <c r="P1360" i="16"/>
  <c r="O1360" i="16"/>
  <c r="N1360" i="16"/>
  <c r="M1360" i="16"/>
  <c r="L1360" i="16"/>
  <c r="K1360" i="16"/>
  <c r="J1360" i="16"/>
  <c r="I1360" i="16"/>
  <c r="H1360" i="16"/>
  <c r="G1360" i="16"/>
  <c r="F1360" i="16"/>
  <c r="E1360" i="16"/>
  <c r="D1360" i="16"/>
  <c r="C1360" i="16"/>
  <c r="P1359" i="16"/>
  <c r="O1359" i="16"/>
  <c r="N1359" i="16"/>
  <c r="M1359" i="16"/>
  <c r="L1359" i="16"/>
  <c r="K1359" i="16"/>
  <c r="J1359" i="16"/>
  <c r="I1359" i="16"/>
  <c r="H1359" i="16"/>
  <c r="G1359" i="16"/>
  <c r="F1359" i="16"/>
  <c r="E1359" i="16"/>
  <c r="D1359" i="16"/>
  <c r="C1359" i="16"/>
  <c r="P1358" i="16"/>
  <c r="O1358" i="16"/>
  <c r="N1358" i="16"/>
  <c r="M1358" i="16"/>
  <c r="L1358" i="16"/>
  <c r="K1358" i="16"/>
  <c r="J1358" i="16"/>
  <c r="I1358" i="16"/>
  <c r="H1358" i="16"/>
  <c r="G1358" i="16"/>
  <c r="F1358" i="16"/>
  <c r="E1358" i="16"/>
  <c r="D1358" i="16"/>
  <c r="C1358" i="16"/>
  <c r="P1357" i="16"/>
  <c r="O1357" i="16"/>
  <c r="N1357" i="16"/>
  <c r="M1357" i="16"/>
  <c r="L1357" i="16"/>
  <c r="K1357" i="16"/>
  <c r="J1357" i="16"/>
  <c r="I1357" i="16"/>
  <c r="H1357" i="16"/>
  <c r="G1357" i="16"/>
  <c r="F1357" i="16"/>
  <c r="E1357" i="16"/>
  <c r="D1357" i="16"/>
  <c r="C1357" i="16"/>
  <c r="P1356" i="16"/>
  <c r="O1356" i="16"/>
  <c r="N1356" i="16"/>
  <c r="M1356" i="16"/>
  <c r="L1356" i="16"/>
  <c r="K1356" i="16"/>
  <c r="J1356" i="16"/>
  <c r="I1356" i="16"/>
  <c r="H1356" i="16"/>
  <c r="G1356" i="16"/>
  <c r="F1356" i="16"/>
  <c r="E1356" i="16"/>
  <c r="D1356" i="16"/>
  <c r="C1356" i="16"/>
  <c r="P1355" i="16"/>
  <c r="O1355" i="16"/>
  <c r="N1355" i="16"/>
  <c r="M1355" i="16"/>
  <c r="L1355" i="16"/>
  <c r="K1355" i="16"/>
  <c r="J1355" i="16"/>
  <c r="I1355" i="16"/>
  <c r="H1355" i="16"/>
  <c r="G1355" i="16"/>
  <c r="F1355" i="16"/>
  <c r="E1355" i="16"/>
  <c r="D1355" i="16"/>
  <c r="C1355" i="16"/>
  <c r="P1354" i="16"/>
  <c r="O1354" i="16"/>
  <c r="N1354" i="16"/>
  <c r="M1354" i="16"/>
  <c r="L1354" i="16"/>
  <c r="K1354" i="16"/>
  <c r="J1354" i="16"/>
  <c r="I1354" i="16"/>
  <c r="H1354" i="16"/>
  <c r="G1354" i="16"/>
  <c r="F1354" i="16"/>
  <c r="E1354" i="16"/>
  <c r="D1354" i="16"/>
  <c r="C1354" i="16"/>
  <c r="P1353" i="16"/>
  <c r="O1353" i="16"/>
  <c r="N1353" i="16"/>
  <c r="M1353" i="16"/>
  <c r="L1353" i="16"/>
  <c r="K1353" i="16"/>
  <c r="J1353" i="16"/>
  <c r="I1353" i="16"/>
  <c r="H1353" i="16"/>
  <c r="G1353" i="16"/>
  <c r="F1353" i="16"/>
  <c r="E1353" i="16"/>
  <c r="D1353" i="16"/>
  <c r="C1353" i="16"/>
  <c r="P1352" i="16"/>
  <c r="O1352" i="16"/>
  <c r="N1352" i="16"/>
  <c r="M1352" i="16"/>
  <c r="L1352" i="16"/>
  <c r="K1352" i="16"/>
  <c r="J1352" i="16"/>
  <c r="I1352" i="16"/>
  <c r="H1352" i="16"/>
  <c r="G1352" i="16"/>
  <c r="F1352" i="16"/>
  <c r="E1352" i="16"/>
  <c r="D1352" i="16"/>
  <c r="C1352" i="16"/>
  <c r="P1351" i="16"/>
  <c r="O1351" i="16"/>
  <c r="N1351" i="16"/>
  <c r="M1351" i="16"/>
  <c r="L1351" i="16"/>
  <c r="K1351" i="16"/>
  <c r="J1351" i="16"/>
  <c r="I1351" i="16"/>
  <c r="H1351" i="16"/>
  <c r="G1351" i="16"/>
  <c r="F1351" i="16"/>
  <c r="E1351" i="16"/>
  <c r="D1351" i="16"/>
  <c r="C1351" i="16"/>
  <c r="P1350" i="16"/>
  <c r="O1350" i="16"/>
  <c r="N1350" i="16"/>
  <c r="M1350" i="16"/>
  <c r="L1350" i="16"/>
  <c r="K1350" i="16"/>
  <c r="J1350" i="16"/>
  <c r="I1350" i="16"/>
  <c r="H1350" i="16"/>
  <c r="G1350" i="16"/>
  <c r="F1350" i="16"/>
  <c r="E1350" i="16"/>
  <c r="D1350" i="16"/>
  <c r="C1350" i="16"/>
  <c r="P1349" i="16"/>
  <c r="O1349" i="16"/>
  <c r="N1349" i="16"/>
  <c r="M1349" i="16"/>
  <c r="L1349" i="16"/>
  <c r="K1349" i="16"/>
  <c r="J1349" i="16"/>
  <c r="I1349" i="16"/>
  <c r="H1349" i="16"/>
  <c r="G1349" i="16"/>
  <c r="F1349" i="16"/>
  <c r="E1349" i="16"/>
  <c r="D1349" i="16"/>
  <c r="C1349" i="16"/>
  <c r="P1348" i="16"/>
  <c r="O1348" i="16"/>
  <c r="N1348" i="16"/>
  <c r="M1348" i="16"/>
  <c r="L1348" i="16"/>
  <c r="K1348" i="16"/>
  <c r="J1348" i="16"/>
  <c r="I1348" i="16"/>
  <c r="H1348" i="16"/>
  <c r="G1348" i="16"/>
  <c r="F1348" i="16"/>
  <c r="E1348" i="16"/>
  <c r="D1348" i="16"/>
  <c r="C1348" i="16"/>
  <c r="P1347" i="16"/>
  <c r="O1347" i="16"/>
  <c r="N1347" i="16"/>
  <c r="M1347" i="16"/>
  <c r="L1347" i="16"/>
  <c r="K1347" i="16"/>
  <c r="J1347" i="16"/>
  <c r="I1347" i="16"/>
  <c r="H1347" i="16"/>
  <c r="G1347" i="16"/>
  <c r="F1347" i="16"/>
  <c r="E1347" i="16"/>
  <c r="D1347" i="16"/>
  <c r="C1347" i="16"/>
  <c r="P1346" i="16"/>
  <c r="O1346" i="16"/>
  <c r="N1346" i="16"/>
  <c r="M1346" i="16"/>
  <c r="L1346" i="16"/>
  <c r="K1346" i="16"/>
  <c r="J1346" i="16"/>
  <c r="I1346" i="16"/>
  <c r="H1346" i="16"/>
  <c r="G1346" i="16"/>
  <c r="F1346" i="16"/>
  <c r="E1346" i="16"/>
  <c r="D1346" i="16"/>
  <c r="C1346" i="16"/>
  <c r="P1345" i="16"/>
  <c r="O1345" i="16"/>
  <c r="N1345" i="16"/>
  <c r="M1345" i="16"/>
  <c r="L1345" i="16"/>
  <c r="K1345" i="16"/>
  <c r="J1345" i="16"/>
  <c r="I1345" i="16"/>
  <c r="H1345" i="16"/>
  <c r="G1345" i="16"/>
  <c r="F1345" i="16"/>
  <c r="E1345" i="16"/>
  <c r="D1345" i="16"/>
  <c r="C1345" i="16"/>
  <c r="P1344" i="16"/>
  <c r="O1344" i="16"/>
  <c r="N1344" i="16"/>
  <c r="M1344" i="16"/>
  <c r="L1344" i="16"/>
  <c r="K1344" i="16"/>
  <c r="J1344" i="16"/>
  <c r="I1344" i="16"/>
  <c r="H1344" i="16"/>
  <c r="G1344" i="16"/>
  <c r="F1344" i="16"/>
  <c r="E1344" i="16"/>
  <c r="D1344" i="16"/>
  <c r="C1344" i="16"/>
  <c r="P1343" i="16"/>
  <c r="O1343" i="16"/>
  <c r="N1343" i="16"/>
  <c r="M1343" i="16"/>
  <c r="L1343" i="16"/>
  <c r="K1343" i="16"/>
  <c r="J1343" i="16"/>
  <c r="I1343" i="16"/>
  <c r="H1343" i="16"/>
  <c r="G1343" i="16"/>
  <c r="F1343" i="16"/>
  <c r="E1343" i="16"/>
  <c r="D1343" i="16"/>
  <c r="C1343" i="16"/>
  <c r="P1342" i="16"/>
  <c r="O1342" i="16"/>
  <c r="N1342" i="16"/>
  <c r="M1342" i="16"/>
  <c r="L1342" i="16"/>
  <c r="K1342" i="16"/>
  <c r="J1342" i="16"/>
  <c r="I1342" i="16"/>
  <c r="H1342" i="16"/>
  <c r="G1342" i="16"/>
  <c r="F1342" i="16"/>
  <c r="E1342" i="16"/>
  <c r="D1342" i="16"/>
  <c r="C1342" i="16"/>
  <c r="P1341" i="16"/>
  <c r="O1341" i="16"/>
  <c r="N1341" i="16"/>
  <c r="M1341" i="16"/>
  <c r="L1341" i="16"/>
  <c r="K1341" i="16"/>
  <c r="J1341" i="16"/>
  <c r="I1341" i="16"/>
  <c r="H1341" i="16"/>
  <c r="G1341" i="16"/>
  <c r="F1341" i="16"/>
  <c r="E1341" i="16"/>
  <c r="D1341" i="16"/>
  <c r="C1341" i="16"/>
  <c r="P1340" i="16"/>
  <c r="O1340" i="16"/>
  <c r="N1340" i="16"/>
  <c r="M1340" i="16"/>
  <c r="L1340" i="16"/>
  <c r="K1340" i="16"/>
  <c r="J1340" i="16"/>
  <c r="I1340" i="16"/>
  <c r="H1340" i="16"/>
  <c r="G1340" i="16"/>
  <c r="F1340" i="16"/>
  <c r="E1340" i="16"/>
  <c r="D1340" i="16"/>
  <c r="C1340" i="16"/>
  <c r="P1339" i="16"/>
  <c r="O1339" i="16"/>
  <c r="N1339" i="16"/>
  <c r="M1339" i="16"/>
  <c r="L1339" i="16"/>
  <c r="K1339" i="16"/>
  <c r="J1339" i="16"/>
  <c r="I1339" i="16"/>
  <c r="H1339" i="16"/>
  <c r="G1339" i="16"/>
  <c r="F1339" i="16"/>
  <c r="E1339" i="16"/>
  <c r="D1339" i="16"/>
  <c r="C1339" i="16"/>
  <c r="P1338" i="16"/>
  <c r="O1338" i="16"/>
  <c r="N1338" i="16"/>
  <c r="M1338" i="16"/>
  <c r="L1338" i="16"/>
  <c r="K1338" i="16"/>
  <c r="J1338" i="16"/>
  <c r="I1338" i="16"/>
  <c r="H1338" i="16"/>
  <c r="G1338" i="16"/>
  <c r="F1338" i="16"/>
  <c r="E1338" i="16"/>
  <c r="D1338" i="16"/>
  <c r="C1338" i="16"/>
  <c r="P1337" i="16"/>
  <c r="O1337" i="16"/>
  <c r="N1337" i="16"/>
  <c r="M1337" i="16"/>
  <c r="L1337" i="16"/>
  <c r="K1337" i="16"/>
  <c r="J1337" i="16"/>
  <c r="I1337" i="16"/>
  <c r="H1337" i="16"/>
  <c r="G1337" i="16"/>
  <c r="F1337" i="16"/>
  <c r="E1337" i="16"/>
  <c r="D1337" i="16"/>
  <c r="C1337" i="16"/>
  <c r="P1336" i="16"/>
  <c r="O1336" i="16"/>
  <c r="N1336" i="16"/>
  <c r="M1336" i="16"/>
  <c r="L1336" i="16"/>
  <c r="K1336" i="16"/>
  <c r="J1336" i="16"/>
  <c r="I1336" i="16"/>
  <c r="H1336" i="16"/>
  <c r="G1336" i="16"/>
  <c r="F1336" i="16"/>
  <c r="E1336" i="16"/>
  <c r="D1336" i="16"/>
  <c r="C1336" i="16"/>
  <c r="P1335" i="16"/>
  <c r="O1335" i="16"/>
  <c r="N1335" i="16"/>
  <c r="M1335" i="16"/>
  <c r="L1335" i="16"/>
  <c r="K1335" i="16"/>
  <c r="J1335" i="16"/>
  <c r="I1335" i="16"/>
  <c r="H1335" i="16"/>
  <c r="G1335" i="16"/>
  <c r="F1335" i="16"/>
  <c r="E1335" i="16"/>
  <c r="D1335" i="16"/>
  <c r="C1335" i="16"/>
  <c r="P1334" i="16"/>
  <c r="O1334" i="16"/>
  <c r="N1334" i="16"/>
  <c r="M1334" i="16"/>
  <c r="L1334" i="16"/>
  <c r="K1334" i="16"/>
  <c r="J1334" i="16"/>
  <c r="I1334" i="16"/>
  <c r="H1334" i="16"/>
  <c r="G1334" i="16"/>
  <c r="F1334" i="16"/>
  <c r="E1334" i="16"/>
  <c r="D1334" i="16"/>
  <c r="C1334" i="16"/>
  <c r="P1333" i="16"/>
  <c r="O1333" i="16"/>
  <c r="N1333" i="16"/>
  <c r="M1333" i="16"/>
  <c r="L1333" i="16"/>
  <c r="K1333" i="16"/>
  <c r="J1333" i="16"/>
  <c r="I1333" i="16"/>
  <c r="H1333" i="16"/>
  <c r="G1333" i="16"/>
  <c r="F1333" i="16"/>
  <c r="E1333" i="16"/>
  <c r="D1333" i="16"/>
  <c r="C1333" i="16"/>
  <c r="P1332" i="16"/>
  <c r="O1332" i="16"/>
  <c r="N1332" i="16"/>
  <c r="M1332" i="16"/>
  <c r="L1332" i="16"/>
  <c r="K1332" i="16"/>
  <c r="J1332" i="16"/>
  <c r="I1332" i="16"/>
  <c r="H1332" i="16"/>
  <c r="G1332" i="16"/>
  <c r="F1332" i="16"/>
  <c r="E1332" i="16"/>
  <c r="D1332" i="16"/>
  <c r="C1332" i="16"/>
  <c r="P1331" i="16"/>
  <c r="O1331" i="16"/>
  <c r="N1331" i="16"/>
  <c r="M1331" i="16"/>
  <c r="L1331" i="16"/>
  <c r="K1331" i="16"/>
  <c r="J1331" i="16"/>
  <c r="I1331" i="16"/>
  <c r="H1331" i="16"/>
  <c r="G1331" i="16"/>
  <c r="F1331" i="16"/>
  <c r="E1331" i="16"/>
  <c r="D1331" i="16"/>
  <c r="C1331" i="16"/>
  <c r="P1330" i="16"/>
  <c r="O1330" i="16"/>
  <c r="N1330" i="16"/>
  <c r="M1330" i="16"/>
  <c r="L1330" i="16"/>
  <c r="K1330" i="16"/>
  <c r="J1330" i="16"/>
  <c r="I1330" i="16"/>
  <c r="H1330" i="16"/>
  <c r="G1330" i="16"/>
  <c r="F1330" i="16"/>
  <c r="E1330" i="16"/>
  <c r="D1330" i="16"/>
  <c r="C1330" i="16"/>
  <c r="P1329" i="16"/>
  <c r="O1329" i="16"/>
  <c r="N1329" i="16"/>
  <c r="M1329" i="16"/>
  <c r="L1329" i="16"/>
  <c r="K1329" i="16"/>
  <c r="J1329" i="16"/>
  <c r="I1329" i="16"/>
  <c r="H1329" i="16"/>
  <c r="G1329" i="16"/>
  <c r="F1329" i="16"/>
  <c r="E1329" i="16"/>
  <c r="D1329" i="16"/>
  <c r="C1329" i="16"/>
  <c r="P1328" i="16"/>
  <c r="O1328" i="16"/>
  <c r="N1328" i="16"/>
  <c r="M1328" i="16"/>
  <c r="L1328" i="16"/>
  <c r="K1328" i="16"/>
  <c r="J1328" i="16"/>
  <c r="I1328" i="16"/>
  <c r="H1328" i="16"/>
  <c r="G1328" i="16"/>
  <c r="F1328" i="16"/>
  <c r="E1328" i="16"/>
  <c r="D1328" i="16"/>
  <c r="C1328" i="16"/>
  <c r="P1327" i="16"/>
  <c r="O1327" i="16"/>
  <c r="N1327" i="16"/>
  <c r="M1327" i="16"/>
  <c r="L1327" i="16"/>
  <c r="K1327" i="16"/>
  <c r="J1327" i="16"/>
  <c r="I1327" i="16"/>
  <c r="H1327" i="16"/>
  <c r="G1327" i="16"/>
  <c r="F1327" i="16"/>
  <c r="E1327" i="16"/>
  <c r="D1327" i="16"/>
  <c r="C1327" i="16"/>
  <c r="P1326" i="16"/>
  <c r="O1326" i="16"/>
  <c r="N1326" i="16"/>
  <c r="M1326" i="16"/>
  <c r="L1326" i="16"/>
  <c r="K1326" i="16"/>
  <c r="J1326" i="16"/>
  <c r="I1326" i="16"/>
  <c r="H1326" i="16"/>
  <c r="G1326" i="16"/>
  <c r="F1326" i="16"/>
  <c r="E1326" i="16"/>
  <c r="D1326" i="16"/>
  <c r="C1326" i="16"/>
  <c r="P1325" i="16"/>
  <c r="O1325" i="16"/>
  <c r="N1325" i="16"/>
  <c r="M1325" i="16"/>
  <c r="L1325" i="16"/>
  <c r="K1325" i="16"/>
  <c r="J1325" i="16"/>
  <c r="I1325" i="16"/>
  <c r="H1325" i="16"/>
  <c r="G1325" i="16"/>
  <c r="F1325" i="16"/>
  <c r="E1325" i="16"/>
  <c r="D1325" i="16"/>
  <c r="C1325" i="16"/>
  <c r="P1324" i="16"/>
  <c r="O1324" i="16"/>
  <c r="N1324" i="16"/>
  <c r="M1324" i="16"/>
  <c r="L1324" i="16"/>
  <c r="K1324" i="16"/>
  <c r="J1324" i="16"/>
  <c r="I1324" i="16"/>
  <c r="H1324" i="16"/>
  <c r="G1324" i="16"/>
  <c r="F1324" i="16"/>
  <c r="E1324" i="16"/>
  <c r="D1324" i="16"/>
  <c r="C1324" i="16"/>
  <c r="P1323" i="16"/>
  <c r="O1323" i="16"/>
  <c r="N1323" i="16"/>
  <c r="M1323" i="16"/>
  <c r="L1323" i="16"/>
  <c r="K1323" i="16"/>
  <c r="J1323" i="16"/>
  <c r="I1323" i="16"/>
  <c r="H1323" i="16"/>
  <c r="G1323" i="16"/>
  <c r="F1323" i="16"/>
  <c r="E1323" i="16"/>
  <c r="D1323" i="16"/>
  <c r="C1323" i="16"/>
  <c r="P1322" i="16"/>
  <c r="O1322" i="16"/>
  <c r="N1322" i="16"/>
  <c r="M1322" i="16"/>
  <c r="L1322" i="16"/>
  <c r="K1322" i="16"/>
  <c r="J1322" i="16"/>
  <c r="I1322" i="16"/>
  <c r="H1322" i="16"/>
  <c r="G1322" i="16"/>
  <c r="F1322" i="16"/>
  <c r="E1322" i="16"/>
  <c r="D1322" i="16"/>
  <c r="C1322" i="16"/>
  <c r="P1321" i="16"/>
  <c r="O1321" i="16"/>
  <c r="N1321" i="16"/>
  <c r="M1321" i="16"/>
  <c r="L1321" i="16"/>
  <c r="K1321" i="16"/>
  <c r="J1321" i="16"/>
  <c r="I1321" i="16"/>
  <c r="H1321" i="16"/>
  <c r="G1321" i="16"/>
  <c r="F1321" i="16"/>
  <c r="E1321" i="16"/>
  <c r="D1321" i="16"/>
  <c r="C1321" i="16"/>
  <c r="P1320" i="16"/>
  <c r="O1320" i="16"/>
  <c r="N1320" i="16"/>
  <c r="M1320" i="16"/>
  <c r="L1320" i="16"/>
  <c r="K1320" i="16"/>
  <c r="J1320" i="16"/>
  <c r="I1320" i="16"/>
  <c r="H1320" i="16"/>
  <c r="G1320" i="16"/>
  <c r="F1320" i="16"/>
  <c r="E1320" i="16"/>
  <c r="D1320" i="16"/>
  <c r="C1320" i="16"/>
  <c r="P1319" i="16"/>
  <c r="O1319" i="16"/>
  <c r="N1319" i="16"/>
  <c r="M1319" i="16"/>
  <c r="L1319" i="16"/>
  <c r="K1319" i="16"/>
  <c r="J1319" i="16"/>
  <c r="I1319" i="16"/>
  <c r="H1319" i="16"/>
  <c r="G1319" i="16"/>
  <c r="F1319" i="16"/>
  <c r="E1319" i="16"/>
  <c r="D1319" i="16"/>
  <c r="C1319" i="16"/>
  <c r="P1318" i="16"/>
  <c r="O1318" i="16"/>
  <c r="N1318" i="16"/>
  <c r="M1318" i="16"/>
  <c r="L1318" i="16"/>
  <c r="K1318" i="16"/>
  <c r="J1318" i="16"/>
  <c r="I1318" i="16"/>
  <c r="H1318" i="16"/>
  <c r="G1318" i="16"/>
  <c r="F1318" i="16"/>
  <c r="E1318" i="16"/>
  <c r="D1318" i="16"/>
  <c r="C1318" i="16"/>
  <c r="P1317" i="16"/>
  <c r="O1317" i="16"/>
  <c r="N1317" i="16"/>
  <c r="M1317" i="16"/>
  <c r="L1317" i="16"/>
  <c r="K1317" i="16"/>
  <c r="J1317" i="16"/>
  <c r="I1317" i="16"/>
  <c r="H1317" i="16"/>
  <c r="G1317" i="16"/>
  <c r="F1317" i="16"/>
  <c r="E1317" i="16"/>
  <c r="D1317" i="16"/>
  <c r="C1317" i="16"/>
  <c r="P1316" i="16"/>
  <c r="O1316" i="16"/>
  <c r="N1316" i="16"/>
  <c r="M1316" i="16"/>
  <c r="L1316" i="16"/>
  <c r="K1316" i="16"/>
  <c r="J1316" i="16"/>
  <c r="I1316" i="16"/>
  <c r="H1316" i="16"/>
  <c r="G1316" i="16"/>
  <c r="F1316" i="16"/>
  <c r="E1316" i="16"/>
  <c r="D1316" i="16"/>
  <c r="C1316" i="16"/>
  <c r="P1315" i="16"/>
  <c r="O1315" i="16"/>
  <c r="N1315" i="16"/>
  <c r="M1315" i="16"/>
  <c r="L1315" i="16"/>
  <c r="K1315" i="16"/>
  <c r="J1315" i="16"/>
  <c r="I1315" i="16"/>
  <c r="H1315" i="16"/>
  <c r="G1315" i="16"/>
  <c r="F1315" i="16"/>
  <c r="E1315" i="16"/>
  <c r="D1315" i="16"/>
  <c r="C1315" i="16"/>
  <c r="P1314" i="16"/>
  <c r="O1314" i="16"/>
  <c r="N1314" i="16"/>
  <c r="M1314" i="16"/>
  <c r="L1314" i="16"/>
  <c r="K1314" i="16"/>
  <c r="J1314" i="16"/>
  <c r="I1314" i="16"/>
  <c r="H1314" i="16"/>
  <c r="G1314" i="16"/>
  <c r="F1314" i="16"/>
  <c r="E1314" i="16"/>
  <c r="D1314" i="16"/>
  <c r="C1314" i="16"/>
  <c r="P1313" i="16"/>
  <c r="O1313" i="16"/>
  <c r="N1313" i="16"/>
  <c r="M1313" i="16"/>
  <c r="L1313" i="16"/>
  <c r="K1313" i="16"/>
  <c r="J1313" i="16"/>
  <c r="I1313" i="16"/>
  <c r="H1313" i="16"/>
  <c r="G1313" i="16"/>
  <c r="F1313" i="16"/>
  <c r="E1313" i="16"/>
  <c r="D1313" i="16"/>
  <c r="C1313" i="16"/>
  <c r="P1312" i="16"/>
  <c r="O1312" i="16"/>
  <c r="N1312" i="16"/>
  <c r="M1312" i="16"/>
  <c r="L1312" i="16"/>
  <c r="K1312" i="16"/>
  <c r="J1312" i="16"/>
  <c r="I1312" i="16"/>
  <c r="H1312" i="16"/>
  <c r="G1312" i="16"/>
  <c r="F1312" i="16"/>
  <c r="E1312" i="16"/>
  <c r="D1312" i="16"/>
  <c r="C1312" i="16"/>
  <c r="P1311" i="16"/>
  <c r="O1311" i="16"/>
  <c r="N1311" i="16"/>
  <c r="M1311" i="16"/>
  <c r="L1311" i="16"/>
  <c r="K1311" i="16"/>
  <c r="J1311" i="16"/>
  <c r="I1311" i="16"/>
  <c r="H1311" i="16"/>
  <c r="G1311" i="16"/>
  <c r="F1311" i="16"/>
  <c r="E1311" i="16"/>
  <c r="D1311" i="16"/>
  <c r="C1311" i="16"/>
  <c r="P1310" i="16"/>
  <c r="O1310" i="16"/>
  <c r="N1310" i="16"/>
  <c r="M1310" i="16"/>
  <c r="L1310" i="16"/>
  <c r="K1310" i="16"/>
  <c r="J1310" i="16"/>
  <c r="I1310" i="16"/>
  <c r="H1310" i="16"/>
  <c r="G1310" i="16"/>
  <c r="F1310" i="16"/>
  <c r="E1310" i="16"/>
  <c r="D1310" i="16"/>
  <c r="C1310" i="16"/>
  <c r="P1309" i="16"/>
  <c r="O1309" i="16"/>
  <c r="N1309" i="16"/>
  <c r="M1309" i="16"/>
  <c r="L1309" i="16"/>
  <c r="K1309" i="16"/>
  <c r="J1309" i="16"/>
  <c r="I1309" i="16"/>
  <c r="H1309" i="16"/>
  <c r="G1309" i="16"/>
  <c r="F1309" i="16"/>
  <c r="E1309" i="16"/>
  <c r="D1309" i="16"/>
  <c r="C1309" i="16"/>
  <c r="P1308" i="16"/>
  <c r="O1308" i="16"/>
  <c r="N1308" i="16"/>
  <c r="M1308" i="16"/>
  <c r="L1308" i="16"/>
  <c r="K1308" i="16"/>
  <c r="J1308" i="16"/>
  <c r="I1308" i="16"/>
  <c r="H1308" i="16"/>
  <c r="G1308" i="16"/>
  <c r="F1308" i="16"/>
  <c r="E1308" i="16"/>
  <c r="D1308" i="16"/>
  <c r="C1308" i="16"/>
  <c r="P1307" i="16"/>
  <c r="O1307" i="16"/>
  <c r="N1307" i="16"/>
  <c r="M1307" i="16"/>
  <c r="L1307" i="16"/>
  <c r="K1307" i="16"/>
  <c r="J1307" i="16"/>
  <c r="I1307" i="16"/>
  <c r="H1307" i="16"/>
  <c r="G1307" i="16"/>
  <c r="F1307" i="16"/>
  <c r="E1307" i="16"/>
  <c r="D1307" i="16"/>
  <c r="C1307" i="16"/>
  <c r="P1306" i="16"/>
  <c r="O1306" i="16"/>
  <c r="N1306" i="16"/>
  <c r="M1306" i="16"/>
  <c r="L1306" i="16"/>
  <c r="K1306" i="16"/>
  <c r="J1306" i="16"/>
  <c r="I1306" i="16"/>
  <c r="H1306" i="16"/>
  <c r="G1306" i="16"/>
  <c r="F1306" i="16"/>
  <c r="E1306" i="16"/>
  <c r="D1306" i="16"/>
  <c r="C1306" i="16"/>
  <c r="P1305" i="16"/>
  <c r="O1305" i="16"/>
  <c r="N1305" i="16"/>
  <c r="M1305" i="16"/>
  <c r="L1305" i="16"/>
  <c r="K1305" i="16"/>
  <c r="J1305" i="16"/>
  <c r="I1305" i="16"/>
  <c r="H1305" i="16"/>
  <c r="G1305" i="16"/>
  <c r="F1305" i="16"/>
  <c r="E1305" i="16"/>
  <c r="D1305" i="16"/>
  <c r="C1305" i="16"/>
  <c r="P1304" i="16"/>
  <c r="O1304" i="16"/>
  <c r="N1304" i="16"/>
  <c r="M1304" i="16"/>
  <c r="L1304" i="16"/>
  <c r="K1304" i="16"/>
  <c r="J1304" i="16"/>
  <c r="I1304" i="16"/>
  <c r="H1304" i="16"/>
  <c r="G1304" i="16"/>
  <c r="F1304" i="16"/>
  <c r="E1304" i="16"/>
  <c r="D1304" i="16"/>
  <c r="C1304" i="16"/>
  <c r="P1303" i="16"/>
  <c r="O1303" i="16"/>
  <c r="N1303" i="16"/>
  <c r="M1303" i="16"/>
  <c r="L1303" i="16"/>
  <c r="K1303" i="16"/>
  <c r="J1303" i="16"/>
  <c r="I1303" i="16"/>
  <c r="H1303" i="16"/>
  <c r="G1303" i="16"/>
  <c r="F1303" i="16"/>
  <c r="E1303" i="16"/>
  <c r="D1303" i="16"/>
  <c r="C1303" i="16"/>
  <c r="P1302" i="16"/>
  <c r="O1302" i="16"/>
  <c r="N1302" i="16"/>
  <c r="M1302" i="16"/>
  <c r="L1302" i="16"/>
  <c r="K1302" i="16"/>
  <c r="J1302" i="16"/>
  <c r="I1302" i="16"/>
  <c r="H1302" i="16"/>
  <c r="G1302" i="16"/>
  <c r="F1302" i="16"/>
  <c r="E1302" i="16"/>
  <c r="D1302" i="16"/>
  <c r="C1302" i="16"/>
  <c r="P1301" i="16"/>
  <c r="O1301" i="16"/>
  <c r="N1301" i="16"/>
  <c r="M1301" i="16"/>
  <c r="L1301" i="16"/>
  <c r="K1301" i="16"/>
  <c r="J1301" i="16"/>
  <c r="I1301" i="16"/>
  <c r="H1301" i="16"/>
  <c r="G1301" i="16"/>
  <c r="F1301" i="16"/>
  <c r="E1301" i="16"/>
  <c r="D1301" i="16"/>
  <c r="C1301" i="16"/>
  <c r="P1300" i="16"/>
  <c r="O1300" i="16"/>
  <c r="N1300" i="16"/>
  <c r="M1300" i="16"/>
  <c r="L1300" i="16"/>
  <c r="K1300" i="16"/>
  <c r="J1300" i="16"/>
  <c r="I1300" i="16"/>
  <c r="H1300" i="16"/>
  <c r="G1300" i="16"/>
  <c r="F1300" i="16"/>
  <c r="E1300" i="16"/>
  <c r="D1300" i="16"/>
  <c r="C1300" i="16"/>
  <c r="P1299" i="16"/>
  <c r="O1299" i="16"/>
  <c r="N1299" i="16"/>
  <c r="M1299" i="16"/>
  <c r="L1299" i="16"/>
  <c r="K1299" i="16"/>
  <c r="J1299" i="16"/>
  <c r="I1299" i="16"/>
  <c r="H1299" i="16"/>
  <c r="G1299" i="16"/>
  <c r="F1299" i="16"/>
  <c r="E1299" i="16"/>
  <c r="D1299" i="16"/>
  <c r="C1299" i="16"/>
  <c r="P1298" i="16"/>
  <c r="O1298" i="16"/>
  <c r="N1298" i="16"/>
  <c r="M1298" i="16"/>
  <c r="L1298" i="16"/>
  <c r="K1298" i="16"/>
  <c r="J1298" i="16"/>
  <c r="I1298" i="16"/>
  <c r="H1298" i="16"/>
  <c r="G1298" i="16"/>
  <c r="F1298" i="16"/>
  <c r="E1298" i="16"/>
  <c r="D1298" i="16"/>
  <c r="C1298" i="16"/>
  <c r="P1297" i="16"/>
  <c r="O1297" i="16"/>
  <c r="N1297" i="16"/>
  <c r="M1297" i="16"/>
  <c r="L1297" i="16"/>
  <c r="K1297" i="16"/>
  <c r="J1297" i="16"/>
  <c r="I1297" i="16"/>
  <c r="H1297" i="16"/>
  <c r="G1297" i="16"/>
  <c r="F1297" i="16"/>
  <c r="E1297" i="16"/>
  <c r="D1297" i="16"/>
  <c r="C1297" i="16"/>
  <c r="P1296" i="16"/>
  <c r="O1296" i="16"/>
  <c r="N1296" i="16"/>
  <c r="M1296" i="16"/>
  <c r="L1296" i="16"/>
  <c r="K1296" i="16"/>
  <c r="J1296" i="16"/>
  <c r="I1296" i="16"/>
  <c r="H1296" i="16"/>
  <c r="G1296" i="16"/>
  <c r="F1296" i="16"/>
  <c r="E1296" i="16"/>
  <c r="D1296" i="16"/>
  <c r="C1296" i="16"/>
  <c r="P1295" i="16"/>
  <c r="O1295" i="16"/>
  <c r="N1295" i="16"/>
  <c r="M1295" i="16"/>
  <c r="L1295" i="16"/>
  <c r="K1295" i="16"/>
  <c r="J1295" i="16"/>
  <c r="I1295" i="16"/>
  <c r="H1295" i="16"/>
  <c r="G1295" i="16"/>
  <c r="F1295" i="16"/>
  <c r="E1295" i="16"/>
  <c r="D1295" i="16"/>
  <c r="C1295" i="16"/>
  <c r="P1294" i="16"/>
  <c r="O1294" i="16"/>
  <c r="N1294" i="16"/>
  <c r="M1294" i="16"/>
  <c r="L1294" i="16"/>
  <c r="K1294" i="16"/>
  <c r="J1294" i="16"/>
  <c r="I1294" i="16"/>
  <c r="H1294" i="16"/>
  <c r="G1294" i="16"/>
  <c r="F1294" i="16"/>
  <c r="E1294" i="16"/>
  <c r="D1294" i="16"/>
  <c r="C1294" i="16"/>
  <c r="P1293" i="16"/>
  <c r="O1293" i="16"/>
  <c r="N1293" i="16"/>
  <c r="M1293" i="16"/>
  <c r="L1293" i="16"/>
  <c r="K1293" i="16"/>
  <c r="J1293" i="16"/>
  <c r="I1293" i="16"/>
  <c r="H1293" i="16"/>
  <c r="G1293" i="16"/>
  <c r="F1293" i="16"/>
  <c r="E1293" i="16"/>
  <c r="D1293" i="16"/>
  <c r="C1293" i="16"/>
  <c r="P1292" i="16"/>
  <c r="O1292" i="16"/>
  <c r="N1292" i="16"/>
  <c r="M1292" i="16"/>
  <c r="L1292" i="16"/>
  <c r="K1292" i="16"/>
  <c r="J1292" i="16"/>
  <c r="I1292" i="16"/>
  <c r="H1292" i="16"/>
  <c r="G1292" i="16"/>
  <c r="F1292" i="16"/>
  <c r="E1292" i="16"/>
  <c r="D1292" i="16"/>
  <c r="C1292" i="16"/>
  <c r="P1291" i="16"/>
  <c r="O1291" i="16"/>
  <c r="N1291" i="16"/>
  <c r="M1291" i="16"/>
  <c r="L1291" i="16"/>
  <c r="K1291" i="16"/>
  <c r="J1291" i="16"/>
  <c r="I1291" i="16"/>
  <c r="H1291" i="16"/>
  <c r="G1291" i="16"/>
  <c r="F1291" i="16"/>
  <c r="E1291" i="16"/>
  <c r="D1291" i="16"/>
  <c r="C1291" i="16"/>
  <c r="P1290" i="16"/>
  <c r="O1290" i="16"/>
  <c r="N1290" i="16"/>
  <c r="M1290" i="16"/>
  <c r="L1290" i="16"/>
  <c r="K1290" i="16"/>
  <c r="J1290" i="16"/>
  <c r="I1290" i="16"/>
  <c r="H1290" i="16"/>
  <c r="G1290" i="16"/>
  <c r="F1290" i="16"/>
  <c r="E1290" i="16"/>
  <c r="D1290" i="16"/>
  <c r="C1290" i="16"/>
  <c r="P1289" i="16"/>
  <c r="O1289" i="16"/>
  <c r="N1289" i="16"/>
  <c r="M1289" i="16"/>
  <c r="L1289" i="16"/>
  <c r="K1289" i="16"/>
  <c r="J1289" i="16"/>
  <c r="I1289" i="16"/>
  <c r="H1289" i="16"/>
  <c r="G1289" i="16"/>
  <c r="F1289" i="16"/>
  <c r="E1289" i="16"/>
  <c r="D1289" i="16"/>
  <c r="C1289" i="16"/>
  <c r="P1288" i="16"/>
  <c r="O1288" i="16"/>
  <c r="N1288" i="16"/>
  <c r="M1288" i="16"/>
  <c r="L1288" i="16"/>
  <c r="K1288" i="16"/>
  <c r="J1288" i="16"/>
  <c r="I1288" i="16"/>
  <c r="H1288" i="16"/>
  <c r="G1288" i="16"/>
  <c r="F1288" i="16"/>
  <c r="E1288" i="16"/>
  <c r="D1288" i="16"/>
  <c r="C1288" i="16"/>
  <c r="P1287" i="16"/>
  <c r="O1287" i="16"/>
  <c r="N1287" i="16"/>
  <c r="M1287" i="16"/>
  <c r="L1287" i="16"/>
  <c r="K1287" i="16"/>
  <c r="J1287" i="16"/>
  <c r="I1287" i="16"/>
  <c r="H1287" i="16"/>
  <c r="G1287" i="16"/>
  <c r="F1287" i="16"/>
  <c r="E1287" i="16"/>
  <c r="D1287" i="16"/>
  <c r="C1287" i="16"/>
  <c r="P1286" i="16"/>
  <c r="O1286" i="16"/>
  <c r="N1286" i="16"/>
  <c r="M1286" i="16"/>
  <c r="L1286" i="16"/>
  <c r="K1286" i="16"/>
  <c r="J1286" i="16"/>
  <c r="I1286" i="16"/>
  <c r="H1286" i="16"/>
  <c r="G1286" i="16"/>
  <c r="F1286" i="16"/>
  <c r="E1286" i="16"/>
  <c r="D1286" i="16"/>
  <c r="C1286" i="16"/>
  <c r="P1285" i="16"/>
  <c r="O1285" i="16"/>
  <c r="N1285" i="16"/>
  <c r="M1285" i="16"/>
  <c r="L1285" i="16"/>
  <c r="K1285" i="16"/>
  <c r="J1285" i="16"/>
  <c r="I1285" i="16"/>
  <c r="H1285" i="16"/>
  <c r="G1285" i="16"/>
  <c r="F1285" i="16"/>
  <c r="E1285" i="16"/>
  <c r="D1285" i="16"/>
  <c r="C1285" i="16"/>
  <c r="P1284" i="16"/>
  <c r="O1284" i="16"/>
  <c r="N1284" i="16"/>
  <c r="M1284" i="16"/>
  <c r="L1284" i="16"/>
  <c r="K1284" i="16"/>
  <c r="J1284" i="16"/>
  <c r="I1284" i="16"/>
  <c r="H1284" i="16"/>
  <c r="G1284" i="16"/>
  <c r="F1284" i="16"/>
  <c r="E1284" i="16"/>
  <c r="D1284" i="16"/>
  <c r="C1284" i="16"/>
  <c r="P1283" i="16"/>
  <c r="O1283" i="16"/>
  <c r="N1283" i="16"/>
  <c r="M1283" i="16"/>
  <c r="L1283" i="16"/>
  <c r="K1283" i="16"/>
  <c r="J1283" i="16"/>
  <c r="I1283" i="16"/>
  <c r="H1283" i="16"/>
  <c r="G1283" i="16"/>
  <c r="F1283" i="16"/>
  <c r="E1283" i="16"/>
  <c r="D1283" i="16"/>
  <c r="C1283" i="16"/>
  <c r="P1282" i="16"/>
  <c r="O1282" i="16"/>
  <c r="N1282" i="16"/>
  <c r="M1282" i="16"/>
  <c r="L1282" i="16"/>
  <c r="K1282" i="16"/>
  <c r="J1282" i="16"/>
  <c r="I1282" i="16"/>
  <c r="H1282" i="16"/>
  <c r="G1282" i="16"/>
  <c r="F1282" i="16"/>
  <c r="E1282" i="16"/>
  <c r="D1282" i="16"/>
  <c r="C1282" i="16"/>
  <c r="P1281" i="16"/>
  <c r="O1281" i="16"/>
  <c r="N1281" i="16"/>
  <c r="M1281" i="16"/>
  <c r="L1281" i="16"/>
  <c r="K1281" i="16"/>
  <c r="J1281" i="16"/>
  <c r="I1281" i="16"/>
  <c r="H1281" i="16"/>
  <c r="G1281" i="16"/>
  <c r="F1281" i="16"/>
  <c r="E1281" i="16"/>
  <c r="D1281" i="16"/>
  <c r="C1281" i="16"/>
  <c r="P1280" i="16"/>
  <c r="O1280" i="16"/>
  <c r="N1280" i="16"/>
  <c r="M1280" i="16"/>
  <c r="L1280" i="16"/>
  <c r="K1280" i="16"/>
  <c r="J1280" i="16"/>
  <c r="I1280" i="16"/>
  <c r="H1280" i="16"/>
  <c r="G1280" i="16"/>
  <c r="F1280" i="16"/>
  <c r="E1280" i="16"/>
  <c r="D1280" i="16"/>
  <c r="C1280" i="16"/>
  <c r="P1279" i="16"/>
  <c r="O1279" i="16"/>
  <c r="N1279" i="16"/>
  <c r="M1279" i="16"/>
  <c r="L1279" i="16"/>
  <c r="K1279" i="16"/>
  <c r="J1279" i="16"/>
  <c r="I1279" i="16"/>
  <c r="H1279" i="16"/>
  <c r="G1279" i="16"/>
  <c r="F1279" i="16"/>
  <c r="E1279" i="16"/>
  <c r="D1279" i="16"/>
  <c r="C1279" i="16"/>
  <c r="P1278" i="16"/>
  <c r="O1278" i="16"/>
  <c r="N1278" i="16"/>
  <c r="M1278" i="16"/>
  <c r="L1278" i="16"/>
  <c r="K1278" i="16"/>
  <c r="J1278" i="16"/>
  <c r="I1278" i="16"/>
  <c r="H1278" i="16"/>
  <c r="G1278" i="16"/>
  <c r="F1278" i="16"/>
  <c r="E1278" i="16"/>
  <c r="D1278" i="16"/>
  <c r="C1278" i="16"/>
  <c r="P1277" i="16"/>
  <c r="O1277" i="16"/>
  <c r="N1277" i="16"/>
  <c r="M1277" i="16"/>
  <c r="L1277" i="16"/>
  <c r="K1277" i="16"/>
  <c r="J1277" i="16"/>
  <c r="I1277" i="16"/>
  <c r="H1277" i="16"/>
  <c r="G1277" i="16"/>
  <c r="F1277" i="16"/>
  <c r="E1277" i="16"/>
  <c r="D1277" i="16"/>
  <c r="C1277" i="16"/>
  <c r="P1276" i="16"/>
  <c r="O1276" i="16"/>
  <c r="N1276" i="16"/>
  <c r="M1276" i="16"/>
  <c r="L1276" i="16"/>
  <c r="K1276" i="16"/>
  <c r="J1276" i="16"/>
  <c r="I1276" i="16"/>
  <c r="H1276" i="16"/>
  <c r="G1276" i="16"/>
  <c r="F1276" i="16"/>
  <c r="E1276" i="16"/>
  <c r="D1276" i="16"/>
  <c r="C1276" i="16"/>
  <c r="P1275" i="16"/>
  <c r="O1275" i="16"/>
  <c r="N1275" i="16"/>
  <c r="M1275" i="16"/>
  <c r="L1275" i="16"/>
  <c r="K1275" i="16"/>
  <c r="J1275" i="16"/>
  <c r="I1275" i="16"/>
  <c r="H1275" i="16"/>
  <c r="G1275" i="16"/>
  <c r="F1275" i="16"/>
  <c r="E1275" i="16"/>
  <c r="D1275" i="16"/>
  <c r="C1275" i="16"/>
  <c r="P1274" i="16"/>
  <c r="O1274" i="16"/>
  <c r="N1274" i="16"/>
  <c r="M1274" i="16"/>
  <c r="L1274" i="16"/>
  <c r="K1274" i="16"/>
  <c r="J1274" i="16"/>
  <c r="I1274" i="16"/>
  <c r="H1274" i="16"/>
  <c r="G1274" i="16"/>
  <c r="F1274" i="16"/>
  <c r="E1274" i="16"/>
  <c r="D1274" i="16"/>
  <c r="C1274" i="16"/>
  <c r="P1273" i="16"/>
  <c r="O1273" i="16"/>
  <c r="N1273" i="16"/>
  <c r="M1273" i="16"/>
  <c r="L1273" i="16"/>
  <c r="K1273" i="16"/>
  <c r="J1273" i="16"/>
  <c r="I1273" i="16"/>
  <c r="H1273" i="16"/>
  <c r="G1273" i="16"/>
  <c r="F1273" i="16"/>
  <c r="E1273" i="16"/>
  <c r="D1273" i="16"/>
  <c r="C1273" i="16"/>
  <c r="P1272" i="16"/>
  <c r="O1272" i="16"/>
  <c r="N1272" i="16"/>
  <c r="M1272" i="16"/>
  <c r="L1272" i="16"/>
  <c r="K1272" i="16"/>
  <c r="J1272" i="16"/>
  <c r="I1272" i="16"/>
  <c r="H1272" i="16"/>
  <c r="G1272" i="16"/>
  <c r="F1272" i="16"/>
  <c r="E1272" i="16"/>
  <c r="D1272" i="16"/>
  <c r="C1272" i="16"/>
  <c r="P1271" i="16"/>
  <c r="O1271" i="16"/>
  <c r="N1271" i="16"/>
  <c r="M1271" i="16"/>
  <c r="L1271" i="16"/>
  <c r="K1271" i="16"/>
  <c r="J1271" i="16"/>
  <c r="I1271" i="16"/>
  <c r="H1271" i="16"/>
  <c r="G1271" i="16"/>
  <c r="F1271" i="16"/>
  <c r="E1271" i="16"/>
  <c r="D1271" i="16"/>
  <c r="C1271" i="16"/>
  <c r="P1270" i="16"/>
  <c r="O1270" i="16"/>
  <c r="N1270" i="16"/>
  <c r="M1270" i="16"/>
  <c r="L1270" i="16"/>
  <c r="K1270" i="16"/>
  <c r="J1270" i="16"/>
  <c r="I1270" i="16"/>
  <c r="H1270" i="16"/>
  <c r="G1270" i="16"/>
  <c r="F1270" i="16"/>
  <c r="E1270" i="16"/>
  <c r="D1270" i="16"/>
  <c r="C1270" i="16"/>
  <c r="P1269" i="16"/>
  <c r="O1269" i="16"/>
  <c r="N1269" i="16"/>
  <c r="M1269" i="16"/>
  <c r="L1269" i="16"/>
  <c r="K1269" i="16"/>
  <c r="J1269" i="16"/>
  <c r="I1269" i="16"/>
  <c r="H1269" i="16"/>
  <c r="G1269" i="16"/>
  <c r="F1269" i="16"/>
  <c r="E1269" i="16"/>
  <c r="D1269" i="16"/>
  <c r="C1269" i="16"/>
  <c r="P1268" i="16"/>
  <c r="O1268" i="16"/>
  <c r="N1268" i="16"/>
  <c r="M1268" i="16"/>
  <c r="L1268" i="16"/>
  <c r="K1268" i="16"/>
  <c r="J1268" i="16"/>
  <c r="I1268" i="16"/>
  <c r="H1268" i="16"/>
  <c r="G1268" i="16"/>
  <c r="F1268" i="16"/>
  <c r="E1268" i="16"/>
  <c r="D1268" i="16"/>
  <c r="C1268" i="16"/>
  <c r="P1267" i="16"/>
  <c r="O1267" i="16"/>
  <c r="N1267" i="16"/>
  <c r="M1267" i="16"/>
  <c r="L1267" i="16"/>
  <c r="K1267" i="16"/>
  <c r="J1267" i="16"/>
  <c r="I1267" i="16"/>
  <c r="H1267" i="16"/>
  <c r="G1267" i="16"/>
  <c r="F1267" i="16"/>
  <c r="E1267" i="16"/>
  <c r="D1267" i="16"/>
  <c r="C1267" i="16"/>
  <c r="P1266" i="16"/>
  <c r="O1266" i="16"/>
  <c r="N1266" i="16"/>
  <c r="M1266" i="16"/>
  <c r="L1266" i="16"/>
  <c r="K1266" i="16"/>
  <c r="J1266" i="16"/>
  <c r="I1266" i="16"/>
  <c r="H1266" i="16"/>
  <c r="G1266" i="16"/>
  <c r="F1266" i="16"/>
  <c r="E1266" i="16"/>
  <c r="D1266" i="16"/>
  <c r="C1266" i="16"/>
  <c r="P1265" i="16"/>
  <c r="O1265" i="16"/>
  <c r="N1265" i="16"/>
  <c r="M1265" i="16"/>
  <c r="L1265" i="16"/>
  <c r="K1265" i="16"/>
  <c r="J1265" i="16"/>
  <c r="I1265" i="16"/>
  <c r="H1265" i="16"/>
  <c r="G1265" i="16"/>
  <c r="F1265" i="16"/>
  <c r="E1265" i="16"/>
  <c r="D1265" i="16"/>
  <c r="C1265" i="16"/>
  <c r="P1264" i="16"/>
  <c r="O1264" i="16"/>
  <c r="N1264" i="16"/>
  <c r="M1264" i="16"/>
  <c r="L1264" i="16"/>
  <c r="K1264" i="16"/>
  <c r="J1264" i="16"/>
  <c r="I1264" i="16"/>
  <c r="H1264" i="16"/>
  <c r="G1264" i="16"/>
  <c r="F1264" i="16"/>
  <c r="E1264" i="16"/>
  <c r="D1264" i="16"/>
  <c r="C1264" i="16"/>
  <c r="P1263" i="16"/>
  <c r="O1263" i="16"/>
  <c r="N1263" i="16"/>
  <c r="M1263" i="16"/>
  <c r="L1263" i="16"/>
  <c r="K1263" i="16"/>
  <c r="J1263" i="16"/>
  <c r="I1263" i="16"/>
  <c r="H1263" i="16"/>
  <c r="G1263" i="16"/>
  <c r="F1263" i="16"/>
  <c r="E1263" i="16"/>
  <c r="D1263" i="16"/>
  <c r="C1263" i="16"/>
  <c r="P1262" i="16"/>
  <c r="O1262" i="16"/>
  <c r="N1262" i="16"/>
  <c r="M1262" i="16"/>
  <c r="L1262" i="16"/>
  <c r="K1262" i="16"/>
  <c r="J1262" i="16"/>
  <c r="I1262" i="16"/>
  <c r="H1262" i="16"/>
  <c r="G1262" i="16"/>
  <c r="F1262" i="16"/>
  <c r="E1262" i="16"/>
  <c r="D1262" i="16"/>
  <c r="C1262" i="16"/>
  <c r="P1261" i="16"/>
  <c r="O1261" i="16"/>
  <c r="N1261" i="16"/>
  <c r="M1261" i="16"/>
  <c r="L1261" i="16"/>
  <c r="K1261" i="16"/>
  <c r="J1261" i="16"/>
  <c r="I1261" i="16"/>
  <c r="H1261" i="16"/>
  <c r="G1261" i="16"/>
  <c r="F1261" i="16"/>
  <c r="E1261" i="16"/>
  <c r="D1261" i="16"/>
  <c r="C1261" i="16"/>
  <c r="P1260" i="16"/>
  <c r="O1260" i="16"/>
  <c r="N1260" i="16"/>
  <c r="M1260" i="16"/>
  <c r="L1260" i="16"/>
  <c r="K1260" i="16"/>
  <c r="J1260" i="16"/>
  <c r="I1260" i="16"/>
  <c r="H1260" i="16"/>
  <c r="G1260" i="16"/>
  <c r="F1260" i="16"/>
  <c r="E1260" i="16"/>
  <c r="D1260" i="16"/>
  <c r="C1260" i="16"/>
  <c r="P1259" i="16"/>
  <c r="O1259" i="16"/>
  <c r="N1259" i="16"/>
  <c r="M1259" i="16"/>
  <c r="L1259" i="16"/>
  <c r="K1259" i="16"/>
  <c r="J1259" i="16"/>
  <c r="I1259" i="16"/>
  <c r="H1259" i="16"/>
  <c r="G1259" i="16"/>
  <c r="F1259" i="16"/>
  <c r="E1259" i="16"/>
  <c r="D1259" i="16"/>
  <c r="C1259" i="16"/>
  <c r="P1258" i="16"/>
  <c r="O1258" i="16"/>
  <c r="N1258" i="16"/>
  <c r="M1258" i="16"/>
  <c r="L1258" i="16"/>
  <c r="K1258" i="16"/>
  <c r="J1258" i="16"/>
  <c r="I1258" i="16"/>
  <c r="H1258" i="16"/>
  <c r="G1258" i="16"/>
  <c r="F1258" i="16"/>
  <c r="E1258" i="16"/>
  <c r="D1258" i="16"/>
  <c r="C1258" i="16"/>
  <c r="P1257" i="16"/>
  <c r="O1257" i="16"/>
  <c r="N1257" i="16"/>
  <c r="M1257" i="16"/>
  <c r="L1257" i="16"/>
  <c r="K1257" i="16"/>
  <c r="J1257" i="16"/>
  <c r="I1257" i="16"/>
  <c r="H1257" i="16"/>
  <c r="G1257" i="16"/>
  <c r="F1257" i="16"/>
  <c r="E1257" i="16"/>
  <c r="D1257" i="16"/>
  <c r="C1257" i="16"/>
  <c r="P1256" i="16"/>
  <c r="O1256" i="16"/>
  <c r="N1256" i="16"/>
  <c r="M1256" i="16"/>
  <c r="L1256" i="16"/>
  <c r="K1256" i="16"/>
  <c r="J1256" i="16"/>
  <c r="I1256" i="16"/>
  <c r="H1256" i="16"/>
  <c r="G1256" i="16"/>
  <c r="F1256" i="16"/>
  <c r="E1256" i="16"/>
  <c r="D1256" i="16"/>
  <c r="C1256" i="16"/>
  <c r="P1255" i="16"/>
  <c r="O1255" i="16"/>
  <c r="N1255" i="16"/>
  <c r="M1255" i="16"/>
  <c r="L1255" i="16"/>
  <c r="K1255" i="16"/>
  <c r="J1255" i="16"/>
  <c r="I1255" i="16"/>
  <c r="H1255" i="16"/>
  <c r="G1255" i="16"/>
  <c r="F1255" i="16"/>
  <c r="E1255" i="16"/>
  <c r="D1255" i="16"/>
  <c r="C1255" i="16"/>
  <c r="P1254" i="16"/>
  <c r="O1254" i="16"/>
  <c r="N1254" i="16"/>
  <c r="M1254" i="16"/>
  <c r="L1254" i="16"/>
  <c r="K1254" i="16"/>
  <c r="J1254" i="16"/>
  <c r="I1254" i="16"/>
  <c r="H1254" i="16"/>
  <c r="G1254" i="16"/>
  <c r="F1254" i="16"/>
  <c r="E1254" i="16"/>
  <c r="D1254" i="16"/>
  <c r="C1254" i="16"/>
  <c r="P1253" i="16"/>
  <c r="O1253" i="16"/>
  <c r="N1253" i="16"/>
  <c r="M1253" i="16"/>
  <c r="L1253" i="16"/>
  <c r="K1253" i="16"/>
  <c r="J1253" i="16"/>
  <c r="I1253" i="16"/>
  <c r="H1253" i="16"/>
  <c r="G1253" i="16"/>
  <c r="F1253" i="16"/>
  <c r="E1253" i="16"/>
  <c r="D1253" i="16"/>
  <c r="C1253" i="16"/>
  <c r="P1252" i="16"/>
  <c r="O1252" i="16"/>
  <c r="N1252" i="16"/>
  <c r="M1252" i="16"/>
  <c r="L1252" i="16"/>
  <c r="K1252" i="16"/>
  <c r="J1252" i="16"/>
  <c r="I1252" i="16"/>
  <c r="H1252" i="16"/>
  <c r="G1252" i="16"/>
  <c r="F1252" i="16"/>
  <c r="E1252" i="16"/>
  <c r="D1252" i="16"/>
  <c r="C1252" i="16"/>
  <c r="P1251" i="16"/>
  <c r="O1251" i="16"/>
  <c r="N1251" i="16"/>
  <c r="M1251" i="16"/>
  <c r="L1251" i="16"/>
  <c r="K1251" i="16"/>
  <c r="J1251" i="16"/>
  <c r="I1251" i="16"/>
  <c r="H1251" i="16"/>
  <c r="G1251" i="16"/>
  <c r="F1251" i="16"/>
  <c r="E1251" i="16"/>
  <c r="D1251" i="16"/>
  <c r="C1251" i="16"/>
  <c r="P1250" i="16"/>
  <c r="O1250" i="16"/>
  <c r="N1250" i="16"/>
  <c r="M1250" i="16"/>
  <c r="L1250" i="16"/>
  <c r="K1250" i="16"/>
  <c r="J1250" i="16"/>
  <c r="I1250" i="16"/>
  <c r="H1250" i="16"/>
  <c r="G1250" i="16"/>
  <c r="F1250" i="16"/>
  <c r="E1250" i="16"/>
  <c r="D1250" i="16"/>
  <c r="C1250" i="16"/>
  <c r="P1249" i="16"/>
  <c r="O1249" i="16"/>
  <c r="N1249" i="16"/>
  <c r="M1249" i="16"/>
  <c r="L1249" i="16"/>
  <c r="K1249" i="16"/>
  <c r="J1249" i="16"/>
  <c r="I1249" i="16"/>
  <c r="H1249" i="16"/>
  <c r="G1249" i="16"/>
  <c r="F1249" i="16"/>
  <c r="E1249" i="16"/>
  <c r="D1249" i="16"/>
  <c r="C1249" i="16"/>
  <c r="P1248" i="16"/>
  <c r="O1248" i="16"/>
  <c r="N1248" i="16"/>
  <c r="M1248" i="16"/>
  <c r="L1248" i="16"/>
  <c r="K1248" i="16"/>
  <c r="J1248" i="16"/>
  <c r="I1248" i="16"/>
  <c r="H1248" i="16"/>
  <c r="G1248" i="16"/>
  <c r="F1248" i="16"/>
  <c r="E1248" i="16"/>
  <c r="D1248" i="16"/>
  <c r="C1248" i="16"/>
  <c r="P1247" i="16"/>
  <c r="O1247" i="16"/>
  <c r="N1247" i="16"/>
  <c r="M1247" i="16"/>
  <c r="L1247" i="16"/>
  <c r="K1247" i="16"/>
  <c r="J1247" i="16"/>
  <c r="I1247" i="16"/>
  <c r="H1247" i="16"/>
  <c r="G1247" i="16"/>
  <c r="F1247" i="16"/>
  <c r="E1247" i="16"/>
  <c r="D1247" i="16"/>
  <c r="C1247" i="16"/>
  <c r="P1246" i="16"/>
  <c r="O1246" i="16"/>
  <c r="N1246" i="16"/>
  <c r="M1246" i="16"/>
  <c r="L1246" i="16"/>
  <c r="K1246" i="16"/>
  <c r="J1246" i="16"/>
  <c r="I1246" i="16"/>
  <c r="H1246" i="16"/>
  <c r="G1246" i="16"/>
  <c r="F1246" i="16"/>
  <c r="E1246" i="16"/>
  <c r="D1246" i="16"/>
  <c r="C1246" i="16"/>
  <c r="P1245" i="16"/>
  <c r="O1245" i="16"/>
  <c r="N1245" i="16"/>
  <c r="M1245" i="16"/>
  <c r="L1245" i="16"/>
  <c r="K1245" i="16"/>
  <c r="J1245" i="16"/>
  <c r="I1245" i="16"/>
  <c r="H1245" i="16"/>
  <c r="G1245" i="16"/>
  <c r="F1245" i="16"/>
  <c r="E1245" i="16"/>
  <c r="D1245" i="16"/>
  <c r="C1245" i="16"/>
  <c r="P1244" i="16"/>
  <c r="O1244" i="16"/>
  <c r="N1244" i="16"/>
  <c r="M1244" i="16"/>
  <c r="L1244" i="16"/>
  <c r="K1244" i="16"/>
  <c r="J1244" i="16"/>
  <c r="I1244" i="16"/>
  <c r="H1244" i="16"/>
  <c r="G1244" i="16"/>
  <c r="F1244" i="16"/>
  <c r="E1244" i="16"/>
  <c r="D1244" i="16"/>
  <c r="C1244" i="16"/>
  <c r="P1243" i="16"/>
  <c r="O1243" i="16"/>
  <c r="N1243" i="16"/>
  <c r="M1243" i="16"/>
  <c r="L1243" i="16"/>
  <c r="K1243" i="16"/>
  <c r="J1243" i="16"/>
  <c r="I1243" i="16"/>
  <c r="H1243" i="16"/>
  <c r="G1243" i="16"/>
  <c r="F1243" i="16"/>
  <c r="E1243" i="16"/>
  <c r="D1243" i="16"/>
  <c r="C1243" i="16"/>
  <c r="P1242" i="16"/>
  <c r="O1242" i="16"/>
  <c r="N1242" i="16"/>
  <c r="M1242" i="16"/>
  <c r="L1242" i="16"/>
  <c r="K1242" i="16"/>
  <c r="J1242" i="16"/>
  <c r="I1242" i="16"/>
  <c r="H1242" i="16"/>
  <c r="G1242" i="16"/>
  <c r="F1242" i="16"/>
  <c r="E1242" i="16"/>
  <c r="D1242" i="16"/>
  <c r="C1242" i="16"/>
  <c r="P1241" i="16"/>
  <c r="O1241" i="16"/>
  <c r="N1241" i="16"/>
  <c r="M1241" i="16"/>
  <c r="L1241" i="16"/>
  <c r="K1241" i="16"/>
  <c r="J1241" i="16"/>
  <c r="I1241" i="16"/>
  <c r="H1241" i="16"/>
  <c r="G1241" i="16"/>
  <c r="F1241" i="16"/>
  <c r="E1241" i="16"/>
  <c r="D1241" i="16"/>
  <c r="C1241" i="16"/>
  <c r="P1240" i="16"/>
  <c r="O1240" i="16"/>
  <c r="N1240" i="16"/>
  <c r="M1240" i="16"/>
  <c r="L1240" i="16"/>
  <c r="K1240" i="16"/>
  <c r="J1240" i="16"/>
  <c r="I1240" i="16"/>
  <c r="H1240" i="16"/>
  <c r="G1240" i="16"/>
  <c r="F1240" i="16"/>
  <c r="E1240" i="16"/>
  <c r="D1240" i="16"/>
  <c r="C1240" i="16"/>
  <c r="P1239" i="16"/>
  <c r="O1239" i="16"/>
  <c r="N1239" i="16"/>
  <c r="M1239" i="16"/>
  <c r="L1239" i="16"/>
  <c r="K1239" i="16"/>
  <c r="J1239" i="16"/>
  <c r="I1239" i="16"/>
  <c r="H1239" i="16"/>
  <c r="G1239" i="16"/>
  <c r="F1239" i="16"/>
  <c r="E1239" i="16"/>
  <c r="D1239" i="16"/>
  <c r="C1239" i="16"/>
  <c r="P1238" i="16"/>
  <c r="O1238" i="16"/>
  <c r="N1238" i="16"/>
  <c r="M1238" i="16"/>
  <c r="L1238" i="16"/>
  <c r="K1238" i="16"/>
  <c r="J1238" i="16"/>
  <c r="I1238" i="16"/>
  <c r="H1238" i="16"/>
  <c r="G1238" i="16"/>
  <c r="F1238" i="16"/>
  <c r="E1238" i="16"/>
  <c r="D1238" i="16"/>
  <c r="C1238" i="16"/>
  <c r="P1237" i="16"/>
  <c r="O1237" i="16"/>
  <c r="N1237" i="16"/>
  <c r="M1237" i="16"/>
  <c r="L1237" i="16"/>
  <c r="K1237" i="16"/>
  <c r="J1237" i="16"/>
  <c r="I1237" i="16"/>
  <c r="H1237" i="16"/>
  <c r="G1237" i="16"/>
  <c r="F1237" i="16"/>
  <c r="E1237" i="16"/>
  <c r="D1237" i="16"/>
  <c r="C1237" i="16"/>
  <c r="P1236" i="16"/>
  <c r="O1236" i="16"/>
  <c r="N1236" i="16"/>
  <c r="M1236" i="16"/>
  <c r="L1236" i="16"/>
  <c r="K1236" i="16"/>
  <c r="J1236" i="16"/>
  <c r="I1236" i="16"/>
  <c r="H1236" i="16"/>
  <c r="G1236" i="16"/>
  <c r="F1236" i="16"/>
  <c r="E1236" i="16"/>
  <c r="D1236" i="16"/>
  <c r="C1236" i="16"/>
  <c r="P1235" i="16"/>
  <c r="O1235" i="16"/>
  <c r="N1235" i="16"/>
  <c r="M1235" i="16"/>
  <c r="L1235" i="16"/>
  <c r="K1235" i="16"/>
  <c r="J1235" i="16"/>
  <c r="I1235" i="16"/>
  <c r="H1235" i="16"/>
  <c r="G1235" i="16"/>
  <c r="F1235" i="16"/>
  <c r="E1235" i="16"/>
  <c r="D1235" i="16"/>
  <c r="C1235" i="16"/>
  <c r="P1234" i="16"/>
  <c r="O1234" i="16"/>
  <c r="N1234" i="16"/>
  <c r="M1234" i="16"/>
  <c r="L1234" i="16"/>
  <c r="K1234" i="16"/>
  <c r="J1234" i="16"/>
  <c r="I1234" i="16"/>
  <c r="H1234" i="16"/>
  <c r="G1234" i="16"/>
  <c r="F1234" i="16"/>
  <c r="E1234" i="16"/>
  <c r="D1234" i="16"/>
  <c r="C1234" i="16"/>
  <c r="P1233" i="16"/>
  <c r="O1233" i="16"/>
  <c r="N1233" i="16"/>
  <c r="M1233" i="16"/>
  <c r="L1233" i="16"/>
  <c r="K1233" i="16"/>
  <c r="J1233" i="16"/>
  <c r="I1233" i="16"/>
  <c r="H1233" i="16"/>
  <c r="G1233" i="16"/>
  <c r="F1233" i="16"/>
  <c r="E1233" i="16"/>
  <c r="D1233" i="16"/>
  <c r="C1233" i="16"/>
  <c r="P1232" i="16"/>
  <c r="O1232" i="16"/>
  <c r="N1232" i="16"/>
  <c r="M1232" i="16"/>
  <c r="L1232" i="16"/>
  <c r="K1232" i="16"/>
  <c r="J1232" i="16"/>
  <c r="I1232" i="16"/>
  <c r="H1232" i="16"/>
  <c r="G1232" i="16"/>
  <c r="F1232" i="16"/>
  <c r="E1232" i="16"/>
  <c r="D1232" i="16"/>
  <c r="C1232" i="16"/>
  <c r="P1231" i="16"/>
  <c r="O1231" i="16"/>
  <c r="N1231" i="16"/>
  <c r="M1231" i="16"/>
  <c r="L1231" i="16"/>
  <c r="K1231" i="16"/>
  <c r="J1231" i="16"/>
  <c r="I1231" i="16"/>
  <c r="H1231" i="16"/>
  <c r="G1231" i="16"/>
  <c r="F1231" i="16"/>
  <c r="E1231" i="16"/>
  <c r="D1231" i="16"/>
  <c r="C1231" i="16"/>
  <c r="P1230" i="16"/>
  <c r="O1230" i="16"/>
  <c r="N1230" i="16"/>
  <c r="M1230" i="16"/>
  <c r="L1230" i="16"/>
  <c r="K1230" i="16"/>
  <c r="J1230" i="16"/>
  <c r="I1230" i="16"/>
  <c r="H1230" i="16"/>
  <c r="G1230" i="16"/>
  <c r="F1230" i="16"/>
  <c r="E1230" i="16"/>
  <c r="D1230" i="16"/>
  <c r="C1230" i="16"/>
  <c r="P1229" i="16"/>
  <c r="O1229" i="16"/>
  <c r="N1229" i="16"/>
  <c r="M1229" i="16"/>
  <c r="L1229" i="16"/>
  <c r="K1229" i="16"/>
  <c r="J1229" i="16"/>
  <c r="I1229" i="16"/>
  <c r="H1229" i="16"/>
  <c r="G1229" i="16"/>
  <c r="F1229" i="16"/>
  <c r="E1229" i="16"/>
  <c r="D1229" i="16"/>
  <c r="C1229" i="16"/>
  <c r="P1228" i="16"/>
  <c r="O1228" i="16"/>
  <c r="N1228" i="16"/>
  <c r="M1228" i="16"/>
  <c r="L1228" i="16"/>
  <c r="K1228" i="16"/>
  <c r="J1228" i="16"/>
  <c r="I1228" i="16"/>
  <c r="H1228" i="16"/>
  <c r="G1228" i="16"/>
  <c r="F1228" i="16"/>
  <c r="E1228" i="16"/>
  <c r="D1228" i="16"/>
  <c r="C1228" i="16"/>
  <c r="P1227" i="16"/>
  <c r="O1227" i="16"/>
  <c r="N1227" i="16"/>
  <c r="M1227" i="16"/>
  <c r="L1227" i="16"/>
  <c r="K1227" i="16"/>
  <c r="J1227" i="16"/>
  <c r="I1227" i="16"/>
  <c r="H1227" i="16"/>
  <c r="G1227" i="16"/>
  <c r="F1227" i="16"/>
  <c r="E1227" i="16"/>
  <c r="D1227" i="16"/>
  <c r="C1227" i="16"/>
  <c r="P1226" i="16"/>
  <c r="O1226" i="16"/>
  <c r="N1226" i="16"/>
  <c r="M1226" i="16"/>
  <c r="L1226" i="16"/>
  <c r="K1226" i="16"/>
  <c r="J1226" i="16"/>
  <c r="I1226" i="16"/>
  <c r="H1226" i="16"/>
  <c r="G1226" i="16"/>
  <c r="F1226" i="16"/>
  <c r="E1226" i="16"/>
  <c r="D1226" i="16"/>
  <c r="C1226" i="16"/>
  <c r="P1225" i="16"/>
  <c r="O1225" i="16"/>
  <c r="N1225" i="16"/>
  <c r="M1225" i="16"/>
  <c r="L1225" i="16"/>
  <c r="K1225" i="16"/>
  <c r="J1225" i="16"/>
  <c r="I1225" i="16"/>
  <c r="H1225" i="16"/>
  <c r="G1225" i="16"/>
  <c r="F1225" i="16"/>
  <c r="E1225" i="16"/>
  <c r="D1225" i="16"/>
  <c r="C1225" i="16"/>
  <c r="P1224" i="16"/>
  <c r="O1224" i="16"/>
  <c r="N1224" i="16"/>
  <c r="M1224" i="16"/>
  <c r="L1224" i="16"/>
  <c r="K1224" i="16"/>
  <c r="J1224" i="16"/>
  <c r="I1224" i="16"/>
  <c r="H1224" i="16"/>
  <c r="G1224" i="16"/>
  <c r="F1224" i="16"/>
  <c r="E1224" i="16"/>
  <c r="D1224" i="16"/>
  <c r="C1224" i="16"/>
  <c r="P1223" i="16"/>
  <c r="O1223" i="16"/>
  <c r="N1223" i="16"/>
  <c r="M1223" i="16"/>
  <c r="L1223" i="16"/>
  <c r="K1223" i="16"/>
  <c r="J1223" i="16"/>
  <c r="I1223" i="16"/>
  <c r="H1223" i="16"/>
  <c r="G1223" i="16"/>
  <c r="F1223" i="16"/>
  <c r="E1223" i="16"/>
  <c r="D1223" i="16"/>
  <c r="C1223" i="16"/>
  <c r="P1222" i="16"/>
  <c r="O1222" i="16"/>
  <c r="N1222" i="16"/>
  <c r="M1222" i="16"/>
  <c r="L1222" i="16"/>
  <c r="K1222" i="16"/>
  <c r="J1222" i="16"/>
  <c r="I1222" i="16"/>
  <c r="H1222" i="16"/>
  <c r="G1222" i="16"/>
  <c r="F1222" i="16"/>
  <c r="E1222" i="16"/>
  <c r="D1222" i="16"/>
  <c r="C1222" i="16"/>
  <c r="P1221" i="16"/>
  <c r="O1221" i="16"/>
  <c r="N1221" i="16"/>
  <c r="M1221" i="16"/>
  <c r="L1221" i="16"/>
  <c r="K1221" i="16"/>
  <c r="J1221" i="16"/>
  <c r="I1221" i="16"/>
  <c r="H1221" i="16"/>
  <c r="G1221" i="16"/>
  <c r="F1221" i="16"/>
  <c r="E1221" i="16"/>
  <c r="D1221" i="16"/>
  <c r="C1221" i="16"/>
  <c r="P1220" i="16"/>
  <c r="O1220" i="16"/>
  <c r="N1220" i="16"/>
  <c r="M1220" i="16"/>
  <c r="L1220" i="16"/>
  <c r="K1220" i="16"/>
  <c r="J1220" i="16"/>
  <c r="I1220" i="16"/>
  <c r="H1220" i="16"/>
  <c r="G1220" i="16"/>
  <c r="F1220" i="16"/>
  <c r="E1220" i="16"/>
  <c r="D1220" i="16"/>
  <c r="C1220" i="16"/>
  <c r="P1219" i="16"/>
  <c r="O1219" i="16"/>
  <c r="N1219" i="16"/>
  <c r="M1219" i="16"/>
  <c r="L1219" i="16"/>
  <c r="K1219" i="16"/>
  <c r="J1219" i="16"/>
  <c r="I1219" i="16"/>
  <c r="H1219" i="16"/>
  <c r="G1219" i="16"/>
  <c r="F1219" i="16"/>
  <c r="E1219" i="16"/>
  <c r="D1219" i="16"/>
  <c r="C1219" i="16"/>
  <c r="P1218" i="16"/>
  <c r="O1218" i="16"/>
  <c r="N1218" i="16"/>
  <c r="M1218" i="16"/>
  <c r="L1218" i="16"/>
  <c r="K1218" i="16"/>
  <c r="J1218" i="16"/>
  <c r="I1218" i="16"/>
  <c r="H1218" i="16"/>
  <c r="G1218" i="16"/>
  <c r="F1218" i="16"/>
  <c r="E1218" i="16"/>
  <c r="D1218" i="16"/>
  <c r="C1218" i="16"/>
  <c r="P1217" i="16"/>
  <c r="O1217" i="16"/>
  <c r="N1217" i="16"/>
  <c r="M1217" i="16"/>
  <c r="L1217" i="16"/>
  <c r="K1217" i="16"/>
  <c r="J1217" i="16"/>
  <c r="I1217" i="16"/>
  <c r="H1217" i="16"/>
  <c r="G1217" i="16"/>
  <c r="F1217" i="16"/>
  <c r="E1217" i="16"/>
  <c r="D1217" i="16"/>
  <c r="C1217" i="16"/>
  <c r="P1216" i="16"/>
  <c r="O1216" i="16"/>
  <c r="N1216" i="16"/>
  <c r="M1216" i="16"/>
  <c r="L1216" i="16"/>
  <c r="K1216" i="16"/>
  <c r="J1216" i="16"/>
  <c r="I1216" i="16"/>
  <c r="H1216" i="16"/>
  <c r="G1216" i="16"/>
  <c r="F1216" i="16"/>
  <c r="E1216" i="16"/>
  <c r="D1216" i="16"/>
  <c r="C1216" i="16"/>
  <c r="P1215" i="16"/>
  <c r="O1215" i="16"/>
  <c r="N1215" i="16"/>
  <c r="M1215" i="16"/>
  <c r="L1215" i="16"/>
  <c r="K1215" i="16"/>
  <c r="J1215" i="16"/>
  <c r="I1215" i="16"/>
  <c r="H1215" i="16"/>
  <c r="G1215" i="16"/>
  <c r="F1215" i="16"/>
  <c r="E1215" i="16"/>
  <c r="D1215" i="16"/>
  <c r="C1215" i="16"/>
  <c r="P1214" i="16"/>
  <c r="O1214" i="16"/>
  <c r="N1214" i="16"/>
  <c r="M1214" i="16"/>
  <c r="L1214" i="16"/>
  <c r="K1214" i="16"/>
  <c r="J1214" i="16"/>
  <c r="I1214" i="16"/>
  <c r="H1214" i="16"/>
  <c r="G1214" i="16"/>
  <c r="F1214" i="16"/>
  <c r="E1214" i="16"/>
  <c r="D1214" i="16"/>
  <c r="C1214" i="16"/>
  <c r="P1213" i="16"/>
  <c r="O1213" i="16"/>
  <c r="N1213" i="16"/>
  <c r="M1213" i="16"/>
  <c r="L1213" i="16"/>
  <c r="K1213" i="16"/>
  <c r="J1213" i="16"/>
  <c r="I1213" i="16"/>
  <c r="H1213" i="16"/>
  <c r="G1213" i="16"/>
  <c r="F1213" i="16"/>
  <c r="E1213" i="16"/>
  <c r="D1213" i="16"/>
  <c r="C1213" i="16"/>
  <c r="P1212" i="16"/>
  <c r="O1212" i="16"/>
  <c r="N1212" i="16"/>
  <c r="M1212" i="16"/>
  <c r="L1212" i="16"/>
  <c r="K1212" i="16"/>
  <c r="J1212" i="16"/>
  <c r="I1212" i="16"/>
  <c r="H1212" i="16"/>
  <c r="G1212" i="16"/>
  <c r="F1212" i="16"/>
  <c r="E1212" i="16"/>
  <c r="D1212" i="16"/>
  <c r="C1212" i="16"/>
  <c r="P1211" i="16"/>
  <c r="O1211" i="16"/>
  <c r="N1211" i="16"/>
  <c r="M1211" i="16"/>
  <c r="L1211" i="16"/>
  <c r="K1211" i="16"/>
  <c r="J1211" i="16"/>
  <c r="I1211" i="16"/>
  <c r="H1211" i="16"/>
  <c r="G1211" i="16"/>
  <c r="F1211" i="16"/>
  <c r="E1211" i="16"/>
  <c r="D1211" i="16"/>
  <c r="C1211" i="16"/>
  <c r="P1210" i="16"/>
  <c r="O1210" i="16"/>
  <c r="N1210" i="16"/>
  <c r="M1210" i="16"/>
  <c r="L1210" i="16"/>
  <c r="K1210" i="16"/>
  <c r="J1210" i="16"/>
  <c r="I1210" i="16"/>
  <c r="H1210" i="16"/>
  <c r="G1210" i="16"/>
  <c r="F1210" i="16"/>
  <c r="E1210" i="16"/>
  <c r="D1210" i="16"/>
  <c r="C1210" i="16"/>
  <c r="P1209" i="16"/>
  <c r="O1209" i="16"/>
  <c r="N1209" i="16"/>
  <c r="M1209" i="16"/>
  <c r="L1209" i="16"/>
  <c r="K1209" i="16"/>
  <c r="J1209" i="16"/>
  <c r="I1209" i="16"/>
  <c r="H1209" i="16"/>
  <c r="G1209" i="16"/>
  <c r="F1209" i="16"/>
  <c r="E1209" i="16"/>
  <c r="D1209" i="16"/>
  <c r="C1209" i="16"/>
  <c r="P1208" i="16"/>
  <c r="O1208" i="16"/>
  <c r="N1208" i="16"/>
  <c r="M1208" i="16"/>
  <c r="L1208" i="16"/>
  <c r="K1208" i="16"/>
  <c r="J1208" i="16"/>
  <c r="I1208" i="16"/>
  <c r="H1208" i="16"/>
  <c r="G1208" i="16"/>
  <c r="F1208" i="16"/>
  <c r="E1208" i="16"/>
  <c r="D1208" i="16"/>
  <c r="C1208" i="16"/>
  <c r="P1207" i="16"/>
  <c r="O1207" i="16"/>
  <c r="N1207" i="16"/>
  <c r="M1207" i="16"/>
  <c r="L1207" i="16"/>
  <c r="K1207" i="16"/>
  <c r="J1207" i="16"/>
  <c r="I1207" i="16"/>
  <c r="H1207" i="16"/>
  <c r="G1207" i="16"/>
  <c r="F1207" i="16"/>
  <c r="E1207" i="16"/>
  <c r="D1207" i="16"/>
  <c r="C1207" i="16"/>
  <c r="P1206" i="16"/>
  <c r="O1206" i="16"/>
  <c r="N1206" i="16"/>
  <c r="M1206" i="16"/>
  <c r="L1206" i="16"/>
  <c r="K1206" i="16"/>
  <c r="J1206" i="16"/>
  <c r="I1206" i="16"/>
  <c r="H1206" i="16"/>
  <c r="G1206" i="16"/>
  <c r="F1206" i="16"/>
  <c r="E1206" i="16"/>
  <c r="D1206" i="16"/>
  <c r="C1206" i="16"/>
  <c r="P1205" i="16"/>
  <c r="O1205" i="16"/>
  <c r="N1205" i="16"/>
  <c r="M1205" i="16"/>
  <c r="L1205" i="16"/>
  <c r="K1205" i="16"/>
  <c r="J1205" i="16"/>
  <c r="I1205" i="16"/>
  <c r="H1205" i="16"/>
  <c r="G1205" i="16"/>
  <c r="F1205" i="16"/>
  <c r="E1205" i="16"/>
  <c r="D1205" i="16"/>
  <c r="C1205" i="16"/>
  <c r="P1204" i="16"/>
  <c r="O1204" i="16"/>
  <c r="N1204" i="16"/>
  <c r="M1204" i="16"/>
  <c r="L1204" i="16"/>
  <c r="K1204" i="16"/>
  <c r="J1204" i="16"/>
  <c r="I1204" i="16"/>
  <c r="H1204" i="16"/>
  <c r="G1204" i="16"/>
  <c r="F1204" i="16"/>
  <c r="E1204" i="16"/>
  <c r="D1204" i="16"/>
  <c r="C1204" i="16"/>
  <c r="P1203" i="16"/>
  <c r="O1203" i="16"/>
  <c r="N1203" i="16"/>
  <c r="M1203" i="16"/>
  <c r="L1203" i="16"/>
  <c r="K1203" i="16"/>
  <c r="J1203" i="16"/>
  <c r="I1203" i="16"/>
  <c r="H1203" i="16"/>
  <c r="G1203" i="16"/>
  <c r="F1203" i="16"/>
  <c r="E1203" i="16"/>
  <c r="D1203" i="16"/>
  <c r="C1203" i="16"/>
  <c r="P1202" i="16"/>
  <c r="O1202" i="16"/>
  <c r="N1202" i="16"/>
  <c r="M1202" i="16"/>
  <c r="L1202" i="16"/>
  <c r="K1202" i="16"/>
  <c r="J1202" i="16"/>
  <c r="I1202" i="16"/>
  <c r="H1202" i="16"/>
  <c r="G1202" i="16"/>
  <c r="F1202" i="16"/>
  <c r="E1202" i="16"/>
  <c r="D1202" i="16"/>
  <c r="C1202" i="16"/>
  <c r="P1201" i="16"/>
  <c r="O1201" i="16"/>
  <c r="N1201" i="16"/>
  <c r="M1201" i="16"/>
  <c r="L1201" i="16"/>
  <c r="K1201" i="16"/>
  <c r="J1201" i="16"/>
  <c r="I1201" i="16"/>
  <c r="H1201" i="16"/>
  <c r="G1201" i="16"/>
  <c r="F1201" i="16"/>
  <c r="E1201" i="16"/>
  <c r="D1201" i="16"/>
  <c r="C1201" i="16"/>
  <c r="P1200" i="16"/>
  <c r="O1200" i="16"/>
  <c r="N1200" i="16"/>
  <c r="M1200" i="16"/>
  <c r="L1200" i="16"/>
  <c r="K1200" i="16"/>
  <c r="J1200" i="16"/>
  <c r="I1200" i="16"/>
  <c r="H1200" i="16"/>
  <c r="G1200" i="16"/>
  <c r="F1200" i="16"/>
  <c r="E1200" i="16"/>
  <c r="D1200" i="16"/>
  <c r="C1200" i="16"/>
  <c r="P1199" i="16"/>
  <c r="O1199" i="16"/>
  <c r="N1199" i="16"/>
  <c r="M1199" i="16"/>
  <c r="L1199" i="16"/>
  <c r="K1199" i="16"/>
  <c r="J1199" i="16"/>
  <c r="I1199" i="16"/>
  <c r="H1199" i="16"/>
  <c r="G1199" i="16"/>
  <c r="F1199" i="16"/>
  <c r="E1199" i="16"/>
  <c r="D1199" i="16"/>
  <c r="C1199" i="16"/>
  <c r="P1198" i="16"/>
  <c r="O1198" i="16"/>
  <c r="N1198" i="16"/>
  <c r="M1198" i="16"/>
  <c r="L1198" i="16"/>
  <c r="K1198" i="16"/>
  <c r="J1198" i="16"/>
  <c r="I1198" i="16"/>
  <c r="H1198" i="16"/>
  <c r="G1198" i="16"/>
  <c r="F1198" i="16"/>
  <c r="E1198" i="16"/>
  <c r="D1198" i="16"/>
  <c r="C1198" i="16"/>
  <c r="P1197" i="16"/>
  <c r="O1197" i="16"/>
  <c r="N1197" i="16"/>
  <c r="M1197" i="16"/>
  <c r="L1197" i="16"/>
  <c r="K1197" i="16"/>
  <c r="J1197" i="16"/>
  <c r="I1197" i="16"/>
  <c r="H1197" i="16"/>
  <c r="G1197" i="16"/>
  <c r="F1197" i="16"/>
  <c r="E1197" i="16"/>
  <c r="D1197" i="16"/>
  <c r="C1197" i="16"/>
  <c r="P1196" i="16"/>
  <c r="O1196" i="16"/>
  <c r="N1196" i="16"/>
  <c r="M1196" i="16"/>
  <c r="L1196" i="16"/>
  <c r="K1196" i="16"/>
  <c r="J1196" i="16"/>
  <c r="I1196" i="16"/>
  <c r="H1196" i="16"/>
  <c r="G1196" i="16"/>
  <c r="F1196" i="16"/>
  <c r="E1196" i="16"/>
  <c r="D1196" i="16"/>
  <c r="C1196" i="16"/>
  <c r="P1195" i="16"/>
  <c r="O1195" i="16"/>
  <c r="N1195" i="16"/>
  <c r="M1195" i="16"/>
  <c r="L1195" i="16"/>
  <c r="K1195" i="16"/>
  <c r="J1195" i="16"/>
  <c r="I1195" i="16"/>
  <c r="H1195" i="16"/>
  <c r="G1195" i="16"/>
  <c r="F1195" i="16"/>
  <c r="E1195" i="16"/>
  <c r="D1195" i="16"/>
  <c r="C1195" i="16"/>
  <c r="P1194" i="16"/>
  <c r="O1194" i="16"/>
  <c r="N1194" i="16"/>
  <c r="M1194" i="16"/>
  <c r="L1194" i="16"/>
  <c r="K1194" i="16"/>
  <c r="J1194" i="16"/>
  <c r="I1194" i="16"/>
  <c r="H1194" i="16"/>
  <c r="G1194" i="16"/>
  <c r="F1194" i="16"/>
  <c r="E1194" i="16"/>
  <c r="D1194" i="16"/>
  <c r="C1194" i="16"/>
  <c r="P1193" i="16"/>
  <c r="O1193" i="16"/>
  <c r="N1193" i="16"/>
  <c r="M1193" i="16"/>
  <c r="L1193" i="16"/>
  <c r="K1193" i="16"/>
  <c r="J1193" i="16"/>
  <c r="I1193" i="16"/>
  <c r="H1193" i="16"/>
  <c r="G1193" i="16"/>
  <c r="F1193" i="16"/>
  <c r="E1193" i="16"/>
  <c r="D1193" i="16"/>
  <c r="C1193" i="16"/>
  <c r="P1192" i="16"/>
  <c r="O1192" i="16"/>
  <c r="N1192" i="16"/>
  <c r="M1192" i="16"/>
  <c r="L1192" i="16"/>
  <c r="K1192" i="16"/>
  <c r="J1192" i="16"/>
  <c r="I1192" i="16"/>
  <c r="H1192" i="16"/>
  <c r="G1192" i="16"/>
  <c r="F1192" i="16"/>
  <c r="E1192" i="16"/>
  <c r="D1192" i="16"/>
  <c r="C1192" i="16"/>
  <c r="P1191" i="16"/>
  <c r="O1191" i="16"/>
  <c r="N1191" i="16"/>
  <c r="M1191" i="16"/>
  <c r="L1191" i="16"/>
  <c r="K1191" i="16"/>
  <c r="J1191" i="16"/>
  <c r="I1191" i="16"/>
  <c r="H1191" i="16"/>
  <c r="G1191" i="16"/>
  <c r="F1191" i="16"/>
  <c r="E1191" i="16"/>
  <c r="D1191" i="16"/>
  <c r="C1191" i="16"/>
  <c r="P1190" i="16"/>
  <c r="O1190" i="16"/>
  <c r="N1190" i="16"/>
  <c r="M1190" i="16"/>
  <c r="L1190" i="16"/>
  <c r="K1190" i="16"/>
  <c r="J1190" i="16"/>
  <c r="I1190" i="16"/>
  <c r="H1190" i="16"/>
  <c r="G1190" i="16"/>
  <c r="F1190" i="16"/>
  <c r="E1190" i="16"/>
  <c r="D1190" i="16"/>
  <c r="C1190" i="16"/>
  <c r="P1189" i="16"/>
  <c r="O1189" i="16"/>
  <c r="N1189" i="16"/>
  <c r="M1189" i="16"/>
  <c r="L1189" i="16"/>
  <c r="K1189" i="16"/>
  <c r="J1189" i="16"/>
  <c r="I1189" i="16"/>
  <c r="H1189" i="16"/>
  <c r="G1189" i="16"/>
  <c r="F1189" i="16"/>
  <c r="E1189" i="16"/>
  <c r="D1189" i="16"/>
  <c r="C1189" i="16"/>
  <c r="P1188" i="16"/>
  <c r="O1188" i="16"/>
  <c r="N1188" i="16"/>
  <c r="M1188" i="16"/>
  <c r="L1188" i="16"/>
  <c r="K1188" i="16"/>
  <c r="J1188" i="16"/>
  <c r="I1188" i="16"/>
  <c r="H1188" i="16"/>
  <c r="G1188" i="16"/>
  <c r="F1188" i="16"/>
  <c r="E1188" i="16"/>
  <c r="D1188" i="16"/>
  <c r="C1188" i="16"/>
  <c r="P1187" i="16"/>
  <c r="O1187" i="16"/>
  <c r="N1187" i="16"/>
  <c r="M1187" i="16"/>
  <c r="L1187" i="16"/>
  <c r="K1187" i="16"/>
  <c r="J1187" i="16"/>
  <c r="I1187" i="16"/>
  <c r="H1187" i="16"/>
  <c r="G1187" i="16"/>
  <c r="F1187" i="16"/>
  <c r="E1187" i="16"/>
  <c r="D1187" i="16"/>
  <c r="C1187" i="16"/>
  <c r="P1186" i="16"/>
  <c r="O1186" i="16"/>
  <c r="N1186" i="16"/>
  <c r="M1186" i="16"/>
  <c r="L1186" i="16"/>
  <c r="K1186" i="16"/>
  <c r="J1186" i="16"/>
  <c r="I1186" i="16"/>
  <c r="H1186" i="16"/>
  <c r="G1186" i="16"/>
  <c r="F1186" i="16"/>
  <c r="E1186" i="16"/>
  <c r="D1186" i="16"/>
  <c r="C1186" i="16"/>
  <c r="P1185" i="16"/>
  <c r="O1185" i="16"/>
  <c r="N1185" i="16"/>
  <c r="M1185" i="16"/>
  <c r="L1185" i="16"/>
  <c r="K1185" i="16"/>
  <c r="J1185" i="16"/>
  <c r="I1185" i="16"/>
  <c r="H1185" i="16"/>
  <c r="G1185" i="16"/>
  <c r="F1185" i="16"/>
  <c r="E1185" i="16"/>
  <c r="D1185" i="16"/>
  <c r="C1185" i="16"/>
  <c r="P1184" i="16"/>
  <c r="O1184" i="16"/>
  <c r="N1184" i="16"/>
  <c r="M1184" i="16"/>
  <c r="L1184" i="16"/>
  <c r="K1184" i="16"/>
  <c r="J1184" i="16"/>
  <c r="I1184" i="16"/>
  <c r="H1184" i="16"/>
  <c r="G1184" i="16"/>
  <c r="F1184" i="16"/>
  <c r="E1184" i="16"/>
  <c r="D1184" i="16"/>
  <c r="C1184" i="16"/>
  <c r="P1183" i="16"/>
  <c r="O1183" i="16"/>
  <c r="N1183" i="16"/>
  <c r="M1183" i="16"/>
  <c r="L1183" i="16"/>
  <c r="K1183" i="16"/>
  <c r="J1183" i="16"/>
  <c r="I1183" i="16"/>
  <c r="H1183" i="16"/>
  <c r="G1183" i="16"/>
  <c r="F1183" i="16"/>
  <c r="E1183" i="16"/>
  <c r="D1183" i="16"/>
  <c r="C1183" i="16"/>
  <c r="P1182" i="16"/>
  <c r="O1182" i="16"/>
  <c r="N1182" i="16"/>
  <c r="M1182" i="16"/>
  <c r="L1182" i="16"/>
  <c r="K1182" i="16"/>
  <c r="J1182" i="16"/>
  <c r="I1182" i="16"/>
  <c r="H1182" i="16"/>
  <c r="G1182" i="16"/>
  <c r="F1182" i="16"/>
  <c r="E1182" i="16"/>
  <c r="D1182" i="16"/>
  <c r="C1182" i="16"/>
  <c r="P1181" i="16"/>
  <c r="O1181" i="16"/>
  <c r="N1181" i="16"/>
  <c r="M1181" i="16"/>
  <c r="L1181" i="16"/>
  <c r="K1181" i="16"/>
  <c r="J1181" i="16"/>
  <c r="I1181" i="16"/>
  <c r="H1181" i="16"/>
  <c r="G1181" i="16"/>
  <c r="F1181" i="16"/>
  <c r="E1181" i="16"/>
  <c r="D1181" i="16"/>
  <c r="C1181" i="16"/>
  <c r="P1180" i="16"/>
  <c r="O1180" i="16"/>
  <c r="N1180" i="16"/>
  <c r="M1180" i="16"/>
  <c r="L1180" i="16"/>
  <c r="K1180" i="16"/>
  <c r="J1180" i="16"/>
  <c r="I1180" i="16"/>
  <c r="H1180" i="16"/>
  <c r="G1180" i="16"/>
  <c r="F1180" i="16"/>
  <c r="E1180" i="16"/>
  <c r="D1180" i="16"/>
  <c r="C1180" i="16"/>
  <c r="P1179" i="16"/>
  <c r="O1179" i="16"/>
  <c r="N1179" i="16"/>
  <c r="M1179" i="16"/>
  <c r="L1179" i="16"/>
  <c r="K1179" i="16"/>
  <c r="J1179" i="16"/>
  <c r="I1179" i="16"/>
  <c r="H1179" i="16"/>
  <c r="G1179" i="16"/>
  <c r="F1179" i="16"/>
  <c r="E1179" i="16"/>
  <c r="D1179" i="16"/>
  <c r="C1179" i="16"/>
  <c r="P1178" i="16"/>
  <c r="O1178" i="16"/>
  <c r="N1178" i="16"/>
  <c r="M1178" i="16"/>
  <c r="L1178" i="16"/>
  <c r="K1178" i="16"/>
  <c r="J1178" i="16"/>
  <c r="I1178" i="16"/>
  <c r="H1178" i="16"/>
  <c r="G1178" i="16"/>
  <c r="F1178" i="16"/>
  <c r="E1178" i="16"/>
  <c r="D1178" i="16"/>
  <c r="C1178" i="16"/>
  <c r="P1177" i="16"/>
  <c r="O1177" i="16"/>
  <c r="N1177" i="16"/>
  <c r="M1177" i="16"/>
  <c r="L1177" i="16"/>
  <c r="K1177" i="16"/>
  <c r="J1177" i="16"/>
  <c r="I1177" i="16"/>
  <c r="H1177" i="16"/>
  <c r="G1177" i="16"/>
  <c r="F1177" i="16"/>
  <c r="E1177" i="16"/>
  <c r="D1177" i="16"/>
  <c r="C1177" i="16"/>
  <c r="P1176" i="16"/>
  <c r="O1176" i="16"/>
  <c r="N1176" i="16"/>
  <c r="M1176" i="16"/>
  <c r="L1176" i="16"/>
  <c r="K1176" i="16"/>
  <c r="J1176" i="16"/>
  <c r="I1176" i="16"/>
  <c r="H1176" i="16"/>
  <c r="G1176" i="16"/>
  <c r="F1176" i="16"/>
  <c r="E1176" i="16"/>
  <c r="D1176" i="16"/>
  <c r="C1176" i="16"/>
  <c r="P1175" i="16"/>
  <c r="O1175" i="16"/>
  <c r="N1175" i="16"/>
  <c r="M1175" i="16"/>
  <c r="L1175" i="16"/>
  <c r="K1175" i="16"/>
  <c r="J1175" i="16"/>
  <c r="I1175" i="16"/>
  <c r="H1175" i="16"/>
  <c r="G1175" i="16"/>
  <c r="F1175" i="16"/>
  <c r="E1175" i="16"/>
  <c r="D1175" i="16"/>
  <c r="C1175" i="16"/>
  <c r="P1174" i="16"/>
  <c r="O1174" i="16"/>
  <c r="N1174" i="16"/>
  <c r="M1174" i="16"/>
  <c r="L1174" i="16"/>
  <c r="K1174" i="16"/>
  <c r="J1174" i="16"/>
  <c r="I1174" i="16"/>
  <c r="H1174" i="16"/>
  <c r="G1174" i="16"/>
  <c r="F1174" i="16"/>
  <c r="E1174" i="16"/>
  <c r="D1174" i="16"/>
  <c r="C1174" i="16"/>
  <c r="P1173" i="16"/>
  <c r="O1173" i="16"/>
  <c r="N1173" i="16"/>
  <c r="M1173" i="16"/>
  <c r="L1173" i="16"/>
  <c r="K1173" i="16"/>
  <c r="J1173" i="16"/>
  <c r="I1173" i="16"/>
  <c r="H1173" i="16"/>
  <c r="G1173" i="16"/>
  <c r="F1173" i="16"/>
  <c r="E1173" i="16"/>
  <c r="D1173" i="16"/>
  <c r="C1173" i="16"/>
  <c r="P1172" i="16"/>
  <c r="O1172" i="16"/>
  <c r="N1172" i="16"/>
  <c r="M1172" i="16"/>
  <c r="L1172" i="16"/>
  <c r="K1172" i="16"/>
  <c r="J1172" i="16"/>
  <c r="I1172" i="16"/>
  <c r="H1172" i="16"/>
  <c r="G1172" i="16"/>
  <c r="F1172" i="16"/>
  <c r="E1172" i="16"/>
  <c r="D1172" i="16"/>
  <c r="C1172" i="16"/>
  <c r="P1171" i="16"/>
  <c r="O1171" i="16"/>
  <c r="N1171" i="16"/>
  <c r="M1171" i="16"/>
  <c r="L1171" i="16"/>
  <c r="K1171" i="16"/>
  <c r="J1171" i="16"/>
  <c r="I1171" i="16"/>
  <c r="H1171" i="16"/>
  <c r="G1171" i="16"/>
  <c r="F1171" i="16"/>
  <c r="E1171" i="16"/>
  <c r="D1171" i="16"/>
  <c r="C1171" i="16"/>
  <c r="P1170" i="16"/>
  <c r="O1170" i="16"/>
  <c r="N1170" i="16"/>
  <c r="M1170" i="16"/>
  <c r="L1170" i="16"/>
  <c r="K1170" i="16"/>
  <c r="J1170" i="16"/>
  <c r="I1170" i="16"/>
  <c r="H1170" i="16"/>
  <c r="G1170" i="16"/>
  <c r="F1170" i="16"/>
  <c r="E1170" i="16"/>
  <c r="D1170" i="16"/>
  <c r="C1170" i="16"/>
  <c r="P1169" i="16"/>
  <c r="O1169" i="16"/>
  <c r="N1169" i="16"/>
  <c r="M1169" i="16"/>
  <c r="L1169" i="16"/>
  <c r="K1169" i="16"/>
  <c r="J1169" i="16"/>
  <c r="I1169" i="16"/>
  <c r="H1169" i="16"/>
  <c r="G1169" i="16"/>
  <c r="F1169" i="16"/>
  <c r="E1169" i="16"/>
  <c r="D1169" i="16"/>
  <c r="C1169" i="16"/>
  <c r="P1168" i="16"/>
  <c r="O1168" i="16"/>
  <c r="N1168" i="16"/>
  <c r="M1168" i="16"/>
  <c r="L1168" i="16"/>
  <c r="K1168" i="16"/>
  <c r="J1168" i="16"/>
  <c r="I1168" i="16"/>
  <c r="H1168" i="16"/>
  <c r="G1168" i="16"/>
  <c r="F1168" i="16"/>
  <c r="E1168" i="16"/>
  <c r="D1168" i="16"/>
  <c r="C1168" i="16"/>
  <c r="P1167" i="16"/>
  <c r="O1167" i="16"/>
  <c r="N1167" i="16"/>
  <c r="M1167" i="16"/>
  <c r="L1167" i="16"/>
  <c r="K1167" i="16"/>
  <c r="J1167" i="16"/>
  <c r="I1167" i="16"/>
  <c r="H1167" i="16"/>
  <c r="G1167" i="16"/>
  <c r="F1167" i="16"/>
  <c r="E1167" i="16"/>
  <c r="D1167" i="16"/>
  <c r="C1167" i="16"/>
  <c r="P1166" i="16"/>
  <c r="O1166" i="16"/>
  <c r="N1166" i="16"/>
  <c r="M1166" i="16"/>
  <c r="L1166" i="16"/>
  <c r="K1166" i="16"/>
  <c r="J1166" i="16"/>
  <c r="I1166" i="16"/>
  <c r="H1166" i="16"/>
  <c r="G1166" i="16"/>
  <c r="F1166" i="16"/>
  <c r="E1166" i="16"/>
  <c r="D1166" i="16"/>
  <c r="C1166" i="16"/>
  <c r="P1165" i="16"/>
  <c r="O1165" i="16"/>
  <c r="N1165" i="16"/>
  <c r="M1165" i="16"/>
  <c r="L1165" i="16"/>
  <c r="K1165" i="16"/>
  <c r="J1165" i="16"/>
  <c r="I1165" i="16"/>
  <c r="H1165" i="16"/>
  <c r="G1165" i="16"/>
  <c r="F1165" i="16"/>
  <c r="E1165" i="16"/>
  <c r="D1165" i="16"/>
  <c r="C1165" i="16"/>
  <c r="P1164" i="16"/>
  <c r="O1164" i="16"/>
  <c r="N1164" i="16"/>
  <c r="M1164" i="16"/>
  <c r="L1164" i="16"/>
  <c r="K1164" i="16"/>
  <c r="J1164" i="16"/>
  <c r="I1164" i="16"/>
  <c r="H1164" i="16"/>
  <c r="G1164" i="16"/>
  <c r="F1164" i="16"/>
  <c r="E1164" i="16"/>
  <c r="D1164" i="16"/>
  <c r="C1164" i="16"/>
  <c r="P1163" i="16"/>
  <c r="O1163" i="16"/>
  <c r="N1163" i="16"/>
  <c r="M1163" i="16"/>
  <c r="L1163" i="16"/>
  <c r="K1163" i="16"/>
  <c r="J1163" i="16"/>
  <c r="I1163" i="16"/>
  <c r="H1163" i="16"/>
  <c r="G1163" i="16"/>
  <c r="F1163" i="16"/>
  <c r="E1163" i="16"/>
  <c r="D1163" i="16"/>
  <c r="C1163" i="16"/>
  <c r="P1162" i="16"/>
  <c r="O1162" i="16"/>
  <c r="N1162" i="16"/>
  <c r="M1162" i="16"/>
  <c r="L1162" i="16"/>
  <c r="K1162" i="16"/>
  <c r="J1162" i="16"/>
  <c r="I1162" i="16"/>
  <c r="H1162" i="16"/>
  <c r="G1162" i="16"/>
  <c r="F1162" i="16"/>
  <c r="E1162" i="16"/>
  <c r="D1162" i="16"/>
  <c r="C1162" i="16"/>
  <c r="P1161" i="16"/>
  <c r="O1161" i="16"/>
  <c r="N1161" i="16"/>
  <c r="M1161" i="16"/>
  <c r="L1161" i="16"/>
  <c r="K1161" i="16"/>
  <c r="J1161" i="16"/>
  <c r="I1161" i="16"/>
  <c r="H1161" i="16"/>
  <c r="G1161" i="16"/>
  <c r="F1161" i="16"/>
  <c r="E1161" i="16"/>
  <c r="D1161" i="16"/>
  <c r="C1161" i="16"/>
  <c r="P1160" i="16"/>
  <c r="O1160" i="16"/>
  <c r="N1160" i="16"/>
  <c r="M1160" i="16"/>
  <c r="L1160" i="16"/>
  <c r="K1160" i="16"/>
  <c r="J1160" i="16"/>
  <c r="I1160" i="16"/>
  <c r="H1160" i="16"/>
  <c r="G1160" i="16"/>
  <c r="F1160" i="16"/>
  <c r="E1160" i="16"/>
  <c r="D1160" i="16"/>
  <c r="C1160" i="16"/>
  <c r="P1159" i="16"/>
  <c r="O1159" i="16"/>
  <c r="N1159" i="16"/>
  <c r="M1159" i="16"/>
  <c r="L1159" i="16"/>
  <c r="K1159" i="16"/>
  <c r="J1159" i="16"/>
  <c r="I1159" i="16"/>
  <c r="H1159" i="16"/>
  <c r="G1159" i="16"/>
  <c r="F1159" i="16"/>
  <c r="E1159" i="16"/>
  <c r="D1159" i="16"/>
  <c r="C1159" i="16"/>
  <c r="P1158" i="16"/>
  <c r="O1158" i="16"/>
  <c r="N1158" i="16"/>
  <c r="M1158" i="16"/>
  <c r="L1158" i="16"/>
  <c r="K1158" i="16"/>
  <c r="J1158" i="16"/>
  <c r="I1158" i="16"/>
  <c r="H1158" i="16"/>
  <c r="G1158" i="16"/>
  <c r="F1158" i="16"/>
  <c r="E1158" i="16"/>
  <c r="D1158" i="16"/>
  <c r="C1158" i="16"/>
  <c r="P1157" i="16"/>
  <c r="O1157" i="16"/>
  <c r="N1157" i="16"/>
  <c r="M1157" i="16"/>
  <c r="L1157" i="16"/>
  <c r="K1157" i="16"/>
  <c r="J1157" i="16"/>
  <c r="I1157" i="16"/>
  <c r="H1157" i="16"/>
  <c r="G1157" i="16"/>
  <c r="F1157" i="16"/>
  <c r="E1157" i="16"/>
  <c r="D1157" i="16"/>
  <c r="C1157" i="16"/>
  <c r="P1156" i="16"/>
  <c r="O1156" i="16"/>
  <c r="N1156" i="16"/>
  <c r="M1156" i="16"/>
  <c r="L1156" i="16"/>
  <c r="K1156" i="16"/>
  <c r="J1156" i="16"/>
  <c r="I1156" i="16"/>
  <c r="H1156" i="16"/>
  <c r="G1156" i="16"/>
  <c r="F1156" i="16"/>
  <c r="E1156" i="16"/>
  <c r="D1156" i="16"/>
  <c r="C1156" i="16"/>
  <c r="P1155" i="16"/>
  <c r="O1155" i="16"/>
  <c r="N1155" i="16"/>
  <c r="M1155" i="16"/>
  <c r="L1155" i="16"/>
  <c r="K1155" i="16"/>
  <c r="J1155" i="16"/>
  <c r="I1155" i="16"/>
  <c r="H1155" i="16"/>
  <c r="G1155" i="16"/>
  <c r="F1155" i="16"/>
  <c r="E1155" i="16"/>
  <c r="D1155" i="16"/>
  <c r="C1155" i="16"/>
  <c r="P1154" i="16"/>
  <c r="O1154" i="16"/>
  <c r="N1154" i="16"/>
  <c r="M1154" i="16"/>
  <c r="L1154" i="16"/>
  <c r="K1154" i="16"/>
  <c r="J1154" i="16"/>
  <c r="I1154" i="16"/>
  <c r="H1154" i="16"/>
  <c r="G1154" i="16"/>
  <c r="F1154" i="16"/>
  <c r="E1154" i="16"/>
  <c r="D1154" i="16"/>
  <c r="C1154" i="16"/>
  <c r="P1153" i="16"/>
  <c r="O1153" i="16"/>
  <c r="N1153" i="16"/>
  <c r="M1153" i="16"/>
  <c r="L1153" i="16"/>
  <c r="K1153" i="16"/>
  <c r="J1153" i="16"/>
  <c r="I1153" i="16"/>
  <c r="H1153" i="16"/>
  <c r="G1153" i="16"/>
  <c r="F1153" i="16"/>
  <c r="E1153" i="16"/>
  <c r="D1153" i="16"/>
  <c r="C1153" i="16"/>
  <c r="P1152" i="16"/>
  <c r="O1152" i="16"/>
  <c r="N1152" i="16"/>
  <c r="M1152" i="16"/>
  <c r="L1152" i="16"/>
  <c r="K1152" i="16"/>
  <c r="J1152" i="16"/>
  <c r="I1152" i="16"/>
  <c r="H1152" i="16"/>
  <c r="G1152" i="16"/>
  <c r="F1152" i="16"/>
  <c r="E1152" i="16"/>
  <c r="D1152" i="16"/>
  <c r="C1152" i="16"/>
  <c r="P1151" i="16"/>
  <c r="O1151" i="16"/>
  <c r="N1151" i="16"/>
  <c r="M1151" i="16"/>
  <c r="L1151" i="16"/>
  <c r="K1151" i="16"/>
  <c r="J1151" i="16"/>
  <c r="I1151" i="16"/>
  <c r="H1151" i="16"/>
  <c r="G1151" i="16"/>
  <c r="F1151" i="16"/>
  <c r="E1151" i="16"/>
  <c r="D1151" i="16"/>
  <c r="C1151" i="16"/>
  <c r="P1150" i="16"/>
  <c r="O1150" i="16"/>
  <c r="N1150" i="16"/>
  <c r="M1150" i="16"/>
  <c r="L1150" i="16"/>
  <c r="K1150" i="16"/>
  <c r="J1150" i="16"/>
  <c r="I1150" i="16"/>
  <c r="H1150" i="16"/>
  <c r="G1150" i="16"/>
  <c r="F1150" i="16"/>
  <c r="E1150" i="16"/>
  <c r="D1150" i="16"/>
  <c r="C1150" i="16"/>
  <c r="P1149" i="16"/>
  <c r="O1149" i="16"/>
  <c r="N1149" i="16"/>
  <c r="M1149" i="16"/>
  <c r="L1149" i="16"/>
  <c r="K1149" i="16"/>
  <c r="J1149" i="16"/>
  <c r="I1149" i="16"/>
  <c r="H1149" i="16"/>
  <c r="G1149" i="16"/>
  <c r="F1149" i="16"/>
  <c r="E1149" i="16"/>
  <c r="D1149" i="16"/>
  <c r="C1149" i="16"/>
  <c r="P1148" i="16"/>
  <c r="O1148" i="16"/>
  <c r="N1148" i="16"/>
  <c r="M1148" i="16"/>
  <c r="L1148" i="16"/>
  <c r="K1148" i="16"/>
  <c r="J1148" i="16"/>
  <c r="I1148" i="16"/>
  <c r="H1148" i="16"/>
  <c r="G1148" i="16"/>
  <c r="F1148" i="16"/>
  <c r="E1148" i="16"/>
  <c r="D1148" i="16"/>
  <c r="C1148" i="16"/>
  <c r="P1147" i="16"/>
  <c r="O1147" i="16"/>
  <c r="N1147" i="16"/>
  <c r="M1147" i="16"/>
  <c r="L1147" i="16"/>
  <c r="K1147" i="16"/>
  <c r="J1147" i="16"/>
  <c r="I1147" i="16"/>
  <c r="H1147" i="16"/>
  <c r="G1147" i="16"/>
  <c r="F1147" i="16"/>
  <c r="E1147" i="16"/>
  <c r="D1147" i="16"/>
  <c r="C1147" i="16"/>
  <c r="P1146" i="16"/>
  <c r="O1146" i="16"/>
  <c r="N1146" i="16"/>
  <c r="M1146" i="16"/>
  <c r="L1146" i="16"/>
  <c r="K1146" i="16"/>
  <c r="J1146" i="16"/>
  <c r="I1146" i="16"/>
  <c r="H1146" i="16"/>
  <c r="G1146" i="16"/>
  <c r="F1146" i="16"/>
  <c r="E1146" i="16"/>
  <c r="D1146" i="16"/>
  <c r="C1146" i="16"/>
  <c r="P1145" i="16"/>
  <c r="O1145" i="16"/>
  <c r="N1145" i="16"/>
  <c r="M1145" i="16"/>
  <c r="L1145" i="16"/>
  <c r="K1145" i="16"/>
  <c r="J1145" i="16"/>
  <c r="I1145" i="16"/>
  <c r="H1145" i="16"/>
  <c r="G1145" i="16"/>
  <c r="F1145" i="16"/>
  <c r="E1145" i="16"/>
  <c r="D1145" i="16"/>
  <c r="C1145" i="16"/>
  <c r="P1144" i="16"/>
  <c r="O1144" i="16"/>
  <c r="N1144" i="16"/>
  <c r="M1144" i="16"/>
  <c r="L1144" i="16"/>
  <c r="K1144" i="16"/>
  <c r="J1144" i="16"/>
  <c r="I1144" i="16"/>
  <c r="H1144" i="16"/>
  <c r="G1144" i="16"/>
  <c r="F1144" i="16"/>
  <c r="E1144" i="16"/>
  <c r="D1144" i="16"/>
  <c r="C1144" i="16"/>
  <c r="P1143" i="16"/>
  <c r="O1143" i="16"/>
  <c r="N1143" i="16"/>
  <c r="M1143" i="16"/>
  <c r="L1143" i="16"/>
  <c r="K1143" i="16"/>
  <c r="J1143" i="16"/>
  <c r="I1143" i="16"/>
  <c r="H1143" i="16"/>
  <c r="G1143" i="16"/>
  <c r="F1143" i="16"/>
  <c r="E1143" i="16"/>
  <c r="D1143" i="16"/>
  <c r="C1143" i="16"/>
  <c r="P1142" i="16"/>
  <c r="O1142" i="16"/>
  <c r="N1142" i="16"/>
  <c r="M1142" i="16"/>
  <c r="L1142" i="16"/>
  <c r="K1142" i="16"/>
  <c r="J1142" i="16"/>
  <c r="I1142" i="16"/>
  <c r="H1142" i="16"/>
  <c r="G1142" i="16"/>
  <c r="F1142" i="16"/>
  <c r="E1142" i="16"/>
  <c r="D1142" i="16"/>
  <c r="C1142" i="16"/>
  <c r="P1141" i="16"/>
  <c r="O1141" i="16"/>
  <c r="N1141" i="16"/>
  <c r="M1141" i="16"/>
  <c r="L1141" i="16"/>
  <c r="K1141" i="16"/>
  <c r="J1141" i="16"/>
  <c r="I1141" i="16"/>
  <c r="H1141" i="16"/>
  <c r="G1141" i="16"/>
  <c r="F1141" i="16"/>
  <c r="E1141" i="16"/>
  <c r="D1141" i="16"/>
  <c r="C1141" i="16"/>
  <c r="P1140" i="16"/>
  <c r="O1140" i="16"/>
  <c r="N1140" i="16"/>
  <c r="M1140" i="16"/>
  <c r="L1140" i="16"/>
  <c r="K1140" i="16"/>
  <c r="J1140" i="16"/>
  <c r="I1140" i="16"/>
  <c r="H1140" i="16"/>
  <c r="G1140" i="16"/>
  <c r="F1140" i="16"/>
  <c r="E1140" i="16"/>
  <c r="D1140" i="16"/>
  <c r="C1140" i="16"/>
  <c r="P1139" i="16"/>
  <c r="O1139" i="16"/>
  <c r="N1139" i="16"/>
  <c r="M1139" i="16"/>
  <c r="L1139" i="16"/>
  <c r="K1139" i="16"/>
  <c r="J1139" i="16"/>
  <c r="I1139" i="16"/>
  <c r="H1139" i="16"/>
  <c r="G1139" i="16"/>
  <c r="F1139" i="16"/>
  <c r="E1139" i="16"/>
  <c r="D1139" i="16"/>
  <c r="C1139" i="16"/>
  <c r="P1138" i="16"/>
  <c r="O1138" i="16"/>
  <c r="N1138" i="16"/>
  <c r="M1138" i="16"/>
  <c r="L1138" i="16"/>
  <c r="K1138" i="16"/>
  <c r="J1138" i="16"/>
  <c r="I1138" i="16"/>
  <c r="H1138" i="16"/>
  <c r="G1138" i="16"/>
  <c r="F1138" i="16"/>
  <c r="E1138" i="16"/>
  <c r="D1138" i="16"/>
  <c r="C1138" i="16"/>
  <c r="P1137" i="16"/>
  <c r="O1137" i="16"/>
  <c r="N1137" i="16"/>
  <c r="M1137" i="16"/>
  <c r="L1137" i="16"/>
  <c r="K1137" i="16"/>
  <c r="J1137" i="16"/>
  <c r="I1137" i="16"/>
  <c r="H1137" i="16"/>
  <c r="G1137" i="16"/>
  <c r="F1137" i="16"/>
  <c r="E1137" i="16"/>
  <c r="D1137" i="16"/>
  <c r="C1137" i="16"/>
  <c r="P1136" i="16"/>
  <c r="O1136" i="16"/>
  <c r="N1136" i="16"/>
  <c r="M1136" i="16"/>
  <c r="L1136" i="16"/>
  <c r="K1136" i="16"/>
  <c r="J1136" i="16"/>
  <c r="I1136" i="16"/>
  <c r="H1136" i="16"/>
  <c r="G1136" i="16"/>
  <c r="F1136" i="16"/>
  <c r="E1136" i="16"/>
  <c r="D1136" i="16"/>
  <c r="C1136" i="16"/>
  <c r="P1135" i="16"/>
  <c r="O1135" i="16"/>
  <c r="N1135" i="16"/>
  <c r="M1135" i="16"/>
  <c r="L1135" i="16"/>
  <c r="K1135" i="16"/>
  <c r="J1135" i="16"/>
  <c r="I1135" i="16"/>
  <c r="H1135" i="16"/>
  <c r="G1135" i="16"/>
  <c r="F1135" i="16"/>
  <c r="E1135" i="16"/>
  <c r="D1135" i="16"/>
  <c r="C1135" i="16"/>
  <c r="P1134" i="16"/>
  <c r="O1134" i="16"/>
  <c r="N1134" i="16"/>
  <c r="M1134" i="16"/>
  <c r="L1134" i="16"/>
  <c r="K1134" i="16"/>
  <c r="J1134" i="16"/>
  <c r="I1134" i="16"/>
  <c r="H1134" i="16"/>
  <c r="G1134" i="16"/>
  <c r="F1134" i="16"/>
  <c r="E1134" i="16"/>
  <c r="D1134" i="16"/>
  <c r="C1134" i="16"/>
  <c r="P1133" i="16"/>
  <c r="O1133" i="16"/>
  <c r="N1133" i="16"/>
  <c r="M1133" i="16"/>
  <c r="L1133" i="16"/>
  <c r="K1133" i="16"/>
  <c r="J1133" i="16"/>
  <c r="I1133" i="16"/>
  <c r="H1133" i="16"/>
  <c r="G1133" i="16"/>
  <c r="F1133" i="16"/>
  <c r="E1133" i="16"/>
  <c r="D1133" i="16"/>
  <c r="C1133" i="16"/>
  <c r="P1132" i="16"/>
  <c r="O1132" i="16"/>
  <c r="N1132" i="16"/>
  <c r="M1132" i="16"/>
  <c r="L1132" i="16"/>
  <c r="K1132" i="16"/>
  <c r="J1132" i="16"/>
  <c r="I1132" i="16"/>
  <c r="H1132" i="16"/>
  <c r="G1132" i="16"/>
  <c r="F1132" i="16"/>
  <c r="E1132" i="16"/>
  <c r="D1132" i="16"/>
  <c r="C1132" i="16"/>
  <c r="P1131" i="16"/>
  <c r="O1131" i="16"/>
  <c r="N1131" i="16"/>
  <c r="M1131" i="16"/>
  <c r="L1131" i="16"/>
  <c r="K1131" i="16"/>
  <c r="J1131" i="16"/>
  <c r="I1131" i="16"/>
  <c r="H1131" i="16"/>
  <c r="G1131" i="16"/>
  <c r="F1131" i="16"/>
  <c r="E1131" i="16"/>
  <c r="D1131" i="16"/>
  <c r="C1131" i="16"/>
  <c r="P1130" i="16"/>
  <c r="O1130" i="16"/>
  <c r="N1130" i="16"/>
  <c r="M1130" i="16"/>
  <c r="L1130" i="16"/>
  <c r="K1130" i="16"/>
  <c r="J1130" i="16"/>
  <c r="I1130" i="16"/>
  <c r="H1130" i="16"/>
  <c r="G1130" i="16"/>
  <c r="F1130" i="16"/>
  <c r="E1130" i="16"/>
  <c r="D1130" i="16"/>
  <c r="C1130" i="16"/>
  <c r="P1129" i="16"/>
  <c r="O1129" i="16"/>
  <c r="N1129" i="16"/>
  <c r="M1129" i="16"/>
  <c r="L1129" i="16"/>
  <c r="K1129" i="16"/>
  <c r="J1129" i="16"/>
  <c r="I1129" i="16"/>
  <c r="H1129" i="16"/>
  <c r="G1129" i="16"/>
  <c r="F1129" i="16"/>
  <c r="E1129" i="16"/>
  <c r="D1129" i="16"/>
  <c r="C1129" i="16"/>
  <c r="P1128" i="16"/>
  <c r="O1128" i="16"/>
  <c r="N1128" i="16"/>
  <c r="M1128" i="16"/>
  <c r="L1128" i="16"/>
  <c r="K1128" i="16"/>
  <c r="J1128" i="16"/>
  <c r="I1128" i="16"/>
  <c r="H1128" i="16"/>
  <c r="G1128" i="16"/>
  <c r="F1128" i="16"/>
  <c r="E1128" i="16"/>
  <c r="D1128" i="16"/>
  <c r="C1128" i="16"/>
  <c r="P1127" i="16"/>
  <c r="O1127" i="16"/>
  <c r="N1127" i="16"/>
  <c r="M1127" i="16"/>
  <c r="L1127" i="16"/>
  <c r="K1127" i="16"/>
  <c r="J1127" i="16"/>
  <c r="I1127" i="16"/>
  <c r="H1127" i="16"/>
  <c r="G1127" i="16"/>
  <c r="F1127" i="16"/>
  <c r="E1127" i="16"/>
  <c r="D1127" i="16"/>
  <c r="C1127" i="16"/>
  <c r="P1126" i="16"/>
  <c r="O1126" i="16"/>
  <c r="N1126" i="16"/>
  <c r="M1126" i="16"/>
  <c r="L1126" i="16"/>
  <c r="K1126" i="16"/>
  <c r="J1126" i="16"/>
  <c r="I1126" i="16"/>
  <c r="H1126" i="16"/>
  <c r="G1126" i="16"/>
  <c r="F1126" i="16"/>
  <c r="E1126" i="16"/>
  <c r="D1126" i="16"/>
  <c r="C1126" i="16"/>
  <c r="P1125" i="16"/>
  <c r="O1125" i="16"/>
  <c r="N1125" i="16"/>
  <c r="M1125" i="16"/>
  <c r="L1125" i="16"/>
  <c r="K1125" i="16"/>
  <c r="J1125" i="16"/>
  <c r="I1125" i="16"/>
  <c r="H1125" i="16"/>
  <c r="G1125" i="16"/>
  <c r="F1125" i="16"/>
  <c r="E1125" i="16"/>
  <c r="D1125" i="16"/>
  <c r="C1125" i="16"/>
  <c r="P1124" i="16"/>
  <c r="O1124" i="16"/>
  <c r="N1124" i="16"/>
  <c r="M1124" i="16"/>
  <c r="L1124" i="16"/>
  <c r="K1124" i="16"/>
  <c r="J1124" i="16"/>
  <c r="I1124" i="16"/>
  <c r="H1124" i="16"/>
  <c r="G1124" i="16"/>
  <c r="F1124" i="16"/>
  <c r="E1124" i="16"/>
  <c r="D1124" i="16"/>
  <c r="C1124" i="16"/>
  <c r="P1123" i="16"/>
  <c r="O1123" i="16"/>
  <c r="N1123" i="16"/>
  <c r="M1123" i="16"/>
  <c r="L1123" i="16"/>
  <c r="K1123" i="16"/>
  <c r="J1123" i="16"/>
  <c r="I1123" i="16"/>
  <c r="H1123" i="16"/>
  <c r="G1123" i="16"/>
  <c r="F1123" i="16"/>
  <c r="E1123" i="16"/>
  <c r="D1123" i="16"/>
  <c r="C1123" i="16"/>
  <c r="P1122" i="16"/>
  <c r="O1122" i="16"/>
  <c r="N1122" i="16"/>
  <c r="M1122" i="16"/>
  <c r="L1122" i="16"/>
  <c r="K1122" i="16"/>
  <c r="J1122" i="16"/>
  <c r="I1122" i="16"/>
  <c r="H1122" i="16"/>
  <c r="G1122" i="16"/>
  <c r="F1122" i="16"/>
  <c r="E1122" i="16"/>
  <c r="D1122" i="16"/>
  <c r="C1122" i="16"/>
  <c r="P1121" i="16"/>
  <c r="O1121" i="16"/>
  <c r="N1121" i="16"/>
  <c r="M1121" i="16"/>
  <c r="L1121" i="16"/>
  <c r="K1121" i="16"/>
  <c r="J1121" i="16"/>
  <c r="I1121" i="16"/>
  <c r="H1121" i="16"/>
  <c r="G1121" i="16"/>
  <c r="F1121" i="16"/>
  <c r="E1121" i="16"/>
  <c r="D1121" i="16"/>
  <c r="C1121" i="16"/>
  <c r="P1120" i="16"/>
  <c r="O1120" i="16"/>
  <c r="N1120" i="16"/>
  <c r="M1120" i="16"/>
  <c r="L1120" i="16"/>
  <c r="K1120" i="16"/>
  <c r="J1120" i="16"/>
  <c r="I1120" i="16"/>
  <c r="H1120" i="16"/>
  <c r="G1120" i="16"/>
  <c r="F1120" i="16"/>
  <c r="E1120" i="16"/>
  <c r="D1120" i="16"/>
  <c r="C1120" i="16"/>
  <c r="P1119" i="16"/>
  <c r="O1119" i="16"/>
  <c r="N1119" i="16"/>
  <c r="M1119" i="16"/>
  <c r="L1119" i="16"/>
  <c r="K1119" i="16"/>
  <c r="J1119" i="16"/>
  <c r="I1119" i="16"/>
  <c r="H1119" i="16"/>
  <c r="G1119" i="16"/>
  <c r="F1119" i="16"/>
  <c r="E1119" i="16"/>
  <c r="D1119" i="16"/>
  <c r="C1119" i="16"/>
  <c r="P1118" i="16"/>
  <c r="O1118" i="16"/>
  <c r="N1118" i="16"/>
  <c r="M1118" i="16"/>
  <c r="L1118" i="16"/>
  <c r="K1118" i="16"/>
  <c r="J1118" i="16"/>
  <c r="I1118" i="16"/>
  <c r="H1118" i="16"/>
  <c r="G1118" i="16"/>
  <c r="F1118" i="16"/>
  <c r="E1118" i="16"/>
  <c r="D1118" i="16"/>
  <c r="C1118" i="16"/>
  <c r="P1117" i="16"/>
  <c r="O1117" i="16"/>
  <c r="N1117" i="16"/>
  <c r="M1117" i="16"/>
  <c r="L1117" i="16"/>
  <c r="K1117" i="16"/>
  <c r="J1117" i="16"/>
  <c r="I1117" i="16"/>
  <c r="H1117" i="16"/>
  <c r="G1117" i="16"/>
  <c r="F1117" i="16"/>
  <c r="E1117" i="16"/>
  <c r="D1117" i="16"/>
  <c r="C1117" i="16"/>
  <c r="P1116" i="16"/>
  <c r="O1116" i="16"/>
  <c r="N1116" i="16"/>
  <c r="M1116" i="16"/>
  <c r="L1116" i="16"/>
  <c r="K1116" i="16"/>
  <c r="J1116" i="16"/>
  <c r="I1116" i="16"/>
  <c r="H1116" i="16"/>
  <c r="G1116" i="16"/>
  <c r="F1116" i="16"/>
  <c r="E1116" i="16"/>
  <c r="D1116" i="16"/>
  <c r="C1116" i="16"/>
  <c r="P1115" i="16"/>
  <c r="O1115" i="16"/>
  <c r="N1115" i="16"/>
  <c r="M1115" i="16"/>
  <c r="L1115" i="16"/>
  <c r="K1115" i="16"/>
  <c r="J1115" i="16"/>
  <c r="I1115" i="16"/>
  <c r="H1115" i="16"/>
  <c r="G1115" i="16"/>
  <c r="F1115" i="16"/>
  <c r="E1115" i="16"/>
  <c r="D1115" i="16"/>
  <c r="C1115" i="16"/>
  <c r="P1114" i="16"/>
  <c r="O1114" i="16"/>
  <c r="N1114" i="16"/>
  <c r="M1114" i="16"/>
  <c r="L1114" i="16"/>
  <c r="K1114" i="16"/>
  <c r="J1114" i="16"/>
  <c r="I1114" i="16"/>
  <c r="H1114" i="16"/>
  <c r="G1114" i="16"/>
  <c r="F1114" i="16"/>
  <c r="E1114" i="16"/>
  <c r="D1114" i="16"/>
  <c r="C1114" i="16"/>
  <c r="P1113" i="16"/>
  <c r="O1113" i="16"/>
  <c r="N1113" i="16"/>
  <c r="M1113" i="16"/>
  <c r="L1113" i="16"/>
  <c r="K1113" i="16"/>
  <c r="J1113" i="16"/>
  <c r="I1113" i="16"/>
  <c r="H1113" i="16"/>
  <c r="G1113" i="16"/>
  <c r="F1113" i="16"/>
  <c r="E1113" i="16"/>
  <c r="D1113" i="16"/>
  <c r="C1113" i="16"/>
  <c r="P1112" i="16"/>
  <c r="O1112" i="16"/>
  <c r="N1112" i="16"/>
  <c r="M1112" i="16"/>
  <c r="L1112" i="16"/>
  <c r="K1112" i="16"/>
  <c r="J1112" i="16"/>
  <c r="I1112" i="16"/>
  <c r="H1112" i="16"/>
  <c r="G1112" i="16"/>
  <c r="F1112" i="16"/>
  <c r="E1112" i="16"/>
  <c r="D1112" i="16"/>
  <c r="C1112" i="16"/>
  <c r="P1111" i="16"/>
  <c r="O1111" i="16"/>
  <c r="N1111" i="16"/>
  <c r="M1111" i="16"/>
  <c r="L1111" i="16"/>
  <c r="K1111" i="16"/>
  <c r="J1111" i="16"/>
  <c r="I1111" i="16"/>
  <c r="H1111" i="16"/>
  <c r="G1111" i="16"/>
  <c r="F1111" i="16"/>
  <c r="E1111" i="16"/>
  <c r="D1111" i="16"/>
  <c r="C1111" i="16"/>
  <c r="P1110" i="16"/>
  <c r="O1110" i="16"/>
  <c r="N1110" i="16"/>
  <c r="M1110" i="16"/>
  <c r="L1110" i="16"/>
  <c r="K1110" i="16"/>
  <c r="J1110" i="16"/>
  <c r="I1110" i="16"/>
  <c r="H1110" i="16"/>
  <c r="G1110" i="16"/>
  <c r="F1110" i="16"/>
  <c r="E1110" i="16"/>
  <c r="D1110" i="16"/>
  <c r="C1110" i="16"/>
  <c r="P1109" i="16"/>
  <c r="O1109" i="16"/>
  <c r="N1109" i="16"/>
  <c r="M1109" i="16"/>
  <c r="L1109" i="16"/>
  <c r="K1109" i="16"/>
  <c r="J1109" i="16"/>
  <c r="I1109" i="16"/>
  <c r="H1109" i="16"/>
  <c r="G1109" i="16"/>
  <c r="F1109" i="16"/>
  <c r="E1109" i="16"/>
  <c r="D1109" i="16"/>
  <c r="C1109" i="16"/>
  <c r="P1108" i="16"/>
  <c r="O1108" i="16"/>
  <c r="N1108" i="16"/>
  <c r="M1108" i="16"/>
  <c r="L1108" i="16"/>
  <c r="K1108" i="16"/>
  <c r="J1108" i="16"/>
  <c r="I1108" i="16"/>
  <c r="H1108" i="16"/>
  <c r="G1108" i="16"/>
  <c r="F1108" i="16"/>
  <c r="E1108" i="16"/>
  <c r="D1108" i="16"/>
  <c r="C1108" i="16"/>
  <c r="P1107" i="16"/>
  <c r="O1107" i="16"/>
  <c r="N1107" i="16"/>
  <c r="M1107" i="16"/>
  <c r="L1107" i="16"/>
  <c r="K1107" i="16"/>
  <c r="J1107" i="16"/>
  <c r="I1107" i="16"/>
  <c r="H1107" i="16"/>
  <c r="G1107" i="16"/>
  <c r="F1107" i="16"/>
  <c r="E1107" i="16"/>
  <c r="D1107" i="16"/>
  <c r="C1107" i="16"/>
  <c r="P1106" i="16"/>
  <c r="O1106" i="16"/>
  <c r="N1106" i="16"/>
  <c r="M1106" i="16"/>
  <c r="L1106" i="16"/>
  <c r="K1106" i="16"/>
  <c r="J1106" i="16"/>
  <c r="I1106" i="16"/>
  <c r="H1106" i="16"/>
  <c r="G1106" i="16"/>
  <c r="F1106" i="16"/>
  <c r="E1106" i="16"/>
  <c r="D1106" i="16"/>
  <c r="C1106" i="16"/>
  <c r="P1105" i="16"/>
  <c r="O1105" i="16"/>
  <c r="N1105" i="16"/>
  <c r="M1105" i="16"/>
  <c r="L1105" i="16"/>
  <c r="K1105" i="16"/>
  <c r="J1105" i="16"/>
  <c r="I1105" i="16"/>
  <c r="H1105" i="16"/>
  <c r="G1105" i="16"/>
  <c r="F1105" i="16"/>
  <c r="E1105" i="16"/>
  <c r="D1105" i="16"/>
  <c r="C1105" i="16"/>
  <c r="P1104" i="16"/>
  <c r="O1104" i="16"/>
  <c r="N1104" i="16"/>
  <c r="M1104" i="16"/>
  <c r="L1104" i="16"/>
  <c r="K1104" i="16"/>
  <c r="J1104" i="16"/>
  <c r="I1104" i="16"/>
  <c r="H1104" i="16"/>
  <c r="G1104" i="16"/>
  <c r="F1104" i="16"/>
  <c r="E1104" i="16"/>
  <c r="D1104" i="16"/>
  <c r="C1104" i="16"/>
  <c r="P1103" i="16"/>
  <c r="O1103" i="16"/>
  <c r="N1103" i="16"/>
  <c r="M1103" i="16"/>
  <c r="L1103" i="16"/>
  <c r="K1103" i="16"/>
  <c r="J1103" i="16"/>
  <c r="I1103" i="16"/>
  <c r="H1103" i="16"/>
  <c r="G1103" i="16"/>
  <c r="F1103" i="16"/>
  <c r="E1103" i="16"/>
  <c r="D1103" i="16"/>
  <c r="C1103" i="16"/>
  <c r="P1102" i="16"/>
  <c r="O1102" i="16"/>
  <c r="N1102" i="16"/>
  <c r="M1102" i="16"/>
  <c r="L1102" i="16"/>
  <c r="K1102" i="16"/>
  <c r="J1102" i="16"/>
  <c r="I1102" i="16"/>
  <c r="H1102" i="16"/>
  <c r="G1102" i="16"/>
  <c r="F1102" i="16"/>
  <c r="E1102" i="16"/>
  <c r="D1102" i="16"/>
  <c r="C1102" i="16"/>
  <c r="P1101" i="16"/>
  <c r="O1101" i="16"/>
  <c r="N1101" i="16"/>
  <c r="M1101" i="16"/>
  <c r="L1101" i="16"/>
  <c r="K1101" i="16"/>
  <c r="J1101" i="16"/>
  <c r="I1101" i="16"/>
  <c r="H1101" i="16"/>
  <c r="G1101" i="16"/>
  <c r="F1101" i="16"/>
  <c r="E1101" i="16"/>
  <c r="D1101" i="16"/>
  <c r="C1101" i="16"/>
  <c r="P1100" i="16"/>
  <c r="O1100" i="16"/>
  <c r="N1100" i="16"/>
  <c r="M1100" i="16"/>
  <c r="L1100" i="16"/>
  <c r="K1100" i="16"/>
  <c r="J1100" i="16"/>
  <c r="I1100" i="16"/>
  <c r="H1100" i="16"/>
  <c r="G1100" i="16"/>
  <c r="F1100" i="16"/>
  <c r="E1100" i="16"/>
  <c r="D1100" i="16"/>
  <c r="C1100" i="16"/>
  <c r="P1099" i="16"/>
  <c r="O1099" i="16"/>
  <c r="N1099" i="16"/>
  <c r="M1099" i="16"/>
  <c r="L1099" i="16"/>
  <c r="K1099" i="16"/>
  <c r="J1099" i="16"/>
  <c r="I1099" i="16"/>
  <c r="H1099" i="16"/>
  <c r="G1099" i="16"/>
  <c r="F1099" i="16"/>
  <c r="E1099" i="16"/>
  <c r="D1099" i="16"/>
  <c r="C1099" i="16"/>
  <c r="P1098" i="16"/>
  <c r="O1098" i="16"/>
  <c r="N1098" i="16"/>
  <c r="M1098" i="16"/>
  <c r="L1098" i="16"/>
  <c r="K1098" i="16"/>
  <c r="J1098" i="16"/>
  <c r="I1098" i="16"/>
  <c r="H1098" i="16"/>
  <c r="G1098" i="16"/>
  <c r="F1098" i="16"/>
  <c r="E1098" i="16"/>
  <c r="D1098" i="16"/>
  <c r="C1098" i="16"/>
  <c r="P1097" i="16"/>
  <c r="O1097" i="16"/>
  <c r="N1097" i="16"/>
  <c r="M1097" i="16"/>
  <c r="L1097" i="16"/>
  <c r="K1097" i="16"/>
  <c r="J1097" i="16"/>
  <c r="I1097" i="16"/>
  <c r="H1097" i="16"/>
  <c r="G1097" i="16"/>
  <c r="F1097" i="16"/>
  <c r="E1097" i="16"/>
  <c r="D1097" i="16"/>
  <c r="C1097" i="16"/>
  <c r="P1096" i="16"/>
  <c r="O1096" i="16"/>
  <c r="N1096" i="16"/>
  <c r="M1096" i="16"/>
  <c r="L1096" i="16"/>
  <c r="K1096" i="16"/>
  <c r="J1096" i="16"/>
  <c r="I1096" i="16"/>
  <c r="H1096" i="16"/>
  <c r="G1096" i="16"/>
  <c r="F1096" i="16"/>
  <c r="E1096" i="16"/>
  <c r="D1096" i="16"/>
  <c r="C1096" i="16"/>
  <c r="P1095" i="16"/>
  <c r="O1095" i="16"/>
  <c r="N1095" i="16"/>
  <c r="M1095" i="16"/>
  <c r="L1095" i="16"/>
  <c r="K1095" i="16"/>
  <c r="J1095" i="16"/>
  <c r="I1095" i="16"/>
  <c r="H1095" i="16"/>
  <c r="G1095" i="16"/>
  <c r="F1095" i="16"/>
  <c r="E1095" i="16"/>
  <c r="D1095" i="16"/>
  <c r="C1095" i="16"/>
  <c r="P1094" i="16"/>
  <c r="O1094" i="16"/>
  <c r="N1094" i="16"/>
  <c r="M1094" i="16"/>
  <c r="L1094" i="16"/>
  <c r="K1094" i="16"/>
  <c r="J1094" i="16"/>
  <c r="I1094" i="16"/>
  <c r="H1094" i="16"/>
  <c r="G1094" i="16"/>
  <c r="F1094" i="16"/>
  <c r="E1094" i="16"/>
  <c r="D1094" i="16"/>
  <c r="C1094" i="16"/>
  <c r="P1093" i="16"/>
  <c r="O1093" i="16"/>
  <c r="N1093" i="16"/>
  <c r="M1093" i="16"/>
  <c r="L1093" i="16"/>
  <c r="K1093" i="16"/>
  <c r="J1093" i="16"/>
  <c r="I1093" i="16"/>
  <c r="H1093" i="16"/>
  <c r="G1093" i="16"/>
  <c r="F1093" i="16"/>
  <c r="E1093" i="16"/>
  <c r="D1093" i="16"/>
  <c r="C1093" i="16"/>
  <c r="P1092" i="16"/>
  <c r="O1092" i="16"/>
  <c r="N1092" i="16"/>
  <c r="M1092" i="16"/>
  <c r="L1092" i="16"/>
  <c r="K1092" i="16"/>
  <c r="J1092" i="16"/>
  <c r="I1092" i="16"/>
  <c r="H1092" i="16"/>
  <c r="G1092" i="16"/>
  <c r="F1092" i="16"/>
  <c r="E1092" i="16"/>
  <c r="D1092" i="16"/>
  <c r="C1092" i="16"/>
  <c r="P1091" i="16"/>
  <c r="O1091" i="16"/>
  <c r="N1091" i="16"/>
  <c r="M1091" i="16"/>
  <c r="L1091" i="16"/>
  <c r="K1091" i="16"/>
  <c r="J1091" i="16"/>
  <c r="I1091" i="16"/>
  <c r="H1091" i="16"/>
  <c r="G1091" i="16"/>
  <c r="F1091" i="16"/>
  <c r="E1091" i="16"/>
  <c r="D1091" i="16"/>
  <c r="C1091" i="16"/>
  <c r="P1090" i="16"/>
  <c r="O1090" i="16"/>
  <c r="N1090" i="16"/>
  <c r="M1090" i="16"/>
  <c r="L1090" i="16"/>
  <c r="K1090" i="16"/>
  <c r="J1090" i="16"/>
  <c r="I1090" i="16"/>
  <c r="H1090" i="16"/>
  <c r="G1090" i="16"/>
  <c r="F1090" i="16"/>
  <c r="E1090" i="16"/>
  <c r="D1090" i="16"/>
  <c r="C1090" i="16"/>
  <c r="P1089" i="16"/>
  <c r="O1089" i="16"/>
  <c r="N1089" i="16"/>
  <c r="M1089" i="16"/>
  <c r="L1089" i="16"/>
  <c r="K1089" i="16"/>
  <c r="J1089" i="16"/>
  <c r="I1089" i="16"/>
  <c r="H1089" i="16"/>
  <c r="G1089" i="16"/>
  <c r="F1089" i="16"/>
  <c r="E1089" i="16"/>
  <c r="D1089" i="16"/>
  <c r="C1089" i="16"/>
  <c r="P1088" i="16"/>
  <c r="O1088" i="16"/>
  <c r="N1088" i="16"/>
  <c r="M1088" i="16"/>
  <c r="L1088" i="16"/>
  <c r="K1088" i="16"/>
  <c r="J1088" i="16"/>
  <c r="I1088" i="16"/>
  <c r="H1088" i="16"/>
  <c r="G1088" i="16"/>
  <c r="F1088" i="16"/>
  <c r="E1088" i="16"/>
  <c r="D1088" i="16"/>
  <c r="C1088" i="16"/>
  <c r="P1087" i="16"/>
  <c r="O1087" i="16"/>
  <c r="N1087" i="16"/>
  <c r="M1087" i="16"/>
  <c r="L1087" i="16"/>
  <c r="K1087" i="16"/>
  <c r="J1087" i="16"/>
  <c r="I1087" i="16"/>
  <c r="H1087" i="16"/>
  <c r="G1087" i="16"/>
  <c r="F1087" i="16"/>
  <c r="E1087" i="16"/>
  <c r="D1087" i="16"/>
  <c r="C1087" i="16"/>
  <c r="P1086" i="16"/>
  <c r="O1086" i="16"/>
  <c r="N1086" i="16"/>
  <c r="M1086" i="16"/>
  <c r="L1086" i="16"/>
  <c r="K1086" i="16"/>
  <c r="J1086" i="16"/>
  <c r="I1086" i="16"/>
  <c r="H1086" i="16"/>
  <c r="G1086" i="16"/>
  <c r="F1086" i="16"/>
  <c r="E1086" i="16"/>
  <c r="D1086" i="16"/>
  <c r="C1086" i="16"/>
  <c r="P1085" i="16"/>
  <c r="O1085" i="16"/>
  <c r="N1085" i="16"/>
  <c r="M1085" i="16"/>
  <c r="L1085" i="16"/>
  <c r="K1085" i="16"/>
  <c r="J1085" i="16"/>
  <c r="I1085" i="16"/>
  <c r="H1085" i="16"/>
  <c r="G1085" i="16"/>
  <c r="F1085" i="16"/>
  <c r="E1085" i="16"/>
  <c r="D1085" i="16"/>
  <c r="C1085" i="16"/>
  <c r="P1084" i="16"/>
  <c r="O1084" i="16"/>
  <c r="N1084" i="16"/>
  <c r="M1084" i="16"/>
  <c r="L1084" i="16"/>
  <c r="K1084" i="16"/>
  <c r="J1084" i="16"/>
  <c r="I1084" i="16"/>
  <c r="H1084" i="16"/>
  <c r="G1084" i="16"/>
  <c r="F1084" i="16"/>
  <c r="E1084" i="16"/>
  <c r="D1084" i="16"/>
  <c r="C1084" i="16"/>
  <c r="P1083" i="16"/>
  <c r="O1083" i="16"/>
  <c r="N1083" i="16"/>
  <c r="M1083" i="16"/>
  <c r="L1083" i="16"/>
  <c r="K1083" i="16"/>
  <c r="J1083" i="16"/>
  <c r="I1083" i="16"/>
  <c r="H1083" i="16"/>
  <c r="G1083" i="16"/>
  <c r="F1083" i="16"/>
  <c r="E1083" i="16"/>
  <c r="D1083" i="16"/>
  <c r="C1083" i="16"/>
  <c r="P1082" i="16"/>
  <c r="O1082" i="16"/>
  <c r="N1082" i="16"/>
  <c r="M1082" i="16"/>
  <c r="L1082" i="16"/>
  <c r="K1082" i="16"/>
  <c r="J1082" i="16"/>
  <c r="I1082" i="16"/>
  <c r="H1082" i="16"/>
  <c r="G1082" i="16"/>
  <c r="F1082" i="16"/>
  <c r="E1082" i="16"/>
  <c r="D1082" i="16"/>
  <c r="C1082" i="16"/>
  <c r="P1081" i="16"/>
  <c r="O1081" i="16"/>
  <c r="N1081" i="16"/>
  <c r="M1081" i="16"/>
  <c r="L1081" i="16"/>
  <c r="K1081" i="16"/>
  <c r="J1081" i="16"/>
  <c r="I1081" i="16"/>
  <c r="H1081" i="16"/>
  <c r="G1081" i="16"/>
  <c r="F1081" i="16"/>
  <c r="E1081" i="16"/>
  <c r="D1081" i="16"/>
  <c r="C1081" i="16"/>
  <c r="P1080" i="16"/>
  <c r="O1080" i="16"/>
  <c r="N1080" i="16"/>
  <c r="M1080" i="16"/>
  <c r="L1080" i="16"/>
  <c r="K1080" i="16"/>
  <c r="J1080" i="16"/>
  <c r="I1080" i="16"/>
  <c r="H1080" i="16"/>
  <c r="G1080" i="16"/>
  <c r="F1080" i="16"/>
  <c r="E1080" i="16"/>
  <c r="D1080" i="16"/>
  <c r="C1080" i="16"/>
  <c r="P1079" i="16"/>
  <c r="O1079" i="16"/>
  <c r="N1079" i="16"/>
  <c r="M1079" i="16"/>
  <c r="L1079" i="16"/>
  <c r="K1079" i="16"/>
  <c r="J1079" i="16"/>
  <c r="I1079" i="16"/>
  <c r="H1079" i="16"/>
  <c r="G1079" i="16"/>
  <c r="F1079" i="16"/>
  <c r="E1079" i="16"/>
  <c r="D1079" i="16"/>
  <c r="C1079" i="16"/>
  <c r="P1078" i="16"/>
  <c r="O1078" i="16"/>
  <c r="N1078" i="16"/>
  <c r="M1078" i="16"/>
  <c r="L1078" i="16"/>
  <c r="K1078" i="16"/>
  <c r="J1078" i="16"/>
  <c r="I1078" i="16"/>
  <c r="H1078" i="16"/>
  <c r="G1078" i="16"/>
  <c r="F1078" i="16"/>
  <c r="E1078" i="16"/>
  <c r="D1078" i="16"/>
  <c r="C1078" i="16"/>
  <c r="P1077" i="16"/>
  <c r="O1077" i="16"/>
  <c r="N1077" i="16"/>
  <c r="M1077" i="16"/>
  <c r="L1077" i="16"/>
  <c r="K1077" i="16"/>
  <c r="J1077" i="16"/>
  <c r="I1077" i="16"/>
  <c r="H1077" i="16"/>
  <c r="G1077" i="16"/>
  <c r="F1077" i="16"/>
  <c r="E1077" i="16"/>
  <c r="D1077" i="16"/>
  <c r="C1077" i="16"/>
  <c r="P1076" i="16"/>
  <c r="O1076" i="16"/>
  <c r="N1076" i="16"/>
  <c r="M1076" i="16"/>
  <c r="L1076" i="16"/>
  <c r="K1076" i="16"/>
  <c r="J1076" i="16"/>
  <c r="I1076" i="16"/>
  <c r="H1076" i="16"/>
  <c r="G1076" i="16"/>
  <c r="F1076" i="16"/>
  <c r="E1076" i="16"/>
  <c r="D1076" i="16"/>
  <c r="C1076" i="16"/>
  <c r="P1075" i="16"/>
  <c r="O1075" i="16"/>
  <c r="N1075" i="16"/>
  <c r="M1075" i="16"/>
  <c r="L1075" i="16"/>
  <c r="K1075" i="16"/>
  <c r="J1075" i="16"/>
  <c r="I1075" i="16"/>
  <c r="H1075" i="16"/>
  <c r="G1075" i="16"/>
  <c r="F1075" i="16"/>
  <c r="E1075" i="16"/>
  <c r="D1075" i="16"/>
  <c r="C1075" i="16"/>
  <c r="P1074" i="16"/>
  <c r="O1074" i="16"/>
  <c r="N1074" i="16"/>
  <c r="M1074" i="16"/>
  <c r="L1074" i="16"/>
  <c r="K1074" i="16"/>
  <c r="J1074" i="16"/>
  <c r="I1074" i="16"/>
  <c r="H1074" i="16"/>
  <c r="G1074" i="16"/>
  <c r="F1074" i="16"/>
  <c r="E1074" i="16"/>
  <c r="D1074" i="16"/>
  <c r="C1074" i="16"/>
  <c r="P1073" i="16"/>
  <c r="O1073" i="16"/>
  <c r="N1073" i="16"/>
  <c r="M1073" i="16"/>
  <c r="L1073" i="16"/>
  <c r="K1073" i="16"/>
  <c r="J1073" i="16"/>
  <c r="I1073" i="16"/>
  <c r="H1073" i="16"/>
  <c r="G1073" i="16"/>
  <c r="F1073" i="16"/>
  <c r="E1073" i="16"/>
  <c r="D1073" i="16"/>
  <c r="C1073" i="16"/>
  <c r="P1072" i="16"/>
  <c r="O1072" i="16"/>
  <c r="N1072" i="16"/>
  <c r="M1072" i="16"/>
  <c r="L1072" i="16"/>
  <c r="K1072" i="16"/>
  <c r="J1072" i="16"/>
  <c r="I1072" i="16"/>
  <c r="H1072" i="16"/>
  <c r="G1072" i="16"/>
  <c r="F1072" i="16"/>
  <c r="E1072" i="16"/>
  <c r="D1072" i="16"/>
  <c r="C1072" i="16"/>
  <c r="P1071" i="16"/>
  <c r="O1071" i="16"/>
  <c r="N1071" i="16"/>
  <c r="M1071" i="16"/>
  <c r="L1071" i="16"/>
  <c r="K1071" i="16"/>
  <c r="J1071" i="16"/>
  <c r="I1071" i="16"/>
  <c r="H1071" i="16"/>
  <c r="G1071" i="16"/>
  <c r="F1071" i="16"/>
  <c r="E1071" i="16"/>
  <c r="D1071" i="16"/>
  <c r="C1071" i="16"/>
  <c r="P1070" i="16"/>
  <c r="O1070" i="16"/>
  <c r="N1070" i="16"/>
  <c r="M1070" i="16"/>
  <c r="L1070" i="16"/>
  <c r="K1070" i="16"/>
  <c r="J1070" i="16"/>
  <c r="I1070" i="16"/>
  <c r="H1070" i="16"/>
  <c r="G1070" i="16"/>
  <c r="F1070" i="16"/>
  <c r="E1070" i="16"/>
  <c r="D1070" i="16"/>
  <c r="C1070" i="16"/>
  <c r="P1069" i="16"/>
  <c r="O1069" i="16"/>
  <c r="N1069" i="16"/>
  <c r="M1069" i="16"/>
  <c r="L1069" i="16"/>
  <c r="K1069" i="16"/>
  <c r="J1069" i="16"/>
  <c r="I1069" i="16"/>
  <c r="H1069" i="16"/>
  <c r="G1069" i="16"/>
  <c r="F1069" i="16"/>
  <c r="E1069" i="16"/>
  <c r="D1069" i="16"/>
  <c r="C1069" i="16"/>
  <c r="P1068" i="16"/>
  <c r="O1068" i="16"/>
  <c r="N1068" i="16"/>
  <c r="M1068" i="16"/>
  <c r="L1068" i="16"/>
  <c r="K1068" i="16"/>
  <c r="J1068" i="16"/>
  <c r="I1068" i="16"/>
  <c r="H1068" i="16"/>
  <c r="G1068" i="16"/>
  <c r="F1068" i="16"/>
  <c r="E1068" i="16"/>
  <c r="D1068" i="16"/>
  <c r="C1068" i="16"/>
  <c r="P1067" i="16"/>
  <c r="O1067" i="16"/>
  <c r="N1067" i="16"/>
  <c r="M1067" i="16"/>
  <c r="L1067" i="16"/>
  <c r="K1067" i="16"/>
  <c r="J1067" i="16"/>
  <c r="I1067" i="16"/>
  <c r="H1067" i="16"/>
  <c r="G1067" i="16"/>
  <c r="F1067" i="16"/>
  <c r="E1067" i="16"/>
  <c r="D1067" i="16"/>
  <c r="C1067" i="16"/>
  <c r="P1066" i="16"/>
  <c r="O1066" i="16"/>
  <c r="N1066" i="16"/>
  <c r="M1066" i="16"/>
  <c r="L1066" i="16"/>
  <c r="K1066" i="16"/>
  <c r="J1066" i="16"/>
  <c r="I1066" i="16"/>
  <c r="H1066" i="16"/>
  <c r="G1066" i="16"/>
  <c r="F1066" i="16"/>
  <c r="E1066" i="16"/>
  <c r="D1066" i="16"/>
  <c r="C1066" i="16"/>
  <c r="P1065" i="16"/>
  <c r="O1065" i="16"/>
  <c r="N1065" i="16"/>
  <c r="M1065" i="16"/>
  <c r="L1065" i="16"/>
  <c r="K1065" i="16"/>
  <c r="J1065" i="16"/>
  <c r="I1065" i="16"/>
  <c r="H1065" i="16"/>
  <c r="G1065" i="16"/>
  <c r="F1065" i="16"/>
  <c r="E1065" i="16"/>
  <c r="D1065" i="16"/>
  <c r="C1065" i="16"/>
  <c r="P1064" i="16"/>
  <c r="O1064" i="16"/>
  <c r="N1064" i="16"/>
  <c r="M1064" i="16"/>
  <c r="L1064" i="16"/>
  <c r="K1064" i="16"/>
  <c r="J1064" i="16"/>
  <c r="I1064" i="16"/>
  <c r="H1064" i="16"/>
  <c r="G1064" i="16"/>
  <c r="F1064" i="16"/>
  <c r="E1064" i="16"/>
  <c r="D1064" i="16"/>
  <c r="C1064" i="16"/>
  <c r="P1063" i="16"/>
  <c r="O1063" i="16"/>
  <c r="N1063" i="16"/>
  <c r="M1063" i="16"/>
  <c r="L1063" i="16"/>
  <c r="K1063" i="16"/>
  <c r="J1063" i="16"/>
  <c r="I1063" i="16"/>
  <c r="H1063" i="16"/>
  <c r="G1063" i="16"/>
  <c r="F1063" i="16"/>
  <c r="E1063" i="16"/>
  <c r="D1063" i="16"/>
  <c r="C1063" i="16"/>
  <c r="P1062" i="16"/>
  <c r="O1062" i="16"/>
  <c r="N1062" i="16"/>
  <c r="M1062" i="16"/>
  <c r="L1062" i="16"/>
  <c r="K1062" i="16"/>
  <c r="J1062" i="16"/>
  <c r="I1062" i="16"/>
  <c r="H1062" i="16"/>
  <c r="G1062" i="16"/>
  <c r="F1062" i="16"/>
  <c r="E1062" i="16"/>
  <c r="D1062" i="16"/>
  <c r="C1062" i="16"/>
  <c r="P1061" i="16"/>
  <c r="O1061" i="16"/>
  <c r="N1061" i="16"/>
  <c r="M1061" i="16"/>
  <c r="L1061" i="16"/>
  <c r="K1061" i="16"/>
  <c r="J1061" i="16"/>
  <c r="I1061" i="16"/>
  <c r="H1061" i="16"/>
  <c r="G1061" i="16"/>
  <c r="F1061" i="16"/>
  <c r="E1061" i="16"/>
  <c r="D1061" i="16"/>
  <c r="C1061" i="16"/>
  <c r="P1060" i="16"/>
  <c r="O1060" i="16"/>
  <c r="N1060" i="16"/>
  <c r="M1060" i="16"/>
  <c r="L1060" i="16"/>
  <c r="K1060" i="16"/>
  <c r="J1060" i="16"/>
  <c r="I1060" i="16"/>
  <c r="H1060" i="16"/>
  <c r="G1060" i="16"/>
  <c r="F1060" i="16"/>
  <c r="E1060" i="16"/>
  <c r="D1060" i="16"/>
  <c r="C1060" i="16"/>
  <c r="P1059" i="16"/>
  <c r="O1059" i="16"/>
  <c r="N1059" i="16"/>
  <c r="M1059" i="16"/>
  <c r="L1059" i="16"/>
  <c r="K1059" i="16"/>
  <c r="J1059" i="16"/>
  <c r="I1059" i="16"/>
  <c r="H1059" i="16"/>
  <c r="G1059" i="16"/>
  <c r="F1059" i="16"/>
  <c r="E1059" i="16"/>
  <c r="D1059" i="16"/>
  <c r="C1059" i="16"/>
  <c r="P1058" i="16"/>
  <c r="O1058" i="16"/>
  <c r="N1058" i="16"/>
  <c r="M1058" i="16"/>
  <c r="L1058" i="16"/>
  <c r="K1058" i="16"/>
  <c r="J1058" i="16"/>
  <c r="I1058" i="16"/>
  <c r="H1058" i="16"/>
  <c r="G1058" i="16"/>
  <c r="F1058" i="16"/>
  <c r="E1058" i="16"/>
  <c r="D1058" i="16"/>
  <c r="C1058" i="16"/>
  <c r="P1057" i="16"/>
  <c r="O1057" i="16"/>
  <c r="N1057" i="16"/>
  <c r="M1057" i="16"/>
  <c r="L1057" i="16"/>
  <c r="K1057" i="16"/>
  <c r="J1057" i="16"/>
  <c r="I1057" i="16"/>
  <c r="H1057" i="16"/>
  <c r="G1057" i="16"/>
  <c r="F1057" i="16"/>
  <c r="E1057" i="16"/>
  <c r="D1057" i="16"/>
  <c r="C1057" i="16"/>
  <c r="P1056" i="16"/>
  <c r="O1056" i="16"/>
  <c r="N1056" i="16"/>
  <c r="M1056" i="16"/>
  <c r="L1056" i="16"/>
  <c r="K1056" i="16"/>
  <c r="J1056" i="16"/>
  <c r="I1056" i="16"/>
  <c r="H1056" i="16"/>
  <c r="G1056" i="16"/>
  <c r="F1056" i="16"/>
  <c r="E1056" i="16"/>
  <c r="D1056" i="16"/>
  <c r="C1056" i="16"/>
  <c r="P1055" i="16"/>
  <c r="O1055" i="16"/>
  <c r="N1055" i="16"/>
  <c r="M1055" i="16"/>
  <c r="L1055" i="16"/>
  <c r="K1055" i="16"/>
  <c r="J1055" i="16"/>
  <c r="I1055" i="16"/>
  <c r="H1055" i="16"/>
  <c r="G1055" i="16"/>
  <c r="F1055" i="16"/>
  <c r="E1055" i="16"/>
  <c r="D1055" i="16"/>
  <c r="C1055" i="16"/>
  <c r="P1054" i="16"/>
  <c r="O1054" i="16"/>
  <c r="N1054" i="16"/>
  <c r="M1054" i="16"/>
  <c r="L1054" i="16"/>
  <c r="K1054" i="16"/>
  <c r="J1054" i="16"/>
  <c r="I1054" i="16"/>
  <c r="H1054" i="16"/>
  <c r="G1054" i="16"/>
  <c r="F1054" i="16"/>
  <c r="E1054" i="16"/>
  <c r="D1054" i="16"/>
  <c r="C1054" i="16"/>
  <c r="P1053" i="16"/>
  <c r="O1053" i="16"/>
  <c r="N1053" i="16"/>
  <c r="M1053" i="16"/>
  <c r="L1053" i="16"/>
  <c r="K1053" i="16"/>
  <c r="J1053" i="16"/>
  <c r="I1053" i="16"/>
  <c r="H1053" i="16"/>
  <c r="G1053" i="16"/>
  <c r="F1053" i="16"/>
  <c r="E1053" i="16"/>
  <c r="D1053" i="16"/>
  <c r="C1053" i="16"/>
  <c r="P1052" i="16"/>
  <c r="O1052" i="16"/>
  <c r="N1052" i="16"/>
  <c r="M1052" i="16"/>
  <c r="L1052" i="16"/>
  <c r="K1052" i="16"/>
  <c r="J1052" i="16"/>
  <c r="I1052" i="16"/>
  <c r="H1052" i="16"/>
  <c r="G1052" i="16"/>
  <c r="F1052" i="16"/>
  <c r="E1052" i="16"/>
  <c r="D1052" i="16"/>
  <c r="C1052" i="16"/>
  <c r="P1051" i="16"/>
  <c r="O1051" i="16"/>
  <c r="N1051" i="16"/>
  <c r="M1051" i="16"/>
  <c r="L1051" i="16"/>
  <c r="K1051" i="16"/>
  <c r="J1051" i="16"/>
  <c r="I1051" i="16"/>
  <c r="H1051" i="16"/>
  <c r="G1051" i="16"/>
  <c r="F1051" i="16"/>
  <c r="E1051" i="16"/>
  <c r="D1051" i="16"/>
  <c r="C1051" i="16"/>
  <c r="P1050" i="16"/>
  <c r="O1050" i="16"/>
  <c r="N1050" i="16"/>
  <c r="M1050" i="16"/>
  <c r="L1050" i="16"/>
  <c r="K1050" i="16"/>
  <c r="J1050" i="16"/>
  <c r="I1050" i="16"/>
  <c r="H1050" i="16"/>
  <c r="G1050" i="16"/>
  <c r="F1050" i="16"/>
  <c r="E1050" i="16"/>
  <c r="D1050" i="16"/>
  <c r="C1050" i="16"/>
  <c r="P1049" i="16"/>
  <c r="O1049" i="16"/>
  <c r="N1049" i="16"/>
  <c r="M1049" i="16"/>
  <c r="L1049" i="16"/>
  <c r="K1049" i="16"/>
  <c r="J1049" i="16"/>
  <c r="I1049" i="16"/>
  <c r="H1049" i="16"/>
  <c r="G1049" i="16"/>
  <c r="F1049" i="16"/>
  <c r="E1049" i="16"/>
  <c r="D1049" i="16"/>
  <c r="C1049" i="16"/>
  <c r="P1048" i="16"/>
  <c r="O1048" i="16"/>
  <c r="N1048" i="16"/>
  <c r="M1048" i="16"/>
  <c r="L1048" i="16"/>
  <c r="K1048" i="16"/>
  <c r="J1048" i="16"/>
  <c r="I1048" i="16"/>
  <c r="H1048" i="16"/>
  <c r="G1048" i="16"/>
  <c r="F1048" i="16"/>
  <c r="E1048" i="16"/>
  <c r="D1048" i="16"/>
  <c r="C1048" i="16"/>
  <c r="P1047" i="16"/>
  <c r="O1047" i="16"/>
  <c r="N1047" i="16"/>
  <c r="M1047" i="16"/>
  <c r="L1047" i="16"/>
  <c r="K1047" i="16"/>
  <c r="J1047" i="16"/>
  <c r="I1047" i="16"/>
  <c r="H1047" i="16"/>
  <c r="G1047" i="16"/>
  <c r="F1047" i="16"/>
  <c r="E1047" i="16"/>
  <c r="D1047" i="16"/>
  <c r="C1047" i="16"/>
  <c r="P1046" i="16"/>
  <c r="O1046" i="16"/>
  <c r="N1046" i="16"/>
  <c r="M1046" i="16"/>
  <c r="L1046" i="16"/>
  <c r="K1046" i="16"/>
  <c r="J1046" i="16"/>
  <c r="I1046" i="16"/>
  <c r="H1046" i="16"/>
  <c r="G1046" i="16"/>
  <c r="F1046" i="16"/>
  <c r="E1046" i="16"/>
  <c r="D1046" i="16"/>
  <c r="C1046" i="16"/>
  <c r="P1045" i="16"/>
  <c r="O1045" i="16"/>
  <c r="N1045" i="16"/>
  <c r="M1045" i="16"/>
  <c r="L1045" i="16"/>
  <c r="K1045" i="16"/>
  <c r="J1045" i="16"/>
  <c r="I1045" i="16"/>
  <c r="H1045" i="16"/>
  <c r="G1045" i="16"/>
  <c r="F1045" i="16"/>
  <c r="E1045" i="16"/>
  <c r="D1045" i="16"/>
  <c r="C1045" i="16"/>
  <c r="P1044" i="16"/>
  <c r="O1044" i="16"/>
  <c r="N1044" i="16"/>
  <c r="M1044" i="16"/>
  <c r="L1044" i="16"/>
  <c r="K1044" i="16"/>
  <c r="J1044" i="16"/>
  <c r="I1044" i="16"/>
  <c r="H1044" i="16"/>
  <c r="G1044" i="16"/>
  <c r="F1044" i="16"/>
  <c r="E1044" i="16"/>
  <c r="D1044" i="16"/>
  <c r="C1044" i="16"/>
  <c r="P1043" i="16"/>
  <c r="O1043" i="16"/>
  <c r="N1043" i="16"/>
  <c r="M1043" i="16"/>
  <c r="L1043" i="16"/>
  <c r="K1043" i="16"/>
  <c r="J1043" i="16"/>
  <c r="I1043" i="16"/>
  <c r="H1043" i="16"/>
  <c r="G1043" i="16"/>
  <c r="F1043" i="16"/>
  <c r="E1043" i="16"/>
  <c r="D1043" i="16"/>
  <c r="C1043" i="16"/>
  <c r="P1042" i="16"/>
  <c r="O1042" i="16"/>
  <c r="N1042" i="16"/>
  <c r="M1042" i="16"/>
  <c r="L1042" i="16"/>
  <c r="K1042" i="16"/>
  <c r="J1042" i="16"/>
  <c r="I1042" i="16"/>
  <c r="H1042" i="16"/>
  <c r="G1042" i="16"/>
  <c r="F1042" i="16"/>
  <c r="E1042" i="16"/>
  <c r="D1042" i="16"/>
  <c r="C1042" i="16"/>
  <c r="P1041" i="16"/>
  <c r="O1041" i="16"/>
  <c r="N1041" i="16"/>
  <c r="M1041" i="16"/>
  <c r="L1041" i="16"/>
  <c r="K1041" i="16"/>
  <c r="J1041" i="16"/>
  <c r="I1041" i="16"/>
  <c r="H1041" i="16"/>
  <c r="G1041" i="16"/>
  <c r="F1041" i="16"/>
  <c r="E1041" i="16"/>
  <c r="D1041" i="16"/>
  <c r="C1041" i="16"/>
  <c r="P1040" i="16"/>
  <c r="O1040" i="16"/>
  <c r="N1040" i="16"/>
  <c r="M1040" i="16"/>
  <c r="L1040" i="16"/>
  <c r="K1040" i="16"/>
  <c r="J1040" i="16"/>
  <c r="I1040" i="16"/>
  <c r="H1040" i="16"/>
  <c r="G1040" i="16"/>
  <c r="F1040" i="16"/>
  <c r="E1040" i="16"/>
  <c r="D1040" i="16"/>
  <c r="C1040" i="16"/>
  <c r="P1039" i="16"/>
  <c r="O1039" i="16"/>
  <c r="N1039" i="16"/>
  <c r="M1039" i="16"/>
  <c r="L1039" i="16"/>
  <c r="K1039" i="16"/>
  <c r="J1039" i="16"/>
  <c r="I1039" i="16"/>
  <c r="H1039" i="16"/>
  <c r="G1039" i="16"/>
  <c r="F1039" i="16"/>
  <c r="E1039" i="16"/>
  <c r="D1039" i="16"/>
  <c r="C1039" i="16"/>
  <c r="P1038" i="16"/>
  <c r="O1038" i="16"/>
  <c r="N1038" i="16"/>
  <c r="M1038" i="16"/>
  <c r="L1038" i="16"/>
  <c r="K1038" i="16"/>
  <c r="J1038" i="16"/>
  <c r="I1038" i="16"/>
  <c r="H1038" i="16"/>
  <c r="G1038" i="16"/>
  <c r="F1038" i="16"/>
  <c r="E1038" i="16"/>
  <c r="D1038" i="16"/>
  <c r="C1038" i="16"/>
  <c r="P1037" i="16"/>
  <c r="O1037" i="16"/>
  <c r="N1037" i="16"/>
  <c r="M1037" i="16"/>
  <c r="L1037" i="16"/>
  <c r="K1037" i="16"/>
  <c r="J1037" i="16"/>
  <c r="I1037" i="16"/>
  <c r="H1037" i="16"/>
  <c r="G1037" i="16"/>
  <c r="F1037" i="16"/>
  <c r="E1037" i="16"/>
  <c r="D1037" i="16"/>
  <c r="C1037" i="16"/>
  <c r="P1036" i="16"/>
  <c r="O1036" i="16"/>
  <c r="N1036" i="16"/>
  <c r="M1036" i="16"/>
  <c r="L1036" i="16"/>
  <c r="K1036" i="16"/>
  <c r="J1036" i="16"/>
  <c r="I1036" i="16"/>
  <c r="H1036" i="16"/>
  <c r="G1036" i="16"/>
  <c r="F1036" i="16"/>
  <c r="E1036" i="16"/>
  <c r="D1036" i="16"/>
  <c r="C1036" i="16"/>
  <c r="P1035" i="16"/>
  <c r="O1035" i="16"/>
  <c r="N1035" i="16"/>
  <c r="M1035" i="16"/>
  <c r="L1035" i="16"/>
  <c r="K1035" i="16"/>
  <c r="J1035" i="16"/>
  <c r="I1035" i="16"/>
  <c r="H1035" i="16"/>
  <c r="G1035" i="16"/>
  <c r="F1035" i="16"/>
  <c r="E1035" i="16"/>
  <c r="D1035" i="16"/>
  <c r="C1035" i="16"/>
  <c r="P1034" i="16"/>
  <c r="O1034" i="16"/>
  <c r="N1034" i="16"/>
  <c r="M1034" i="16"/>
  <c r="L1034" i="16"/>
  <c r="K1034" i="16"/>
  <c r="J1034" i="16"/>
  <c r="I1034" i="16"/>
  <c r="H1034" i="16"/>
  <c r="G1034" i="16"/>
  <c r="F1034" i="16"/>
  <c r="E1034" i="16"/>
  <c r="D1034" i="16"/>
  <c r="C1034" i="16"/>
  <c r="P1033" i="16"/>
  <c r="O1033" i="16"/>
  <c r="N1033" i="16"/>
  <c r="M1033" i="16"/>
  <c r="L1033" i="16"/>
  <c r="K1033" i="16"/>
  <c r="J1033" i="16"/>
  <c r="I1033" i="16"/>
  <c r="H1033" i="16"/>
  <c r="G1033" i="16"/>
  <c r="F1033" i="16"/>
  <c r="E1033" i="16"/>
  <c r="D1033" i="16"/>
  <c r="C1033" i="16"/>
  <c r="P1032" i="16"/>
  <c r="O1032" i="16"/>
  <c r="N1032" i="16"/>
  <c r="M1032" i="16"/>
  <c r="L1032" i="16"/>
  <c r="K1032" i="16"/>
  <c r="J1032" i="16"/>
  <c r="I1032" i="16"/>
  <c r="H1032" i="16"/>
  <c r="G1032" i="16"/>
  <c r="F1032" i="16"/>
  <c r="E1032" i="16"/>
  <c r="D1032" i="16"/>
  <c r="C1032" i="16"/>
  <c r="P1031" i="16"/>
  <c r="O1031" i="16"/>
  <c r="N1031" i="16"/>
  <c r="M1031" i="16"/>
  <c r="L1031" i="16"/>
  <c r="K1031" i="16"/>
  <c r="J1031" i="16"/>
  <c r="I1031" i="16"/>
  <c r="H1031" i="16"/>
  <c r="G1031" i="16"/>
  <c r="F1031" i="16"/>
  <c r="E1031" i="16"/>
  <c r="D1031" i="16"/>
  <c r="C1031" i="16"/>
  <c r="P1030" i="16"/>
  <c r="O1030" i="16"/>
  <c r="N1030" i="16"/>
  <c r="M1030" i="16"/>
  <c r="L1030" i="16"/>
  <c r="K1030" i="16"/>
  <c r="J1030" i="16"/>
  <c r="I1030" i="16"/>
  <c r="H1030" i="16"/>
  <c r="G1030" i="16"/>
  <c r="F1030" i="16"/>
  <c r="E1030" i="16"/>
  <c r="D1030" i="16"/>
  <c r="C1030" i="16"/>
  <c r="P1029" i="16"/>
  <c r="O1029" i="16"/>
  <c r="N1029" i="16"/>
  <c r="M1029" i="16"/>
  <c r="L1029" i="16"/>
  <c r="K1029" i="16"/>
  <c r="J1029" i="16"/>
  <c r="I1029" i="16"/>
  <c r="H1029" i="16"/>
  <c r="G1029" i="16"/>
  <c r="F1029" i="16"/>
  <c r="E1029" i="16"/>
  <c r="D1029" i="16"/>
  <c r="C1029" i="16"/>
  <c r="P1028" i="16"/>
  <c r="O1028" i="16"/>
  <c r="N1028" i="16"/>
  <c r="M1028" i="16"/>
  <c r="L1028" i="16"/>
  <c r="K1028" i="16"/>
  <c r="J1028" i="16"/>
  <c r="I1028" i="16"/>
  <c r="H1028" i="16"/>
  <c r="G1028" i="16"/>
  <c r="F1028" i="16"/>
  <c r="E1028" i="16"/>
  <c r="D1028" i="16"/>
  <c r="C1028" i="16"/>
  <c r="P1027" i="16"/>
  <c r="O1027" i="16"/>
  <c r="N1027" i="16"/>
  <c r="M1027" i="16"/>
  <c r="L1027" i="16"/>
  <c r="K1027" i="16"/>
  <c r="J1027" i="16"/>
  <c r="I1027" i="16"/>
  <c r="H1027" i="16"/>
  <c r="G1027" i="16"/>
  <c r="F1027" i="16"/>
  <c r="E1027" i="16"/>
  <c r="D1027" i="16"/>
  <c r="C1027" i="16"/>
  <c r="P1026" i="16"/>
  <c r="O1026" i="16"/>
  <c r="N1026" i="16"/>
  <c r="M1026" i="16"/>
  <c r="L1026" i="16"/>
  <c r="K1026" i="16"/>
  <c r="J1026" i="16"/>
  <c r="I1026" i="16"/>
  <c r="H1026" i="16"/>
  <c r="G1026" i="16"/>
  <c r="F1026" i="16"/>
  <c r="E1026" i="16"/>
  <c r="D1026" i="16"/>
  <c r="C1026" i="16"/>
  <c r="P1025" i="16"/>
  <c r="O1025" i="16"/>
  <c r="N1025" i="16"/>
  <c r="M1025" i="16"/>
  <c r="L1025" i="16"/>
  <c r="K1025" i="16"/>
  <c r="J1025" i="16"/>
  <c r="I1025" i="16"/>
  <c r="H1025" i="16"/>
  <c r="G1025" i="16"/>
  <c r="F1025" i="16"/>
  <c r="E1025" i="16"/>
  <c r="D1025" i="16"/>
  <c r="C1025" i="16"/>
  <c r="P1024" i="16"/>
  <c r="O1024" i="16"/>
  <c r="N1024" i="16"/>
  <c r="M1024" i="16"/>
  <c r="L1024" i="16"/>
  <c r="K1024" i="16"/>
  <c r="J1024" i="16"/>
  <c r="I1024" i="16"/>
  <c r="H1024" i="16"/>
  <c r="G1024" i="16"/>
  <c r="F1024" i="16"/>
  <c r="E1024" i="16"/>
  <c r="D1024" i="16"/>
  <c r="C1024" i="16"/>
  <c r="P1023" i="16"/>
  <c r="O1023" i="16"/>
  <c r="N1023" i="16"/>
  <c r="M1023" i="16"/>
  <c r="L1023" i="16"/>
  <c r="K1023" i="16"/>
  <c r="J1023" i="16"/>
  <c r="I1023" i="16"/>
  <c r="H1023" i="16"/>
  <c r="G1023" i="16"/>
  <c r="F1023" i="16"/>
  <c r="E1023" i="16"/>
  <c r="D1023" i="16"/>
  <c r="C1023" i="16"/>
  <c r="P1022" i="16"/>
  <c r="O1022" i="16"/>
  <c r="N1022" i="16"/>
  <c r="M1022" i="16"/>
  <c r="L1022" i="16"/>
  <c r="K1022" i="16"/>
  <c r="J1022" i="16"/>
  <c r="I1022" i="16"/>
  <c r="H1022" i="16"/>
  <c r="G1022" i="16"/>
  <c r="F1022" i="16"/>
  <c r="E1022" i="16"/>
  <c r="D1022" i="16"/>
  <c r="C1022" i="16"/>
  <c r="P1021" i="16"/>
  <c r="O1021" i="16"/>
  <c r="N1021" i="16"/>
  <c r="M1021" i="16"/>
  <c r="L1021" i="16"/>
  <c r="K1021" i="16"/>
  <c r="J1021" i="16"/>
  <c r="I1021" i="16"/>
  <c r="H1021" i="16"/>
  <c r="G1021" i="16"/>
  <c r="F1021" i="16"/>
  <c r="E1021" i="16"/>
  <c r="D1021" i="16"/>
  <c r="C1021" i="16"/>
  <c r="P1020" i="16"/>
  <c r="O1020" i="16"/>
  <c r="N1020" i="16"/>
  <c r="M1020" i="16"/>
  <c r="L1020" i="16"/>
  <c r="K1020" i="16"/>
  <c r="J1020" i="16"/>
  <c r="I1020" i="16"/>
  <c r="H1020" i="16"/>
  <c r="G1020" i="16"/>
  <c r="F1020" i="16"/>
  <c r="E1020" i="16"/>
  <c r="D1020" i="16"/>
  <c r="C1020" i="16"/>
  <c r="P1019" i="16"/>
  <c r="O1019" i="16"/>
  <c r="N1019" i="16"/>
  <c r="M1019" i="16"/>
  <c r="L1019" i="16"/>
  <c r="K1019" i="16"/>
  <c r="J1019" i="16"/>
  <c r="I1019" i="16"/>
  <c r="H1019" i="16"/>
  <c r="G1019" i="16"/>
  <c r="F1019" i="16"/>
  <c r="E1019" i="16"/>
  <c r="D1019" i="16"/>
  <c r="C1019" i="16"/>
  <c r="P1018" i="16"/>
  <c r="O1018" i="16"/>
  <c r="N1018" i="16"/>
  <c r="M1018" i="16"/>
  <c r="L1018" i="16"/>
  <c r="K1018" i="16"/>
  <c r="J1018" i="16"/>
  <c r="I1018" i="16"/>
  <c r="H1018" i="16"/>
  <c r="G1018" i="16"/>
  <c r="F1018" i="16"/>
  <c r="E1018" i="16"/>
  <c r="D1018" i="16"/>
  <c r="C1018" i="16"/>
  <c r="P1017" i="16"/>
  <c r="O1017" i="16"/>
  <c r="N1017" i="16"/>
  <c r="M1017" i="16"/>
  <c r="L1017" i="16"/>
  <c r="K1017" i="16"/>
  <c r="J1017" i="16"/>
  <c r="I1017" i="16"/>
  <c r="H1017" i="16"/>
  <c r="G1017" i="16"/>
  <c r="F1017" i="16"/>
  <c r="E1017" i="16"/>
  <c r="D1017" i="16"/>
  <c r="C1017" i="16"/>
  <c r="P1016" i="16"/>
  <c r="O1016" i="16"/>
  <c r="N1016" i="16"/>
  <c r="M1016" i="16"/>
  <c r="L1016" i="16"/>
  <c r="K1016" i="16"/>
  <c r="J1016" i="16"/>
  <c r="I1016" i="16"/>
  <c r="H1016" i="16"/>
  <c r="G1016" i="16"/>
  <c r="F1016" i="16"/>
  <c r="E1016" i="16"/>
  <c r="D1016" i="16"/>
  <c r="C1016" i="16"/>
  <c r="P1015" i="16"/>
  <c r="O1015" i="16"/>
  <c r="N1015" i="16"/>
  <c r="M1015" i="16"/>
  <c r="L1015" i="16"/>
  <c r="K1015" i="16"/>
  <c r="J1015" i="16"/>
  <c r="I1015" i="16"/>
  <c r="H1015" i="16"/>
  <c r="G1015" i="16"/>
  <c r="F1015" i="16"/>
  <c r="E1015" i="16"/>
  <c r="D1015" i="16"/>
  <c r="C1015" i="16"/>
  <c r="P1014" i="16"/>
  <c r="O1014" i="16"/>
  <c r="N1014" i="16"/>
  <c r="M1014" i="16"/>
  <c r="L1014" i="16"/>
  <c r="K1014" i="16"/>
  <c r="J1014" i="16"/>
  <c r="I1014" i="16"/>
  <c r="H1014" i="16"/>
  <c r="G1014" i="16"/>
  <c r="F1014" i="16"/>
  <c r="E1014" i="16"/>
  <c r="D1014" i="16"/>
  <c r="C1014" i="16"/>
  <c r="P1013" i="16"/>
  <c r="O1013" i="16"/>
  <c r="N1013" i="16"/>
  <c r="M1013" i="16"/>
  <c r="L1013" i="16"/>
  <c r="K1013" i="16"/>
  <c r="J1013" i="16"/>
  <c r="I1013" i="16"/>
  <c r="H1013" i="16"/>
  <c r="G1013" i="16"/>
  <c r="F1013" i="16"/>
  <c r="E1013" i="16"/>
  <c r="D1013" i="16"/>
  <c r="C1013" i="16"/>
  <c r="P1012" i="16"/>
  <c r="O1012" i="16"/>
  <c r="N1012" i="16"/>
  <c r="M1012" i="16"/>
  <c r="L1012" i="16"/>
  <c r="K1012" i="16"/>
  <c r="J1012" i="16"/>
  <c r="I1012" i="16"/>
  <c r="H1012" i="16"/>
  <c r="G1012" i="16"/>
  <c r="F1012" i="16"/>
  <c r="E1012" i="16"/>
  <c r="D1012" i="16"/>
  <c r="C1012" i="16"/>
  <c r="P1011" i="16"/>
  <c r="O1011" i="16"/>
  <c r="N1011" i="16"/>
  <c r="M1011" i="16"/>
  <c r="L1011" i="16"/>
  <c r="K1011" i="16"/>
  <c r="J1011" i="16"/>
  <c r="I1011" i="16"/>
  <c r="H1011" i="16"/>
  <c r="G1011" i="16"/>
  <c r="F1011" i="16"/>
  <c r="E1011" i="16"/>
  <c r="D1011" i="16"/>
  <c r="C1011" i="16"/>
  <c r="P1010" i="16"/>
  <c r="O1010" i="16"/>
  <c r="N1010" i="16"/>
  <c r="M1010" i="16"/>
  <c r="L1010" i="16"/>
  <c r="K1010" i="16"/>
  <c r="J1010" i="16"/>
  <c r="I1010" i="16"/>
  <c r="H1010" i="16"/>
  <c r="G1010" i="16"/>
  <c r="F1010" i="16"/>
  <c r="E1010" i="16"/>
  <c r="D1010" i="16"/>
  <c r="C1010" i="16"/>
  <c r="P1009" i="16"/>
  <c r="O1009" i="16"/>
  <c r="N1009" i="16"/>
  <c r="M1009" i="16"/>
  <c r="L1009" i="16"/>
  <c r="K1009" i="16"/>
  <c r="J1009" i="16"/>
  <c r="I1009" i="16"/>
  <c r="H1009" i="16"/>
  <c r="G1009" i="16"/>
  <c r="F1009" i="16"/>
  <c r="E1009" i="16"/>
  <c r="D1009" i="16"/>
  <c r="C1009" i="16"/>
  <c r="P1008" i="16"/>
  <c r="O1008" i="16"/>
  <c r="N1008" i="16"/>
  <c r="M1008" i="16"/>
  <c r="L1008" i="16"/>
  <c r="K1008" i="16"/>
  <c r="J1008" i="16"/>
  <c r="I1008" i="16"/>
  <c r="H1008" i="16"/>
  <c r="G1008" i="16"/>
  <c r="F1008" i="16"/>
  <c r="E1008" i="16"/>
  <c r="D1008" i="16"/>
  <c r="C1008" i="16"/>
  <c r="P1007" i="16"/>
  <c r="O1007" i="16"/>
  <c r="N1007" i="16"/>
  <c r="M1007" i="16"/>
  <c r="L1007" i="16"/>
  <c r="K1007" i="16"/>
  <c r="J1007" i="16"/>
  <c r="I1007" i="16"/>
  <c r="H1007" i="16"/>
  <c r="G1007" i="16"/>
  <c r="F1007" i="16"/>
  <c r="E1007" i="16"/>
  <c r="D1007" i="16"/>
  <c r="C1007" i="16"/>
  <c r="P1006" i="16"/>
  <c r="O1006" i="16"/>
  <c r="N1006" i="16"/>
  <c r="M1006" i="16"/>
  <c r="L1006" i="16"/>
  <c r="K1006" i="16"/>
  <c r="J1006" i="16"/>
  <c r="I1006" i="16"/>
  <c r="H1006" i="16"/>
  <c r="G1006" i="16"/>
  <c r="F1006" i="16"/>
  <c r="E1006" i="16"/>
  <c r="D1006" i="16"/>
  <c r="C1006" i="16"/>
  <c r="P1005" i="16"/>
  <c r="O1005" i="16"/>
  <c r="N1005" i="16"/>
  <c r="M1005" i="16"/>
  <c r="L1005" i="16"/>
  <c r="K1005" i="16"/>
  <c r="J1005" i="16"/>
  <c r="I1005" i="16"/>
  <c r="H1005" i="16"/>
  <c r="G1005" i="16"/>
  <c r="F1005" i="16"/>
  <c r="E1005" i="16"/>
  <c r="D1005" i="16"/>
  <c r="C1005" i="16"/>
  <c r="P1004" i="16"/>
  <c r="O1004" i="16"/>
  <c r="N1004" i="16"/>
  <c r="M1004" i="16"/>
  <c r="L1004" i="16"/>
  <c r="K1004" i="16"/>
  <c r="J1004" i="16"/>
  <c r="I1004" i="16"/>
  <c r="H1004" i="16"/>
  <c r="G1004" i="16"/>
  <c r="F1004" i="16"/>
  <c r="E1004" i="16"/>
  <c r="D1004" i="16"/>
  <c r="C1004" i="16"/>
  <c r="P1003" i="16"/>
  <c r="O1003" i="16"/>
  <c r="N1003" i="16"/>
  <c r="M1003" i="16"/>
  <c r="L1003" i="16"/>
  <c r="K1003" i="16"/>
  <c r="J1003" i="16"/>
  <c r="I1003" i="16"/>
  <c r="H1003" i="16"/>
  <c r="G1003" i="16"/>
  <c r="F1003" i="16"/>
  <c r="E1003" i="16"/>
  <c r="D1003" i="16"/>
  <c r="C1003" i="16"/>
  <c r="P1002" i="16"/>
  <c r="O1002" i="16"/>
  <c r="N1002" i="16"/>
  <c r="M1002" i="16"/>
  <c r="L1002" i="16"/>
  <c r="K1002" i="16"/>
  <c r="J1002" i="16"/>
  <c r="I1002" i="16"/>
  <c r="H1002" i="16"/>
  <c r="G1002" i="16"/>
  <c r="F1002" i="16"/>
  <c r="E1002" i="16"/>
  <c r="D1002" i="16"/>
  <c r="C1002" i="16"/>
  <c r="P1001" i="16"/>
  <c r="O1001" i="16"/>
  <c r="N1001" i="16"/>
  <c r="M1001" i="16"/>
  <c r="L1001" i="16"/>
  <c r="K1001" i="16"/>
  <c r="J1001" i="16"/>
  <c r="I1001" i="16"/>
  <c r="H1001" i="16"/>
  <c r="G1001" i="16"/>
  <c r="F1001" i="16"/>
  <c r="E1001" i="16"/>
  <c r="D1001" i="16"/>
  <c r="C1001" i="16"/>
  <c r="P1000" i="16"/>
  <c r="O1000" i="16"/>
  <c r="N1000" i="16"/>
  <c r="M1000" i="16"/>
  <c r="L1000" i="16"/>
  <c r="K1000" i="16"/>
  <c r="J1000" i="16"/>
  <c r="I1000" i="16"/>
  <c r="H1000" i="16"/>
  <c r="G1000" i="16"/>
  <c r="F1000" i="16"/>
  <c r="E1000" i="16"/>
  <c r="D1000" i="16"/>
  <c r="C1000" i="16"/>
  <c r="P999" i="16"/>
  <c r="O999" i="16"/>
  <c r="N999" i="16"/>
  <c r="M999" i="16"/>
  <c r="L999" i="16"/>
  <c r="K999" i="16"/>
  <c r="J999" i="16"/>
  <c r="I999" i="16"/>
  <c r="H999" i="16"/>
  <c r="G999" i="16"/>
  <c r="F999" i="16"/>
  <c r="E999" i="16"/>
  <c r="D999" i="16"/>
  <c r="C999" i="16"/>
  <c r="P998" i="16"/>
  <c r="O998" i="16"/>
  <c r="N998" i="16"/>
  <c r="M998" i="16"/>
  <c r="L998" i="16"/>
  <c r="K998" i="16"/>
  <c r="J998" i="16"/>
  <c r="I998" i="16"/>
  <c r="H998" i="16"/>
  <c r="G998" i="16"/>
  <c r="F998" i="16"/>
  <c r="E998" i="16"/>
  <c r="D998" i="16"/>
  <c r="C998" i="16"/>
  <c r="P997" i="16"/>
  <c r="O997" i="16"/>
  <c r="N997" i="16"/>
  <c r="M997" i="16"/>
  <c r="L997" i="16"/>
  <c r="K997" i="16"/>
  <c r="J997" i="16"/>
  <c r="I997" i="16"/>
  <c r="H997" i="16"/>
  <c r="G997" i="16"/>
  <c r="F997" i="16"/>
  <c r="E997" i="16"/>
  <c r="D997" i="16"/>
  <c r="C997" i="16"/>
  <c r="P996" i="16"/>
  <c r="O996" i="16"/>
  <c r="N996" i="16"/>
  <c r="M996" i="16"/>
  <c r="L996" i="16"/>
  <c r="K996" i="16"/>
  <c r="J996" i="16"/>
  <c r="I996" i="16"/>
  <c r="H996" i="16"/>
  <c r="G996" i="16"/>
  <c r="F996" i="16"/>
  <c r="E996" i="16"/>
  <c r="D996" i="16"/>
  <c r="C996" i="16"/>
  <c r="P995" i="16"/>
  <c r="O995" i="16"/>
  <c r="N995" i="16"/>
  <c r="M995" i="16"/>
  <c r="L995" i="16"/>
  <c r="K995" i="16"/>
  <c r="J995" i="16"/>
  <c r="I995" i="16"/>
  <c r="H995" i="16"/>
  <c r="G995" i="16"/>
  <c r="F995" i="16"/>
  <c r="E995" i="16"/>
  <c r="D995" i="16"/>
  <c r="C995" i="16"/>
  <c r="P994" i="16"/>
  <c r="O994" i="16"/>
  <c r="N994" i="16"/>
  <c r="M994" i="16"/>
  <c r="L994" i="16"/>
  <c r="K994" i="16"/>
  <c r="J994" i="16"/>
  <c r="I994" i="16"/>
  <c r="H994" i="16"/>
  <c r="G994" i="16"/>
  <c r="F994" i="16"/>
  <c r="E994" i="16"/>
  <c r="D994" i="16"/>
  <c r="C994" i="16"/>
  <c r="P993" i="16"/>
  <c r="O993" i="16"/>
  <c r="N993" i="16"/>
  <c r="M993" i="16"/>
  <c r="L993" i="16"/>
  <c r="K993" i="16"/>
  <c r="J993" i="16"/>
  <c r="I993" i="16"/>
  <c r="H993" i="16"/>
  <c r="G993" i="16"/>
  <c r="F993" i="16"/>
  <c r="E993" i="16"/>
  <c r="D993" i="16"/>
  <c r="C993" i="16"/>
  <c r="P992" i="16"/>
  <c r="O992" i="16"/>
  <c r="N992" i="16"/>
  <c r="M992" i="16"/>
  <c r="L992" i="16"/>
  <c r="K992" i="16"/>
  <c r="J992" i="16"/>
  <c r="I992" i="16"/>
  <c r="H992" i="16"/>
  <c r="G992" i="16"/>
  <c r="F992" i="16"/>
  <c r="E992" i="16"/>
  <c r="D992" i="16"/>
  <c r="C992" i="16"/>
  <c r="P991" i="16"/>
  <c r="O991" i="16"/>
  <c r="N991" i="16"/>
  <c r="M991" i="16"/>
  <c r="L991" i="16"/>
  <c r="K991" i="16"/>
  <c r="J991" i="16"/>
  <c r="I991" i="16"/>
  <c r="H991" i="16"/>
  <c r="G991" i="16"/>
  <c r="F991" i="16"/>
  <c r="E991" i="16"/>
  <c r="D991" i="16"/>
  <c r="C991" i="16"/>
  <c r="P990" i="16"/>
  <c r="O990" i="16"/>
  <c r="N990" i="16"/>
  <c r="M990" i="16"/>
  <c r="L990" i="16"/>
  <c r="K990" i="16"/>
  <c r="J990" i="16"/>
  <c r="I990" i="16"/>
  <c r="H990" i="16"/>
  <c r="G990" i="16"/>
  <c r="F990" i="16"/>
  <c r="E990" i="16"/>
  <c r="D990" i="16"/>
  <c r="C990" i="16"/>
  <c r="P989" i="16"/>
  <c r="O989" i="16"/>
  <c r="N989" i="16"/>
  <c r="M989" i="16"/>
  <c r="L989" i="16"/>
  <c r="K989" i="16"/>
  <c r="J989" i="16"/>
  <c r="I989" i="16"/>
  <c r="H989" i="16"/>
  <c r="G989" i="16"/>
  <c r="F989" i="16"/>
  <c r="E989" i="16"/>
  <c r="D989" i="16"/>
  <c r="C989" i="16"/>
  <c r="P988" i="16"/>
  <c r="O988" i="16"/>
  <c r="N988" i="16"/>
  <c r="M988" i="16"/>
  <c r="L988" i="16"/>
  <c r="K988" i="16"/>
  <c r="J988" i="16"/>
  <c r="I988" i="16"/>
  <c r="H988" i="16"/>
  <c r="G988" i="16"/>
  <c r="F988" i="16"/>
  <c r="E988" i="16"/>
  <c r="D988" i="16"/>
  <c r="C988" i="16"/>
  <c r="P987" i="16"/>
  <c r="O987" i="16"/>
  <c r="N987" i="16"/>
  <c r="M987" i="16"/>
  <c r="L987" i="16"/>
  <c r="K987" i="16"/>
  <c r="J987" i="16"/>
  <c r="I987" i="16"/>
  <c r="H987" i="16"/>
  <c r="G987" i="16"/>
  <c r="F987" i="16"/>
  <c r="E987" i="16"/>
  <c r="D987" i="16"/>
  <c r="C987" i="16"/>
  <c r="P986" i="16"/>
  <c r="O986" i="16"/>
  <c r="N986" i="16"/>
  <c r="M986" i="16"/>
  <c r="L986" i="16"/>
  <c r="K986" i="16"/>
  <c r="J986" i="16"/>
  <c r="I986" i="16"/>
  <c r="H986" i="16"/>
  <c r="G986" i="16"/>
  <c r="F986" i="16"/>
  <c r="E986" i="16"/>
  <c r="D986" i="16"/>
  <c r="C986" i="16"/>
  <c r="P985" i="16"/>
  <c r="O985" i="16"/>
  <c r="N985" i="16"/>
  <c r="M985" i="16"/>
  <c r="L985" i="16"/>
  <c r="K985" i="16"/>
  <c r="J985" i="16"/>
  <c r="I985" i="16"/>
  <c r="H985" i="16"/>
  <c r="G985" i="16"/>
  <c r="F985" i="16"/>
  <c r="E985" i="16"/>
  <c r="D985" i="16"/>
  <c r="C985" i="16"/>
  <c r="P984" i="16"/>
  <c r="O984" i="16"/>
  <c r="N984" i="16"/>
  <c r="M984" i="16"/>
  <c r="L984" i="16"/>
  <c r="K984" i="16"/>
  <c r="J984" i="16"/>
  <c r="I984" i="16"/>
  <c r="H984" i="16"/>
  <c r="G984" i="16"/>
  <c r="F984" i="16"/>
  <c r="E984" i="16"/>
  <c r="D984" i="16"/>
  <c r="C984" i="16"/>
  <c r="P983" i="16"/>
  <c r="O983" i="16"/>
  <c r="N983" i="16"/>
  <c r="M983" i="16"/>
  <c r="L983" i="16"/>
  <c r="K983" i="16"/>
  <c r="J983" i="16"/>
  <c r="I983" i="16"/>
  <c r="H983" i="16"/>
  <c r="G983" i="16"/>
  <c r="F983" i="16"/>
  <c r="E983" i="16"/>
  <c r="D983" i="16"/>
  <c r="C983" i="16"/>
  <c r="P982" i="16"/>
  <c r="O982" i="16"/>
  <c r="N982" i="16"/>
  <c r="M982" i="16"/>
  <c r="L982" i="16"/>
  <c r="K982" i="16"/>
  <c r="J982" i="16"/>
  <c r="I982" i="16"/>
  <c r="H982" i="16"/>
  <c r="G982" i="16"/>
  <c r="F982" i="16"/>
  <c r="E982" i="16"/>
  <c r="D982" i="16"/>
  <c r="C982" i="16"/>
  <c r="P981" i="16"/>
  <c r="O981" i="16"/>
  <c r="N981" i="16"/>
  <c r="M981" i="16"/>
  <c r="L981" i="16"/>
  <c r="K981" i="16"/>
  <c r="J981" i="16"/>
  <c r="I981" i="16"/>
  <c r="H981" i="16"/>
  <c r="G981" i="16"/>
  <c r="F981" i="16"/>
  <c r="E981" i="16"/>
  <c r="D981" i="16"/>
  <c r="C981" i="16"/>
  <c r="P980" i="16"/>
  <c r="O980" i="16"/>
  <c r="N980" i="16"/>
  <c r="M980" i="16"/>
  <c r="L980" i="16"/>
  <c r="K980" i="16"/>
  <c r="J980" i="16"/>
  <c r="I980" i="16"/>
  <c r="H980" i="16"/>
  <c r="G980" i="16"/>
  <c r="F980" i="16"/>
  <c r="E980" i="16"/>
  <c r="D980" i="16"/>
  <c r="C980" i="16"/>
  <c r="P979" i="16"/>
  <c r="O979" i="16"/>
  <c r="N979" i="16"/>
  <c r="M979" i="16"/>
  <c r="L979" i="16"/>
  <c r="K979" i="16"/>
  <c r="J979" i="16"/>
  <c r="I979" i="16"/>
  <c r="H979" i="16"/>
  <c r="G979" i="16"/>
  <c r="F979" i="16"/>
  <c r="E979" i="16"/>
  <c r="D979" i="16"/>
  <c r="C979" i="16"/>
  <c r="P978" i="16"/>
  <c r="O978" i="16"/>
  <c r="N978" i="16"/>
  <c r="M978" i="16"/>
  <c r="L978" i="16"/>
  <c r="K978" i="16"/>
  <c r="J978" i="16"/>
  <c r="I978" i="16"/>
  <c r="H978" i="16"/>
  <c r="G978" i="16"/>
  <c r="F978" i="16"/>
  <c r="E978" i="16"/>
  <c r="D978" i="16"/>
  <c r="C978" i="16"/>
  <c r="P977" i="16"/>
  <c r="O977" i="16"/>
  <c r="N977" i="16"/>
  <c r="M977" i="16"/>
  <c r="L977" i="16"/>
  <c r="K977" i="16"/>
  <c r="J977" i="16"/>
  <c r="I977" i="16"/>
  <c r="H977" i="16"/>
  <c r="G977" i="16"/>
  <c r="F977" i="16"/>
  <c r="E977" i="16"/>
  <c r="D977" i="16"/>
  <c r="C977" i="16"/>
  <c r="P976" i="16"/>
  <c r="O976" i="16"/>
  <c r="N976" i="16"/>
  <c r="M976" i="16"/>
  <c r="L976" i="16"/>
  <c r="K976" i="16"/>
  <c r="J976" i="16"/>
  <c r="I976" i="16"/>
  <c r="H976" i="16"/>
  <c r="G976" i="16"/>
  <c r="F976" i="16"/>
  <c r="E976" i="16"/>
  <c r="D976" i="16"/>
  <c r="C976" i="16"/>
  <c r="P975" i="16"/>
  <c r="O975" i="16"/>
  <c r="N975" i="16"/>
  <c r="M975" i="16"/>
  <c r="L975" i="16"/>
  <c r="K975" i="16"/>
  <c r="J975" i="16"/>
  <c r="I975" i="16"/>
  <c r="H975" i="16"/>
  <c r="G975" i="16"/>
  <c r="F975" i="16"/>
  <c r="E975" i="16"/>
  <c r="D975" i="16"/>
  <c r="C975" i="16"/>
  <c r="P974" i="16"/>
  <c r="O974" i="16"/>
  <c r="N974" i="16"/>
  <c r="M974" i="16"/>
  <c r="L974" i="16"/>
  <c r="K974" i="16"/>
  <c r="J974" i="16"/>
  <c r="I974" i="16"/>
  <c r="H974" i="16"/>
  <c r="G974" i="16"/>
  <c r="F974" i="16"/>
  <c r="E974" i="16"/>
  <c r="D974" i="16"/>
  <c r="C974" i="16"/>
  <c r="P973" i="16"/>
  <c r="O973" i="16"/>
  <c r="N973" i="16"/>
  <c r="M973" i="16"/>
  <c r="L973" i="16"/>
  <c r="K973" i="16"/>
  <c r="J973" i="16"/>
  <c r="I973" i="16"/>
  <c r="H973" i="16"/>
  <c r="G973" i="16"/>
  <c r="F973" i="16"/>
  <c r="E973" i="16"/>
  <c r="D973" i="16"/>
  <c r="C973" i="16"/>
  <c r="P972" i="16"/>
  <c r="O972" i="16"/>
  <c r="N972" i="16"/>
  <c r="M972" i="16"/>
  <c r="L972" i="16"/>
  <c r="K972" i="16"/>
  <c r="J972" i="16"/>
  <c r="I972" i="16"/>
  <c r="H972" i="16"/>
  <c r="G972" i="16"/>
  <c r="F972" i="16"/>
  <c r="E972" i="16"/>
  <c r="D972" i="16"/>
  <c r="C972" i="16"/>
  <c r="P971" i="16"/>
  <c r="O971" i="16"/>
  <c r="N971" i="16"/>
  <c r="M971" i="16"/>
  <c r="L971" i="16"/>
  <c r="K971" i="16"/>
  <c r="J971" i="16"/>
  <c r="I971" i="16"/>
  <c r="H971" i="16"/>
  <c r="G971" i="16"/>
  <c r="F971" i="16"/>
  <c r="E971" i="16"/>
  <c r="D971" i="16"/>
  <c r="C971" i="16"/>
  <c r="P970" i="16"/>
  <c r="O970" i="16"/>
  <c r="N970" i="16"/>
  <c r="M970" i="16"/>
  <c r="L970" i="16"/>
  <c r="K970" i="16"/>
  <c r="J970" i="16"/>
  <c r="I970" i="16"/>
  <c r="H970" i="16"/>
  <c r="G970" i="16"/>
  <c r="F970" i="16"/>
  <c r="E970" i="16"/>
  <c r="D970" i="16"/>
  <c r="C970" i="16"/>
  <c r="P969" i="16"/>
  <c r="O969" i="16"/>
  <c r="N969" i="16"/>
  <c r="M969" i="16"/>
  <c r="L969" i="16"/>
  <c r="K969" i="16"/>
  <c r="J969" i="16"/>
  <c r="I969" i="16"/>
  <c r="H969" i="16"/>
  <c r="G969" i="16"/>
  <c r="F969" i="16"/>
  <c r="E969" i="16"/>
  <c r="D969" i="16"/>
  <c r="C969" i="16"/>
  <c r="P968" i="16"/>
  <c r="O968" i="16"/>
  <c r="N968" i="16"/>
  <c r="M968" i="16"/>
  <c r="L968" i="16"/>
  <c r="K968" i="16"/>
  <c r="J968" i="16"/>
  <c r="I968" i="16"/>
  <c r="H968" i="16"/>
  <c r="G968" i="16"/>
  <c r="F968" i="16"/>
  <c r="E968" i="16"/>
  <c r="D968" i="16"/>
  <c r="C968" i="16"/>
  <c r="P967" i="16"/>
  <c r="O967" i="16"/>
  <c r="N967" i="16"/>
  <c r="M967" i="16"/>
  <c r="L967" i="16"/>
  <c r="K967" i="16"/>
  <c r="J967" i="16"/>
  <c r="I967" i="16"/>
  <c r="H967" i="16"/>
  <c r="G967" i="16"/>
  <c r="F967" i="16"/>
  <c r="E967" i="16"/>
  <c r="D967" i="16"/>
  <c r="C967" i="16"/>
  <c r="P966" i="16"/>
  <c r="O966" i="16"/>
  <c r="N966" i="16"/>
  <c r="M966" i="16"/>
  <c r="L966" i="16"/>
  <c r="K966" i="16"/>
  <c r="J966" i="16"/>
  <c r="I966" i="16"/>
  <c r="H966" i="16"/>
  <c r="G966" i="16"/>
  <c r="F966" i="16"/>
  <c r="E966" i="16"/>
  <c r="D966" i="16"/>
  <c r="C966" i="16"/>
  <c r="P965" i="16"/>
  <c r="O965" i="16"/>
  <c r="N965" i="16"/>
  <c r="M965" i="16"/>
  <c r="L965" i="16"/>
  <c r="K965" i="16"/>
  <c r="J965" i="16"/>
  <c r="I965" i="16"/>
  <c r="H965" i="16"/>
  <c r="G965" i="16"/>
  <c r="F965" i="16"/>
  <c r="E965" i="16"/>
  <c r="D965" i="16"/>
  <c r="C965" i="16"/>
  <c r="P964" i="16"/>
  <c r="O964" i="16"/>
  <c r="N964" i="16"/>
  <c r="M964" i="16"/>
  <c r="L964" i="16"/>
  <c r="K964" i="16"/>
  <c r="J964" i="16"/>
  <c r="I964" i="16"/>
  <c r="H964" i="16"/>
  <c r="G964" i="16"/>
  <c r="F964" i="16"/>
  <c r="E964" i="16"/>
  <c r="D964" i="16"/>
  <c r="C964" i="16"/>
  <c r="P963" i="16"/>
  <c r="O963" i="16"/>
  <c r="N963" i="16"/>
  <c r="M963" i="16"/>
  <c r="L963" i="16"/>
  <c r="K963" i="16"/>
  <c r="J963" i="16"/>
  <c r="I963" i="16"/>
  <c r="H963" i="16"/>
  <c r="G963" i="16"/>
  <c r="F963" i="16"/>
  <c r="E963" i="16"/>
  <c r="D963" i="16"/>
  <c r="C963" i="16"/>
  <c r="P962" i="16"/>
  <c r="O962" i="16"/>
  <c r="N962" i="16"/>
  <c r="M962" i="16"/>
  <c r="L962" i="16"/>
  <c r="K962" i="16"/>
  <c r="J962" i="16"/>
  <c r="I962" i="16"/>
  <c r="H962" i="16"/>
  <c r="G962" i="16"/>
  <c r="F962" i="16"/>
  <c r="E962" i="16"/>
  <c r="D962" i="16"/>
  <c r="C962" i="16"/>
  <c r="P961" i="16"/>
  <c r="O961" i="16"/>
  <c r="N961" i="16"/>
  <c r="M961" i="16"/>
  <c r="L961" i="16"/>
  <c r="K961" i="16"/>
  <c r="J961" i="16"/>
  <c r="I961" i="16"/>
  <c r="H961" i="16"/>
  <c r="G961" i="16"/>
  <c r="F961" i="16"/>
  <c r="E961" i="16"/>
  <c r="D961" i="16"/>
  <c r="C961" i="16"/>
  <c r="P960" i="16"/>
  <c r="O960" i="16"/>
  <c r="N960" i="16"/>
  <c r="M960" i="16"/>
  <c r="L960" i="16"/>
  <c r="K960" i="16"/>
  <c r="J960" i="16"/>
  <c r="I960" i="16"/>
  <c r="H960" i="16"/>
  <c r="G960" i="16"/>
  <c r="F960" i="16"/>
  <c r="E960" i="16"/>
  <c r="D960" i="16"/>
  <c r="C960" i="16"/>
  <c r="P959" i="16"/>
  <c r="O959" i="16"/>
  <c r="N959" i="16"/>
  <c r="M959" i="16"/>
  <c r="L959" i="16"/>
  <c r="K959" i="16"/>
  <c r="J959" i="16"/>
  <c r="I959" i="16"/>
  <c r="H959" i="16"/>
  <c r="G959" i="16"/>
  <c r="F959" i="16"/>
  <c r="E959" i="16"/>
  <c r="D959" i="16"/>
  <c r="C959" i="16"/>
  <c r="P958" i="16"/>
  <c r="O958" i="16"/>
  <c r="N958" i="16"/>
  <c r="M958" i="16"/>
  <c r="L958" i="16"/>
  <c r="K958" i="16"/>
  <c r="J958" i="16"/>
  <c r="I958" i="16"/>
  <c r="H958" i="16"/>
  <c r="G958" i="16"/>
  <c r="F958" i="16"/>
  <c r="E958" i="16"/>
  <c r="D958" i="16"/>
  <c r="C958" i="16"/>
  <c r="P957" i="16"/>
  <c r="O957" i="16"/>
  <c r="N957" i="16"/>
  <c r="M957" i="16"/>
  <c r="L957" i="16"/>
  <c r="K957" i="16"/>
  <c r="J957" i="16"/>
  <c r="I957" i="16"/>
  <c r="H957" i="16"/>
  <c r="G957" i="16"/>
  <c r="F957" i="16"/>
  <c r="E957" i="16"/>
  <c r="D957" i="16"/>
  <c r="C957" i="16"/>
  <c r="P956" i="16"/>
  <c r="O956" i="16"/>
  <c r="N956" i="16"/>
  <c r="M956" i="16"/>
  <c r="L956" i="16"/>
  <c r="K956" i="16"/>
  <c r="J956" i="16"/>
  <c r="I956" i="16"/>
  <c r="H956" i="16"/>
  <c r="G956" i="16"/>
  <c r="F956" i="16"/>
  <c r="E956" i="16"/>
  <c r="D956" i="16"/>
  <c r="C956" i="16"/>
  <c r="P955" i="16"/>
  <c r="O955" i="16"/>
  <c r="N955" i="16"/>
  <c r="M955" i="16"/>
  <c r="L955" i="16"/>
  <c r="K955" i="16"/>
  <c r="J955" i="16"/>
  <c r="I955" i="16"/>
  <c r="H955" i="16"/>
  <c r="G955" i="16"/>
  <c r="F955" i="16"/>
  <c r="E955" i="16"/>
  <c r="D955" i="16"/>
  <c r="C955" i="16"/>
  <c r="P954" i="16"/>
  <c r="O954" i="16"/>
  <c r="N954" i="16"/>
  <c r="M954" i="16"/>
  <c r="L954" i="16"/>
  <c r="K954" i="16"/>
  <c r="J954" i="16"/>
  <c r="I954" i="16"/>
  <c r="H954" i="16"/>
  <c r="G954" i="16"/>
  <c r="F954" i="16"/>
  <c r="E954" i="16"/>
  <c r="D954" i="16"/>
  <c r="C954" i="16"/>
  <c r="P953" i="16"/>
  <c r="O953" i="16"/>
  <c r="N953" i="16"/>
  <c r="M953" i="16"/>
  <c r="L953" i="16"/>
  <c r="K953" i="16"/>
  <c r="J953" i="16"/>
  <c r="I953" i="16"/>
  <c r="H953" i="16"/>
  <c r="G953" i="16"/>
  <c r="F953" i="16"/>
  <c r="E953" i="16"/>
  <c r="D953" i="16"/>
  <c r="C953" i="16"/>
  <c r="P952" i="16"/>
  <c r="O952" i="16"/>
  <c r="N952" i="16"/>
  <c r="M952" i="16"/>
  <c r="L952" i="16"/>
  <c r="K952" i="16"/>
  <c r="J952" i="16"/>
  <c r="I952" i="16"/>
  <c r="H952" i="16"/>
  <c r="G952" i="16"/>
  <c r="F952" i="16"/>
  <c r="E952" i="16"/>
  <c r="D952" i="16"/>
  <c r="C952" i="16"/>
  <c r="P951" i="16"/>
  <c r="O951" i="16"/>
  <c r="N951" i="16"/>
  <c r="M951" i="16"/>
  <c r="L951" i="16"/>
  <c r="K951" i="16"/>
  <c r="J951" i="16"/>
  <c r="I951" i="16"/>
  <c r="H951" i="16"/>
  <c r="G951" i="16"/>
  <c r="F951" i="16"/>
  <c r="E951" i="16"/>
  <c r="D951" i="16"/>
  <c r="C951" i="16"/>
  <c r="P950" i="16"/>
  <c r="O950" i="16"/>
  <c r="N950" i="16"/>
  <c r="M950" i="16"/>
  <c r="L950" i="16"/>
  <c r="K950" i="16"/>
  <c r="J950" i="16"/>
  <c r="I950" i="16"/>
  <c r="H950" i="16"/>
  <c r="G950" i="16"/>
  <c r="F950" i="16"/>
  <c r="E950" i="16"/>
  <c r="D950" i="16"/>
  <c r="C950" i="16"/>
  <c r="P949" i="16"/>
  <c r="O949" i="16"/>
  <c r="N949" i="16"/>
  <c r="M949" i="16"/>
  <c r="L949" i="16"/>
  <c r="K949" i="16"/>
  <c r="J949" i="16"/>
  <c r="I949" i="16"/>
  <c r="H949" i="16"/>
  <c r="G949" i="16"/>
  <c r="F949" i="16"/>
  <c r="E949" i="16"/>
  <c r="D949" i="16"/>
  <c r="C949" i="16"/>
  <c r="P948" i="16"/>
  <c r="O948" i="16"/>
  <c r="N948" i="16"/>
  <c r="M948" i="16"/>
  <c r="L948" i="16"/>
  <c r="K948" i="16"/>
  <c r="J948" i="16"/>
  <c r="I948" i="16"/>
  <c r="H948" i="16"/>
  <c r="G948" i="16"/>
  <c r="F948" i="16"/>
  <c r="E948" i="16"/>
  <c r="D948" i="16"/>
  <c r="C948" i="16"/>
  <c r="P947" i="16"/>
  <c r="O947" i="16"/>
  <c r="N947" i="16"/>
  <c r="M947" i="16"/>
  <c r="L947" i="16"/>
  <c r="K947" i="16"/>
  <c r="J947" i="16"/>
  <c r="I947" i="16"/>
  <c r="H947" i="16"/>
  <c r="G947" i="16"/>
  <c r="F947" i="16"/>
  <c r="E947" i="16"/>
  <c r="D947" i="16"/>
  <c r="C947" i="16"/>
  <c r="P946" i="16"/>
  <c r="O946" i="16"/>
  <c r="N946" i="16"/>
  <c r="M946" i="16"/>
  <c r="L946" i="16"/>
  <c r="K946" i="16"/>
  <c r="J946" i="16"/>
  <c r="I946" i="16"/>
  <c r="H946" i="16"/>
  <c r="G946" i="16"/>
  <c r="F946" i="16"/>
  <c r="E946" i="16"/>
  <c r="D946" i="16"/>
  <c r="C946" i="16"/>
  <c r="P945" i="16"/>
  <c r="O945" i="16"/>
  <c r="N945" i="16"/>
  <c r="M945" i="16"/>
  <c r="L945" i="16"/>
  <c r="K945" i="16"/>
  <c r="J945" i="16"/>
  <c r="I945" i="16"/>
  <c r="H945" i="16"/>
  <c r="G945" i="16"/>
  <c r="F945" i="16"/>
  <c r="E945" i="16"/>
  <c r="D945" i="16"/>
  <c r="C945" i="16"/>
  <c r="P944" i="16"/>
  <c r="O944" i="16"/>
  <c r="N944" i="16"/>
  <c r="M944" i="16"/>
  <c r="L944" i="16"/>
  <c r="K944" i="16"/>
  <c r="J944" i="16"/>
  <c r="I944" i="16"/>
  <c r="H944" i="16"/>
  <c r="G944" i="16"/>
  <c r="F944" i="16"/>
  <c r="E944" i="16"/>
  <c r="D944" i="16"/>
  <c r="C944" i="16"/>
  <c r="P943" i="16"/>
  <c r="O943" i="16"/>
  <c r="N943" i="16"/>
  <c r="M943" i="16"/>
  <c r="L943" i="16"/>
  <c r="K943" i="16"/>
  <c r="J943" i="16"/>
  <c r="I943" i="16"/>
  <c r="H943" i="16"/>
  <c r="G943" i="16"/>
  <c r="F943" i="16"/>
  <c r="E943" i="16"/>
  <c r="D943" i="16"/>
  <c r="C943" i="16"/>
  <c r="P942" i="16"/>
  <c r="O942" i="16"/>
  <c r="N942" i="16"/>
  <c r="M942" i="16"/>
  <c r="L942" i="16"/>
  <c r="K942" i="16"/>
  <c r="J942" i="16"/>
  <c r="I942" i="16"/>
  <c r="H942" i="16"/>
  <c r="G942" i="16"/>
  <c r="F942" i="16"/>
  <c r="E942" i="16"/>
  <c r="D942" i="16"/>
  <c r="C942" i="16"/>
  <c r="P941" i="16"/>
  <c r="O941" i="16"/>
  <c r="N941" i="16"/>
  <c r="M941" i="16"/>
  <c r="L941" i="16"/>
  <c r="K941" i="16"/>
  <c r="J941" i="16"/>
  <c r="I941" i="16"/>
  <c r="H941" i="16"/>
  <c r="G941" i="16"/>
  <c r="F941" i="16"/>
  <c r="E941" i="16"/>
  <c r="D941" i="16"/>
  <c r="C941" i="16"/>
  <c r="P940" i="16"/>
  <c r="O940" i="16"/>
  <c r="N940" i="16"/>
  <c r="M940" i="16"/>
  <c r="L940" i="16"/>
  <c r="K940" i="16"/>
  <c r="J940" i="16"/>
  <c r="I940" i="16"/>
  <c r="H940" i="16"/>
  <c r="G940" i="16"/>
  <c r="F940" i="16"/>
  <c r="E940" i="16"/>
  <c r="D940" i="16"/>
  <c r="C940" i="16"/>
  <c r="P939" i="16"/>
  <c r="O939" i="16"/>
  <c r="N939" i="16"/>
  <c r="M939" i="16"/>
  <c r="L939" i="16"/>
  <c r="K939" i="16"/>
  <c r="J939" i="16"/>
  <c r="I939" i="16"/>
  <c r="H939" i="16"/>
  <c r="G939" i="16"/>
  <c r="F939" i="16"/>
  <c r="E939" i="16"/>
  <c r="D939" i="16"/>
  <c r="C939" i="16"/>
  <c r="P938" i="16"/>
  <c r="O938" i="16"/>
  <c r="N938" i="16"/>
  <c r="M938" i="16"/>
  <c r="L938" i="16"/>
  <c r="K938" i="16"/>
  <c r="J938" i="16"/>
  <c r="I938" i="16"/>
  <c r="H938" i="16"/>
  <c r="G938" i="16"/>
  <c r="F938" i="16"/>
  <c r="E938" i="16"/>
  <c r="D938" i="16"/>
  <c r="C938" i="16"/>
  <c r="P937" i="16"/>
  <c r="O937" i="16"/>
  <c r="N937" i="16"/>
  <c r="M937" i="16"/>
  <c r="L937" i="16"/>
  <c r="K937" i="16"/>
  <c r="J937" i="16"/>
  <c r="I937" i="16"/>
  <c r="H937" i="16"/>
  <c r="G937" i="16"/>
  <c r="F937" i="16"/>
  <c r="E937" i="16"/>
  <c r="D937" i="16"/>
  <c r="C937" i="16"/>
  <c r="P936" i="16"/>
  <c r="O936" i="16"/>
  <c r="N936" i="16"/>
  <c r="M936" i="16"/>
  <c r="L936" i="16"/>
  <c r="K936" i="16"/>
  <c r="J936" i="16"/>
  <c r="I936" i="16"/>
  <c r="H936" i="16"/>
  <c r="G936" i="16"/>
  <c r="F936" i="16"/>
  <c r="E936" i="16"/>
  <c r="D936" i="16"/>
  <c r="C936" i="16"/>
  <c r="P935" i="16"/>
  <c r="O935" i="16"/>
  <c r="N935" i="16"/>
  <c r="M935" i="16"/>
  <c r="L935" i="16"/>
  <c r="K935" i="16"/>
  <c r="J935" i="16"/>
  <c r="I935" i="16"/>
  <c r="H935" i="16"/>
  <c r="G935" i="16"/>
  <c r="F935" i="16"/>
  <c r="E935" i="16"/>
  <c r="D935" i="16"/>
  <c r="C935" i="16"/>
  <c r="P934" i="16"/>
  <c r="O934" i="16"/>
  <c r="N934" i="16"/>
  <c r="M934" i="16"/>
  <c r="L934" i="16"/>
  <c r="K934" i="16"/>
  <c r="J934" i="16"/>
  <c r="I934" i="16"/>
  <c r="H934" i="16"/>
  <c r="G934" i="16"/>
  <c r="F934" i="16"/>
  <c r="E934" i="16"/>
  <c r="D934" i="16"/>
  <c r="C934" i="16"/>
  <c r="P933" i="16"/>
  <c r="O933" i="16"/>
  <c r="N933" i="16"/>
  <c r="M933" i="16"/>
  <c r="L933" i="16"/>
  <c r="K933" i="16"/>
  <c r="J933" i="16"/>
  <c r="I933" i="16"/>
  <c r="H933" i="16"/>
  <c r="G933" i="16"/>
  <c r="F933" i="16"/>
  <c r="E933" i="16"/>
  <c r="D933" i="16"/>
  <c r="C933" i="16"/>
  <c r="P932" i="16"/>
  <c r="O932" i="16"/>
  <c r="N932" i="16"/>
  <c r="M932" i="16"/>
  <c r="L932" i="16"/>
  <c r="K932" i="16"/>
  <c r="J932" i="16"/>
  <c r="I932" i="16"/>
  <c r="H932" i="16"/>
  <c r="G932" i="16"/>
  <c r="F932" i="16"/>
  <c r="E932" i="16"/>
  <c r="D932" i="16"/>
  <c r="C932" i="16"/>
  <c r="P931" i="16"/>
  <c r="O931" i="16"/>
  <c r="N931" i="16"/>
  <c r="M931" i="16"/>
  <c r="L931" i="16"/>
  <c r="K931" i="16"/>
  <c r="J931" i="16"/>
  <c r="I931" i="16"/>
  <c r="H931" i="16"/>
  <c r="G931" i="16"/>
  <c r="F931" i="16"/>
  <c r="E931" i="16"/>
  <c r="D931" i="16"/>
  <c r="C931" i="16"/>
  <c r="P930" i="16"/>
  <c r="O930" i="16"/>
  <c r="N930" i="16"/>
  <c r="M930" i="16"/>
  <c r="L930" i="16"/>
  <c r="K930" i="16"/>
  <c r="J930" i="16"/>
  <c r="I930" i="16"/>
  <c r="H930" i="16"/>
  <c r="G930" i="16"/>
  <c r="F930" i="16"/>
  <c r="E930" i="16"/>
  <c r="D930" i="16"/>
  <c r="C930" i="16"/>
  <c r="P929" i="16"/>
  <c r="O929" i="16"/>
  <c r="N929" i="16"/>
  <c r="M929" i="16"/>
  <c r="L929" i="16"/>
  <c r="K929" i="16"/>
  <c r="J929" i="16"/>
  <c r="I929" i="16"/>
  <c r="H929" i="16"/>
  <c r="G929" i="16"/>
  <c r="F929" i="16"/>
  <c r="E929" i="16"/>
  <c r="D929" i="16"/>
  <c r="C929" i="16"/>
  <c r="P928" i="16"/>
  <c r="O928" i="16"/>
  <c r="N928" i="16"/>
  <c r="M928" i="16"/>
  <c r="L928" i="16"/>
  <c r="K928" i="16"/>
  <c r="J928" i="16"/>
  <c r="I928" i="16"/>
  <c r="H928" i="16"/>
  <c r="G928" i="16"/>
  <c r="F928" i="16"/>
  <c r="E928" i="16"/>
  <c r="D928" i="16"/>
  <c r="C928" i="16"/>
  <c r="P927" i="16"/>
  <c r="O927" i="16"/>
  <c r="N927" i="16"/>
  <c r="M927" i="16"/>
  <c r="L927" i="16"/>
  <c r="K927" i="16"/>
  <c r="J927" i="16"/>
  <c r="I927" i="16"/>
  <c r="H927" i="16"/>
  <c r="G927" i="16"/>
  <c r="F927" i="16"/>
  <c r="E927" i="16"/>
  <c r="D927" i="16"/>
  <c r="C927" i="16"/>
  <c r="P926" i="16"/>
  <c r="O926" i="16"/>
  <c r="N926" i="16"/>
  <c r="M926" i="16"/>
  <c r="L926" i="16"/>
  <c r="K926" i="16"/>
  <c r="J926" i="16"/>
  <c r="I926" i="16"/>
  <c r="H926" i="16"/>
  <c r="G926" i="16"/>
  <c r="F926" i="16"/>
  <c r="E926" i="16"/>
  <c r="D926" i="16"/>
  <c r="C926" i="16"/>
  <c r="P925" i="16"/>
  <c r="O925" i="16"/>
  <c r="N925" i="16"/>
  <c r="M925" i="16"/>
  <c r="L925" i="16"/>
  <c r="K925" i="16"/>
  <c r="J925" i="16"/>
  <c r="I925" i="16"/>
  <c r="H925" i="16"/>
  <c r="G925" i="16"/>
  <c r="F925" i="16"/>
  <c r="E925" i="16"/>
  <c r="D925" i="16"/>
  <c r="C925" i="16"/>
  <c r="P924" i="16"/>
  <c r="O924" i="16"/>
  <c r="N924" i="16"/>
  <c r="M924" i="16"/>
  <c r="L924" i="16"/>
  <c r="K924" i="16"/>
  <c r="J924" i="16"/>
  <c r="I924" i="16"/>
  <c r="H924" i="16"/>
  <c r="G924" i="16"/>
  <c r="F924" i="16"/>
  <c r="E924" i="16"/>
  <c r="D924" i="16"/>
  <c r="C924" i="16"/>
  <c r="P923" i="16"/>
  <c r="O923" i="16"/>
  <c r="N923" i="16"/>
  <c r="M923" i="16"/>
  <c r="L923" i="16"/>
  <c r="K923" i="16"/>
  <c r="J923" i="16"/>
  <c r="I923" i="16"/>
  <c r="H923" i="16"/>
  <c r="G923" i="16"/>
  <c r="F923" i="16"/>
  <c r="E923" i="16"/>
  <c r="D923" i="16"/>
  <c r="C923" i="16"/>
  <c r="P922" i="16"/>
  <c r="O922" i="16"/>
  <c r="N922" i="16"/>
  <c r="M922" i="16"/>
  <c r="L922" i="16"/>
  <c r="K922" i="16"/>
  <c r="J922" i="16"/>
  <c r="I922" i="16"/>
  <c r="H922" i="16"/>
  <c r="G922" i="16"/>
  <c r="F922" i="16"/>
  <c r="E922" i="16"/>
  <c r="D922" i="16"/>
  <c r="C922" i="16"/>
  <c r="P921" i="16"/>
  <c r="O921" i="16"/>
  <c r="N921" i="16"/>
  <c r="M921" i="16"/>
  <c r="L921" i="16"/>
  <c r="K921" i="16"/>
  <c r="J921" i="16"/>
  <c r="I921" i="16"/>
  <c r="H921" i="16"/>
  <c r="G921" i="16"/>
  <c r="F921" i="16"/>
  <c r="E921" i="16"/>
  <c r="D921" i="16"/>
  <c r="C921" i="16"/>
  <c r="P920" i="16"/>
  <c r="O920" i="16"/>
  <c r="N920" i="16"/>
  <c r="M920" i="16"/>
  <c r="L920" i="16"/>
  <c r="K920" i="16"/>
  <c r="J920" i="16"/>
  <c r="I920" i="16"/>
  <c r="H920" i="16"/>
  <c r="G920" i="16"/>
  <c r="F920" i="16"/>
  <c r="E920" i="16"/>
  <c r="D920" i="16"/>
  <c r="C920" i="16"/>
  <c r="P919" i="16"/>
  <c r="O919" i="16"/>
  <c r="N919" i="16"/>
  <c r="M919" i="16"/>
  <c r="L919" i="16"/>
  <c r="K919" i="16"/>
  <c r="J919" i="16"/>
  <c r="I919" i="16"/>
  <c r="H919" i="16"/>
  <c r="G919" i="16"/>
  <c r="F919" i="16"/>
  <c r="E919" i="16"/>
  <c r="D919" i="16"/>
  <c r="C919" i="16"/>
  <c r="P918" i="16"/>
  <c r="O918" i="16"/>
  <c r="N918" i="16"/>
  <c r="M918" i="16"/>
  <c r="L918" i="16"/>
  <c r="K918" i="16"/>
  <c r="J918" i="16"/>
  <c r="I918" i="16"/>
  <c r="H918" i="16"/>
  <c r="G918" i="16"/>
  <c r="F918" i="16"/>
  <c r="E918" i="16"/>
  <c r="D918" i="16"/>
  <c r="C918" i="16"/>
  <c r="P917" i="16"/>
  <c r="O917" i="16"/>
  <c r="N917" i="16"/>
  <c r="M917" i="16"/>
  <c r="L917" i="16"/>
  <c r="K917" i="16"/>
  <c r="J917" i="16"/>
  <c r="I917" i="16"/>
  <c r="H917" i="16"/>
  <c r="G917" i="16"/>
  <c r="F917" i="16"/>
  <c r="E917" i="16"/>
  <c r="D917" i="16"/>
  <c r="C917" i="16"/>
  <c r="P916" i="16"/>
  <c r="O916" i="16"/>
  <c r="N916" i="16"/>
  <c r="M916" i="16"/>
  <c r="L916" i="16"/>
  <c r="K916" i="16"/>
  <c r="J916" i="16"/>
  <c r="I916" i="16"/>
  <c r="H916" i="16"/>
  <c r="G916" i="16"/>
  <c r="F916" i="16"/>
  <c r="E916" i="16"/>
  <c r="D916" i="16"/>
  <c r="C916" i="16"/>
  <c r="P915" i="16"/>
  <c r="O915" i="16"/>
  <c r="N915" i="16"/>
  <c r="M915" i="16"/>
  <c r="L915" i="16"/>
  <c r="K915" i="16"/>
  <c r="J915" i="16"/>
  <c r="I915" i="16"/>
  <c r="H915" i="16"/>
  <c r="G915" i="16"/>
  <c r="F915" i="16"/>
  <c r="E915" i="16"/>
  <c r="D915" i="16"/>
  <c r="C915" i="16"/>
  <c r="P914" i="16"/>
  <c r="O914" i="16"/>
  <c r="N914" i="16"/>
  <c r="M914" i="16"/>
  <c r="L914" i="16"/>
  <c r="K914" i="16"/>
  <c r="J914" i="16"/>
  <c r="I914" i="16"/>
  <c r="H914" i="16"/>
  <c r="G914" i="16"/>
  <c r="F914" i="16"/>
  <c r="E914" i="16"/>
  <c r="D914" i="16"/>
  <c r="C914" i="16"/>
  <c r="P913" i="16"/>
  <c r="O913" i="16"/>
  <c r="N913" i="16"/>
  <c r="M913" i="16"/>
  <c r="L913" i="16"/>
  <c r="K913" i="16"/>
  <c r="J913" i="16"/>
  <c r="I913" i="16"/>
  <c r="H913" i="16"/>
  <c r="G913" i="16"/>
  <c r="F913" i="16"/>
  <c r="E913" i="16"/>
  <c r="D913" i="16"/>
  <c r="C913" i="16"/>
  <c r="P912" i="16"/>
  <c r="O912" i="16"/>
  <c r="N912" i="16"/>
  <c r="M912" i="16"/>
  <c r="L912" i="16"/>
  <c r="K912" i="16"/>
  <c r="J912" i="16"/>
  <c r="I912" i="16"/>
  <c r="H912" i="16"/>
  <c r="G912" i="16"/>
  <c r="F912" i="16"/>
  <c r="E912" i="16"/>
  <c r="D912" i="16"/>
  <c r="C912" i="16"/>
  <c r="P911" i="16"/>
  <c r="O911" i="16"/>
  <c r="N911" i="16"/>
  <c r="M911" i="16"/>
  <c r="L911" i="16"/>
  <c r="K911" i="16"/>
  <c r="J911" i="16"/>
  <c r="I911" i="16"/>
  <c r="H911" i="16"/>
  <c r="G911" i="16"/>
  <c r="F911" i="16"/>
  <c r="E911" i="16"/>
  <c r="D911" i="16"/>
  <c r="C911" i="16"/>
  <c r="P910" i="16"/>
  <c r="O910" i="16"/>
  <c r="N910" i="16"/>
  <c r="M910" i="16"/>
  <c r="L910" i="16"/>
  <c r="K910" i="16"/>
  <c r="J910" i="16"/>
  <c r="I910" i="16"/>
  <c r="H910" i="16"/>
  <c r="G910" i="16"/>
  <c r="F910" i="16"/>
  <c r="E910" i="16"/>
  <c r="D910" i="16"/>
  <c r="C910" i="16"/>
  <c r="P909" i="16"/>
  <c r="O909" i="16"/>
  <c r="N909" i="16"/>
  <c r="M909" i="16"/>
  <c r="L909" i="16"/>
  <c r="K909" i="16"/>
  <c r="J909" i="16"/>
  <c r="I909" i="16"/>
  <c r="H909" i="16"/>
  <c r="G909" i="16"/>
  <c r="F909" i="16"/>
  <c r="E909" i="16"/>
  <c r="D909" i="16"/>
  <c r="C909" i="16"/>
  <c r="P908" i="16"/>
  <c r="O908" i="16"/>
  <c r="N908" i="16"/>
  <c r="M908" i="16"/>
  <c r="L908" i="16"/>
  <c r="K908" i="16"/>
  <c r="J908" i="16"/>
  <c r="I908" i="16"/>
  <c r="H908" i="16"/>
  <c r="G908" i="16"/>
  <c r="F908" i="16"/>
  <c r="E908" i="16"/>
  <c r="D908" i="16"/>
  <c r="C908" i="16"/>
  <c r="P907" i="16"/>
  <c r="O907" i="16"/>
  <c r="N907" i="16"/>
  <c r="M907" i="16"/>
  <c r="L907" i="16"/>
  <c r="K907" i="16"/>
  <c r="J907" i="16"/>
  <c r="I907" i="16"/>
  <c r="H907" i="16"/>
  <c r="G907" i="16"/>
  <c r="F907" i="16"/>
  <c r="E907" i="16"/>
  <c r="D907" i="16"/>
  <c r="C907" i="16"/>
  <c r="P906" i="16"/>
  <c r="O906" i="16"/>
  <c r="N906" i="16"/>
  <c r="M906" i="16"/>
  <c r="L906" i="16"/>
  <c r="K906" i="16"/>
  <c r="J906" i="16"/>
  <c r="I906" i="16"/>
  <c r="H906" i="16"/>
  <c r="G906" i="16"/>
  <c r="F906" i="16"/>
  <c r="E906" i="16"/>
  <c r="D906" i="16"/>
  <c r="C906" i="16"/>
  <c r="P905" i="16"/>
  <c r="O905" i="16"/>
  <c r="N905" i="16"/>
  <c r="M905" i="16"/>
  <c r="L905" i="16"/>
  <c r="K905" i="16"/>
  <c r="J905" i="16"/>
  <c r="I905" i="16"/>
  <c r="H905" i="16"/>
  <c r="G905" i="16"/>
  <c r="F905" i="16"/>
  <c r="E905" i="16"/>
  <c r="D905" i="16"/>
  <c r="C905" i="16"/>
  <c r="P904" i="16"/>
  <c r="O904" i="16"/>
  <c r="N904" i="16"/>
  <c r="M904" i="16"/>
  <c r="L904" i="16"/>
  <c r="K904" i="16"/>
  <c r="J904" i="16"/>
  <c r="I904" i="16"/>
  <c r="H904" i="16"/>
  <c r="G904" i="16"/>
  <c r="F904" i="16"/>
  <c r="E904" i="16"/>
  <c r="D904" i="16"/>
  <c r="C904" i="16"/>
  <c r="P903" i="16"/>
  <c r="O903" i="16"/>
  <c r="N903" i="16"/>
  <c r="M903" i="16"/>
  <c r="L903" i="16"/>
  <c r="K903" i="16"/>
  <c r="J903" i="16"/>
  <c r="I903" i="16"/>
  <c r="H903" i="16"/>
  <c r="G903" i="16"/>
  <c r="F903" i="16"/>
  <c r="E903" i="16"/>
  <c r="D903" i="16"/>
  <c r="C903" i="16"/>
  <c r="P902" i="16"/>
  <c r="O902" i="16"/>
  <c r="N902" i="16"/>
  <c r="M902" i="16"/>
  <c r="L902" i="16"/>
  <c r="K902" i="16"/>
  <c r="J902" i="16"/>
  <c r="I902" i="16"/>
  <c r="H902" i="16"/>
  <c r="G902" i="16"/>
  <c r="F902" i="16"/>
  <c r="E902" i="16"/>
  <c r="D902" i="16"/>
  <c r="C902" i="16"/>
  <c r="P901" i="16"/>
  <c r="O901" i="16"/>
  <c r="N901" i="16"/>
  <c r="M901" i="16"/>
  <c r="L901" i="16"/>
  <c r="K901" i="16"/>
  <c r="J901" i="16"/>
  <c r="I901" i="16"/>
  <c r="H901" i="16"/>
  <c r="G901" i="16"/>
  <c r="F901" i="16"/>
  <c r="E901" i="16"/>
  <c r="D901" i="16"/>
  <c r="C901" i="16"/>
  <c r="P900" i="16"/>
  <c r="O900" i="16"/>
  <c r="N900" i="16"/>
  <c r="M900" i="16"/>
  <c r="L900" i="16"/>
  <c r="K900" i="16"/>
  <c r="J900" i="16"/>
  <c r="I900" i="16"/>
  <c r="H900" i="16"/>
  <c r="G900" i="16"/>
  <c r="F900" i="16"/>
  <c r="E900" i="16"/>
  <c r="D900" i="16"/>
  <c r="C900" i="16"/>
  <c r="P899" i="16"/>
  <c r="O899" i="16"/>
  <c r="N899" i="16"/>
  <c r="M899" i="16"/>
  <c r="L899" i="16"/>
  <c r="K899" i="16"/>
  <c r="J899" i="16"/>
  <c r="I899" i="16"/>
  <c r="H899" i="16"/>
  <c r="G899" i="16"/>
  <c r="F899" i="16"/>
  <c r="E899" i="16"/>
  <c r="D899" i="16"/>
  <c r="C899" i="16"/>
  <c r="P898" i="16"/>
  <c r="O898" i="16"/>
  <c r="N898" i="16"/>
  <c r="M898" i="16"/>
  <c r="L898" i="16"/>
  <c r="K898" i="16"/>
  <c r="J898" i="16"/>
  <c r="I898" i="16"/>
  <c r="H898" i="16"/>
  <c r="G898" i="16"/>
  <c r="F898" i="16"/>
  <c r="E898" i="16"/>
  <c r="D898" i="16"/>
  <c r="C898" i="16"/>
  <c r="P897" i="16"/>
  <c r="O897" i="16"/>
  <c r="N897" i="16"/>
  <c r="M897" i="16"/>
  <c r="L897" i="16"/>
  <c r="K897" i="16"/>
  <c r="J897" i="16"/>
  <c r="I897" i="16"/>
  <c r="H897" i="16"/>
  <c r="G897" i="16"/>
  <c r="F897" i="16"/>
  <c r="E897" i="16"/>
  <c r="D897" i="16"/>
  <c r="C897" i="16"/>
  <c r="P896" i="16"/>
  <c r="O896" i="16"/>
  <c r="N896" i="16"/>
  <c r="M896" i="16"/>
  <c r="L896" i="16"/>
  <c r="K896" i="16"/>
  <c r="J896" i="16"/>
  <c r="I896" i="16"/>
  <c r="H896" i="16"/>
  <c r="G896" i="16"/>
  <c r="F896" i="16"/>
  <c r="E896" i="16"/>
  <c r="D896" i="16"/>
  <c r="C896" i="16"/>
  <c r="P895" i="16"/>
  <c r="O895" i="16"/>
  <c r="N895" i="16"/>
  <c r="M895" i="16"/>
  <c r="L895" i="16"/>
  <c r="K895" i="16"/>
  <c r="J895" i="16"/>
  <c r="I895" i="16"/>
  <c r="H895" i="16"/>
  <c r="G895" i="16"/>
  <c r="F895" i="16"/>
  <c r="E895" i="16"/>
  <c r="D895" i="16"/>
  <c r="C895" i="16"/>
  <c r="P894" i="16"/>
  <c r="O894" i="16"/>
  <c r="N894" i="16"/>
  <c r="M894" i="16"/>
  <c r="L894" i="16"/>
  <c r="K894" i="16"/>
  <c r="J894" i="16"/>
  <c r="I894" i="16"/>
  <c r="H894" i="16"/>
  <c r="G894" i="16"/>
  <c r="F894" i="16"/>
  <c r="E894" i="16"/>
  <c r="D894" i="16"/>
  <c r="C894" i="16"/>
  <c r="P893" i="16"/>
  <c r="O893" i="16"/>
  <c r="N893" i="16"/>
  <c r="M893" i="16"/>
  <c r="L893" i="16"/>
  <c r="K893" i="16"/>
  <c r="J893" i="16"/>
  <c r="I893" i="16"/>
  <c r="H893" i="16"/>
  <c r="G893" i="16"/>
  <c r="F893" i="16"/>
  <c r="E893" i="16"/>
  <c r="D893" i="16"/>
  <c r="C893" i="16"/>
  <c r="P892" i="16"/>
  <c r="O892" i="16"/>
  <c r="N892" i="16"/>
  <c r="M892" i="16"/>
  <c r="L892" i="16"/>
  <c r="K892" i="16"/>
  <c r="J892" i="16"/>
  <c r="I892" i="16"/>
  <c r="H892" i="16"/>
  <c r="G892" i="16"/>
  <c r="F892" i="16"/>
  <c r="E892" i="16"/>
  <c r="D892" i="16"/>
  <c r="C892" i="16"/>
  <c r="P891" i="16"/>
  <c r="O891" i="16"/>
  <c r="N891" i="16"/>
  <c r="M891" i="16"/>
  <c r="L891" i="16"/>
  <c r="K891" i="16"/>
  <c r="J891" i="16"/>
  <c r="I891" i="16"/>
  <c r="H891" i="16"/>
  <c r="G891" i="16"/>
  <c r="F891" i="16"/>
  <c r="E891" i="16"/>
  <c r="D891" i="16"/>
  <c r="C891" i="16"/>
  <c r="P890" i="16"/>
  <c r="O890" i="16"/>
  <c r="N890" i="16"/>
  <c r="M890" i="16"/>
  <c r="L890" i="16"/>
  <c r="K890" i="16"/>
  <c r="J890" i="16"/>
  <c r="I890" i="16"/>
  <c r="H890" i="16"/>
  <c r="G890" i="16"/>
  <c r="F890" i="16"/>
  <c r="E890" i="16"/>
  <c r="D890" i="16"/>
  <c r="C890" i="16"/>
  <c r="P889" i="16"/>
  <c r="O889" i="16"/>
  <c r="N889" i="16"/>
  <c r="M889" i="16"/>
  <c r="L889" i="16"/>
  <c r="K889" i="16"/>
  <c r="J889" i="16"/>
  <c r="I889" i="16"/>
  <c r="H889" i="16"/>
  <c r="G889" i="16"/>
  <c r="F889" i="16"/>
  <c r="E889" i="16"/>
  <c r="D889" i="16"/>
  <c r="C889" i="16"/>
  <c r="P888" i="16"/>
  <c r="O888" i="16"/>
  <c r="N888" i="16"/>
  <c r="M888" i="16"/>
  <c r="L888" i="16"/>
  <c r="K888" i="16"/>
  <c r="J888" i="16"/>
  <c r="I888" i="16"/>
  <c r="H888" i="16"/>
  <c r="G888" i="16"/>
  <c r="F888" i="16"/>
  <c r="E888" i="16"/>
  <c r="D888" i="16"/>
  <c r="C888" i="16"/>
  <c r="P887" i="16"/>
  <c r="O887" i="16"/>
  <c r="N887" i="16"/>
  <c r="M887" i="16"/>
  <c r="L887" i="16"/>
  <c r="K887" i="16"/>
  <c r="J887" i="16"/>
  <c r="I887" i="16"/>
  <c r="H887" i="16"/>
  <c r="G887" i="16"/>
  <c r="F887" i="16"/>
  <c r="E887" i="16"/>
  <c r="D887" i="16"/>
  <c r="C887" i="16"/>
  <c r="P886" i="16"/>
  <c r="O886" i="16"/>
  <c r="N886" i="16"/>
  <c r="M886" i="16"/>
  <c r="L886" i="16"/>
  <c r="K886" i="16"/>
  <c r="J886" i="16"/>
  <c r="I886" i="16"/>
  <c r="H886" i="16"/>
  <c r="G886" i="16"/>
  <c r="F886" i="16"/>
  <c r="E886" i="16"/>
  <c r="D886" i="16"/>
  <c r="C886" i="16"/>
  <c r="P885" i="16"/>
  <c r="O885" i="16"/>
  <c r="N885" i="16"/>
  <c r="M885" i="16"/>
  <c r="L885" i="16"/>
  <c r="K885" i="16"/>
  <c r="J885" i="16"/>
  <c r="I885" i="16"/>
  <c r="H885" i="16"/>
  <c r="G885" i="16"/>
  <c r="F885" i="16"/>
  <c r="E885" i="16"/>
  <c r="D885" i="16"/>
  <c r="C885" i="16"/>
  <c r="P884" i="16"/>
  <c r="O884" i="16"/>
  <c r="N884" i="16"/>
  <c r="M884" i="16"/>
  <c r="L884" i="16"/>
  <c r="K884" i="16"/>
  <c r="J884" i="16"/>
  <c r="I884" i="16"/>
  <c r="H884" i="16"/>
  <c r="G884" i="16"/>
  <c r="F884" i="16"/>
  <c r="E884" i="16"/>
  <c r="D884" i="16"/>
  <c r="C884" i="16"/>
  <c r="P883" i="16"/>
  <c r="O883" i="16"/>
  <c r="N883" i="16"/>
  <c r="M883" i="16"/>
  <c r="L883" i="16"/>
  <c r="K883" i="16"/>
  <c r="J883" i="16"/>
  <c r="I883" i="16"/>
  <c r="H883" i="16"/>
  <c r="G883" i="16"/>
  <c r="F883" i="16"/>
  <c r="E883" i="16"/>
  <c r="D883" i="16"/>
  <c r="C883" i="16"/>
  <c r="P882" i="16"/>
  <c r="O882" i="16"/>
  <c r="N882" i="16"/>
  <c r="M882" i="16"/>
  <c r="L882" i="16"/>
  <c r="K882" i="16"/>
  <c r="J882" i="16"/>
  <c r="I882" i="16"/>
  <c r="H882" i="16"/>
  <c r="G882" i="16"/>
  <c r="F882" i="16"/>
  <c r="E882" i="16"/>
  <c r="D882" i="16"/>
  <c r="C882" i="16"/>
  <c r="P881" i="16"/>
  <c r="O881" i="16"/>
  <c r="N881" i="16"/>
  <c r="M881" i="16"/>
  <c r="L881" i="16"/>
  <c r="K881" i="16"/>
  <c r="J881" i="16"/>
  <c r="I881" i="16"/>
  <c r="H881" i="16"/>
  <c r="G881" i="16"/>
  <c r="F881" i="16"/>
  <c r="E881" i="16"/>
  <c r="D881" i="16"/>
  <c r="C881" i="16"/>
  <c r="P880" i="16"/>
  <c r="O880" i="16"/>
  <c r="N880" i="16"/>
  <c r="M880" i="16"/>
  <c r="L880" i="16"/>
  <c r="K880" i="16"/>
  <c r="J880" i="16"/>
  <c r="I880" i="16"/>
  <c r="H880" i="16"/>
  <c r="G880" i="16"/>
  <c r="F880" i="16"/>
  <c r="E880" i="16"/>
  <c r="D880" i="16"/>
  <c r="C880" i="16"/>
  <c r="P879" i="16"/>
  <c r="O879" i="16"/>
  <c r="N879" i="16"/>
  <c r="M879" i="16"/>
  <c r="L879" i="16"/>
  <c r="K879" i="16"/>
  <c r="J879" i="16"/>
  <c r="I879" i="16"/>
  <c r="H879" i="16"/>
  <c r="G879" i="16"/>
  <c r="F879" i="16"/>
  <c r="E879" i="16"/>
  <c r="D879" i="16"/>
  <c r="C879" i="16"/>
  <c r="P878" i="16"/>
  <c r="O878" i="16"/>
  <c r="N878" i="16"/>
  <c r="M878" i="16"/>
  <c r="L878" i="16"/>
  <c r="K878" i="16"/>
  <c r="J878" i="16"/>
  <c r="I878" i="16"/>
  <c r="H878" i="16"/>
  <c r="G878" i="16"/>
  <c r="F878" i="16"/>
  <c r="E878" i="16"/>
  <c r="D878" i="16"/>
  <c r="C878" i="16"/>
  <c r="P877" i="16"/>
  <c r="O877" i="16"/>
  <c r="N877" i="16"/>
  <c r="M877" i="16"/>
  <c r="L877" i="16"/>
  <c r="K877" i="16"/>
  <c r="J877" i="16"/>
  <c r="I877" i="16"/>
  <c r="H877" i="16"/>
  <c r="G877" i="16"/>
  <c r="F877" i="16"/>
  <c r="E877" i="16"/>
  <c r="D877" i="16"/>
  <c r="C877" i="16"/>
  <c r="P876" i="16"/>
  <c r="O876" i="16"/>
  <c r="N876" i="16"/>
  <c r="M876" i="16"/>
  <c r="L876" i="16"/>
  <c r="K876" i="16"/>
  <c r="J876" i="16"/>
  <c r="I876" i="16"/>
  <c r="H876" i="16"/>
  <c r="G876" i="16"/>
  <c r="F876" i="16"/>
  <c r="E876" i="16"/>
  <c r="D876" i="16"/>
  <c r="C876" i="16"/>
  <c r="P875" i="16"/>
  <c r="O875" i="16"/>
  <c r="N875" i="16"/>
  <c r="M875" i="16"/>
  <c r="L875" i="16"/>
  <c r="K875" i="16"/>
  <c r="J875" i="16"/>
  <c r="I875" i="16"/>
  <c r="H875" i="16"/>
  <c r="G875" i="16"/>
  <c r="F875" i="16"/>
  <c r="E875" i="16"/>
  <c r="D875" i="16"/>
  <c r="C875" i="16"/>
  <c r="P874" i="16"/>
  <c r="O874" i="16"/>
  <c r="N874" i="16"/>
  <c r="M874" i="16"/>
  <c r="L874" i="16"/>
  <c r="K874" i="16"/>
  <c r="J874" i="16"/>
  <c r="I874" i="16"/>
  <c r="H874" i="16"/>
  <c r="G874" i="16"/>
  <c r="F874" i="16"/>
  <c r="E874" i="16"/>
  <c r="D874" i="16"/>
  <c r="C874" i="16"/>
  <c r="P873" i="16"/>
  <c r="O873" i="16"/>
  <c r="N873" i="16"/>
  <c r="M873" i="16"/>
  <c r="L873" i="16"/>
  <c r="K873" i="16"/>
  <c r="J873" i="16"/>
  <c r="I873" i="16"/>
  <c r="H873" i="16"/>
  <c r="G873" i="16"/>
  <c r="F873" i="16"/>
  <c r="E873" i="16"/>
  <c r="D873" i="16"/>
  <c r="C873" i="16"/>
  <c r="P872" i="16"/>
  <c r="O872" i="16"/>
  <c r="N872" i="16"/>
  <c r="M872" i="16"/>
  <c r="L872" i="16"/>
  <c r="K872" i="16"/>
  <c r="J872" i="16"/>
  <c r="I872" i="16"/>
  <c r="H872" i="16"/>
  <c r="G872" i="16"/>
  <c r="F872" i="16"/>
  <c r="E872" i="16"/>
  <c r="D872" i="16"/>
  <c r="C872" i="16"/>
  <c r="P871" i="16"/>
  <c r="O871" i="16"/>
  <c r="N871" i="16"/>
  <c r="M871" i="16"/>
  <c r="L871" i="16"/>
  <c r="K871" i="16"/>
  <c r="J871" i="16"/>
  <c r="I871" i="16"/>
  <c r="H871" i="16"/>
  <c r="G871" i="16"/>
  <c r="F871" i="16"/>
  <c r="E871" i="16"/>
  <c r="D871" i="16"/>
  <c r="C871" i="16"/>
  <c r="P870" i="16"/>
  <c r="O870" i="16"/>
  <c r="N870" i="16"/>
  <c r="M870" i="16"/>
  <c r="L870" i="16"/>
  <c r="K870" i="16"/>
  <c r="J870" i="16"/>
  <c r="I870" i="16"/>
  <c r="H870" i="16"/>
  <c r="G870" i="16"/>
  <c r="F870" i="16"/>
  <c r="E870" i="16"/>
  <c r="D870" i="16"/>
  <c r="C870" i="16"/>
  <c r="P869" i="16"/>
  <c r="O869" i="16"/>
  <c r="N869" i="16"/>
  <c r="M869" i="16"/>
  <c r="L869" i="16"/>
  <c r="K869" i="16"/>
  <c r="J869" i="16"/>
  <c r="I869" i="16"/>
  <c r="H869" i="16"/>
  <c r="G869" i="16"/>
  <c r="F869" i="16"/>
  <c r="E869" i="16"/>
  <c r="D869" i="16"/>
  <c r="C869" i="16"/>
  <c r="P868" i="16"/>
  <c r="O868" i="16"/>
  <c r="N868" i="16"/>
  <c r="M868" i="16"/>
  <c r="L868" i="16"/>
  <c r="K868" i="16"/>
  <c r="J868" i="16"/>
  <c r="I868" i="16"/>
  <c r="H868" i="16"/>
  <c r="G868" i="16"/>
  <c r="F868" i="16"/>
  <c r="E868" i="16"/>
  <c r="D868" i="16"/>
  <c r="C868" i="16"/>
  <c r="P867" i="16"/>
  <c r="O867" i="16"/>
  <c r="N867" i="16"/>
  <c r="M867" i="16"/>
  <c r="L867" i="16"/>
  <c r="K867" i="16"/>
  <c r="J867" i="16"/>
  <c r="I867" i="16"/>
  <c r="H867" i="16"/>
  <c r="G867" i="16"/>
  <c r="F867" i="16"/>
  <c r="E867" i="16"/>
  <c r="D867" i="16"/>
  <c r="C867" i="16"/>
  <c r="P866" i="16"/>
  <c r="O866" i="16"/>
  <c r="N866" i="16"/>
  <c r="M866" i="16"/>
  <c r="L866" i="16"/>
  <c r="K866" i="16"/>
  <c r="J866" i="16"/>
  <c r="I866" i="16"/>
  <c r="H866" i="16"/>
  <c r="G866" i="16"/>
  <c r="F866" i="16"/>
  <c r="E866" i="16"/>
  <c r="D866" i="16"/>
  <c r="C866" i="16"/>
  <c r="P865" i="16"/>
  <c r="O865" i="16"/>
  <c r="N865" i="16"/>
  <c r="M865" i="16"/>
  <c r="L865" i="16"/>
  <c r="K865" i="16"/>
  <c r="J865" i="16"/>
  <c r="I865" i="16"/>
  <c r="H865" i="16"/>
  <c r="G865" i="16"/>
  <c r="F865" i="16"/>
  <c r="E865" i="16"/>
  <c r="D865" i="16"/>
  <c r="C865" i="16"/>
  <c r="P864" i="16"/>
  <c r="O864" i="16"/>
  <c r="N864" i="16"/>
  <c r="M864" i="16"/>
  <c r="L864" i="16"/>
  <c r="K864" i="16"/>
  <c r="J864" i="16"/>
  <c r="I864" i="16"/>
  <c r="H864" i="16"/>
  <c r="G864" i="16"/>
  <c r="F864" i="16"/>
  <c r="E864" i="16"/>
  <c r="D864" i="16"/>
  <c r="C864" i="16"/>
  <c r="P863" i="16"/>
  <c r="O863" i="16"/>
  <c r="N863" i="16"/>
  <c r="M863" i="16"/>
  <c r="L863" i="16"/>
  <c r="K863" i="16"/>
  <c r="J863" i="16"/>
  <c r="I863" i="16"/>
  <c r="H863" i="16"/>
  <c r="G863" i="16"/>
  <c r="F863" i="16"/>
  <c r="E863" i="16"/>
  <c r="D863" i="16"/>
  <c r="C863" i="16"/>
  <c r="P862" i="16"/>
  <c r="O862" i="16"/>
  <c r="N862" i="16"/>
  <c r="M862" i="16"/>
  <c r="L862" i="16"/>
  <c r="K862" i="16"/>
  <c r="J862" i="16"/>
  <c r="I862" i="16"/>
  <c r="H862" i="16"/>
  <c r="G862" i="16"/>
  <c r="F862" i="16"/>
  <c r="E862" i="16"/>
  <c r="D862" i="16"/>
  <c r="C862" i="16"/>
  <c r="P861" i="16"/>
  <c r="O861" i="16"/>
  <c r="N861" i="16"/>
  <c r="M861" i="16"/>
  <c r="L861" i="16"/>
  <c r="K861" i="16"/>
  <c r="J861" i="16"/>
  <c r="I861" i="16"/>
  <c r="H861" i="16"/>
  <c r="G861" i="16"/>
  <c r="F861" i="16"/>
  <c r="E861" i="16"/>
  <c r="D861" i="16"/>
  <c r="C861" i="16"/>
  <c r="P860" i="16"/>
  <c r="O860" i="16"/>
  <c r="N860" i="16"/>
  <c r="M860" i="16"/>
  <c r="L860" i="16"/>
  <c r="K860" i="16"/>
  <c r="J860" i="16"/>
  <c r="I860" i="16"/>
  <c r="H860" i="16"/>
  <c r="G860" i="16"/>
  <c r="F860" i="16"/>
  <c r="E860" i="16"/>
  <c r="D860" i="16"/>
  <c r="C860" i="16"/>
  <c r="P859" i="16"/>
  <c r="O859" i="16"/>
  <c r="N859" i="16"/>
  <c r="M859" i="16"/>
  <c r="L859" i="16"/>
  <c r="K859" i="16"/>
  <c r="J859" i="16"/>
  <c r="I859" i="16"/>
  <c r="H859" i="16"/>
  <c r="G859" i="16"/>
  <c r="F859" i="16"/>
  <c r="E859" i="16"/>
  <c r="D859" i="16"/>
  <c r="C859" i="16"/>
  <c r="P858" i="16"/>
  <c r="O858" i="16"/>
  <c r="N858" i="16"/>
  <c r="M858" i="16"/>
  <c r="L858" i="16"/>
  <c r="K858" i="16"/>
  <c r="J858" i="16"/>
  <c r="I858" i="16"/>
  <c r="H858" i="16"/>
  <c r="G858" i="16"/>
  <c r="F858" i="16"/>
  <c r="E858" i="16"/>
  <c r="D858" i="16"/>
  <c r="C858" i="16"/>
  <c r="P857" i="16"/>
  <c r="O857" i="16"/>
  <c r="N857" i="16"/>
  <c r="M857" i="16"/>
  <c r="L857" i="16"/>
  <c r="K857" i="16"/>
  <c r="J857" i="16"/>
  <c r="I857" i="16"/>
  <c r="H857" i="16"/>
  <c r="G857" i="16"/>
  <c r="F857" i="16"/>
  <c r="E857" i="16"/>
  <c r="D857" i="16"/>
  <c r="C857" i="16"/>
  <c r="P856" i="16"/>
  <c r="O856" i="16"/>
  <c r="N856" i="16"/>
  <c r="M856" i="16"/>
  <c r="L856" i="16"/>
  <c r="K856" i="16"/>
  <c r="J856" i="16"/>
  <c r="I856" i="16"/>
  <c r="H856" i="16"/>
  <c r="G856" i="16"/>
  <c r="F856" i="16"/>
  <c r="E856" i="16"/>
  <c r="D856" i="16"/>
  <c r="C856" i="16"/>
  <c r="P855" i="16"/>
  <c r="O855" i="16"/>
  <c r="N855" i="16"/>
  <c r="M855" i="16"/>
  <c r="L855" i="16"/>
  <c r="K855" i="16"/>
  <c r="J855" i="16"/>
  <c r="I855" i="16"/>
  <c r="H855" i="16"/>
  <c r="G855" i="16"/>
  <c r="F855" i="16"/>
  <c r="E855" i="16"/>
  <c r="D855" i="16"/>
  <c r="C855" i="16"/>
  <c r="P854" i="16"/>
  <c r="O854" i="16"/>
  <c r="N854" i="16"/>
  <c r="M854" i="16"/>
  <c r="L854" i="16"/>
  <c r="K854" i="16"/>
  <c r="J854" i="16"/>
  <c r="I854" i="16"/>
  <c r="H854" i="16"/>
  <c r="G854" i="16"/>
  <c r="F854" i="16"/>
  <c r="E854" i="16"/>
  <c r="D854" i="16"/>
  <c r="C854" i="16"/>
  <c r="P853" i="16"/>
  <c r="O853" i="16"/>
  <c r="N853" i="16"/>
  <c r="M853" i="16"/>
  <c r="L853" i="16"/>
  <c r="K853" i="16"/>
  <c r="J853" i="16"/>
  <c r="I853" i="16"/>
  <c r="H853" i="16"/>
  <c r="G853" i="16"/>
  <c r="F853" i="16"/>
  <c r="E853" i="16"/>
  <c r="D853" i="16"/>
  <c r="C853" i="16"/>
  <c r="P852" i="16"/>
  <c r="O852" i="16"/>
  <c r="N852" i="16"/>
  <c r="M852" i="16"/>
  <c r="L852" i="16"/>
  <c r="K852" i="16"/>
  <c r="J852" i="16"/>
  <c r="I852" i="16"/>
  <c r="H852" i="16"/>
  <c r="G852" i="16"/>
  <c r="F852" i="16"/>
  <c r="E852" i="16"/>
  <c r="D852" i="16"/>
  <c r="C852" i="16"/>
  <c r="P851" i="16"/>
  <c r="O851" i="16"/>
  <c r="N851" i="16"/>
  <c r="M851" i="16"/>
  <c r="L851" i="16"/>
  <c r="K851" i="16"/>
  <c r="J851" i="16"/>
  <c r="I851" i="16"/>
  <c r="H851" i="16"/>
  <c r="G851" i="16"/>
  <c r="F851" i="16"/>
  <c r="E851" i="16"/>
  <c r="D851" i="16"/>
  <c r="C851" i="16"/>
  <c r="P850" i="16"/>
  <c r="O850" i="16"/>
  <c r="N850" i="16"/>
  <c r="M850" i="16"/>
  <c r="L850" i="16"/>
  <c r="K850" i="16"/>
  <c r="J850" i="16"/>
  <c r="I850" i="16"/>
  <c r="H850" i="16"/>
  <c r="G850" i="16"/>
  <c r="F850" i="16"/>
  <c r="E850" i="16"/>
  <c r="D850" i="16"/>
  <c r="C850" i="16"/>
  <c r="P849" i="16"/>
  <c r="O849" i="16"/>
  <c r="N849" i="16"/>
  <c r="M849" i="16"/>
  <c r="L849" i="16"/>
  <c r="K849" i="16"/>
  <c r="J849" i="16"/>
  <c r="I849" i="16"/>
  <c r="H849" i="16"/>
  <c r="G849" i="16"/>
  <c r="F849" i="16"/>
  <c r="E849" i="16"/>
  <c r="D849" i="16"/>
  <c r="C849" i="16"/>
  <c r="P848" i="16"/>
  <c r="O848" i="16"/>
  <c r="N848" i="16"/>
  <c r="M848" i="16"/>
  <c r="L848" i="16"/>
  <c r="K848" i="16"/>
  <c r="J848" i="16"/>
  <c r="I848" i="16"/>
  <c r="H848" i="16"/>
  <c r="G848" i="16"/>
  <c r="F848" i="16"/>
  <c r="E848" i="16"/>
  <c r="D848" i="16"/>
  <c r="C848" i="16"/>
  <c r="P847" i="16"/>
  <c r="O847" i="16"/>
  <c r="N847" i="16"/>
  <c r="M847" i="16"/>
  <c r="L847" i="16"/>
  <c r="K847" i="16"/>
  <c r="J847" i="16"/>
  <c r="I847" i="16"/>
  <c r="H847" i="16"/>
  <c r="G847" i="16"/>
  <c r="F847" i="16"/>
  <c r="E847" i="16"/>
  <c r="D847" i="16"/>
  <c r="C847" i="16"/>
  <c r="P846" i="16"/>
  <c r="O846" i="16"/>
  <c r="N846" i="16"/>
  <c r="M846" i="16"/>
  <c r="L846" i="16"/>
  <c r="K846" i="16"/>
  <c r="J846" i="16"/>
  <c r="I846" i="16"/>
  <c r="H846" i="16"/>
  <c r="G846" i="16"/>
  <c r="F846" i="16"/>
  <c r="E846" i="16"/>
  <c r="D846" i="16"/>
  <c r="C846" i="16"/>
  <c r="P845" i="16"/>
  <c r="O845" i="16"/>
  <c r="N845" i="16"/>
  <c r="M845" i="16"/>
  <c r="L845" i="16"/>
  <c r="K845" i="16"/>
  <c r="J845" i="16"/>
  <c r="I845" i="16"/>
  <c r="H845" i="16"/>
  <c r="G845" i="16"/>
  <c r="F845" i="16"/>
  <c r="E845" i="16"/>
  <c r="D845" i="16"/>
  <c r="C845" i="16"/>
  <c r="P844" i="16"/>
  <c r="O844" i="16"/>
  <c r="N844" i="16"/>
  <c r="M844" i="16"/>
  <c r="L844" i="16"/>
  <c r="K844" i="16"/>
  <c r="J844" i="16"/>
  <c r="I844" i="16"/>
  <c r="H844" i="16"/>
  <c r="G844" i="16"/>
  <c r="F844" i="16"/>
  <c r="E844" i="16"/>
  <c r="D844" i="16"/>
  <c r="C844" i="16"/>
  <c r="P843" i="16"/>
  <c r="O843" i="16"/>
  <c r="N843" i="16"/>
  <c r="M843" i="16"/>
  <c r="L843" i="16"/>
  <c r="K843" i="16"/>
  <c r="J843" i="16"/>
  <c r="I843" i="16"/>
  <c r="H843" i="16"/>
  <c r="G843" i="16"/>
  <c r="F843" i="16"/>
  <c r="E843" i="16"/>
  <c r="D843" i="16"/>
  <c r="C843" i="16"/>
  <c r="P842" i="16"/>
  <c r="O842" i="16"/>
  <c r="N842" i="16"/>
  <c r="M842" i="16"/>
  <c r="L842" i="16"/>
  <c r="K842" i="16"/>
  <c r="J842" i="16"/>
  <c r="I842" i="16"/>
  <c r="H842" i="16"/>
  <c r="G842" i="16"/>
  <c r="F842" i="16"/>
  <c r="E842" i="16"/>
  <c r="D842" i="16"/>
  <c r="C842" i="16"/>
  <c r="P841" i="16"/>
  <c r="O841" i="16"/>
  <c r="N841" i="16"/>
  <c r="M841" i="16"/>
  <c r="L841" i="16"/>
  <c r="K841" i="16"/>
  <c r="J841" i="16"/>
  <c r="I841" i="16"/>
  <c r="H841" i="16"/>
  <c r="G841" i="16"/>
  <c r="F841" i="16"/>
  <c r="E841" i="16"/>
  <c r="D841" i="16"/>
  <c r="C841" i="16"/>
  <c r="P840" i="16"/>
  <c r="O840" i="16"/>
  <c r="N840" i="16"/>
  <c r="M840" i="16"/>
  <c r="L840" i="16"/>
  <c r="K840" i="16"/>
  <c r="J840" i="16"/>
  <c r="I840" i="16"/>
  <c r="H840" i="16"/>
  <c r="G840" i="16"/>
  <c r="F840" i="16"/>
  <c r="E840" i="16"/>
  <c r="D840" i="16"/>
  <c r="C840" i="16"/>
  <c r="P839" i="16"/>
  <c r="O839" i="16"/>
  <c r="N839" i="16"/>
  <c r="M839" i="16"/>
  <c r="L839" i="16"/>
  <c r="K839" i="16"/>
  <c r="J839" i="16"/>
  <c r="I839" i="16"/>
  <c r="H839" i="16"/>
  <c r="G839" i="16"/>
  <c r="F839" i="16"/>
  <c r="E839" i="16"/>
  <c r="D839" i="16"/>
  <c r="C839" i="16"/>
  <c r="P838" i="16"/>
  <c r="O838" i="16"/>
  <c r="N838" i="16"/>
  <c r="M838" i="16"/>
  <c r="L838" i="16"/>
  <c r="K838" i="16"/>
  <c r="J838" i="16"/>
  <c r="I838" i="16"/>
  <c r="H838" i="16"/>
  <c r="G838" i="16"/>
  <c r="F838" i="16"/>
  <c r="E838" i="16"/>
  <c r="D838" i="16"/>
  <c r="C838" i="16"/>
  <c r="P837" i="16"/>
  <c r="O837" i="16"/>
  <c r="N837" i="16"/>
  <c r="M837" i="16"/>
  <c r="L837" i="16"/>
  <c r="K837" i="16"/>
  <c r="J837" i="16"/>
  <c r="I837" i="16"/>
  <c r="H837" i="16"/>
  <c r="G837" i="16"/>
  <c r="F837" i="16"/>
  <c r="E837" i="16"/>
  <c r="D837" i="16"/>
  <c r="C837" i="16"/>
  <c r="P836" i="16"/>
  <c r="O836" i="16"/>
  <c r="N836" i="16"/>
  <c r="M836" i="16"/>
  <c r="L836" i="16"/>
  <c r="K836" i="16"/>
  <c r="J836" i="16"/>
  <c r="I836" i="16"/>
  <c r="H836" i="16"/>
  <c r="G836" i="16"/>
  <c r="F836" i="16"/>
  <c r="E836" i="16"/>
  <c r="D836" i="16"/>
  <c r="C836" i="16"/>
  <c r="P835" i="16"/>
  <c r="O835" i="16"/>
  <c r="N835" i="16"/>
  <c r="M835" i="16"/>
  <c r="L835" i="16"/>
  <c r="K835" i="16"/>
  <c r="J835" i="16"/>
  <c r="I835" i="16"/>
  <c r="H835" i="16"/>
  <c r="G835" i="16"/>
  <c r="F835" i="16"/>
  <c r="E835" i="16"/>
  <c r="D835" i="16"/>
  <c r="C835" i="16"/>
  <c r="P834" i="16"/>
  <c r="O834" i="16"/>
  <c r="N834" i="16"/>
  <c r="M834" i="16"/>
  <c r="L834" i="16"/>
  <c r="K834" i="16"/>
  <c r="J834" i="16"/>
  <c r="I834" i="16"/>
  <c r="H834" i="16"/>
  <c r="G834" i="16"/>
  <c r="F834" i="16"/>
  <c r="E834" i="16"/>
  <c r="D834" i="16"/>
  <c r="C834" i="16"/>
  <c r="P833" i="16"/>
  <c r="O833" i="16"/>
  <c r="N833" i="16"/>
  <c r="M833" i="16"/>
  <c r="L833" i="16"/>
  <c r="K833" i="16"/>
  <c r="J833" i="16"/>
  <c r="I833" i="16"/>
  <c r="H833" i="16"/>
  <c r="G833" i="16"/>
  <c r="F833" i="16"/>
  <c r="E833" i="16"/>
  <c r="D833" i="16"/>
  <c r="C833" i="16"/>
  <c r="P832" i="16"/>
  <c r="O832" i="16"/>
  <c r="N832" i="16"/>
  <c r="M832" i="16"/>
  <c r="L832" i="16"/>
  <c r="K832" i="16"/>
  <c r="J832" i="16"/>
  <c r="I832" i="16"/>
  <c r="H832" i="16"/>
  <c r="G832" i="16"/>
  <c r="F832" i="16"/>
  <c r="E832" i="16"/>
  <c r="D832" i="16"/>
  <c r="C832" i="16"/>
  <c r="P831" i="16"/>
  <c r="O831" i="16"/>
  <c r="N831" i="16"/>
  <c r="M831" i="16"/>
  <c r="L831" i="16"/>
  <c r="K831" i="16"/>
  <c r="J831" i="16"/>
  <c r="I831" i="16"/>
  <c r="H831" i="16"/>
  <c r="G831" i="16"/>
  <c r="F831" i="16"/>
  <c r="E831" i="16"/>
  <c r="D831" i="16"/>
  <c r="C831" i="16"/>
  <c r="P830" i="16"/>
  <c r="O830" i="16"/>
  <c r="N830" i="16"/>
  <c r="M830" i="16"/>
  <c r="L830" i="16"/>
  <c r="K830" i="16"/>
  <c r="J830" i="16"/>
  <c r="I830" i="16"/>
  <c r="H830" i="16"/>
  <c r="G830" i="16"/>
  <c r="F830" i="16"/>
  <c r="E830" i="16"/>
  <c r="D830" i="16"/>
  <c r="C830" i="16"/>
  <c r="P829" i="16"/>
  <c r="O829" i="16"/>
  <c r="N829" i="16"/>
  <c r="M829" i="16"/>
  <c r="L829" i="16"/>
  <c r="K829" i="16"/>
  <c r="J829" i="16"/>
  <c r="I829" i="16"/>
  <c r="H829" i="16"/>
  <c r="G829" i="16"/>
  <c r="F829" i="16"/>
  <c r="E829" i="16"/>
  <c r="D829" i="16"/>
  <c r="C829" i="16"/>
  <c r="P828" i="16"/>
  <c r="O828" i="16"/>
  <c r="N828" i="16"/>
  <c r="M828" i="16"/>
  <c r="L828" i="16"/>
  <c r="K828" i="16"/>
  <c r="J828" i="16"/>
  <c r="I828" i="16"/>
  <c r="H828" i="16"/>
  <c r="G828" i="16"/>
  <c r="F828" i="16"/>
  <c r="E828" i="16"/>
  <c r="D828" i="16"/>
  <c r="C828" i="16"/>
  <c r="P827" i="16"/>
  <c r="O827" i="16"/>
  <c r="N827" i="16"/>
  <c r="M827" i="16"/>
  <c r="L827" i="16"/>
  <c r="K827" i="16"/>
  <c r="J827" i="16"/>
  <c r="I827" i="16"/>
  <c r="H827" i="16"/>
  <c r="G827" i="16"/>
  <c r="F827" i="16"/>
  <c r="E827" i="16"/>
  <c r="D827" i="16"/>
  <c r="C827" i="16"/>
  <c r="P826" i="16"/>
  <c r="O826" i="16"/>
  <c r="N826" i="16"/>
  <c r="M826" i="16"/>
  <c r="L826" i="16"/>
  <c r="K826" i="16"/>
  <c r="J826" i="16"/>
  <c r="I826" i="16"/>
  <c r="H826" i="16"/>
  <c r="G826" i="16"/>
  <c r="F826" i="16"/>
  <c r="E826" i="16"/>
  <c r="D826" i="16"/>
  <c r="C826" i="16"/>
  <c r="P825" i="16"/>
  <c r="O825" i="16"/>
  <c r="N825" i="16"/>
  <c r="M825" i="16"/>
  <c r="L825" i="16"/>
  <c r="K825" i="16"/>
  <c r="J825" i="16"/>
  <c r="I825" i="16"/>
  <c r="H825" i="16"/>
  <c r="G825" i="16"/>
  <c r="F825" i="16"/>
  <c r="E825" i="16"/>
  <c r="D825" i="16"/>
  <c r="C825" i="16"/>
  <c r="P824" i="16"/>
  <c r="O824" i="16"/>
  <c r="N824" i="16"/>
  <c r="M824" i="16"/>
  <c r="L824" i="16"/>
  <c r="K824" i="16"/>
  <c r="J824" i="16"/>
  <c r="I824" i="16"/>
  <c r="H824" i="16"/>
  <c r="G824" i="16"/>
  <c r="F824" i="16"/>
  <c r="E824" i="16"/>
  <c r="D824" i="16"/>
  <c r="C824" i="16"/>
  <c r="P823" i="16"/>
  <c r="O823" i="16"/>
  <c r="N823" i="16"/>
  <c r="M823" i="16"/>
  <c r="L823" i="16"/>
  <c r="K823" i="16"/>
  <c r="J823" i="16"/>
  <c r="I823" i="16"/>
  <c r="H823" i="16"/>
  <c r="G823" i="16"/>
  <c r="F823" i="16"/>
  <c r="E823" i="16"/>
  <c r="D823" i="16"/>
  <c r="C823" i="16"/>
  <c r="P822" i="16"/>
  <c r="O822" i="16"/>
  <c r="N822" i="16"/>
  <c r="M822" i="16"/>
  <c r="L822" i="16"/>
  <c r="K822" i="16"/>
  <c r="J822" i="16"/>
  <c r="I822" i="16"/>
  <c r="H822" i="16"/>
  <c r="G822" i="16"/>
  <c r="F822" i="16"/>
  <c r="E822" i="16"/>
  <c r="D822" i="16"/>
  <c r="C822" i="16"/>
  <c r="P821" i="16"/>
  <c r="O821" i="16"/>
  <c r="N821" i="16"/>
  <c r="M821" i="16"/>
  <c r="L821" i="16"/>
  <c r="K821" i="16"/>
  <c r="J821" i="16"/>
  <c r="I821" i="16"/>
  <c r="H821" i="16"/>
  <c r="G821" i="16"/>
  <c r="F821" i="16"/>
  <c r="E821" i="16"/>
  <c r="D821" i="16"/>
  <c r="C821" i="16"/>
  <c r="P820" i="16"/>
  <c r="O820" i="16"/>
  <c r="N820" i="16"/>
  <c r="M820" i="16"/>
  <c r="L820" i="16"/>
  <c r="K820" i="16"/>
  <c r="J820" i="16"/>
  <c r="I820" i="16"/>
  <c r="H820" i="16"/>
  <c r="G820" i="16"/>
  <c r="F820" i="16"/>
  <c r="E820" i="16"/>
  <c r="D820" i="16"/>
  <c r="C820" i="16"/>
  <c r="P819" i="16"/>
  <c r="O819" i="16"/>
  <c r="N819" i="16"/>
  <c r="M819" i="16"/>
  <c r="L819" i="16"/>
  <c r="K819" i="16"/>
  <c r="J819" i="16"/>
  <c r="I819" i="16"/>
  <c r="H819" i="16"/>
  <c r="G819" i="16"/>
  <c r="F819" i="16"/>
  <c r="E819" i="16"/>
  <c r="D819" i="16"/>
  <c r="C819" i="16"/>
  <c r="P818" i="16"/>
  <c r="O818" i="16"/>
  <c r="N818" i="16"/>
  <c r="M818" i="16"/>
  <c r="L818" i="16"/>
  <c r="K818" i="16"/>
  <c r="J818" i="16"/>
  <c r="I818" i="16"/>
  <c r="H818" i="16"/>
  <c r="G818" i="16"/>
  <c r="F818" i="16"/>
  <c r="E818" i="16"/>
  <c r="D818" i="16"/>
  <c r="C818" i="16"/>
  <c r="P817" i="16"/>
  <c r="O817" i="16"/>
  <c r="N817" i="16"/>
  <c r="M817" i="16"/>
  <c r="L817" i="16"/>
  <c r="K817" i="16"/>
  <c r="J817" i="16"/>
  <c r="I817" i="16"/>
  <c r="H817" i="16"/>
  <c r="G817" i="16"/>
  <c r="F817" i="16"/>
  <c r="E817" i="16"/>
  <c r="D817" i="16"/>
  <c r="C817" i="16"/>
  <c r="P816" i="16"/>
  <c r="O816" i="16"/>
  <c r="N816" i="16"/>
  <c r="M816" i="16"/>
  <c r="L816" i="16"/>
  <c r="K816" i="16"/>
  <c r="J816" i="16"/>
  <c r="I816" i="16"/>
  <c r="H816" i="16"/>
  <c r="G816" i="16"/>
  <c r="F816" i="16"/>
  <c r="E816" i="16"/>
  <c r="D816" i="16"/>
  <c r="C816" i="16"/>
  <c r="P815" i="16"/>
  <c r="O815" i="16"/>
  <c r="N815" i="16"/>
  <c r="M815" i="16"/>
  <c r="L815" i="16"/>
  <c r="K815" i="16"/>
  <c r="J815" i="16"/>
  <c r="I815" i="16"/>
  <c r="H815" i="16"/>
  <c r="G815" i="16"/>
  <c r="F815" i="16"/>
  <c r="E815" i="16"/>
  <c r="D815" i="16"/>
  <c r="C815" i="16"/>
  <c r="P814" i="16"/>
  <c r="O814" i="16"/>
  <c r="N814" i="16"/>
  <c r="M814" i="16"/>
  <c r="L814" i="16"/>
  <c r="K814" i="16"/>
  <c r="J814" i="16"/>
  <c r="I814" i="16"/>
  <c r="H814" i="16"/>
  <c r="G814" i="16"/>
  <c r="F814" i="16"/>
  <c r="E814" i="16"/>
  <c r="D814" i="16"/>
  <c r="C814" i="16"/>
  <c r="P813" i="16"/>
  <c r="O813" i="16"/>
  <c r="N813" i="16"/>
  <c r="M813" i="16"/>
  <c r="L813" i="16"/>
  <c r="K813" i="16"/>
  <c r="J813" i="16"/>
  <c r="I813" i="16"/>
  <c r="H813" i="16"/>
  <c r="G813" i="16"/>
  <c r="F813" i="16"/>
  <c r="E813" i="16"/>
  <c r="D813" i="16"/>
  <c r="C813" i="16"/>
  <c r="P812" i="16"/>
  <c r="O812" i="16"/>
  <c r="N812" i="16"/>
  <c r="M812" i="16"/>
  <c r="L812" i="16"/>
  <c r="K812" i="16"/>
  <c r="J812" i="16"/>
  <c r="I812" i="16"/>
  <c r="H812" i="16"/>
  <c r="G812" i="16"/>
  <c r="F812" i="16"/>
  <c r="E812" i="16"/>
  <c r="D812" i="16"/>
  <c r="C812" i="16"/>
  <c r="P811" i="16"/>
  <c r="O811" i="16"/>
  <c r="N811" i="16"/>
  <c r="M811" i="16"/>
  <c r="L811" i="16"/>
  <c r="K811" i="16"/>
  <c r="J811" i="16"/>
  <c r="I811" i="16"/>
  <c r="H811" i="16"/>
  <c r="G811" i="16"/>
  <c r="F811" i="16"/>
  <c r="E811" i="16"/>
  <c r="D811" i="16"/>
  <c r="C811" i="16"/>
  <c r="P810" i="16"/>
  <c r="O810" i="16"/>
  <c r="N810" i="16"/>
  <c r="M810" i="16"/>
  <c r="L810" i="16"/>
  <c r="K810" i="16"/>
  <c r="J810" i="16"/>
  <c r="I810" i="16"/>
  <c r="H810" i="16"/>
  <c r="G810" i="16"/>
  <c r="F810" i="16"/>
  <c r="E810" i="16"/>
  <c r="D810" i="16"/>
  <c r="C810" i="16"/>
  <c r="P809" i="16"/>
  <c r="O809" i="16"/>
  <c r="N809" i="16"/>
  <c r="M809" i="16"/>
  <c r="L809" i="16"/>
  <c r="K809" i="16"/>
  <c r="J809" i="16"/>
  <c r="I809" i="16"/>
  <c r="H809" i="16"/>
  <c r="G809" i="16"/>
  <c r="F809" i="16"/>
  <c r="E809" i="16"/>
  <c r="D809" i="16"/>
  <c r="C809" i="16"/>
  <c r="P808" i="16"/>
  <c r="O808" i="16"/>
  <c r="N808" i="16"/>
  <c r="M808" i="16"/>
  <c r="L808" i="16"/>
  <c r="K808" i="16"/>
  <c r="J808" i="16"/>
  <c r="I808" i="16"/>
  <c r="H808" i="16"/>
  <c r="G808" i="16"/>
  <c r="F808" i="16"/>
  <c r="E808" i="16"/>
  <c r="D808" i="16"/>
  <c r="C808" i="16"/>
  <c r="P807" i="16"/>
  <c r="O807" i="16"/>
  <c r="N807" i="16"/>
  <c r="M807" i="16"/>
  <c r="L807" i="16"/>
  <c r="K807" i="16"/>
  <c r="J807" i="16"/>
  <c r="I807" i="16"/>
  <c r="H807" i="16"/>
  <c r="G807" i="16"/>
  <c r="F807" i="16"/>
  <c r="E807" i="16"/>
  <c r="D807" i="16"/>
  <c r="C807" i="16"/>
  <c r="P806" i="16"/>
  <c r="O806" i="16"/>
  <c r="N806" i="16"/>
  <c r="M806" i="16"/>
  <c r="L806" i="16"/>
  <c r="K806" i="16"/>
  <c r="J806" i="16"/>
  <c r="I806" i="16"/>
  <c r="H806" i="16"/>
  <c r="G806" i="16"/>
  <c r="F806" i="16"/>
  <c r="E806" i="16"/>
  <c r="D806" i="16"/>
  <c r="C806" i="16"/>
  <c r="P805" i="16"/>
  <c r="O805" i="16"/>
  <c r="N805" i="16"/>
  <c r="M805" i="16"/>
  <c r="L805" i="16"/>
  <c r="K805" i="16"/>
  <c r="J805" i="16"/>
  <c r="I805" i="16"/>
  <c r="H805" i="16"/>
  <c r="G805" i="16"/>
  <c r="F805" i="16"/>
  <c r="E805" i="16"/>
  <c r="D805" i="16"/>
  <c r="C805" i="16"/>
  <c r="P804" i="16"/>
  <c r="O804" i="16"/>
  <c r="N804" i="16"/>
  <c r="M804" i="16"/>
  <c r="L804" i="16"/>
  <c r="K804" i="16"/>
  <c r="J804" i="16"/>
  <c r="I804" i="16"/>
  <c r="H804" i="16"/>
  <c r="G804" i="16"/>
  <c r="F804" i="16"/>
  <c r="E804" i="16"/>
  <c r="D804" i="16"/>
  <c r="C804" i="16"/>
  <c r="P803" i="16"/>
  <c r="O803" i="16"/>
  <c r="N803" i="16"/>
  <c r="M803" i="16"/>
  <c r="L803" i="16"/>
  <c r="K803" i="16"/>
  <c r="J803" i="16"/>
  <c r="I803" i="16"/>
  <c r="H803" i="16"/>
  <c r="G803" i="16"/>
  <c r="F803" i="16"/>
  <c r="E803" i="16"/>
  <c r="D803" i="16"/>
  <c r="C803" i="16"/>
  <c r="P802" i="16"/>
  <c r="O802" i="16"/>
  <c r="N802" i="16"/>
  <c r="M802" i="16"/>
  <c r="L802" i="16"/>
  <c r="K802" i="16"/>
  <c r="J802" i="16"/>
  <c r="I802" i="16"/>
  <c r="H802" i="16"/>
  <c r="G802" i="16"/>
  <c r="F802" i="16"/>
  <c r="E802" i="16"/>
  <c r="D802" i="16"/>
  <c r="C802" i="16"/>
  <c r="P801" i="16"/>
  <c r="O801" i="16"/>
  <c r="N801" i="16"/>
  <c r="M801" i="16"/>
  <c r="L801" i="16"/>
  <c r="K801" i="16"/>
  <c r="J801" i="16"/>
  <c r="I801" i="16"/>
  <c r="H801" i="16"/>
  <c r="G801" i="16"/>
  <c r="F801" i="16"/>
  <c r="E801" i="16"/>
  <c r="D801" i="16"/>
  <c r="C801" i="16"/>
  <c r="P800" i="16"/>
  <c r="O800" i="16"/>
  <c r="N800" i="16"/>
  <c r="M800" i="16"/>
  <c r="L800" i="16"/>
  <c r="K800" i="16"/>
  <c r="J800" i="16"/>
  <c r="I800" i="16"/>
  <c r="H800" i="16"/>
  <c r="G800" i="16"/>
  <c r="F800" i="16"/>
  <c r="E800" i="16"/>
  <c r="D800" i="16"/>
  <c r="C800" i="16"/>
  <c r="P799" i="16"/>
  <c r="O799" i="16"/>
  <c r="N799" i="16"/>
  <c r="M799" i="16"/>
  <c r="L799" i="16"/>
  <c r="K799" i="16"/>
  <c r="J799" i="16"/>
  <c r="I799" i="16"/>
  <c r="H799" i="16"/>
  <c r="G799" i="16"/>
  <c r="F799" i="16"/>
  <c r="E799" i="16"/>
  <c r="D799" i="16"/>
  <c r="C799" i="16"/>
  <c r="P798" i="16"/>
  <c r="O798" i="16"/>
  <c r="N798" i="16"/>
  <c r="M798" i="16"/>
  <c r="L798" i="16"/>
  <c r="K798" i="16"/>
  <c r="J798" i="16"/>
  <c r="I798" i="16"/>
  <c r="H798" i="16"/>
  <c r="G798" i="16"/>
  <c r="F798" i="16"/>
  <c r="E798" i="16"/>
  <c r="D798" i="16"/>
  <c r="C798" i="16"/>
  <c r="P797" i="16"/>
  <c r="O797" i="16"/>
  <c r="N797" i="16"/>
  <c r="M797" i="16"/>
  <c r="L797" i="16"/>
  <c r="K797" i="16"/>
  <c r="J797" i="16"/>
  <c r="I797" i="16"/>
  <c r="H797" i="16"/>
  <c r="G797" i="16"/>
  <c r="F797" i="16"/>
  <c r="E797" i="16"/>
  <c r="D797" i="16"/>
  <c r="C797" i="16"/>
  <c r="P796" i="16"/>
  <c r="O796" i="16"/>
  <c r="N796" i="16"/>
  <c r="M796" i="16"/>
  <c r="L796" i="16"/>
  <c r="K796" i="16"/>
  <c r="J796" i="16"/>
  <c r="I796" i="16"/>
  <c r="H796" i="16"/>
  <c r="G796" i="16"/>
  <c r="F796" i="16"/>
  <c r="E796" i="16"/>
  <c r="D796" i="16"/>
  <c r="C796" i="16"/>
  <c r="P795" i="16"/>
  <c r="O795" i="16"/>
  <c r="N795" i="16"/>
  <c r="M795" i="16"/>
  <c r="L795" i="16"/>
  <c r="K795" i="16"/>
  <c r="J795" i="16"/>
  <c r="I795" i="16"/>
  <c r="H795" i="16"/>
  <c r="G795" i="16"/>
  <c r="F795" i="16"/>
  <c r="E795" i="16"/>
  <c r="D795" i="16"/>
  <c r="C795" i="16"/>
  <c r="P794" i="16"/>
  <c r="O794" i="16"/>
  <c r="N794" i="16"/>
  <c r="M794" i="16"/>
  <c r="L794" i="16"/>
  <c r="K794" i="16"/>
  <c r="J794" i="16"/>
  <c r="I794" i="16"/>
  <c r="H794" i="16"/>
  <c r="G794" i="16"/>
  <c r="F794" i="16"/>
  <c r="E794" i="16"/>
  <c r="D794" i="16"/>
  <c r="C794" i="16"/>
  <c r="P793" i="16"/>
  <c r="O793" i="16"/>
  <c r="N793" i="16"/>
  <c r="M793" i="16"/>
  <c r="L793" i="16"/>
  <c r="K793" i="16"/>
  <c r="J793" i="16"/>
  <c r="I793" i="16"/>
  <c r="H793" i="16"/>
  <c r="G793" i="16"/>
  <c r="F793" i="16"/>
  <c r="E793" i="16"/>
  <c r="D793" i="16"/>
  <c r="C793" i="16"/>
  <c r="P792" i="16"/>
  <c r="O792" i="16"/>
  <c r="N792" i="16"/>
  <c r="M792" i="16"/>
  <c r="L792" i="16"/>
  <c r="K792" i="16"/>
  <c r="J792" i="16"/>
  <c r="I792" i="16"/>
  <c r="H792" i="16"/>
  <c r="G792" i="16"/>
  <c r="F792" i="16"/>
  <c r="E792" i="16"/>
  <c r="D792" i="16"/>
  <c r="C792" i="16"/>
  <c r="P791" i="16"/>
  <c r="O791" i="16"/>
  <c r="N791" i="16"/>
  <c r="M791" i="16"/>
  <c r="L791" i="16"/>
  <c r="K791" i="16"/>
  <c r="J791" i="16"/>
  <c r="I791" i="16"/>
  <c r="H791" i="16"/>
  <c r="G791" i="16"/>
  <c r="F791" i="16"/>
  <c r="E791" i="16"/>
  <c r="D791" i="16"/>
  <c r="C791" i="16"/>
  <c r="P790" i="16"/>
  <c r="O790" i="16"/>
  <c r="N790" i="16"/>
  <c r="M790" i="16"/>
  <c r="L790" i="16"/>
  <c r="K790" i="16"/>
  <c r="J790" i="16"/>
  <c r="I790" i="16"/>
  <c r="H790" i="16"/>
  <c r="G790" i="16"/>
  <c r="F790" i="16"/>
  <c r="E790" i="16"/>
  <c r="D790" i="16"/>
  <c r="C790" i="16"/>
  <c r="P789" i="16"/>
  <c r="O789" i="16"/>
  <c r="N789" i="16"/>
  <c r="M789" i="16"/>
  <c r="L789" i="16"/>
  <c r="K789" i="16"/>
  <c r="J789" i="16"/>
  <c r="I789" i="16"/>
  <c r="H789" i="16"/>
  <c r="G789" i="16"/>
  <c r="F789" i="16"/>
  <c r="E789" i="16"/>
  <c r="D789" i="16"/>
  <c r="C789" i="16"/>
  <c r="P788" i="16"/>
  <c r="O788" i="16"/>
  <c r="N788" i="16"/>
  <c r="M788" i="16"/>
  <c r="L788" i="16"/>
  <c r="K788" i="16"/>
  <c r="J788" i="16"/>
  <c r="I788" i="16"/>
  <c r="H788" i="16"/>
  <c r="G788" i="16"/>
  <c r="F788" i="16"/>
  <c r="E788" i="16"/>
  <c r="D788" i="16"/>
  <c r="C788" i="16"/>
  <c r="P787" i="16"/>
  <c r="O787" i="16"/>
  <c r="N787" i="16"/>
  <c r="M787" i="16"/>
  <c r="L787" i="16"/>
  <c r="K787" i="16"/>
  <c r="J787" i="16"/>
  <c r="I787" i="16"/>
  <c r="H787" i="16"/>
  <c r="G787" i="16"/>
  <c r="F787" i="16"/>
  <c r="E787" i="16"/>
  <c r="D787" i="16"/>
  <c r="C787" i="16"/>
  <c r="P786" i="16"/>
  <c r="O786" i="16"/>
  <c r="N786" i="16"/>
  <c r="M786" i="16"/>
  <c r="L786" i="16"/>
  <c r="K786" i="16"/>
  <c r="J786" i="16"/>
  <c r="I786" i="16"/>
  <c r="H786" i="16"/>
  <c r="G786" i="16"/>
  <c r="F786" i="16"/>
  <c r="E786" i="16"/>
  <c r="D786" i="16"/>
  <c r="C786" i="16"/>
  <c r="P785" i="16"/>
  <c r="O785" i="16"/>
  <c r="N785" i="16"/>
  <c r="M785" i="16"/>
  <c r="L785" i="16"/>
  <c r="K785" i="16"/>
  <c r="J785" i="16"/>
  <c r="I785" i="16"/>
  <c r="H785" i="16"/>
  <c r="G785" i="16"/>
  <c r="F785" i="16"/>
  <c r="E785" i="16"/>
  <c r="D785" i="16"/>
  <c r="C785" i="16"/>
  <c r="P784" i="16"/>
  <c r="O784" i="16"/>
  <c r="N784" i="16"/>
  <c r="M784" i="16"/>
  <c r="L784" i="16"/>
  <c r="K784" i="16"/>
  <c r="J784" i="16"/>
  <c r="I784" i="16"/>
  <c r="H784" i="16"/>
  <c r="G784" i="16"/>
  <c r="F784" i="16"/>
  <c r="E784" i="16"/>
  <c r="D784" i="16"/>
  <c r="C784" i="16"/>
  <c r="P783" i="16"/>
  <c r="O783" i="16"/>
  <c r="N783" i="16"/>
  <c r="M783" i="16"/>
  <c r="L783" i="16"/>
  <c r="K783" i="16"/>
  <c r="J783" i="16"/>
  <c r="I783" i="16"/>
  <c r="H783" i="16"/>
  <c r="G783" i="16"/>
  <c r="F783" i="16"/>
  <c r="E783" i="16"/>
  <c r="D783" i="16"/>
  <c r="C783" i="16"/>
  <c r="P782" i="16"/>
  <c r="O782" i="16"/>
  <c r="N782" i="16"/>
  <c r="M782" i="16"/>
  <c r="L782" i="16"/>
  <c r="K782" i="16"/>
  <c r="J782" i="16"/>
  <c r="I782" i="16"/>
  <c r="H782" i="16"/>
  <c r="G782" i="16"/>
  <c r="F782" i="16"/>
  <c r="E782" i="16"/>
  <c r="D782" i="16"/>
  <c r="C782" i="16"/>
  <c r="P781" i="16"/>
  <c r="O781" i="16"/>
  <c r="N781" i="16"/>
  <c r="M781" i="16"/>
  <c r="L781" i="16"/>
  <c r="K781" i="16"/>
  <c r="J781" i="16"/>
  <c r="I781" i="16"/>
  <c r="H781" i="16"/>
  <c r="G781" i="16"/>
  <c r="F781" i="16"/>
  <c r="E781" i="16"/>
  <c r="D781" i="16"/>
  <c r="C781" i="16"/>
  <c r="P780" i="16"/>
  <c r="O780" i="16"/>
  <c r="N780" i="16"/>
  <c r="M780" i="16"/>
  <c r="L780" i="16"/>
  <c r="K780" i="16"/>
  <c r="J780" i="16"/>
  <c r="I780" i="16"/>
  <c r="H780" i="16"/>
  <c r="G780" i="16"/>
  <c r="F780" i="16"/>
  <c r="E780" i="16"/>
  <c r="D780" i="16"/>
  <c r="C780" i="16"/>
  <c r="P779" i="16"/>
  <c r="O779" i="16"/>
  <c r="N779" i="16"/>
  <c r="M779" i="16"/>
  <c r="L779" i="16"/>
  <c r="K779" i="16"/>
  <c r="J779" i="16"/>
  <c r="I779" i="16"/>
  <c r="H779" i="16"/>
  <c r="G779" i="16"/>
  <c r="F779" i="16"/>
  <c r="E779" i="16"/>
  <c r="D779" i="16"/>
  <c r="C779" i="16"/>
  <c r="P778" i="16"/>
  <c r="O778" i="16"/>
  <c r="N778" i="16"/>
  <c r="M778" i="16"/>
  <c r="L778" i="16"/>
  <c r="K778" i="16"/>
  <c r="J778" i="16"/>
  <c r="I778" i="16"/>
  <c r="H778" i="16"/>
  <c r="G778" i="16"/>
  <c r="F778" i="16"/>
  <c r="E778" i="16"/>
  <c r="D778" i="16"/>
  <c r="C778" i="16"/>
  <c r="P777" i="16"/>
  <c r="O777" i="16"/>
  <c r="N777" i="16"/>
  <c r="M777" i="16"/>
  <c r="L777" i="16"/>
  <c r="K777" i="16"/>
  <c r="J777" i="16"/>
  <c r="I777" i="16"/>
  <c r="H777" i="16"/>
  <c r="G777" i="16"/>
  <c r="F777" i="16"/>
  <c r="E777" i="16"/>
  <c r="D777" i="16"/>
  <c r="C777" i="16"/>
  <c r="P776" i="16"/>
  <c r="O776" i="16"/>
  <c r="N776" i="16"/>
  <c r="M776" i="16"/>
  <c r="L776" i="16"/>
  <c r="K776" i="16"/>
  <c r="J776" i="16"/>
  <c r="I776" i="16"/>
  <c r="H776" i="16"/>
  <c r="G776" i="16"/>
  <c r="F776" i="16"/>
  <c r="E776" i="16"/>
  <c r="D776" i="16"/>
  <c r="C776" i="16"/>
  <c r="P775" i="16"/>
  <c r="O775" i="16"/>
  <c r="N775" i="16"/>
  <c r="M775" i="16"/>
  <c r="L775" i="16"/>
  <c r="K775" i="16"/>
  <c r="J775" i="16"/>
  <c r="I775" i="16"/>
  <c r="H775" i="16"/>
  <c r="G775" i="16"/>
  <c r="F775" i="16"/>
  <c r="E775" i="16"/>
  <c r="D775" i="16"/>
  <c r="C775" i="16"/>
  <c r="P774" i="16"/>
  <c r="O774" i="16"/>
  <c r="N774" i="16"/>
  <c r="M774" i="16"/>
  <c r="L774" i="16"/>
  <c r="K774" i="16"/>
  <c r="J774" i="16"/>
  <c r="I774" i="16"/>
  <c r="H774" i="16"/>
  <c r="G774" i="16"/>
  <c r="F774" i="16"/>
  <c r="E774" i="16"/>
  <c r="D774" i="16"/>
  <c r="C774" i="16"/>
  <c r="P773" i="16"/>
  <c r="O773" i="16"/>
  <c r="N773" i="16"/>
  <c r="M773" i="16"/>
  <c r="L773" i="16"/>
  <c r="K773" i="16"/>
  <c r="J773" i="16"/>
  <c r="I773" i="16"/>
  <c r="H773" i="16"/>
  <c r="G773" i="16"/>
  <c r="F773" i="16"/>
  <c r="E773" i="16"/>
  <c r="D773" i="16"/>
  <c r="C773" i="16"/>
  <c r="P772" i="16"/>
  <c r="O772" i="16"/>
  <c r="N772" i="16"/>
  <c r="M772" i="16"/>
  <c r="L772" i="16"/>
  <c r="K772" i="16"/>
  <c r="J772" i="16"/>
  <c r="I772" i="16"/>
  <c r="H772" i="16"/>
  <c r="G772" i="16"/>
  <c r="F772" i="16"/>
  <c r="E772" i="16"/>
  <c r="D772" i="16"/>
  <c r="C772" i="16"/>
  <c r="P771" i="16"/>
  <c r="O771" i="16"/>
  <c r="N771" i="16"/>
  <c r="M771" i="16"/>
  <c r="L771" i="16"/>
  <c r="K771" i="16"/>
  <c r="J771" i="16"/>
  <c r="I771" i="16"/>
  <c r="H771" i="16"/>
  <c r="G771" i="16"/>
  <c r="F771" i="16"/>
  <c r="E771" i="16"/>
  <c r="D771" i="16"/>
  <c r="C771" i="16"/>
  <c r="P770" i="16"/>
  <c r="O770" i="16"/>
  <c r="N770" i="16"/>
  <c r="M770" i="16"/>
  <c r="L770" i="16"/>
  <c r="K770" i="16"/>
  <c r="J770" i="16"/>
  <c r="I770" i="16"/>
  <c r="H770" i="16"/>
  <c r="G770" i="16"/>
  <c r="F770" i="16"/>
  <c r="E770" i="16"/>
  <c r="D770" i="16"/>
  <c r="C770" i="16"/>
  <c r="P769" i="16"/>
  <c r="O769" i="16"/>
  <c r="N769" i="16"/>
  <c r="M769" i="16"/>
  <c r="L769" i="16"/>
  <c r="K769" i="16"/>
  <c r="J769" i="16"/>
  <c r="I769" i="16"/>
  <c r="H769" i="16"/>
  <c r="G769" i="16"/>
  <c r="F769" i="16"/>
  <c r="E769" i="16"/>
  <c r="D769" i="16"/>
  <c r="C769" i="16"/>
  <c r="P768" i="16"/>
  <c r="O768" i="16"/>
  <c r="N768" i="16"/>
  <c r="M768" i="16"/>
  <c r="L768" i="16"/>
  <c r="K768" i="16"/>
  <c r="J768" i="16"/>
  <c r="I768" i="16"/>
  <c r="H768" i="16"/>
  <c r="G768" i="16"/>
  <c r="F768" i="16"/>
  <c r="E768" i="16"/>
  <c r="D768" i="16"/>
  <c r="C768" i="16"/>
  <c r="P767" i="16"/>
  <c r="O767" i="16"/>
  <c r="N767" i="16"/>
  <c r="M767" i="16"/>
  <c r="L767" i="16"/>
  <c r="K767" i="16"/>
  <c r="J767" i="16"/>
  <c r="I767" i="16"/>
  <c r="H767" i="16"/>
  <c r="G767" i="16"/>
  <c r="F767" i="16"/>
  <c r="E767" i="16"/>
  <c r="D767" i="16"/>
  <c r="C767" i="16"/>
  <c r="P766" i="16"/>
  <c r="O766" i="16"/>
  <c r="N766" i="16"/>
  <c r="M766" i="16"/>
  <c r="L766" i="16"/>
  <c r="K766" i="16"/>
  <c r="J766" i="16"/>
  <c r="I766" i="16"/>
  <c r="H766" i="16"/>
  <c r="G766" i="16"/>
  <c r="F766" i="16"/>
  <c r="E766" i="16"/>
  <c r="D766" i="16"/>
  <c r="C766" i="16"/>
  <c r="P765" i="16"/>
  <c r="O765" i="16"/>
  <c r="N765" i="16"/>
  <c r="M765" i="16"/>
  <c r="L765" i="16"/>
  <c r="K765" i="16"/>
  <c r="J765" i="16"/>
  <c r="I765" i="16"/>
  <c r="H765" i="16"/>
  <c r="G765" i="16"/>
  <c r="F765" i="16"/>
  <c r="E765" i="16"/>
  <c r="D765" i="16"/>
  <c r="C765" i="16"/>
  <c r="P764" i="16"/>
  <c r="O764" i="16"/>
  <c r="N764" i="16"/>
  <c r="M764" i="16"/>
  <c r="L764" i="16"/>
  <c r="K764" i="16"/>
  <c r="J764" i="16"/>
  <c r="I764" i="16"/>
  <c r="H764" i="16"/>
  <c r="G764" i="16"/>
  <c r="F764" i="16"/>
  <c r="E764" i="16"/>
  <c r="D764" i="16"/>
  <c r="C764" i="16"/>
  <c r="P763" i="16"/>
  <c r="O763" i="16"/>
  <c r="N763" i="16"/>
  <c r="M763" i="16"/>
  <c r="L763" i="16"/>
  <c r="K763" i="16"/>
  <c r="J763" i="16"/>
  <c r="I763" i="16"/>
  <c r="H763" i="16"/>
  <c r="G763" i="16"/>
  <c r="F763" i="16"/>
  <c r="E763" i="16"/>
  <c r="D763" i="16"/>
  <c r="C763" i="16"/>
  <c r="P762" i="16"/>
  <c r="O762" i="16"/>
  <c r="N762" i="16"/>
  <c r="M762" i="16"/>
  <c r="L762" i="16"/>
  <c r="K762" i="16"/>
  <c r="J762" i="16"/>
  <c r="I762" i="16"/>
  <c r="H762" i="16"/>
  <c r="G762" i="16"/>
  <c r="F762" i="16"/>
  <c r="E762" i="16"/>
  <c r="D762" i="16"/>
  <c r="C762" i="16"/>
  <c r="P761" i="16"/>
  <c r="O761" i="16"/>
  <c r="N761" i="16"/>
  <c r="M761" i="16"/>
  <c r="L761" i="16"/>
  <c r="K761" i="16"/>
  <c r="J761" i="16"/>
  <c r="I761" i="16"/>
  <c r="H761" i="16"/>
  <c r="G761" i="16"/>
  <c r="F761" i="16"/>
  <c r="E761" i="16"/>
  <c r="D761" i="16"/>
  <c r="C761" i="16"/>
  <c r="P760" i="16"/>
  <c r="O760" i="16"/>
  <c r="N760" i="16"/>
  <c r="M760" i="16"/>
  <c r="L760" i="16"/>
  <c r="K760" i="16"/>
  <c r="J760" i="16"/>
  <c r="I760" i="16"/>
  <c r="H760" i="16"/>
  <c r="G760" i="16"/>
  <c r="F760" i="16"/>
  <c r="E760" i="16"/>
  <c r="D760" i="16"/>
  <c r="C760" i="16"/>
  <c r="P759" i="16"/>
  <c r="O759" i="16"/>
  <c r="N759" i="16"/>
  <c r="M759" i="16"/>
  <c r="L759" i="16"/>
  <c r="K759" i="16"/>
  <c r="J759" i="16"/>
  <c r="I759" i="16"/>
  <c r="H759" i="16"/>
  <c r="G759" i="16"/>
  <c r="F759" i="16"/>
  <c r="E759" i="16"/>
  <c r="D759" i="16"/>
  <c r="C759" i="16"/>
  <c r="P758" i="16"/>
  <c r="O758" i="16"/>
  <c r="N758" i="16"/>
  <c r="M758" i="16"/>
  <c r="L758" i="16"/>
  <c r="K758" i="16"/>
  <c r="J758" i="16"/>
  <c r="I758" i="16"/>
  <c r="H758" i="16"/>
  <c r="G758" i="16"/>
  <c r="F758" i="16"/>
  <c r="E758" i="16"/>
  <c r="D758" i="16"/>
  <c r="C758" i="16"/>
  <c r="P757" i="16"/>
  <c r="O757" i="16"/>
  <c r="N757" i="16"/>
  <c r="M757" i="16"/>
  <c r="L757" i="16"/>
  <c r="K757" i="16"/>
  <c r="J757" i="16"/>
  <c r="I757" i="16"/>
  <c r="H757" i="16"/>
  <c r="G757" i="16"/>
  <c r="F757" i="16"/>
  <c r="E757" i="16"/>
  <c r="D757" i="16"/>
  <c r="C757" i="16"/>
  <c r="P756" i="16"/>
  <c r="O756" i="16"/>
  <c r="N756" i="16"/>
  <c r="M756" i="16"/>
  <c r="L756" i="16"/>
  <c r="K756" i="16"/>
  <c r="J756" i="16"/>
  <c r="I756" i="16"/>
  <c r="H756" i="16"/>
  <c r="G756" i="16"/>
  <c r="F756" i="16"/>
  <c r="E756" i="16"/>
  <c r="D756" i="16"/>
  <c r="C756" i="16"/>
  <c r="P755" i="16"/>
  <c r="O755" i="16"/>
  <c r="N755" i="16"/>
  <c r="M755" i="16"/>
  <c r="L755" i="16"/>
  <c r="K755" i="16"/>
  <c r="J755" i="16"/>
  <c r="I755" i="16"/>
  <c r="H755" i="16"/>
  <c r="G755" i="16"/>
  <c r="F755" i="16"/>
  <c r="E755" i="16"/>
  <c r="D755" i="16"/>
  <c r="C755" i="16"/>
  <c r="P754" i="16"/>
  <c r="O754" i="16"/>
  <c r="N754" i="16"/>
  <c r="M754" i="16"/>
  <c r="L754" i="16"/>
  <c r="K754" i="16"/>
  <c r="J754" i="16"/>
  <c r="I754" i="16"/>
  <c r="H754" i="16"/>
  <c r="G754" i="16"/>
  <c r="F754" i="16"/>
  <c r="E754" i="16"/>
  <c r="D754" i="16"/>
  <c r="C754" i="16"/>
  <c r="P753" i="16"/>
  <c r="O753" i="16"/>
  <c r="N753" i="16"/>
  <c r="M753" i="16"/>
  <c r="L753" i="16"/>
  <c r="K753" i="16"/>
  <c r="J753" i="16"/>
  <c r="I753" i="16"/>
  <c r="H753" i="16"/>
  <c r="G753" i="16"/>
  <c r="F753" i="16"/>
  <c r="E753" i="16"/>
  <c r="D753" i="16"/>
  <c r="C753" i="16"/>
  <c r="P752" i="16"/>
  <c r="O752" i="16"/>
  <c r="N752" i="16"/>
  <c r="M752" i="16"/>
  <c r="L752" i="16"/>
  <c r="K752" i="16"/>
  <c r="J752" i="16"/>
  <c r="I752" i="16"/>
  <c r="H752" i="16"/>
  <c r="G752" i="16"/>
  <c r="F752" i="16"/>
  <c r="E752" i="16"/>
  <c r="D752" i="16"/>
  <c r="C752" i="16"/>
  <c r="P751" i="16"/>
  <c r="O751" i="16"/>
  <c r="N751" i="16"/>
  <c r="M751" i="16"/>
  <c r="L751" i="16"/>
  <c r="K751" i="16"/>
  <c r="J751" i="16"/>
  <c r="I751" i="16"/>
  <c r="H751" i="16"/>
  <c r="G751" i="16"/>
  <c r="F751" i="16"/>
  <c r="E751" i="16"/>
  <c r="D751" i="16"/>
  <c r="C751" i="16"/>
  <c r="P750" i="16"/>
  <c r="O750" i="16"/>
  <c r="N750" i="16"/>
  <c r="M750" i="16"/>
  <c r="L750" i="16"/>
  <c r="K750" i="16"/>
  <c r="J750" i="16"/>
  <c r="I750" i="16"/>
  <c r="H750" i="16"/>
  <c r="G750" i="16"/>
  <c r="F750" i="16"/>
  <c r="E750" i="16"/>
  <c r="D750" i="16"/>
  <c r="C750" i="16"/>
  <c r="P749" i="16"/>
  <c r="O749" i="16"/>
  <c r="N749" i="16"/>
  <c r="M749" i="16"/>
  <c r="L749" i="16"/>
  <c r="K749" i="16"/>
  <c r="J749" i="16"/>
  <c r="I749" i="16"/>
  <c r="H749" i="16"/>
  <c r="G749" i="16"/>
  <c r="F749" i="16"/>
  <c r="E749" i="16"/>
  <c r="D749" i="16"/>
  <c r="C749" i="16"/>
  <c r="P748" i="16"/>
  <c r="O748" i="16"/>
  <c r="N748" i="16"/>
  <c r="M748" i="16"/>
  <c r="L748" i="16"/>
  <c r="K748" i="16"/>
  <c r="J748" i="16"/>
  <c r="I748" i="16"/>
  <c r="H748" i="16"/>
  <c r="G748" i="16"/>
  <c r="F748" i="16"/>
  <c r="E748" i="16"/>
  <c r="D748" i="16"/>
  <c r="C748" i="16"/>
  <c r="P747" i="16"/>
  <c r="O747" i="16"/>
  <c r="N747" i="16"/>
  <c r="M747" i="16"/>
  <c r="L747" i="16"/>
  <c r="K747" i="16"/>
  <c r="J747" i="16"/>
  <c r="I747" i="16"/>
  <c r="H747" i="16"/>
  <c r="G747" i="16"/>
  <c r="F747" i="16"/>
  <c r="E747" i="16"/>
  <c r="D747" i="16"/>
  <c r="C747" i="16"/>
  <c r="P746" i="16"/>
  <c r="O746" i="16"/>
  <c r="N746" i="16"/>
  <c r="M746" i="16"/>
  <c r="L746" i="16"/>
  <c r="K746" i="16"/>
  <c r="J746" i="16"/>
  <c r="I746" i="16"/>
  <c r="H746" i="16"/>
  <c r="G746" i="16"/>
  <c r="F746" i="16"/>
  <c r="E746" i="16"/>
  <c r="D746" i="16"/>
  <c r="C746" i="16"/>
  <c r="P745" i="16"/>
  <c r="O745" i="16"/>
  <c r="N745" i="16"/>
  <c r="M745" i="16"/>
  <c r="L745" i="16"/>
  <c r="K745" i="16"/>
  <c r="J745" i="16"/>
  <c r="I745" i="16"/>
  <c r="H745" i="16"/>
  <c r="G745" i="16"/>
  <c r="F745" i="16"/>
  <c r="E745" i="16"/>
  <c r="D745" i="16"/>
  <c r="C745" i="16"/>
  <c r="P744" i="16"/>
  <c r="O744" i="16"/>
  <c r="N744" i="16"/>
  <c r="M744" i="16"/>
  <c r="L744" i="16"/>
  <c r="K744" i="16"/>
  <c r="J744" i="16"/>
  <c r="I744" i="16"/>
  <c r="H744" i="16"/>
  <c r="G744" i="16"/>
  <c r="F744" i="16"/>
  <c r="E744" i="16"/>
  <c r="D744" i="16"/>
  <c r="C744" i="16"/>
  <c r="P743" i="16"/>
  <c r="O743" i="16"/>
  <c r="N743" i="16"/>
  <c r="M743" i="16"/>
  <c r="L743" i="16"/>
  <c r="K743" i="16"/>
  <c r="J743" i="16"/>
  <c r="I743" i="16"/>
  <c r="H743" i="16"/>
  <c r="G743" i="16"/>
  <c r="F743" i="16"/>
  <c r="E743" i="16"/>
  <c r="D743" i="16"/>
  <c r="C743" i="16"/>
  <c r="P742" i="16"/>
  <c r="O742" i="16"/>
  <c r="N742" i="16"/>
  <c r="M742" i="16"/>
  <c r="L742" i="16"/>
  <c r="K742" i="16"/>
  <c r="J742" i="16"/>
  <c r="I742" i="16"/>
  <c r="H742" i="16"/>
  <c r="G742" i="16"/>
  <c r="F742" i="16"/>
  <c r="E742" i="16"/>
  <c r="D742" i="16"/>
  <c r="C742" i="16"/>
  <c r="P741" i="16"/>
  <c r="O741" i="16"/>
  <c r="N741" i="16"/>
  <c r="M741" i="16"/>
  <c r="L741" i="16"/>
  <c r="K741" i="16"/>
  <c r="J741" i="16"/>
  <c r="I741" i="16"/>
  <c r="H741" i="16"/>
  <c r="G741" i="16"/>
  <c r="F741" i="16"/>
  <c r="E741" i="16"/>
  <c r="D741" i="16"/>
  <c r="C741" i="16"/>
  <c r="P740" i="16"/>
  <c r="O740" i="16"/>
  <c r="N740" i="16"/>
  <c r="M740" i="16"/>
  <c r="L740" i="16"/>
  <c r="K740" i="16"/>
  <c r="J740" i="16"/>
  <c r="I740" i="16"/>
  <c r="H740" i="16"/>
  <c r="G740" i="16"/>
  <c r="F740" i="16"/>
  <c r="E740" i="16"/>
  <c r="D740" i="16"/>
  <c r="C740" i="16"/>
  <c r="P739" i="16"/>
  <c r="O739" i="16"/>
  <c r="N739" i="16"/>
  <c r="M739" i="16"/>
  <c r="L739" i="16"/>
  <c r="K739" i="16"/>
  <c r="J739" i="16"/>
  <c r="I739" i="16"/>
  <c r="H739" i="16"/>
  <c r="G739" i="16"/>
  <c r="F739" i="16"/>
  <c r="E739" i="16"/>
  <c r="D739" i="16"/>
  <c r="C739" i="16"/>
  <c r="P738" i="16"/>
  <c r="O738" i="16"/>
  <c r="N738" i="16"/>
  <c r="M738" i="16"/>
  <c r="L738" i="16"/>
  <c r="K738" i="16"/>
  <c r="J738" i="16"/>
  <c r="I738" i="16"/>
  <c r="H738" i="16"/>
  <c r="G738" i="16"/>
  <c r="F738" i="16"/>
  <c r="E738" i="16"/>
  <c r="D738" i="16"/>
  <c r="C738" i="16"/>
  <c r="P737" i="16"/>
  <c r="O737" i="16"/>
  <c r="N737" i="16"/>
  <c r="M737" i="16"/>
  <c r="L737" i="16"/>
  <c r="K737" i="16"/>
  <c r="J737" i="16"/>
  <c r="I737" i="16"/>
  <c r="H737" i="16"/>
  <c r="G737" i="16"/>
  <c r="F737" i="16"/>
  <c r="E737" i="16"/>
  <c r="D737" i="16"/>
  <c r="C737" i="16"/>
  <c r="P736" i="16"/>
  <c r="O736" i="16"/>
  <c r="N736" i="16"/>
  <c r="M736" i="16"/>
  <c r="L736" i="16"/>
  <c r="K736" i="16"/>
  <c r="J736" i="16"/>
  <c r="I736" i="16"/>
  <c r="H736" i="16"/>
  <c r="G736" i="16"/>
  <c r="F736" i="16"/>
  <c r="E736" i="16"/>
  <c r="D736" i="16"/>
  <c r="C736" i="16"/>
  <c r="P735" i="16"/>
  <c r="O735" i="16"/>
  <c r="N735" i="16"/>
  <c r="M735" i="16"/>
  <c r="L735" i="16"/>
  <c r="K735" i="16"/>
  <c r="J735" i="16"/>
  <c r="I735" i="16"/>
  <c r="H735" i="16"/>
  <c r="G735" i="16"/>
  <c r="F735" i="16"/>
  <c r="E735" i="16"/>
  <c r="D735" i="16"/>
  <c r="C735" i="16"/>
  <c r="P734" i="16"/>
  <c r="O734" i="16"/>
  <c r="N734" i="16"/>
  <c r="M734" i="16"/>
  <c r="L734" i="16"/>
  <c r="K734" i="16"/>
  <c r="J734" i="16"/>
  <c r="I734" i="16"/>
  <c r="H734" i="16"/>
  <c r="G734" i="16"/>
  <c r="F734" i="16"/>
  <c r="E734" i="16"/>
  <c r="D734" i="16"/>
  <c r="C734" i="16"/>
  <c r="P733" i="16"/>
  <c r="O733" i="16"/>
  <c r="N733" i="16"/>
  <c r="M733" i="16"/>
  <c r="L733" i="16"/>
  <c r="K733" i="16"/>
  <c r="J733" i="16"/>
  <c r="I733" i="16"/>
  <c r="H733" i="16"/>
  <c r="G733" i="16"/>
  <c r="F733" i="16"/>
  <c r="E733" i="16"/>
  <c r="D733" i="16"/>
  <c r="C733" i="16"/>
  <c r="P732" i="16"/>
  <c r="O732" i="16"/>
  <c r="N732" i="16"/>
  <c r="M732" i="16"/>
  <c r="L732" i="16"/>
  <c r="K732" i="16"/>
  <c r="J732" i="16"/>
  <c r="I732" i="16"/>
  <c r="H732" i="16"/>
  <c r="G732" i="16"/>
  <c r="F732" i="16"/>
  <c r="E732" i="16"/>
  <c r="D732" i="16"/>
  <c r="C732" i="16"/>
  <c r="P731" i="16"/>
  <c r="O731" i="16"/>
  <c r="N731" i="16"/>
  <c r="M731" i="16"/>
  <c r="L731" i="16"/>
  <c r="K731" i="16"/>
  <c r="J731" i="16"/>
  <c r="I731" i="16"/>
  <c r="H731" i="16"/>
  <c r="G731" i="16"/>
  <c r="F731" i="16"/>
  <c r="E731" i="16"/>
  <c r="D731" i="16"/>
  <c r="C731" i="16"/>
  <c r="P730" i="16"/>
  <c r="O730" i="16"/>
  <c r="N730" i="16"/>
  <c r="M730" i="16"/>
  <c r="L730" i="16"/>
  <c r="K730" i="16"/>
  <c r="J730" i="16"/>
  <c r="I730" i="16"/>
  <c r="H730" i="16"/>
  <c r="G730" i="16"/>
  <c r="F730" i="16"/>
  <c r="E730" i="16"/>
  <c r="D730" i="16"/>
  <c r="C730" i="16"/>
  <c r="P729" i="16"/>
  <c r="O729" i="16"/>
  <c r="N729" i="16"/>
  <c r="M729" i="16"/>
  <c r="L729" i="16"/>
  <c r="K729" i="16"/>
  <c r="J729" i="16"/>
  <c r="I729" i="16"/>
  <c r="H729" i="16"/>
  <c r="G729" i="16"/>
  <c r="F729" i="16"/>
  <c r="E729" i="16"/>
  <c r="D729" i="16"/>
  <c r="C729" i="16"/>
  <c r="P728" i="16"/>
  <c r="O728" i="16"/>
  <c r="N728" i="16"/>
  <c r="M728" i="16"/>
  <c r="L728" i="16"/>
  <c r="K728" i="16"/>
  <c r="J728" i="16"/>
  <c r="I728" i="16"/>
  <c r="H728" i="16"/>
  <c r="G728" i="16"/>
  <c r="F728" i="16"/>
  <c r="E728" i="16"/>
  <c r="D728" i="16"/>
  <c r="C728" i="16"/>
  <c r="P727" i="16"/>
  <c r="O727" i="16"/>
  <c r="N727" i="16"/>
  <c r="M727" i="16"/>
  <c r="L727" i="16"/>
  <c r="K727" i="16"/>
  <c r="J727" i="16"/>
  <c r="I727" i="16"/>
  <c r="H727" i="16"/>
  <c r="G727" i="16"/>
  <c r="F727" i="16"/>
  <c r="E727" i="16"/>
  <c r="D727" i="16"/>
  <c r="C727" i="16"/>
  <c r="P726" i="16"/>
  <c r="O726" i="16"/>
  <c r="N726" i="16"/>
  <c r="M726" i="16"/>
  <c r="L726" i="16"/>
  <c r="K726" i="16"/>
  <c r="J726" i="16"/>
  <c r="I726" i="16"/>
  <c r="H726" i="16"/>
  <c r="G726" i="16"/>
  <c r="F726" i="16"/>
  <c r="E726" i="16"/>
  <c r="D726" i="16"/>
  <c r="C726" i="16"/>
  <c r="P725" i="16"/>
  <c r="O725" i="16"/>
  <c r="N725" i="16"/>
  <c r="M725" i="16"/>
  <c r="L725" i="16"/>
  <c r="K725" i="16"/>
  <c r="J725" i="16"/>
  <c r="I725" i="16"/>
  <c r="H725" i="16"/>
  <c r="G725" i="16"/>
  <c r="F725" i="16"/>
  <c r="E725" i="16"/>
  <c r="D725" i="16"/>
  <c r="C725" i="16"/>
  <c r="P724" i="16"/>
  <c r="O724" i="16"/>
  <c r="N724" i="16"/>
  <c r="M724" i="16"/>
  <c r="L724" i="16"/>
  <c r="K724" i="16"/>
  <c r="J724" i="16"/>
  <c r="I724" i="16"/>
  <c r="H724" i="16"/>
  <c r="G724" i="16"/>
  <c r="F724" i="16"/>
  <c r="E724" i="16"/>
  <c r="D724" i="16"/>
  <c r="C724" i="16"/>
  <c r="P723" i="16"/>
  <c r="O723" i="16"/>
  <c r="N723" i="16"/>
  <c r="M723" i="16"/>
  <c r="L723" i="16"/>
  <c r="K723" i="16"/>
  <c r="J723" i="16"/>
  <c r="I723" i="16"/>
  <c r="H723" i="16"/>
  <c r="G723" i="16"/>
  <c r="F723" i="16"/>
  <c r="E723" i="16"/>
  <c r="D723" i="16"/>
  <c r="C723" i="16"/>
  <c r="P722" i="16"/>
  <c r="O722" i="16"/>
  <c r="N722" i="16"/>
  <c r="M722" i="16"/>
  <c r="L722" i="16"/>
  <c r="K722" i="16"/>
  <c r="J722" i="16"/>
  <c r="I722" i="16"/>
  <c r="H722" i="16"/>
  <c r="G722" i="16"/>
  <c r="F722" i="16"/>
  <c r="E722" i="16"/>
  <c r="D722" i="16"/>
  <c r="C722" i="16"/>
  <c r="P721" i="16"/>
  <c r="O721" i="16"/>
  <c r="N721" i="16"/>
  <c r="M721" i="16"/>
  <c r="L721" i="16"/>
  <c r="K721" i="16"/>
  <c r="J721" i="16"/>
  <c r="I721" i="16"/>
  <c r="H721" i="16"/>
  <c r="G721" i="16"/>
  <c r="F721" i="16"/>
  <c r="E721" i="16"/>
  <c r="D721" i="16"/>
  <c r="C721" i="16"/>
  <c r="P720" i="16"/>
  <c r="O720" i="16"/>
  <c r="N720" i="16"/>
  <c r="M720" i="16"/>
  <c r="L720" i="16"/>
  <c r="K720" i="16"/>
  <c r="J720" i="16"/>
  <c r="I720" i="16"/>
  <c r="H720" i="16"/>
  <c r="G720" i="16"/>
  <c r="F720" i="16"/>
  <c r="E720" i="16"/>
  <c r="D720" i="16"/>
  <c r="C720" i="16"/>
  <c r="P719" i="16"/>
  <c r="O719" i="16"/>
  <c r="N719" i="16"/>
  <c r="M719" i="16"/>
  <c r="L719" i="16"/>
  <c r="K719" i="16"/>
  <c r="J719" i="16"/>
  <c r="I719" i="16"/>
  <c r="H719" i="16"/>
  <c r="G719" i="16"/>
  <c r="F719" i="16"/>
  <c r="E719" i="16"/>
  <c r="D719" i="16"/>
  <c r="C719" i="16"/>
  <c r="P718" i="16"/>
  <c r="O718" i="16"/>
  <c r="N718" i="16"/>
  <c r="M718" i="16"/>
  <c r="L718" i="16"/>
  <c r="K718" i="16"/>
  <c r="J718" i="16"/>
  <c r="I718" i="16"/>
  <c r="H718" i="16"/>
  <c r="G718" i="16"/>
  <c r="F718" i="16"/>
  <c r="E718" i="16"/>
  <c r="D718" i="16"/>
  <c r="C718" i="16"/>
  <c r="P717" i="16"/>
  <c r="O717" i="16"/>
  <c r="N717" i="16"/>
  <c r="M717" i="16"/>
  <c r="L717" i="16"/>
  <c r="K717" i="16"/>
  <c r="J717" i="16"/>
  <c r="I717" i="16"/>
  <c r="H717" i="16"/>
  <c r="G717" i="16"/>
  <c r="F717" i="16"/>
  <c r="E717" i="16"/>
  <c r="D717" i="16"/>
  <c r="C717" i="16"/>
  <c r="P716" i="16"/>
  <c r="O716" i="16"/>
  <c r="N716" i="16"/>
  <c r="M716" i="16"/>
  <c r="L716" i="16"/>
  <c r="K716" i="16"/>
  <c r="J716" i="16"/>
  <c r="I716" i="16"/>
  <c r="H716" i="16"/>
  <c r="G716" i="16"/>
  <c r="F716" i="16"/>
  <c r="E716" i="16"/>
  <c r="D716" i="16"/>
  <c r="C716" i="16"/>
  <c r="P715" i="16"/>
  <c r="O715" i="16"/>
  <c r="N715" i="16"/>
  <c r="M715" i="16"/>
  <c r="L715" i="16"/>
  <c r="K715" i="16"/>
  <c r="J715" i="16"/>
  <c r="I715" i="16"/>
  <c r="H715" i="16"/>
  <c r="G715" i="16"/>
  <c r="F715" i="16"/>
  <c r="E715" i="16"/>
  <c r="D715" i="16"/>
  <c r="C715" i="16"/>
  <c r="P714" i="16"/>
  <c r="O714" i="16"/>
  <c r="N714" i="16"/>
  <c r="M714" i="16"/>
  <c r="L714" i="16"/>
  <c r="K714" i="16"/>
  <c r="J714" i="16"/>
  <c r="I714" i="16"/>
  <c r="H714" i="16"/>
  <c r="G714" i="16"/>
  <c r="F714" i="16"/>
  <c r="E714" i="16"/>
  <c r="D714" i="16"/>
  <c r="C714" i="16"/>
  <c r="P713" i="16"/>
  <c r="O713" i="16"/>
  <c r="N713" i="16"/>
  <c r="M713" i="16"/>
  <c r="L713" i="16"/>
  <c r="K713" i="16"/>
  <c r="J713" i="16"/>
  <c r="I713" i="16"/>
  <c r="H713" i="16"/>
  <c r="G713" i="16"/>
  <c r="F713" i="16"/>
  <c r="E713" i="16"/>
  <c r="D713" i="16"/>
  <c r="C713" i="16"/>
  <c r="P712" i="16"/>
  <c r="O712" i="16"/>
  <c r="N712" i="16"/>
  <c r="M712" i="16"/>
  <c r="L712" i="16"/>
  <c r="K712" i="16"/>
  <c r="J712" i="16"/>
  <c r="I712" i="16"/>
  <c r="H712" i="16"/>
  <c r="G712" i="16"/>
  <c r="F712" i="16"/>
  <c r="E712" i="16"/>
  <c r="D712" i="16"/>
  <c r="C712" i="16"/>
  <c r="P711" i="16"/>
  <c r="O711" i="16"/>
  <c r="N711" i="16"/>
  <c r="M711" i="16"/>
  <c r="L711" i="16"/>
  <c r="K711" i="16"/>
  <c r="J711" i="16"/>
  <c r="I711" i="16"/>
  <c r="H711" i="16"/>
  <c r="G711" i="16"/>
  <c r="F711" i="16"/>
  <c r="E711" i="16"/>
  <c r="D711" i="16"/>
  <c r="C711" i="16"/>
  <c r="P710" i="16"/>
  <c r="O710" i="16"/>
  <c r="N710" i="16"/>
  <c r="M710" i="16"/>
  <c r="L710" i="16"/>
  <c r="K710" i="16"/>
  <c r="J710" i="16"/>
  <c r="I710" i="16"/>
  <c r="H710" i="16"/>
  <c r="G710" i="16"/>
  <c r="F710" i="16"/>
  <c r="E710" i="16"/>
  <c r="D710" i="16"/>
  <c r="C710" i="16"/>
  <c r="P709" i="16"/>
  <c r="O709" i="16"/>
  <c r="N709" i="16"/>
  <c r="M709" i="16"/>
  <c r="L709" i="16"/>
  <c r="K709" i="16"/>
  <c r="J709" i="16"/>
  <c r="I709" i="16"/>
  <c r="H709" i="16"/>
  <c r="G709" i="16"/>
  <c r="F709" i="16"/>
  <c r="E709" i="16"/>
  <c r="D709" i="16"/>
  <c r="C709" i="16"/>
  <c r="P708" i="16"/>
  <c r="O708" i="16"/>
  <c r="N708" i="16"/>
  <c r="M708" i="16"/>
  <c r="L708" i="16"/>
  <c r="K708" i="16"/>
  <c r="J708" i="16"/>
  <c r="I708" i="16"/>
  <c r="H708" i="16"/>
  <c r="G708" i="16"/>
  <c r="F708" i="16"/>
  <c r="E708" i="16"/>
  <c r="D708" i="16"/>
  <c r="C708" i="16"/>
  <c r="P707" i="16"/>
  <c r="O707" i="16"/>
  <c r="N707" i="16"/>
  <c r="M707" i="16"/>
  <c r="L707" i="16"/>
  <c r="K707" i="16"/>
  <c r="J707" i="16"/>
  <c r="I707" i="16"/>
  <c r="H707" i="16"/>
  <c r="G707" i="16"/>
  <c r="F707" i="16"/>
  <c r="E707" i="16"/>
  <c r="D707" i="16"/>
  <c r="C707" i="16"/>
  <c r="P706" i="16"/>
  <c r="O706" i="16"/>
  <c r="N706" i="16"/>
  <c r="M706" i="16"/>
  <c r="L706" i="16"/>
  <c r="K706" i="16"/>
  <c r="J706" i="16"/>
  <c r="I706" i="16"/>
  <c r="H706" i="16"/>
  <c r="G706" i="16"/>
  <c r="F706" i="16"/>
  <c r="E706" i="16"/>
  <c r="D706" i="16"/>
  <c r="C706" i="16"/>
  <c r="P705" i="16"/>
  <c r="O705" i="16"/>
  <c r="N705" i="16"/>
  <c r="M705" i="16"/>
  <c r="L705" i="16"/>
  <c r="K705" i="16"/>
  <c r="J705" i="16"/>
  <c r="I705" i="16"/>
  <c r="H705" i="16"/>
  <c r="G705" i="16"/>
  <c r="F705" i="16"/>
  <c r="E705" i="16"/>
  <c r="D705" i="16"/>
  <c r="C705" i="16"/>
  <c r="P704" i="16"/>
  <c r="O704" i="16"/>
  <c r="N704" i="16"/>
  <c r="M704" i="16"/>
  <c r="L704" i="16"/>
  <c r="K704" i="16"/>
  <c r="J704" i="16"/>
  <c r="I704" i="16"/>
  <c r="H704" i="16"/>
  <c r="G704" i="16"/>
  <c r="F704" i="16"/>
  <c r="E704" i="16"/>
  <c r="D704" i="16"/>
  <c r="C704" i="16"/>
  <c r="P703" i="16"/>
  <c r="O703" i="16"/>
  <c r="N703" i="16"/>
  <c r="M703" i="16"/>
  <c r="L703" i="16"/>
  <c r="K703" i="16"/>
  <c r="J703" i="16"/>
  <c r="I703" i="16"/>
  <c r="H703" i="16"/>
  <c r="G703" i="16"/>
  <c r="F703" i="16"/>
  <c r="E703" i="16"/>
  <c r="D703" i="16"/>
  <c r="C703" i="16"/>
  <c r="P702" i="16"/>
  <c r="O702" i="16"/>
  <c r="N702" i="16"/>
  <c r="M702" i="16"/>
  <c r="L702" i="16"/>
  <c r="K702" i="16"/>
  <c r="J702" i="16"/>
  <c r="I702" i="16"/>
  <c r="H702" i="16"/>
  <c r="G702" i="16"/>
  <c r="F702" i="16"/>
  <c r="E702" i="16"/>
  <c r="D702" i="16"/>
  <c r="C702" i="16"/>
  <c r="P701" i="16"/>
  <c r="O701" i="16"/>
  <c r="N701" i="16"/>
  <c r="M701" i="16"/>
  <c r="L701" i="16"/>
  <c r="K701" i="16"/>
  <c r="J701" i="16"/>
  <c r="I701" i="16"/>
  <c r="H701" i="16"/>
  <c r="G701" i="16"/>
  <c r="F701" i="16"/>
  <c r="E701" i="16"/>
  <c r="D701" i="16"/>
  <c r="C701" i="16"/>
  <c r="P700" i="16"/>
  <c r="O700" i="16"/>
  <c r="N700" i="16"/>
  <c r="M700" i="16"/>
  <c r="L700" i="16"/>
  <c r="K700" i="16"/>
  <c r="J700" i="16"/>
  <c r="I700" i="16"/>
  <c r="H700" i="16"/>
  <c r="G700" i="16"/>
  <c r="F700" i="16"/>
  <c r="E700" i="16"/>
  <c r="D700" i="16"/>
  <c r="C700" i="16"/>
  <c r="P699" i="16"/>
  <c r="O699" i="16"/>
  <c r="N699" i="16"/>
  <c r="M699" i="16"/>
  <c r="L699" i="16"/>
  <c r="K699" i="16"/>
  <c r="J699" i="16"/>
  <c r="I699" i="16"/>
  <c r="H699" i="16"/>
  <c r="G699" i="16"/>
  <c r="F699" i="16"/>
  <c r="E699" i="16"/>
  <c r="D699" i="16"/>
  <c r="C699" i="16"/>
  <c r="P698" i="16"/>
  <c r="O698" i="16"/>
  <c r="N698" i="16"/>
  <c r="M698" i="16"/>
  <c r="L698" i="16"/>
  <c r="K698" i="16"/>
  <c r="J698" i="16"/>
  <c r="I698" i="16"/>
  <c r="H698" i="16"/>
  <c r="G698" i="16"/>
  <c r="F698" i="16"/>
  <c r="E698" i="16"/>
  <c r="D698" i="16"/>
  <c r="C698" i="16"/>
  <c r="P697" i="16"/>
  <c r="O697" i="16"/>
  <c r="N697" i="16"/>
  <c r="M697" i="16"/>
  <c r="L697" i="16"/>
  <c r="K697" i="16"/>
  <c r="J697" i="16"/>
  <c r="I697" i="16"/>
  <c r="H697" i="16"/>
  <c r="G697" i="16"/>
  <c r="F697" i="16"/>
  <c r="E697" i="16"/>
  <c r="D697" i="16"/>
  <c r="C697" i="16"/>
  <c r="P696" i="16"/>
  <c r="O696" i="16"/>
  <c r="N696" i="16"/>
  <c r="M696" i="16"/>
  <c r="L696" i="16"/>
  <c r="K696" i="16"/>
  <c r="J696" i="16"/>
  <c r="I696" i="16"/>
  <c r="H696" i="16"/>
  <c r="G696" i="16"/>
  <c r="F696" i="16"/>
  <c r="E696" i="16"/>
  <c r="D696" i="16"/>
  <c r="C696" i="16"/>
  <c r="P695" i="16"/>
  <c r="O695" i="16"/>
  <c r="N695" i="16"/>
  <c r="M695" i="16"/>
  <c r="L695" i="16"/>
  <c r="K695" i="16"/>
  <c r="J695" i="16"/>
  <c r="I695" i="16"/>
  <c r="H695" i="16"/>
  <c r="G695" i="16"/>
  <c r="F695" i="16"/>
  <c r="E695" i="16"/>
  <c r="D695" i="16"/>
  <c r="C695" i="16"/>
  <c r="P694" i="16"/>
  <c r="O694" i="16"/>
  <c r="N694" i="16"/>
  <c r="M694" i="16"/>
  <c r="L694" i="16"/>
  <c r="K694" i="16"/>
  <c r="J694" i="16"/>
  <c r="I694" i="16"/>
  <c r="H694" i="16"/>
  <c r="G694" i="16"/>
  <c r="F694" i="16"/>
  <c r="E694" i="16"/>
  <c r="D694" i="16"/>
  <c r="C694" i="16"/>
  <c r="P693" i="16"/>
  <c r="O693" i="16"/>
  <c r="N693" i="16"/>
  <c r="M693" i="16"/>
  <c r="L693" i="16"/>
  <c r="K693" i="16"/>
  <c r="J693" i="16"/>
  <c r="I693" i="16"/>
  <c r="H693" i="16"/>
  <c r="G693" i="16"/>
  <c r="F693" i="16"/>
  <c r="E693" i="16"/>
  <c r="D693" i="16"/>
  <c r="C693" i="16"/>
  <c r="P692" i="16"/>
  <c r="O692" i="16"/>
  <c r="N692" i="16"/>
  <c r="M692" i="16"/>
  <c r="L692" i="16"/>
  <c r="K692" i="16"/>
  <c r="J692" i="16"/>
  <c r="I692" i="16"/>
  <c r="H692" i="16"/>
  <c r="G692" i="16"/>
  <c r="F692" i="16"/>
  <c r="E692" i="16"/>
  <c r="D692" i="16"/>
  <c r="C692" i="16"/>
  <c r="P691" i="16"/>
  <c r="O691" i="16"/>
  <c r="N691" i="16"/>
  <c r="M691" i="16"/>
  <c r="L691" i="16"/>
  <c r="K691" i="16"/>
  <c r="J691" i="16"/>
  <c r="I691" i="16"/>
  <c r="H691" i="16"/>
  <c r="G691" i="16"/>
  <c r="F691" i="16"/>
  <c r="E691" i="16"/>
  <c r="D691" i="16"/>
  <c r="C691" i="16"/>
  <c r="P690" i="16"/>
  <c r="O690" i="16"/>
  <c r="N690" i="16"/>
  <c r="M690" i="16"/>
  <c r="L690" i="16"/>
  <c r="K690" i="16"/>
  <c r="J690" i="16"/>
  <c r="I690" i="16"/>
  <c r="H690" i="16"/>
  <c r="G690" i="16"/>
  <c r="F690" i="16"/>
  <c r="E690" i="16"/>
  <c r="D690" i="16"/>
  <c r="C690" i="16"/>
  <c r="P689" i="16"/>
  <c r="O689" i="16"/>
  <c r="N689" i="16"/>
  <c r="M689" i="16"/>
  <c r="L689" i="16"/>
  <c r="K689" i="16"/>
  <c r="J689" i="16"/>
  <c r="I689" i="16"/>
  <c r="H689" i="16"/>
  <c r="G689" i="16"/>
  <c r="F689" i="16"/>
  <c r="E689" i="16"/>
  <c r="D689" i="16"/>
  <c r="C689" i="16"/>
  <c r="P688" i="16"/>
  <c r="O688" i="16"/>
  <c r="N688" i="16"/>
  <c r="M688" i="16"/>
  <c r="L688" i="16"/>
  <c r="K688" i="16"/>
  <c r="J688" i="16"/>
  <c r="I688" i="16"/>
  <c r="H688" i="16"/>
  <c r="G688" i="16"/>
  <c r="F688" i="16"/>
  <c r="E688" i="16"/>
  <c r="D688" i="16"/>
  <c r="C688" i="16"/>
  <c r="P687" i="16"/>
  <c r="O687" i="16"/>
  <c r="N687" i="16"/>
  <c r="M687" i="16"/>
  <c r="L687" i="16"/>
  <c r="K687" i="16"/>
  <c r="J687" i="16"/>
  <c r="I687" i="16"/>
  <c r="H687" i="16"/>
  <c r="G687" i="16"/>
  <c r="F687" i="16"/>
  <c r="E687" i="16"/>
  <c r="D687" i="16"/>
  <c r="C687" i="16"/>
  <c r="P686" i="16"/>
  <c r="O686" i="16"/>
  <c r="N686" i="16"/>
  <c r="M686" i="16"/>
  <c r="L686" i="16"/>
  <c r="K686" i="16"/>
  <c r="J686" i="16"/>
  <c r="I686" i="16"/>
  <c r="H686" i="16"/>
  <c r="G686" i="16"/>
  <c r="F686" i="16"/>
  <c r="E686" i="16"/>
  <c r="D686" i="16"/>
  <c r="C686" i="16"/>
  <c r="P685" i="16"/>
  <c r="O685" i="16"/>
  <c r="N685" i="16"/>
  <c r="M685" i="16"/>
  <c r="L685" i="16"/>
  <c r="K685" i="16"/>
  <c r="J685" i="16"/>
  <c r="I685" i="16"/>
  <c r="H685" i="16"/>
  <c r="G685" i="16"/>
  <c r="F685" i="16"/>
  <c r="E685" i="16"/>
  <c r="D685" i="16"/>
  <c r="C685" i="16"/>
  <c r="P684" i="16"/>
  <c r="O684" i="16"/>
  <c r="N684" i="16"/>
  <c r="M684" i="16"/>
  <c r="L684" i="16"/>
  <c r="K684" i="16"/>
  <c r="J684" i="16"/>
  <c r="I684" i="16"/>
  <c r="H684" i="16"/>
  <c r="G684" i="16"/>
  <c r="F684" i="16"/>
  <c r="E684" i="16"/>
  <c r="D684" i="16"/>
  <c r="C684" i="16"/>
  <c r="P683" i="16"/>
  <c r="O683" i="16"/>
  <c r="N683" i="16"/>
  <c r="M683" i="16"/>
  <c r="L683" i="16"/>
  <c r="K683" i="16"/>
  <c r="J683" i="16"/>
  <c r="I683" i="16"/>
  <c r="H683" i="16"/>
  <c r="G683" i="16"/>
  <c r="F683" i="16"/>
  <c r="E683" i="16"/>
  <c r="D683" i="16"/>
  <c r="C683" i="16"/>
  <c r="P682" i="16"/>
  <c r="O682" i="16"/>
  <c r="N682" i="16"/>
  <c r="M682" i="16"/>
  <c r="L682" i="16"/>
  <c r="K682" i="16"/>
  <c r="J682" i="16"/>
  <c r="I682" i="16"/>
  <c r="H682" i="16"/>
  <c r="G682" i="16"/>
  <c r="F682" i="16"/>
  <c r="E682" i="16"/>
  <c r="D682" i="16"/>
  <c r="C682" i="16"/>
  <c r="P681" i="16"/>
  <c r="O681" i="16"/>
  <c r="N681" i="16"/>
  <c r="M681" i="16"/>
  <c r="L681" i="16"/>
  <c r="K681" i="16"/>
  <c r="J681" i="16"/>
  <c r="I681" i="16"/>
  <c r="H681" i="16"/>
  <c r="G681" i="16"/>
  <c r="F681" i="16"/>
  <c r="E681" i="16"/>
  <c r="D681" i="16"/>
  <c r="C681" i="16"/>
  <c r="P680" i="16"/>
  <c r="O680" i="16"/>
  <c r="N680" i="16"/>
  <c r="M680" i="16"/>
  <c r="L680" i="16"/>
  <c r="K680" i="16"/>
  <c r="J680" i="16"/>
  <c r="I680" i="16"/>
  <c r="H680" i="16"/>
  <c r="G680" i="16"/>
  <c r="F680" i="16"/>
  <c r="E680" i="16"/>
  <c r="D680" i="16"/>
  <c r="C680" i="16"/>
  <c r="P679" i="16"/>
  <c r="O679" i="16"/>
  <c r="N679" i="16"/>
  <c r="M679" i="16"/>
  <c r="L679" i="16"/>
  <c r="K679" i="16"/>
  <c r="J679" i="16"/>
  <c r="I679" i="16"/>
  <c r="H679" i="16"/>
  <c r="G679" i="16"/>
  <c r="F679" i="16"/>
  <c r="E679" i="16"/>
  <c r="D679" i="16"/>
  <c r="C679" i="16"/>
  <c r="P678" i="16"/>
  <c r="O678" i="16"/>
  <c r="N678" i="16"/>
  <c r="M678" i="16"/>
  <c r="L678" i="16"/>
  <c r="K678" i="16"/>
  <c r="J678" i="16"/>
  <c r="I678" i="16"/>
  <c r="H678" i="16"/>
  <c r="G678" i="16"/>
  <c r="F678" i="16"/>
  <c r="E678" i="16"/>
  <c r="D678" i="16"/>
  <c r="C678" i="16"/>
  <c r="P677" i="16"/>
  <c r="O677" i="16"/>
  <c r="N677" i="16"/>
  <c r="M677" i="16"/>
  <c r="L677" i="16"/>
  <c r="K677" i="16"/>
  <c r="J677" i="16"/>
  <c r="I677" i="16"/>
  <c r="H677" i="16"/>
  <c r="G677" i="16"/>
  <c r="F677" i="16"/>
  <c r="E677" i="16"/>
  <c r="D677" i="16"/>
  <c r="C677" i="16"/>
  <c r="P676" i="16"/>
  <c r="O676" i="16"/>
  <c r="N676" i="16"/>
  <c r="M676" i="16"/>
  <c r="L676" i="16"/>
  <c r="K676" i="16"/>
  <c r="J676" i="16"/>
  <c r="I676" i="16"/>
  <c r="H676" i="16"/>
  <c r="G676" i="16"/>
  <c r="F676" i="16"/>
  <c r="E676" i="16"/>
  <c r="D676" i="16"/>
  <c r="C676" i="16"/>
  <c r="P675" i="16"/>
  <c r="O675" i="16"/>
  <c r="N675" i="16"/>
  <c r="M675" i="16"/>
  <c r="L675" i="16"/>
  <c r="K675" i="16"/>
  <c r="J675" i="16"/>
  <c r="I675" i="16"/>
  <c r="H675" i="16"/>
  <c r="G675" i="16"/>
  <c r="F675" i="16"/>
  <c r="E675" i="16"/>
  <c r="D675" i="16"/>
  <c r="C675" i="16"/>
  <c r="P674" i="16"/>
  <c r="O674" i="16"/>
  <c r="N674" i="16"/>
  <c r="M674" i="16"/>
  <c r="L674" i="16"/>
  <c r="K674" i="16"/>
  <c r="J674" i="16"/>
  <c r="I674" i="16"/>
  <c r="H674" i="16"/>
  <c r="G674" i="16"/>
  <c r="F674" i="16"/>
  <c r="E674" i="16"/>
  <c r="D674" i="16"/>
  <c r="C674" i="16"/>
  <c r="P673" i="16"/>
  <c r="O673" i="16"/>
  <c r="N673" i="16"/>
  <c r="M673" i="16"/>
  <c r="L673" i="16"/>
  <c r="K673" i="16"/>
  <c r="J673" i="16"/>
  <c r="I673" i="16"/>
  <c r="H673" i="16"/>
  <c r="G673" i="16"/>
  <c r="F673" i="16"/>
  <c r="E673" i="16"/>
  <c r="D673" i="16"/>
  <c r="C673" i="16"/>
  <c r="P672" i="16"/>
  <c r="O672" i="16"/>
  <c r="N672" i="16"/>
  <c r="M672" i="16"/>
  <c r="L672" i="16"/>
  <c r="K672" i="16"/>
  <c r="J672" i="16"/>
  <c r="I672" i="16"/>
  <c r="H672" i="16"/>
  <c r="G672" i="16"/>
  <c r="F672" i="16"/>
  <c r="E672" i="16"/>
  <c r="D672" i="16"/>
  <c r="C672" i="16"/>
  <c r="P671" i="16"/>
  <c r="O671" i="16"/>
  <c r="N671" i="16"/>
  <c r="M671" i="16"/>
  <c r="L671" i="16"/>
  <c r="K671" i="16"/>
  <c r="J671" i="16"/>
  <c r="I671" i="16"/>
  <c r="H671" i="16"/>
  <c r="G671" i="16"/>
  <c r="F671" i="16"/>
  <c r="E671" i="16"/>
  <c r="D671" i="16"/>
  <c r="C671" i="16"/>
  <c r="P670" i="16"/>
  <c r="O670" i="16"/>
  <c r="N670" i="16"/>
  <c r="M670" i="16"/>
  <c r="L670" i="16"/>
  <c r="K670" i="16"/>
  <c r="J670" i="16"/>
  <c r="I670" i="16"/>
  <c r="H670" i="16"/>
  <c r="G670" i="16"/>
  <c r="F670" i="16"/>
  <c r="E670" i="16"/>
  <c r="D670" i="16"/>
  <c r="C670" i="16"/>
  <c r="P669" i="16"/>
  <c r="O669" i="16"/>
  <c r="N669" i="16"/>
  <c r="M669" i="16"/>
  <c r="L669" i="16"/>
  <c r="K669" i="16"/>
  <c r="J669" i="16"/>
  <c r="I669" i="16"/>
  <c r="H669" i="16"/>
  <c r="G669" i="16"/>
  <c r="F669" i="16"/>
  <c r="E669" i="16"/>
  <c r="D669" i="16"/>
  <c r="C669" i="16"/>
  <c r="P668" i="16"/>
  <c r="O668" i="16"/>
  <c r="N668" i="16"/>
  <c r="M668" i="16"/>
  <c r="L668" i="16"/>
  <c r="K668" i="16"/>
  <c r="J668" i="16"/>
  <c r="I668" i="16"/>
  <c r="H668" i="16"/>
  <c r="G668" i="16"/>
  <c r="F668" i="16"/>
  <c r="E668" i="16"/>
  <c r="D668" i="16"/>
  <c r="C668" i="16"/>
  <c r="P667" i="16"/>
  <c r="O667" i="16"/>
  <c r="N667" i="16"/>
  <c r="M667" i="16"/>
  <c r="L667" i="16"/>
  <c r="K667" i="16"/>
  <c r="J667" i="16"/>
  <c r="I667" i="16"/>
  <c r="H667" i="16"/>
  <c r="G667" i="16"/>
  <c r="F667" i="16"/>
  <c r="E667" i="16"/>
  <c r="D667" i="16"/>
  <c r="C667" i="16"/>
  <c r="P666" i="16"/>
  <c r="O666" i="16"/>
  <c r="N666" i="16"/>
  <c r="M666" i="16"/>
  <c r="L666" i="16"/>
  <c r="K666" i="16"/>
  <c r="J666" i="16"/>
  <c r="I666" i="16"/>
  <c r="H666" i="16"/>
  <c r="G666" i="16"/>
  <c r="F666" i="16"/>
  <c r="E666" i="16"/>
  <c r="D666" i="16"/>
  <c r="C666" i="16"/>
  <c r="P665" i="16"/>
  <c r="O665" i="16"/>
  <c r="N665" i="16"/>
  <c r="M665" i="16"/>
  <c r="L665" i="16"/>
  <c r="K665" i="16"/>
  <c r="J665" i="16"/>
  <c r="I665" i="16"/>
  <c r="H665" i="16"/>
  <c r="G665" i="16"/>
  <c r="F665" i="16"/>
  <c r="E665" i="16"/>
  <c r="D665" i="16"/>
  <c r="C665" i="16"/>
  <c r="P664" i="16"/>
  <c r="O664" i="16"/>
  <c r="N664" i="16"/>
  <c r="M664" i="16"/>
  <c r="L664" i="16"/>
  <c r="K664" i="16"/>
  <c r="J664" i="16"/>
  <c r="I664" i="16"/>
  <c r="H664" i="16"/>
  <c r="G664" i="16"/>
  <c r="F664" i="16"/>
  <c r="E664" i="16"/>
  <c r="D664" i="16"/>
  <c r="C664" i="16"/>
  <c r="P663" i="16"/>
  <c r="O663" i="16"/>
  <c r="N663" i="16"/>
  <c r="M663" i="16"/>
  <c r="L663" i="16"/>
  <c r="K663" i="16"/>
  <c r="J663" i="16"/>
  <c r="I663" i="16"/>
  <c r="H663" i="16"/>
  <c r="G663" i="16"/>
  <c r="F663" i="16"/>
  <c r="E663" i="16"/>
  <c r="D663" i="16"/>
  <c r="C663" i="16"/>
  <c r="P662" i="16"/>
  <c r="O662" i="16"/>
  <c r="N662" i="16"/>
  <c r="M662" i="16"/>
  <c r="L662" i="16"/>
  <c r="K662" i="16"/>
  <c r="J662" i="16"/>
  <c r="I662" i="16"/>
  <c r="H662" i="16"/>
  <c r="G662" i="16"/>
  <c r="F662" i="16"/>
  <c r="E662" i="16"/>
  <c r="D662" i="16"/>
  <c r="C662" i="16"/>
  <c r="P661" i="16"/>
  <c r="O661" i="16"/>
  <c r="N661" i="16"/>
  <c r="M661" i="16"/>
  <c r="L661" i="16"/>
  <c r="K661" i="16"/>
  <c r="J661" i="16"/>
  <c r="I661" i="16"/>
  <c r="H661" i="16"/>
  <c r="G661" i="16"/>
  <c r="F661" i="16"/>
  <c r="E661" i="16"/>
  <c r="D661" i="16"/>
  <c r="C661" i="16"/>
  <c r="P660" i="16"/>
  <c r="O660" i="16"/>
  <c r="N660" i="16"/>
  <c r="M660" i="16"/>
  <c r="L660" i="16"/>
  <c r="K660" i="16"/>
  <c r="J660" i="16"/>
  <c r="I660" i="16"/>
  <c r="H660" i="16"/>
  <c r="G660" i="16"/>
  <c r="F660" i="16"/>
  <c r="E660" i="16"/>
  <c r="D660" i="16"/>
  <c r="C660" i="16"/>
  <c r="P659" i="16"/>
  <c r="O659" i="16"/>
  <c r="N659" i="16"/>
  <c r="M659" i="16"/>
  <c r="L659" i="16"/>
  <c r="K659" i="16"/>
  <c r="J659" i="16"/>
  <c r="I659" i="16"/>
  <c r="H659" i="16"/>
  <c r="G659" i="16"/>
  <c r="F659" i="16"/>
  <c r="E659" i="16"/>
  <c r="D659" i="16"/>
  <c r="C659" i="16"/>
  <c r="P658" i="16"/>
  <c r="O658" i="16"/>
  <c r="N658" i="16"/>
  <c r="M658" i="16"/>
  <c r="L658" i="16"/>
  <c r="K658" i="16"/>
  <c r="J658" i="16"/>
  <c r="I658" i="16"/>
  <c r="H658" i="16"/>
  <c r="G658" i="16"/>
  <c r="F658" i="16"/>
  <c r="E658" i="16"/>
  <c r="D658" i="16"/>
  <c r="C658" i="16"/>
  <c r="P657" i="16"/>
  <c r="O657" i="16"/>
  <c r="N657" i="16"/>
  <c r="M657" i="16"/>
  <c r="L657" i="16"/>
  <c r="K657" i="16"/>
  <c r="J657" i="16"/>
  <c r="I657" i="16"/>
  <c r="H657" i="16"/>
  <c r="G657" i="16"/>
  <c r="F657" i="16"/>
  <c r="E657" i="16"/>
  <c r="D657" i="16"/>
  <c r="C657" i="16"/>
  <c r="P656" i="16"/>
  <c r="O656" i="16"/>
  <c r="N656" i="16"/>
  <c r="M656" i="16"/>
  <c r="L656" i="16"/>
  <c r="K656" i="16"/>
  <c r="J656" i="16"/>
  <c r="I656" i="16"/>
  <c r="H656" i="16"/>
  <c r="G656" i="16"/>
  <c r="F656" i="16"/>
  <c r="E656" i="16"/>
  <c r="D656" i="16"/>
  <c r="C656" i="16"/>
  <c r="P655" i="16"/>
  <c r="O655" i="16"/>
  <c r="N655" i="16"/>
  <c r="M655" i="16"/>
  <c r="L655" i="16"/>
  <c r="K655" i="16"/>
  <c r="J655" i="16"/>
  <c r="I655" i="16"/>
  <c r="H655" i="16"/>
  <c r="G655" i="16"/>
  <c r="F655" i="16"/>
  <c r="E655" i="16"/>
  <c r="D655" i="16"/>
  <c r="C655" i="16"/>
  <c r="P654" i="16"/>
  <c r="O654" i="16"/>
  <c r="N654" i="16"/>
  <c r="M654" i="16"/>
  <c r="L654" i="16"/>
  <c r="K654" i="16"/>
  <c r="J654" i="16"/>
  <c r="I654" i="16"/>
  <c r="H654" i="16"/>
  <c r="G654" i="16"/>
  <c r="F654" i="16"/>
  <c r="E654" i="16"/>
  <c r="D654" i="16"/>
  <c r="C654" i="16"/>
  <c r="P653" i="16"/>
  <c r="O653" i="16"/>
  <c r="N653" i="16"/>
  <c r="M653" i="16"/>
  <c r="L653" i="16"/>
  <c r="K653" i="16"/>
  <c r="J653" i="16"/>
  <c r="I653" i="16"/>
  <c r="H653" i="16"/>
  <c r="G653" i="16"/>
  <c r="F653" i="16"/>
  <c r="E653" i="16"/>
  <c r="D653" i="16"/>
  <c r="C653" i="16"/>
  <c r="P652" i="16"/>
  <c r="O652" i="16"/>
  <c r="N652" i="16"/>
  <c r="M652" i="16"/>
  <c r="L652" i="16"/>
  <c r="K652" i="16"/>
  <c r="J652" i="16"/>
  <c r="I652" i="16"/>
  <c r="H652" i="16"/>
  <c r="G652" i="16"/>
  <c r="F652" i="16"/>
  <c r="E652" i="16"/>
  <c r="D652" i="16"/>
  <c r="C652" i="16"/>
  <c r="P651" i="16"/>
  <c r="O651" i="16"/>
  <c r="N651" i="16"/>
  <c r="M651" i="16"/>
  <c r="L651" i="16"/>
  <c r="K651" i="16"/>
  <c r="J651" i="16"/>
  <c r="I651" i="16"/>
  <c r="H651" i="16"/>
  <c r="G651" i="16"/>
  <c r="F651" i="16"/>
  <c r="E651" i="16"/>
  <c r="D651" i="16"/>
  <c r="C651" i="16"/>
  <c r="P650" i="16"/>
  <c r="O650" i="16"/>
  <c r="N650" i="16"/>
  <c r="M650" i="16"/>
  <c r="L650" i="16"/>
  <c r="K650" i="16"/>
  <c r="J650" i="16"/>
  <c r="I650" i="16"/>
  <c r="H650" i="16"/>
  <c r="G650" i="16"/>
  <c r="F650" i="16"/>
  <c r="E650" i="16"/>
  <c r="D650" i="16"/>
  <c r="C650" i="16"/>
  <c r="P649" i="16"/>
  <c r="O649" i="16"/>
  <c r="N649" i="16"/>
  <c r="M649" i="16"/>
  <c r="L649" i="16"/>
  <c r="K649" i="16"/>
  <c r="J649" i="16"/>
  <c r="I649" i="16"/>
  <c r="H649" i="16"/>
  <c r="G649" i="16"/>
  <c r="F649" i="16"/>
  <c r="E649" i="16"/>
  <c r="D649" i="16"/>
  <c r="C649" i="16"/>
  <c r="P648" i="16"/>
  <c r="O648" i="16"/>
  <c r="N648" i="16"/>
  <c r="M648" i="16"/>
  <c r="L648" i="16"/>
  <c r="K648" i="16"/>
  <c r="J648" i="16"/>
  <c r="I648" i="16"/>
  <c r="H648" i="16"/>
  <c r="G648" i="16"/>
  <c r="F648" i="16"/>
  <c r="E648" i="16"/>
  <c r="D648" i="16"/>
  <c r="C648" i="16"/>
  <c r="P647" i="16"/>
  <c r="O647" i="16"/>
  <c r="N647" i="16"/>
  <c r="M647" i="16"/>
  <c r="L647" i="16"/>
  <c r="K647" i="16"/>
  <c r="J647" i="16"/>
  <c r="I647" i="16"/>
  <c r="H647" i="16"/>
  <c r="G647" i="16"/>
  <c r="F647" i="16"/>
  <c r="E647" i="16"/>
  <c r="D647" i="16"/>
  <c r="C647" i="16"/>
  <c r="P646" i="16"/>
  <c r="O646" i="16"/>
  <c r="N646" i="16"/>
  <c r="M646" i="16"/>
  <c r="L646" i="16"/>
  <c r="K646" i="16"/>
  <c r="J646" i="16"/>
  <c r="I646" i="16"/>
  <c r="H646" i="16"/>
  <c r="G646" i="16"/>
  <c r="F646" i="16"/>
  <c r="E646" i="16"/>
  <c r="D646" i="16"/>
  <c r="C646" i="16"/>
  <c r="P645" i="16"/>
  <c r="O645" i="16"/>
  <c r="N645" i="16"/>
  <c r="M645" i="16"/>
  <c r="L645" i="16"/>
  <c r="K645" i="16"/>
  <c r="J645" i="16"/>
  <c r="I645" i="16"/>
  <c r="H645" i="16"/>
  <c r="G645" i="16"/>
  <c r="F645" i="16"/>
  <c r="E645" i="16"/>
  <c r="D645" i="16"/>
  <c r="C645" i="16"/>
  <c r="P644" i="16"/>
  <c r="O644" i="16"/>
  <c r="N644" i="16"/>
  <c r="M644" i="16"/>
  <c r="L644" i="16"/>
  <c r="K644" i="16"/>
  <c r="J644" i="16"/>
  <c r="I644" i="16"/>
  <c r="H644" i="16"/>
  <c r="G644" i="16"/>
  <c r="F644" i="16"/>
  <c r="E644" i="16"/>
  <c r="D644" i="16"/>
  <c r="C644" i="16"/>
  <c r="P643" i="16"/>
  <c r="O643" i="16"/>
  <c r="N643" i="16"/>
  <c r="M643" i="16"/>
  <c r="L643" i="16"/>
  <c r="K643" i="16"/>
  <c r="J643" i="16"/>
  <c r="I643" i="16"/>
  <c r="H643" i="16"/>
  <c r="G643" i="16"/>
  <c r="F643" i="16"/>
  <c r="E643" i="16"/>
  <c r="D643" i="16"/>
  <c r="C643" i="16"/>
  <c r="P642" i="16"/>
  <c r="O642" i="16"/>
  <c r="N642" i="16"/>
  <c r="M642" i="16"/>
  <c r="L642" i="16"/>
  <c r="K642" i="16"/>
  <c r="J642" i="16"/>
  <c r="I642" i="16"/>
  <c r="H642" i="16"/>
  <c r="G642" i="16"/>
  <c r="F642" i="16"/>
  <c r="E642" i="16"/>
  <c r="D642" i="16"/>
  <c r="C642" i="16"/>
  <c r="P641" i="16"/>
  <c r="O641" i="16"/>
  <c r="N641" i="16"/>
  <c r="M641" i="16"/>
  <c r="L641" i="16"/>
  <c r="K641" i="16"/>
  <c r="J641" i="16"/>
  <c r="I641" i="16"/>
  <c r="H641" i="16"/>
  <c r="G641" i="16"/>
  <c r="F641" i="16"/>
  <c r="E641" i="16"/>
  <c r="D641" i="16"/>
  <c r="C641" i="16"/>
  <c r="P640" i="16"/>
  <c r="O640" i="16"/>
  <c r="N640" i="16"/>
  <c r="M640" i="16"/>
  <c r="L640" i="16"/>
  <c r="K640" i="16"/>
  <c r="J640" i="16"/>
  <c r="I640" i="16"/>
  <c r="H640" i="16"/>
  <c r="G640" i="16"/>
  <c r="F640" i="16"/>
  <c r="E640" i="16"/>
  <c r="D640" i="16"/>
  <c r="C640" i="16"/>
  <c r="P639" i="16"/>
  <c r="O639" i="16"/>
  <c r="N639" i="16"/>
  <c r="M639" i="16"/>
  <c r="L639" i="16"/>
  <c r="K639" i="16"/>
  <c r="J639" i="16"/>
  <c r="I639" i="16"/>
  <c r="H639" i="16"/>
  <c r="G639" i="16"/>
  <c r="F639" i="16"/>
  <c r="E639" i="16"/>
  <c r="D639" i="16"/>
  <c r="C639" i="16"/>
  <c r="P638" i="16"/>
  <c r="O638" i="16"/>
  <c r="N638" i="16"/>
  <c r="M638" i="16"/>
  <c r="L638" i="16"/>
  <c r="K638" i="16"/>
  <c r="J638" i="16"/>
  <c r="I638" i="16"/>
  <c r="H638" i="16"/>
  <c r="G638" i="16"/>
  <c r="F638" i="16"/>
  <c r="E638" i="16"/>
  <c r="D638" i="16"/>
  <c r="C638" i="16"/>
  <c r="P637" i="16"/>
  <c r="O637" i="16"/>
  <c r="N637" i="16"/>
  <c r="M637" i="16"/>
  <c r="L637" i="16"/>
  <c r="K637" i="16"/>
  <c r="J637" i="16"/>
  <c r="I637" i="16"/>
  <c r="H637" i="16"/>
  <c r="G637" i="16"/>
  <c r="F637" i="16"/>
  <c r="E637" i="16"/>
  <c r="D637" i="16"/>
  <c r="C637" i="16"/>
  <c r="P636" i="16"/>
  <c r="O636" i="16"/>
  <c r="N636" i="16"/>
  <c r="M636" i="16"/>
  <c r="L636" i="16"/>
  <c r="K636" i="16"/>
  <c r="J636" i="16"/>
  <c r="I636" i="16"/>
  <c r="H636" i="16"/>
  <c r="G636" i="16"/>
  <c r="F636" i="16"/>
  <c r="E636" i="16"/>
  <c r="D636" i="16"/>
  <c r="C636" i="16"/>
  <c r="P635" i="16"/>
  <c r="O635" i="16"/>
  <c r="N635" i="16"/>
  <c r="M635" i="16"/>
  <c r="L635" i="16"/>
  <c r="K635" i="16"/>
  <c r="J635" i="16"/>
  <c r="I635" i="16"/>
  <c r="H635" i="16"/>
  <c r="G635" i="16"/>
  <c r="F635" i="16"/>
  <c r="E635" i="16"/>
  <c r="D635" i="16"/>
  <c r="C635" i="16"/>
  <c r="P634" i="16"/>
  <c r="O634" i="16"/>
  <c r="N634" i="16"/>
  <c r="M634" i="16"/>
  <c r="L634" i="16"/>
  <c r="K634" i="16"/>
  <c r="J634" i="16"/>
  <c r="I634" i="16"/>
  <c r="H634" i="16"/>
  <c r="G634" i="16"/>
  <c r="F634" i="16"/>
  <c r="E634" i="16"/>
  <c r="D634" i="16"/>
  <c r="C634" i="16"/>
  <c r="P633" i="16"/>
  <c r="O633" i="16"/>
  <c r="N633" i="16"/>
  <c r="M633" i="16"/>
  <c r="L633" i="16"/>
  <c r="K633" i="16"/>
  <c r="J633" i="16"/>
  <c r="I633" i="16"/>
  <c r="H633" i="16"/>
  <c r="G633" i="16"/>
  <c r="F633" i="16"/>
  <c r="E633" i="16"/>
  <c r="D633" i="16"/>
  <c r="C633" i="16"/>
  <c r="P632" i="16"/>
  <c r="O632" i="16"/>
  <c r="N632" i="16"/>
  <c r="M632" i="16"/>
  <c r="L632" i="16"/>
  <c r="K632" i="16"/>
  <c r="J632" i="16"/>
  <c r="I632" i="16"/>
  <c r="H632" i="16"/>
  <c r="G632" i="16"/>
  <c r="F632" i="16"/>
  <c r="E632" i="16"/>
  <c r="D632" i="16"/>
  <c r="C632" i="16"/>
  <c r="P631" i="16"/>
  <c r="O631" i="16"/>
  <c r="N631" i="16"/>
  <c r="M631" i="16"/>
  <c r="L631" i="16"/>
  <c r="K631" i="16"/>
  <c r="J631" i="16"/>
  <c r="I631" i="16"/>
  <c r="H631" i="16"/>
  <c r="G631" i="16"/>
  <c r="F631" i="16"/>
  <c r="E631" i="16"/>
  <c r="D631" i="16"/>
  <c r="C631" i="16"/>
  <c r="P630" i="16"/>
  <c r="O630" i="16"/>
  <c r="N630" i="16"/>
  <c r="M630" i="16"/>
  <c r="L630" i="16"/>
  <c r="K630" i="16"/>
  <c r="J630" i="16"/>
  <c r="I630" i="16"/>
  <c r="H630" i="16"/>
  <c r="G630" i="16"/>
  <c r="F630" i="16"/>
  <c r="E630" i="16"/>
  <c r="D630" i="16"/>
  <c r="C630" i="16"/>
  <c r="P629" i="16"/>
  <c r="O629" i="16"/>
  <c r="N629" i="16"/>
  <c r="M629" i="16"/>
  <c r="L629" i="16"/>
  <c r="K629" i="16"/>
  <c r="J629" i="16"/>
  <c r="I629" i="16"/>
  <c r="H629" i="16"/>
  <c r="G629" i="16"/>
  <c r="F629" i="16"/>
  <c r="E629" i="16"/>
  <c r="D629" i="16"/>
  <c r="C629" i="16"/>
  <c r="P628" i="16"/>
  <c r="O628" i="16"/>
  <c r="N628" i="16"/>
  <c r="M628" i="16"/>
  <c r="L628" i="16"/>
  <c r="K628" i="16"/>
  <c r="J628" i="16"/>
  <c r="I628" i="16"/>
  <c r="H628" i="16"/>
  <c r="G628" i="16"/>
  <c r="F628" i="16"/>
  <c r="E628" i="16"/>
  <c r="D628" i="16"/>
  <c r="C628" i="16"/>
  <c r="P627" i="16"/>
  <c r="O627" i="16"/>
  <c r="N627" i="16"/>
  <c r="M627" i="16"/>
  <c r="L627" i="16"/>
  <c r="K627" i="16"/>
  <c r="J627" i="16"/>
  <c r="I627" i="16"/>
  <c r="H627" i="16"/>
  <c r="G627" i="16"/>
  <c r="F627" i="16"/>
  <c r="E627" i="16"/>
  <c r="D627" i="16"/>
  <c r="C627" i="16"/>
  <c r="P626" i="16"/>
  <c r="O626" i="16"/>
  <c r="N626" i="16"/>
  <c r="M626" i="16"/>
  <c r="L626" i="16"/>
  <c r="K626" i="16"/>
  <c r="J626" i="16"/>
  <c r="I626" i="16"/>
  <c r="H626" i="16"/>
  <c r="G626" i="16"/>
  <c r="F626" i="16"/>
  <c r="E626" i="16"/>
  <c r="D626" i="16"/>
  <c r="C626" i="16"/>
  <c r="P625" i="16"/>
  <c r="O625" i="16"/>
  <c r="N625" i="16"/>
  <c r="M625" i="16"/>
  <c r="L625" i="16"/>
  <c r="K625" i="16"/>
  <c r="J625" i="16"/>
  <c r="I625" i="16"/>
  <c r="H625" i="16"/>
  <c r="G625" i="16"/>
  <c r="F625" i="16"/>
  <c r="E625" i="16"/>
  <c r="D625" i="16"/>
  <c r="C625" i="16"/>
  <c r="P624" i="16"/>
  <c r="O624" i="16"/>
  <c r="N624" i="16"/>
  <c r="M624" i="16"/>
  <c r="L624" i="16"/>
  <c r="K624" i="16"/>
  <c r="J624" i="16"/>
  <c r="I624" i="16"/>
  <c r="H624" i="16"/>
  <c r="G624" i="16"/>
  <c r="F624" i="16"/>
  <c r="E624" i="16"/>
  <c r="D624" i="16"/>
  <c r="C624" i="16"/>
  <c r="P623" i="16"/>
  <c r="O623" i="16"/>
  <c r="N623" i="16"/>
  <c r="M623" i="16"/>
  <c r="L623" i="16"/>
  <c r="K623" i="16"/>
  <c r="J623" i="16"/>
  <c r="I623" i="16"/>
  <c r="H623" i="16"/>
  <c r="G623" i="16"/>
  <c r="F623" i="16"/>
  <c r="E623" i="16"/>
  <c r="D623" i="16"/>
  <c r="C623" i="16"/>
  <c r="P622" i="16"/>
  <c r="O622" i="16"/>
  <c r="N622" i="16"/>
  <c r="M622" i="16"/>
  <c r="L622" i="16"/>
  <c r="K622" i="16"/>
  <c r="J622" i="16"/>
  <c r="I622" i="16"/>
  <c r="H622" i="16"/>
  <c r="G622" i="16"/>
  <c r="F622" i="16"/>
  <c r="E622" i="16"/>
  <c r="D622" i="16"/>
  <c r="C622" i="16"/>
  <c r="P621" i="16"/>
  <c r="O621" i="16"/>
  <c r="N621" i="16"/>
  <c r="M621" i="16"/>
  <c r="L621" i="16"/>
  <c r="K621" i="16"/>
  <c r="J621" i="16"/>
  <c r="I621" i="16"/>
  <c r="H621" i="16"/>
  <c r="G621" i="16"/>
  <c r="F621" i="16"/>
  <c r="E621" i="16"/>
  <c r="D621" i="16"/>
  <c r="C621" i="16"/>
  <c r="P620" i="16"/>
  <c r="O620" i="16"/>
  <c r="N620" i="16"/>
  <c r="M620" i="16"/>
  <c r="L620" i="16"/>
  <c r="K620" i="16"/>
  <c r="J620" i="16"/>
  <c r="I620" i="16"/>
  <c r="H620" i="16"/>
  <c r="G620" i="16"/>
  <c r="F620" i="16"/>
  <c r="E620" i="16"/>
  <c r="D620" i="16"/>
  <c r="C620" i="16"/>
  <c r="P619" i="16"/>
  <c r="O619" i="16"/>
  <c r="N619" i="16"/>
  <c r="M619" i="16"/>
  <c r="L619" i="16"/>
  <c r="K619" i="16"/>
  <c r="J619" i="16"/>
  <c r="I619" i="16"/>
  <c r="H619" i="16"/>
  <c r="G619" i="16"/>
  <c r="F619" i="16"/>
  <c r="E619" i="16"/>
  <c r="D619" i="16"/>
  <c r="C619" i="16"/>
  <c r="P618" i="16"/>
  <c r="O618" i="16"/>
  <c r="N618" i="16"/>
  <c r="M618" i="16"/>
  <c r="L618" i="16"/>
  <c r="K618" i="16"/>
  <c r="J618" i="16"/>
  <c r="I618" i="16"/>
  <c r="H618" i="16"/>
  <c r="G618" i="16"/>
  <c r="F618" i="16"/>
  <c r="E618" i="16"/>
  <c r="D618" i="16"/>
  <c r="C618" i="16"/>
  <c r="P617" i="16"/>
  <c r="O617" i="16"/>
  <c r="N617" i="16"/>
  <c r="M617" i="16"/>
  <c r="L617" i="16"/>
  <c r="K617" i="16"/>
  <c r="J617" i="16"/>
  <c r="I617" i="16"/>
  <c r="H617" i="16"/>
  <c r="G617" i="16"/>
  <c r="F617" i="16"/>
  <c r="E617" i="16"/>
  <c r="D617" i="16"/>
  <c r="C617" i="16"/>
  <c r="P616" i="16"/>
  <c r="O616" i="16"/>
  <c r="N616" i="16"/>
  <c r="M616" i="16"/>
  <c r="L616" i="16"/>
  <c r="K616" i="16"/>
  <c r="J616" i="16"/>
  <c r="I616" i="16"/>
  <c r="H616" i="16"/>
  <c r="G616" i="16"/>
  <c r="F616" i="16"/>
  <c r="E616" i="16"/>
  <c r="D616" i="16"/>
  <c r="C616" i="16"/>
  <c r="P615" i="16"/>
  <c r="O615" i="16"/>
  <c r="N615" i="16"/>
  <c r="M615" i="16"/>
  <c r="L615" i="16"/>
  <c r="K615" i="16"/>
  <c r="J615" i="16"/>
  <c r="I615" i="16"/>
  <c r="H615" i="16"/>
  <c r="G615" i="16"/>
  <c r="F615" i="16"/>
  <c r="E615" i="16"/>
  <c r="D615" i="16"/>
  <c r="C615" i="16"/>
  <c r="P614" i="16"/>
  <c r="O614" i="16"/>
  <c r="N614" i="16"/>
  <c r="M614" i="16"/>
  <c r="L614" i="16"/>
  <c r="K614" i="16"/>
  <c r="J614" i="16"/>
  <c r="I614" i="16"/>
  <c r="H614" i="16"/>
  <c r="G614" i="16"/>
  <c r="F614" i="16"/>
  <c r="E614" i="16"/>
  <c r="D614" i="16"/>
  <c r="C614" i="16"/>
  <c r="P613" i="16"/>
  <c r="O613" i="16"/>
  <c r="N613" i="16"/>
  <c r="M613" i="16"/>
  <c r="L613" i="16"/>
  <c r="K613" i="16"/>
  <c r="J613" i="16"/>
  <c r="I613" i="16"/>
  <c r="H613" i="16"/>
  <c r="G613" i="16"/>
  <c r="F613" i="16"/>
  <c r="E613" i="16"/>
  <c r="D613" i="16"/>
  <c r="C613" i="16"/>
  <c r="P612" i="16"/>
  <c r="O612" i="16"/>
  <c r="N612" i="16"/>
  <c r="M612" i="16"/>
  <c r="L612" i="16"/>
  <c r="K612" i="16"/>
  <c r="J612" i="16"/>
  <c r="I612" i="16"/>
  <c r="H612" i="16"/>
  <c r="G612" i="16"/>
  <c r="F612" i="16"/>
  <c r="E612" i="16"/>
  <c r="D612" i="16"/>
  <c r="C612" i="16"/>
  <c r="P611" i="16"/>
  <c r="O611" i="16"/>
  <c r="N611" i="16"/>
  <c r="M611" i="16"/>
  <c r="L611" i="16"/>
  <c r="K611" i="16"/>
  <c r="J611" i="16"/>
  <c r="I611" i="16"/>
  <c r="H611" i="16"/>
  <c r="G611" i="16"/>
  <c r="F611" i="16"/>
  <c r="E611" i="16"/>
  <c r="D611" i="16"/>
  <c r="C611" i="16"/>
  <c r="P610" i="16"/>
  <c r="O610" i="16"/>
  <c r="N610" i="16"/>
  <c r="M610" i="16"/>
  <c r="L610" i="16"/>
  <c r="K610" i="16"/>
  <c r="J610" i="16"/>
  <c r="I610" i="16"/>
  <c r="H610" i="16"/>
  <c r="G610" i="16"/>
  <c r="F610" i="16"/>
  <c r="E610" i="16"/>
  <c r="D610" i="16"/>
  <c r="C610" i="16"/>
  <c r="P609" i="16"/>
  <c r="O609" i="16"/>
  <c r="N609" i="16"/>
  <c r="M609" i="16"/>
  <c r="L609" i="16"/>
  <c r="K609" i="16"/>
  <c r="J609" i="16"/>
  <c r="I609" i="16"/>
  <c r="H609" i="16"/>
  <c r="G609" i="16"/>
  <c r="F609" i="16"/>
  <c r="E609" i="16"/>
  <c r="D609" i="16"/>
  <c r="C609" i="16"/>
  <c r="P608" i="16"/>
  <c r="O608" i="16"/>
  <c r="N608" i="16"/>
  <c r="M608" i="16"/>
  <c r="L608" i="16"/>
  <c r="K608" i="16"/>
  <c r="J608" i="16"/>
  <c r="I608" i="16"/>
  <c r="H608" i="16"/>
  <c r="G608" i="16"/>
  <c r="F608" i="16"/>
  <c r="E608" i="16"/>
  <c r="D608" i="16"/>
  <c r="C608" i="16"/>
  <c r="P607" i="16"/>
  <c r="O607" i="16"/>
  <c r="N607" i="16"/>
  <c r="M607" i="16"/>
  <c r="L607" i="16"/>
  <c r="K607" i="16"/>
  <c r="J607" i="16"/>
  <c r="I607" i="16"/>
  <c r="H607" i="16"/>
  <c r="G607" i="16"/>
  <c r="F607" i="16"/>
  <c r="E607" i="16"/>
  <c r="D607" i="16"/>
  <c r="C607" i="16"/>
  <c r="P606" i="16"/>
  <c r="O606" i="16"/>
  <c r="N606" i="16"/>
  <c r="M606" i="16"/>
  <c r="L606" i="16"/>
  <c r="K606" i="16"/>
  <c r="J606" i="16"/>
  <c r="I606" i="16"/>
  <c r="H606" i="16"/>
  <c r="G606" i="16"/>
  <c r="F606" i="16"/>
  <c r="E606" i="16"/>
  <c r="D606" i="16"/>
  <c r="C606" i="16"/>
  <c r="P605" i="16"/>
  <c r="O605" i="16"/>
  <c r="N605" i="16"/>
  <c r="M605" i="16"/>
  <c r="L605" i="16"/>
  <c r="K605" i="16"/>
  <c r="J605" i="16"/>
  <c r="I605" i="16"/>
  <c r="H605" i="16"/>
  <c r="G605" i="16"/>
  <c r="F605" i="16"/>
  <c r="E605" i="16"/>
  <c r="D605" i="16"/>
  <c r="C605" i="16"/>
  <c r="P604" i="16"/>
  <c r="O604" i="16"/>
  <c r="N604" i="16"/>
  <c r="M604" i="16"/>
  <c r="L604" i="16"/>
  <c r="K604" i="16"/>
  <c r="J604" i="16"/>
  <c r="I604" i="16"/>
  <c r="H604" i="16"/>
  <c r="G604" i="16"/>
  <c r="F604" i="16"/>
  <c r="E604" i="16"/>
  <c r="D604" i="16"/>
  <c r="C604" i="16"/>
  <c r="P603" i="16"/>
  <c r="O603" i="16"/>
  <c r="N603" i="16"/>
  <c r="M603" i="16"/>
  <c r="L603" i="16"/>
  <c r="K603" i="16"/>
  <c r="J603" i="16"/>
  <c r="I603" i="16"/>
  <c r="H603" i="16"/>
  <c r="G603" i="16"/>
  <c r="F603" i="16"/>
  <c r="E603" i="16"/>
  <c r="D603" i="16"/>
  <c r="C603" i="16"/>
  <c r="P602" i="16"/>
  <c r="O602" i="16"/>
  <c r="N602" i="16"/>
  <c r="M602" i="16"/>
  <c r="L602" i="16"/>
  <c r="K602" i="16"/>
  <c r="J602" i="16"/>
  <c r="I602" i="16"/>
  <c r="H602" i="16"/>
  <c r="G602" i="16"/>
  <c r="F602" i="16"/>
  <c r="E602" i="16"/>
  <c r="D602" i="16"/>
  <c r="C602" i="16"/>
  <c r="P601" i="16"/>
  <c r="O601" i="16"/>
  <c r="N601" i="16"/>
  <c r="M601" i="16"/>
  <c r="L601" i="16"/>
  <c r="K601" i="16"/>
  <c r="J601" i="16"/>
  <c r="I601" i="16"/>
  <c r="H601" i="16"/>
  <c r="G601" i="16"/>
  <c r="F601" i="16"/>
  <c r="E601" i="16"/>
  <c r="D601" i="16"/>
  <c r="C601" i="16"/>
  <c r="P600" i="16"/>
  <c r="O600" i="16"/>
  <c r="N600" i="16"/>
  <c r="M600" i="16"/>
  <c r="L600" i="16"/>
  <c r="K600" i="16"/>
  <c r="J600" i="16"/>
  <c r="I600" i="16"/>
  <c r="H600" i="16"/>
  <c r="G600" i="16"/>
  <c r="F600" i="16"/>
  <c r="E600" i="16"/>
  <c r="D600" i="16"/>
  <c r="C600" i="16"/>
  <c r="P599" i="16"/>
  <c r="O599" i="16"/>
  <c r="N599" i="16"/>
  <c r="M599" i="16"/>
  <c r="L599" i="16"/>
  <c r="K599" i="16"/>
  <c r="J599" i="16"/>
  <c r="I599" i="16"/>
  <c r="H599" i="16"/>
  <c r="G599" i="16"/>
  <c r="F599" i="16"/>
  <c r="E599" i="16"/>
  <c r="D599" i="16"/>
  <c r="C599" i="16"/>
  <c r="P598" i="16"/>
  <c r="O598" i="16"/>
  <c r="N598" i="16"/>
  <c r="M598" i="16"/>
  <c r="L598" i="16"/>
  <c r="K598" i="16"/>
  <c r="J598" i="16"/>
  <c r="I598" i="16"/>
  <c r="H598" i="16"/>
  <c r="G598" i="16"/>
  <c r="F598" i="16"/>
  <c r="E598" i="16"/>
  <c r="D598" i="16"/>
  <c r="C598" i="16"/>
  <c r="P597" i="16"/>
  <c r="O597" i="16"/>
  <c r="N597" i="16"/>
  <c r="M597" i="16"/>
  <c r="L597" i="16"/>
  <c r="K597" i="16"/>
  <c r="J597" i="16"/>
  <c r="I597" i="16"/>
  <c r="H597" i="16"/>
  <c r="G597" i="16"/>
  <c r="F597" i="16"/>
  <c r="E597" i="16"/>
  <c r="D597" i="16"/>
  <c r="C597" i="16"/>
  <c r="P596" i="16"/>
  <c r="O596" i="16"/>
  <c r="N596" i="16"/>
  <c r="M596" i="16"/>
  <c r="L596" i="16"/>
  <c r="K596" i="16"/>
  <c r="J596" i="16"/>
  <c r="I596" i="16"/>
  <c r="H596" i="16"/>
  <c r="G596" i="16"/>
  <c r="F596" i="16"/>
  <c r="E596" i="16"/>
  <c r="D596" i="16"/>
  <c r="C596" i="16"/>
  <c r="P595" i="16"/>
  <c r="O595" i="16"/>
  <c r="N595" i="16"/>
  <c r="M595" i="16"/>
  <c r="L595" i="16"/>
  <c r="K595" i="16"/>
  <c r="J595" i="16"/>
  <c r="I595" i="16"/>
  <c r="H595" i="16"/>
  <c r="G595" i="16"/>
  <c r="F595" i="16"/>
  <c r="E595" i="16"/>
  <c r="D595" i="16"/>
  <c r="C595" i="16"/>
  <c r="P594" i="16"/>
  <c r="O594" i="16"/>
  <c r="N594" i="16"/>
  <c r="M594" i="16"/>
  <c r="L594" i="16"/>
  <c r="K594" i="16"/>
  <c r="J594" i="16"/>
  <c r="I594" i="16"/>
  <c r="H594" i="16"/>
  <c r="G594" i="16"/>
  <c r="F594" i="16"/>
  <c r="E594" i="16"/>
  <c r="D594" i="16"/>
  <c r="C594" i="16"/>
  <c r="P593" i="16"/>
  <c r="O593" i="16"/>
  <c r="N593" i="16"/>
  <c r="M593" i="16"/>
  <c r="L593" i="16"/>
  <c r="K593" i="16"/>
  <c r="J593" i="16"/>
  <c r="I593" i="16"/>
  <c r="H593" i="16"/>
  <c r="G593" i="16"/>
  <c r="F593" i="16"/>
  <c r="E593" i="16"/>
  <c r="D593" i="16"/>
  <c r="C593" i="16"/>
  <c r="P592" i="16"/>
  <c r="O592" i="16"/>
  <c r="N592" i="16"/>
  <c r="M592" i="16"/>
  <c r="L592" i="16"/>
  <c r="K592" i="16"/>
  <c r="J592" i="16"/>
  <c r="I592" i="16"/>
  <c r="H592" i="16"/>
  <c r="G592" i="16"/>
  <c r="F592" i="16"/>
  <c r="E592" i="16"/>
  <c r="D592" i="16"/>
  <c r="C592" i="16"/>
  <c r="P591" i="16"/>
  <c r="O591" i="16"/>
  <c r="N591" i="16"/>
  <c r="M591" i="16"/>
  <c r="L591" i="16"/>
  <c r="K591" i="16"/>
  <c r="J591" i="16"/>
  <c r="I591" i="16"/>
  <c r="H591" i="16"/>
  <c r="G591" i="16"/>
  <c r="F591" i="16"/>
  <c r="E591" i="16"/>
  <c r="D591" i="16"/>
  <c r="C591" i="16"/>
  <c r="P590" i="16"/>
  <c r="O590" i="16"/>
  <c r="N590" i="16"/>
  <c r="M590" i="16"/>
  <c r="L590" i="16"/>
  <c r="K590" i="16"/>
  <c r="J590" i="16"/>
  <c r="I590" i="16"/>
  <c r="H590" i="16"/>
  <c r="G590" i="16"/>
  <c r="F590" i="16"/>
  <c r="E590" i="16"/>
  <c r="D590" i="16"/>
  <c r="C590" i="16"/>
  <c r="P589" i="16"/>
  <c r="O589" i="16"/>
  <c r="N589" i="16"/>
  <c r="M589" i="16"/>
  <c r="L589" i="16"/>
  <c r="K589" i="16"/>
  <c r="J589" i="16"/>
  <c r="I589" i="16"/>
  <c r="H589" i="16"/>
  <c r="G589" i="16"/>
  <c r="F589" i="16"/>
  <c r="E589" i="16"/>
  <c r="D589" i="16"/>
  <c r="C589" i="16"/>
  <c r="P588" i="16"/>
  <c r="O588" i="16"/>
  <c r="N588" i="16"/>
  <c r="M588" i="16"/>
  <c r="L588" i="16"/>
  <c r="K588" i="16"/>
  <c r="J588" i="16"/>
  <c r="I588" i="16"/>
  <c r="H588" i="16"/>
  <c r="G588" i="16"/>
  <c r="F588" i="16"/>
  <c r="E588" i="16"/>
  <c r="D588" i="16"/>
  <c r="C588" i="16"/>
  <c r="P587" i="16"/>
  <c r="O587" i="16"/>
  <c r="N587" i="16"/>
  <c r="M587" i="16"/>
  <c r="L587" i="16"/>
  <c r="K587" i="16"/>
  <c r="J587" i="16"/>
  <c r="I587" i="16"/>
  <c r="H587" i="16"/>
  <c r="G587" i="16"/>
  <c r="F587" i="16"/>
  <c r="E587" i="16"/>
  <c r="D587" i="16"/>
  <c r="C587" i="16"/>
  <c r="P586" i="16"/>
  <c r="O586" i="16"/>
  <c r="N586" i="16"/>
  <c r="M586" i="16"/>
  <c r="L586" i="16"/>
  <c r="K586" i="16"/>
  <c r="J586" i="16"/>
  <c r="I586" i="16"/>
  <c r="H586" i="16"/>
  <c r="G586" i="16"/>
  <c r="F586" i="16"/>
  <c r="E586" i="16"/>
  <c r="D586" i="16"/>
  <c r="C586" i="16"/>
  <c r="P585" i="16"/>
  <c r="O585" i="16"/>
  <c r="N585" i="16"/>
  <c r="M585" i="16"/>
  <c r="L585" i="16"/>
  <c r="K585" i="16"/>
  <c r="J585" i="16"/>
  <c r="I585" i="16"/>
  <c r="H585" i="16"/>
  <c r="G585" i="16"/>
  <c r="F585" i="16"/>
  <c r="E585" i="16"/>
  <c r="D585" i="16"/>
  <c r="C585" i="16"/>
  <c r="P584" i="16"/>
  <c r="O584" i="16"/>
  <c r="N584" i="16"/>
  <c r="M584" i="16"/>
  <c r="L584" i="16"/>
  <c r="K584" i="16"/>
  <c r="J584" i="16"/>
  <c r="I584" i="16"/>
  <c r="H584" i="16"/>
  <c r="G584" i="16"/>
  <c r="F584" i="16"/>
  <c r="E584" i="16"/>
  <c r="D584" i="16"/>
  <c r="C584" i="16"/>
  <c r="P583" i="16"/>
  <c r="O583" i="16"/>
  <c r="N583" i="16"/>
  <c r="M583" i="16"/>
  <c r="L583" i="16"/>
  <c r="K583" i="16"/>
  <c r="J583" i="16"/>
  <c r="I583" i="16"/>
  <c r="H583" i="16"/>
  <c r="G583" i="16"/>
  <c r="F583" i="16"/>
  <c r="E583" i="16"/>
  <c r="D583" i="16"/>
  <c r="C583" i="16"/>
  <c r="P582" i="16"/>
  <c r="O582" i="16"/>
  <c r="N582" i="16"/>
  <c r="M582" i="16"/>
  <c r="L582" i="16"/>
  <c r="K582" i="16"/>
  <c r="J582" i="16"/>
  <c r="I582" i="16"/>
  <c r="H582" i="16"/>
  <c r="G582" i="16"/>
  <c r="F582" i="16"/>
  <c r="E582" i="16"/>
  <c r="D582" i="16"/>
  <c r="C582" i="16"/>
  <c r="P581" i="16"/>
  <c r="O581" i="16"/>
  <c r="N581" i="16"/>
  <c r="M581" i="16"/>
  <c r="L581" i="16"/>
  <c r="K581" i="16"/>
  <c r="J581" i="16"/>
  <c r="I581" i="16"/>
  <c r="H581" i="16"/>
  <c r="G581" i="16"/>
  <c r="F581" i="16"/>
  <c r="E581" i="16"/>
  <c r="D581" i="16"/>
  <c r="C581" i="16"/>
  <c r="P580" i="16"/>
  <c r="O580" i="16"/>
  <c r="N580" i="16"/>
  <c r="M580" i="16"/>
  <c r="L580" i="16"/>
  <c r="K580" i="16"/>
  <c r="J580" i="16"/>
  <c r="I580" i="16"/>
  <c r="H580" i="16"/>
  <c r="G580" i="16"/>
  <c r="F580" i="16"/>
  <c r="E580" i="16"/>
  <c r="D580" i="16"/>
  <c r="C580" i="16"/>
  <c r="P579" i="16"/>
  <c r="O579" i="16"/>
  <c r="N579" i="16"/>
  <c r="M579" i="16"/>
  <c r="L579" i="16"/>
  <c r="K579" i="16"/>
  <c r="J579" i="16"/>
  <c r="I579" i="16"/>
  <c r="H579" i="16"/>
  <c r="G579" i="16"/>
  <c r="F579" i="16"/>
  <c r="E579" i="16"/>
  <c r="D579" i="16"/>
  <c r="C579" i="16"/>
  <c r="P578" i="16"/>
  <c r="O578" i="16"/>
  <c r="N578" i="16"/>
  <c r="M578" i="16"/>
  <c r="L578" i="16"/>
  <c r="K578" i="16"/>
  <c r="J578" i="16"/>
  <c r="I578" i="16"/>
  <c r="H578" i="16"/>
  <c r="G578" i="16"/>
  <c r="F578" i="16"/>
  <c r="E578" i="16"/>
  <c r="D578" i="16"/>
  <c r="C578" i="16"/>
  <c r="P577" i="16"/>
  <c r="O577" i="16"/>
  <c r="N577" i="16"/>
  <c r="M577" i="16"/>
  <c r="L577" i="16"/>
  <c r="K577" i="16"/>
  <c r="J577" i="16"/>
  <c r="I577" i="16"/>
  <c r="H577" i="16"/>
  <c r="G577" i="16"/>
  <c r="F577" i="16"/>
  <c r="E577" i="16"/>
  <c r="D577" i="16"/>
  <c r="C577" i="16"/>
  <c r="P576" i="16"/>
  <c r="O576" i="16"/>
  <c r="N576" i="16"/>
  <c r="M576" i="16"/>
  <c r="L576" i="16"/>
  <c r="K576" i="16"/>
  <c r="J576" i="16"/>
  <c r="I576" i="16"/>
  <c r="H576" i="16"/>
  <c r="G576" i="16"/>
  <c r="F576" i="16"/>
  <c r="E576" i="16"/>
  <c r="D576" i="16"/>
  <c r="C576" i="16"/>
  <c r="P575" i="16"/>
  <c r="O575" i="16"/>
  <c r="N575" i="16"/>
  <c r="M575" i="16"/>
  <c r="L575" i="16"/>
  <c r="K575" i="16"/>
  <c r="J575" i="16"/>
  <c r="I575" i="16"/>
  <c r="H575" i="16"/>
  <c r="G575" i="16"/>
  <c r="F575" i="16"/>
  <c r="E575" i="16"/>
  <c r="D575" i="16"/>
  <c r="C575" i="16"/>
  <c r="P574" i="16"/>
  <c r="O574" i="16"/>
  <c r="N574" i="16"/>
  <c r="M574" i="16"/>
  <c r="L574" i="16"/>
  <c r="K574" i="16"/>
  <c r="J574" i="16"/>
  <c r="I574" i="16"/>
  <c r="H574" i="16"/>
  <c r="G574" i="16"/>
  <c r="F574" i="16"/>
  <c r="E574" i="16"/>
  <c r="D574" i="16"/>
  <c r="C574" i="16"/>
  <c r="P573" i="16"/>
  <c r="O573" i="16"/>
  <c r="N573" i="16"/>
  <c r="M573" i="16"/>
  <c r="L573" i="16"/>
  <c r="K573" i="16"/>
  <c r="J573" i="16"/>
  <c r="I573" i="16"/>
  <c r="H573" i="16"/>
  <c r="G573" i="16"/>
  <c r="F573" i="16"/>
  <c r="E573" i="16"/>
  <c r="D573" i="16"/>
  <c r="C573" i="16"/>
  <c r="P572" i="16"/>
  <c r="O572" i="16"/>
  <c r="N572" i="16"/>
  <c r="M572" i="16"/>
  <c r="L572" i="16"/>
  <c r="K572" i="16"/>
  <c r="J572" i="16"/>
  <c r="I572" i="16"/>
  <c r="H572" i="16"/>
  <c r="G572" i="16"/>
  <c r="F572" i="16"/>
  <c r="E572" i="16"/>
  <c r="D572" i="16"/>
  <c r="C572" i="16"/>
  <c r="P571" i="16"/>
  <c r="O571" i="16"/>
  <c r="N571" i="16"/>
  <c r="M571" i="16"/>
  <c r="L571" i="16"/>
  <c r="K571" i="16"/>
  <c r="J571" i="16"/>
  <c r="I571" i="16"/>
  <c r="H571" i="16"/>
  <c r="G571" i="16"/>
  <c r="F571" i="16"/>
  <c r="E571" i="16"/>
  <c r="D571" i="16"/>
  <c r="C571" i="16"/>
  <c r="P570" i="16"/>
  <c r="O570" i="16"/>
  <c r="N570" i="16"/>
  <c r="M570" i="16"/>
  <c r="L570" i="16"/>
  <c r="K570" i="16"/>
  <c r="J570" i="16"/>
  <c r="I570" i="16"/>
  <c r="H570" i="16"/>
  <c r="G570" i="16"/>
  <c r="F570" i="16"/>
  <c r="E570" i="16"/>
  <c r="D570" i="16"/>
  <c r="C570" i="16"/>
  <c r="P569" i="16"/>
  <c r="O569" i="16"/>
  <c r="N569" i="16"/>
  <c r="M569" i="16"/>
  <c r="L569" i="16"/>
  <c r="K569" i="16"/>
  <c r="J569" i="16"/>
  <c r="I569" i="16"/>
  <c r="H569" i="16"/>
  <c r="G569" i="16"/>
  <c r="F569" i="16"/>
  <c r="E569" i="16"/>
  <c r="D569" i="16"/>
  <c r="C569" i="16"/>
  <c r="P568" i="16"/>
  <c r="O568" i="16"/>
  <c r="N568" i="16"/>
  <c r="M568" i="16"/>
  <c r="L568" i="16"/>
  <c r="K568" i="16"/>
  <c r="J568" i="16"/>
  <c r="I568" i="16"/>
  <c r="H568" i="16"/>
  <c r="G568" i="16"/>
  <c r="F568" i="16"/>
  <c r="E568" i="16"/>
  <c r="D568" i="16"/>
  <c r="C568" i="16"/>
  <c r="P567" i="16"/>
  <c r="O567" i="16"/>
  <c r="N567" i="16"/>
  <c r="M567" i="16"/>
  <c r="L567" i="16"/>
  <c r="K567" i="16"/>
  <c r="J567" i="16"/>
  <c r="I567" i="16"/>
  <c r="H567" i="16"/>
  <c r="G567" i="16"/>
  <c r="F567" i="16"/>
  <c r="E567" i="16"/>
  <c r="D567" i="16"/>
  <c r="C567" i="16"/>
  <c r="P566" i="16"/>
  <c r="O566" i="16"/>
  <c r="N566" i="16"/>
  <c r="M566" i="16"/>
  <c r="L566" i="16"/>
  <c r="K566" i="16"/>
  <c r="J566" i="16"/>
  <c r="I566" i="16"/>
  <c r="H566" i="16"/>
  <c r="G566" i="16"/>
  <c r="F566" i="16"/>
  <c r="E566" i="16"/>
  <c r="D566" i="16"/>
  <c r="C566" i="16"/>
  <c r="P565" i="16"/>
  <c r="O565" i="16"/>
  <c r="N565" i="16"/>
  <c r="M565" i="16"/>
  <c r="L565" i="16"/>
  <c r="K565" i="16"/>
  <c r="J565" i="16"/>
  <c r="I565" i="16"/>
  <c r="H565" i="16"/>
  <c r="G565" i="16"/>
  <c r="F565" i="16"/>
  <c r="E565" i="16"/>
  <c r="D565" i="16"/>
  <c r="C565" i="16"/>
  <c r="P564" i="16"/>
  <c r="O564" i="16"/>
  <c r="N564" i="16"/>
  <c r="M564" i="16"/>
  <c r="L564" i="16"/>
  <c r="K564" i="16"/>
  <c r="J564" i="16"/>
  <c r="I564" i="16"/>
  <c r="H564" i="16"/>
  <c r="G564" i="16"/>
  <c r="F564" i="16"/>
  <c r="E564" i="16"/>
  <c r="D564" i="16"/>
  <c r="C564" i="16"/>
  <c r="P563" i="16"/>
  <c r="O563" i="16"/>
  <c r="N563" i="16"/>
  <c r="M563" i="16"/>
  <c r="L563" i="16"/>
  <c r="K563" i="16"/>
  <c r="J563" i="16"/>
  <c r="I563" i="16"/>
  <c r="H563" i="16"/>
  <c r="G563" i="16"/>
  <c r="F563" i="16"/>
  <c r="E563" i="16"/>
  <c r="D563" i="16"/>
  <c r="C563" i="16"/>
  <c r="P562" i="16"/>
  <c r="O562" i="16"/>
  <c r="N562" i="16"/>
  <c r="M562" i="16"/>
  <c r="L562" i="16"/>
  <c r="K562" i="16"/>
  <c r="J562" i="16"/>
  <c r="I562" i="16"/>
  <c r="H562" i="16"/>
  <c r="G562" i="16"/>
  <c r="F562" i="16"/>
  <c r="E562" i="16"/>
  <c r="D562" i="16"/>
  <c r="C562" i="16"/>
  <c r="P561" i="16"/>
  <c r="O561" i="16"/>
  <c r="N561" i="16"/>
  <c r="M561" i="16"/>
  <c r="L561" i="16"/>
  <c r="K561" i="16"/>
  <c r="J561" i="16"/>
  <c r="I561" i="16"/>
  <c r="H561" i="16"/>
  <c r="G561" i="16"/>
  <c r="F561" i="16"/>
  <c r="E561" i="16"/>
  <c r="D561" i="16"/>
  <c r="C561" i="16"/>
  <c r="P560" i="16"/>
  <c r="O560" i="16"/>
  <c r="N560" i="16"/>
  <c r="M560" i="16"/>
  <c r="L560" i="16"/>
  <c r="K560" i="16"/>
  <c r="J560" i="16"/>
  <c r="I560" i="16"/>
  <c r="H560" i="16"/>
  <c r="G560" i="16"/>
  <c r="F560" i="16"/>
  <c r="E560" i="16"/>
  <c r="D560" i="16"/>
  <c r="C560" i="16"/>
  <c r="P559" i="16"/>
  <c r="O559" i="16"/>
  <c r="N559" i="16"/>
  <c r="M559" i="16"/>
  <c r="L559" i="16"/>
  <c r="K559" i="16"/>
  <c r="J559" i="16"/>
  <c r="I559" i="16"/>
  <c r="H559" i="16"/>
  <c r="G559" i="16"/>
  <c r="F559" i="16"/>
  <c r="E559" i="16"/>
  <c r="D559" i="16"/>
  <c r="C559" i="16"/>
  <c r="P558" i="16"/>
  <c r="O558" i="16"/>
  <c r="N558" i="16"/>
  <c r="M558" i="16"/>
  <c r="L558" i="16"/>
  <c r="K558" i="16"/>
  <c r="J558" i="16"/>
  <c r="I558" i="16"/>
  <c r="H558" i="16"/>
  <c r="G558" i="16"/>
  <c r="F558" i="16"/>
  <c r="E558" i="16"/>
  <c r="D558" i="16"/>
  <c r="C558" i="16"/>
  <c r="P557" i="16"/>
  <c r="O557" i="16"/>
  <c r="N557" i="16"/>
  <c r="M557" i="16"/>
  <c r="L557" i="16"/>
  <c r="K557" i="16"/>
  <c r="J557" i="16"/>
  <c r="I557" i="16"/>
  <c r="H557" i="16"/>
  <c r="G557" i="16"/>
  <c r="F557" i="16"/>
  <c r="E557" i="16"/>
  <c r="D557" i="16"/>
  <c r="C557" i="16"/>
  <c r="P556" i="16"/>
  <c r="O556" i="16"/>
  <c r="N556" i="16"/>
  <c r="M556" i="16"/>
  <c r="L556" i="16"/>
  <c r="K556" i="16"/>
  <c r="J556" i="16"/>
  <c r="I556" i="16"/>
  <c r="H556" i="16"/>
  <c r="G556" i="16"/>
  <c r="F556" i="16"/>
  <c r="E556" i="16"/>
  <c r="D556" i="16"/>
  <c r="C556" i="16"/>
  <c r="P555" i="16"/>
  <c r="O555" i="16"/>
  <c r="N555" i="16"/>
  <c r="M555" i="16"/>
  <c r="L555" i="16"/>
  <c r="K555" i="16"/>
  <c r="J555" i="16"/>
  <c r="I555" i="16"/>
  <c r="H555" i="16"/>
  <c r="G555" i="16"/>
  <c r="F555" i="16"/>
  <c r="E555" i="16"/>
  <c r="D555" i="16"/>
  <c r="C555" i="16"/>
  <c r="P554" i="16"/>
  <c r="O554" i="16"/>
  <c r="N554" i="16"/>
  <c r="M554" i="16"/>
  <c r="L554" i="16"/>
  <c r="K554" i="16"/>
  <c r="J554" i="16"/>
  <c r="I554" i="16"/>
  <c r="H554" i="16"/>
  <c r="G554" i="16"/>
  <c r="F554" i="16"/>
  <c r="E554" i="16"/>
  <c r="D554" i="16"/>
  <c r="C554" i="16"/>
  <c r="P553" i="16"/>
  <c r="O553" i="16"/>
  <c r="N553" i="16"/>
  <c r="M553" i="16"/>
  <c r="L553" i="16"/>
  <c r="K553" i="16"/>
  <c r="J553" i="16"/>
  <c r="I553" i="16"/>
  <c r="H553" i="16"/>
  <c r="G553" i="16"/>
  <c r="F553" i="16"/>
  <c r="E553" i="16"/>
  <c r="D553" i="16"/>
  <c r="C553" i="16"/>
  <c r="P552" i="16"/>
  <c r="O552" i="16"/>
  <c r="N552" i="16"/>
  <c r="M552" i="16"/>
  <c r="L552" i="16"/>
  <c r="K552" i="16"/>
  <c r="J552" i="16"/>
  <c r="I552" i="16"/>
  <c r="H552" i="16"/>
  <c r="G552" i="16"/>
  <c r="F552" i="16"/>
  <c r="E552" i="16"/>
  <c r="D552" i="16"/>
  <c r="C552" i="16"/>
  <c r="P551" i="16"/>
  <c r="O551" i="16"/>
  <c r="N551" i="16"/>
  <c r="M551" i="16"/>
  <c r="L551" i="16"/>
  <c r="K551" i="16"/>
  <c r="J551" i="16"/>
  <c r="I551" i="16"/>
  <c r="H551" i="16"/>
  <c r="G551" i="16"/>
  <c r="F551" i="16"/>
  <c r="E551" i="16"/>
  <c r="D551" i="16"/>
  <c r="C551" i="16"/>
  <c r="P550" i="16"/>
  <c r="O550" i="16"/>
  <c r="N550" i="16"/>
  <c r="M550" i="16"/>
  <c r="L550" i="16"/>
  <c r="K550" i="16"/>
  <c r="J550" i="16"/>
  <c r="I550" i="16"/>
  <c r="H550" i="16"/>
  <c r="G550" i="16"/>
  <c r="F550" i="16"/>
  <c r="E550" i="16"/>
  <c r="D550" i="16"/>
  <c r="C550" i="16"/>
  <c r="P549" i="16"/>
  <c r="O549" i="16"/>
  <c r="N549" i="16"/>
  <c r="M549" i="16"/>
  <c r="L549" i="16"/>
  <c r="K549" i="16"/>
  <c r="J549" i="16"/>
  <c r="I549" i="16"/>
  <c r="H549" i="16"/>
  <c r="G549" i="16"/>
  <c r="F549" i="16"/>
  <c r="E549" i="16"/>
  <c r="D549" i="16"/>
  <c r="C549" i="16"/>
  <c r="P548" i="16"/>
  <c r="O548" i="16"/>
  <c r="N548" i="16"/>
  <c r="M548" i="16"/>
  <c r="L548" i="16"/>
  <c r="K548" i="16"/>
  <c r="J548" i="16"/>
  <c r="I548" i="16"/>
  <c r="H548" i="16"/>
  <c r="G548" i="16"/>
  <c r="F548" i="16"/>
  <c r="E548" i="16"/>
  <c r="D548" i="16"/>
  <c r="C548" i="16"/>
  <c r="P547" i="16"/>
  <c r="O547" i="16"/>
  <c r="N547" i="16"/>
  <c r="M547" i="16"/>
  <c r="L547" i="16"/>
  <c r="K547" i="16"/>
  <c r="J547" i="16"/>
  <c r="I547" i="16"/>
  <c r="H547" i="16"/>
  <c r="G547" i="16"/>
  <c r="F547" i="16"/>
  <c r="E547" i="16"/>
  <c r="D547" i="16"/>
  <c r="C547" i="16"/>
  <c r="P546" i="16"/>
  <c r="O546" i="16"/>
  <c r="N546" i="16"/>
  <c r="M546" i="16"/>
  <c r="L546" i="16"/>
  <c r="K546" i="16"/>
  <c r="J546" i="16"/>
  <c r="I546" i="16"/>
  <c r="H546" i="16"/>
  <c r="G546" i="16"/>
  <c r="F546" i="16"/>
  <c r="E546" i="16"/>
  <c r="D546" i="16"/>
  <c r="C546" i="16"/>
  <c r="P545" i="16"/>
  <c r="O545" i="16"/>
  <c r="N545" i="16"/>
  <c r="M545" i="16"/>
  <c r="L545" i="16"/>
  <c r="K545" i="16"/>
  <c r="J545" i="16"/>
  <c r="I545" i="16"/>
  <c r="H545" i="16"/>
  <c r="G545" i="16"/>
  <c r="F545" i="16"/>
  <c r="E545" i="16"/>
  <c r="D545" i="16"/>
  <c r="C545" i="16"/>
  <c r="P544" i="16"/>
  <c r="O544" i="16"/>
  <c r="N544" i="16"/>
  <c r="M544" i="16"/>
  <c r="L544" i="16"/>
  <c r="K544" i="16"/>
  <c r="J544" i="16"/>
  <c r="I544" i="16"/>
  <c r="H544" i="16"/>
  <c r="G544" i="16"/>
  <c r="F544" i="16"/>
  <c r="E544" i="16"/>
  <c r="D544" i="16"/>
  <c r="C544" i="16"/>
  <c r="P543" i="16"/>
  <c r="O543" i="16"/>
  <c r="N543" i="16"/>
  <c r="M543" i="16"/>
  <c r="L543" i="16"/>
  <c r="K543" i="16"/>
  <c r="J543" i="16"/>
  <c r="I543" i="16"/>
  <c r="H543" i="16"/>
  <c r="G543" i="16"/>
  <c r="F543" i="16"/>
  <c r="E543" i="16"/>
  <c r="D543" i="16"/>
  <c r="C543" i="16"/>
  <c r="P542" i="16"/>
  <c r="O542" i="16"/>
  <c r="N542" i="16"/>
  <c r="M542" i="16"/>
  <c r="L542" i="16"/>
  <c r="K542" i="16"/>
  <c r="J542" i="16"/>
  <c r="I542" i="16"/>
  <c r="H542" i="16"/>
  <c r="G542" i="16"/>
  <c r="F542" i="16"/>
  <c r="E542" i="16"/>
  <c r="D542" i="16"/>
  <c r="C542" i="16"/>
  <c r="P541" i="16"/>
  <c r="O541" i="16"/>
  <c r="N541" i="16"/>
  <c r="M541" i="16"/>
  <c r="L541" i="16"/>
  <c r="K541" i="16"/>
  <c r="J541" i="16"/>
  <c r="I541" i="16"/>
  <c r="H541" i="16"/>
  <c r="G541" i="16"/>
  <c r="F541" i="16"/>
  <c r="E541" i="16"/>
  <c r="D541" i="16"/>
  <c r="C541" i="16"/>
  <c r="P540" i="16"/>
  <c r="O540" i="16"/>
  <c r="N540" i="16"/>
  <c r="M540" i="16"/>
  <c r="L540" i="16"/>
  <c r="K540" i="16"/>
  <c r="J540" i="16"/>
  <c r="I540" i="16"/>
  <c r="H540" i="16"/>
  <c r="G540" i="16"/>
  <c r="F540" i="16"/>
  <c r="E540" i="16"/>
  <c r="D540" i="16"/>
  <c r="C540" i="16"/>
  <c r="P539" i="16"/>
  <c r="O539" i="16"/>
  <c r="N539" i="16"/>
  <c r="M539" i="16"/>
  <c r="L539" i="16"/>
  <c r="K539" i="16"/>
  <c r="J539" i="16"/>
  <c r="I539" i="16"/>
  <c r="H539" i="16"/>
  <c r="G539" i="16"/>
  <c r="F539" i="16"/>
  <c r="E539" i="16"/>
  <c r="D539" i="16"/>
  <c r="C539" i="16"/>
  <c r="P538" i="16"/>
  <c r="O538" i="16"/>
  <c r="N538" i="16"/>
  <c r="M538" i="16"/>
  <c r="L538" i="16"/>
  <c r="K538" i="16"/>
  <c r="J538" i="16"/>
  <c r="I538" i="16"/>
  <c r="H538" i="16"/>
  <c r="G538" i="16"/>
  <c r="F538" i="16"/>
  <c r="E538" i="16"/>
  <c r="D538" i="16"/>
  <c r="C538" i="16"/>
  <c r="P537" i="16"/>
  <c r="O537" i="16"/>
  <c r="N537" i="16"/>
  <c r="M537" i="16"/>
  <c r="L537" i="16"/>
  <c r="K537" i="16"/>
  <c r="J537" i="16"/>
  <c r="I537" i="16"/>
  <c r="H537" i="16"/>
  <c r="G537" i="16"/>
  <c r="F537" i="16"/>
  <c r="E537" i="16"/>
  <c r="D537" i="16"/>
  <c r="C537" i="16"/>
  <c r="P536" i="16"/>
  <c r="O536" i="16"/>
  <c r="N536" i="16"/>
  <c r="M536" i="16"/>
  <c r="L536" i="16"/>
  <c r="K536" i="16"/>
  <c r="J536" i="16"/>
  <c r="I536" i="16"/>
  <c r="H536" i="16"/>
  <c r="G536" i="16"/>
  <c r="F536" i="16"/>
  <c r="E536" i="16"/>
  <c r="D536" i="16"/>
  <c r="C536" i="16"/>
  <c r="P535" i="16"/>
  <c r="O535" i="16"/>
  <c r="N535" i="16"/>
  <c r="M535" i="16"/>
  <c r="L535" i="16"/>
  <c r="K535" i="16"/>
  <c r="J535" i="16"/>
  <c r="I535" i="16"/>
  <c r="H535" i="16"/>
  <c r="G535" i="16"/>
  <c r="F535" i="16"/>
  <c r="E535" i="16"/>
  <c r="D535" i="16"/>
  <c r="C535" i="16"/>
  <c r="P534" i="16"/>
  <c r="O534" i="16"/>
  <c r="N534" i="16"/>
  <c r="M534" i="16"/>
  <c r="L534" i="16"/>
  <c r="K534" i="16"/>
  <c r="J534" i="16"/>
  <c r="I534" i="16"/>
  <c r="H534" i="16"/>
  <c r="G534" i="16"/>
  <c r="F534" i="16"/>
  <c r="E534" i="16"/>
  <c r="D534" i="16"/>
  <c r="C534" i="16"/>
  <c r="P533" i="16"/>
  <c r="O533" i="16"/>
  <c r="N533" i="16"/>
  <c r="M533" i="16"/>
  <c r="L533" i="16"/>
  <c r="K533" i="16"/>
  <c r="J533" i="16"/>
  <c r="I533" i="16"/>
  <c r="H533" i="16"/>
  <c r="G533" i="16"/>
  <c r="F533" i="16"/>
  <c r="E533" i="16"/>
  <c r="D533" i="16"/>
  <c r="C533" i="16"/>
  <c r="P532" i="16"/>
  <c r="O532" i="16"/>
  <c r="N532" i="16"/>
  <c r="M532" i="16"/>
  <c r="L532" i="16"/>
  <c r="K532" i="16"/>
  <c r="J532" i="16"/>
  <c r="I532" i="16"/>
  <c r="H532" i="16"/>
  <c r="G532" i="16"/>
  <c r="F532" i="16"/>
  <c r="E532" i="16"/>
  <c r="D532" i="16"/>
  <c r="C532" i="16"/>
  <c r="P531" i="16"/>
  <c r="O531" i="16"/>
  <c r="N531" i="16"/>
  <c r="M531" i="16"/>
  <c r="L531" i="16"/>
  <c r="K531" i="16"/>
  <c r="J531" i="16"/>
  <c r="I531" i="16"/>
  <c r="H531" i="16"/>
  <c r="G531" i="16"/>
  <c r="F531" i="16"/>
  <c r="E531" i="16"/>
  <c r="D531" i="16"/>
  <c r="C531" i="16"/>
  <c r="P530" i="16"/>
  <c r="O530" i="16"/>
  <c r="N530" i="16"/>
  <c r="M530" i="16"/>
  <c r="L530" i="16"/>
  <c r="K530" i="16"/>
  <c r="J530" i="16"/>
  <c r="I530" i="16"/>
  <c r="H530" i="16"/>
  <c r="G530" i="16"/>
  <c r="F530" i="16"/>
  <c r="E530" i="16"/>
  <c r="D530" i="16"/>
  <c r="C530" i="16"/>
  <c r="P529" i="16"/>
  <c r="O529" i="16"/>
  <c r="N529" i="16"/>
  <c r="M529" i="16"/>
  <c r="L529" i="16"/>
  <c r="K529" i="16"/>
  <c r="J529" i="16"/>
  <c r="I529" i="16"/>
  <c r="H529" i="16"/>
  <c r="G529" i="16"/>
  <c r="F529" i="16"/>
  <c r="E529" i="16"/>
  <c r="D529" i="16"/>
  <c r="C529" i="16"/>
  <c r="P528" i="16"/>
  <c r="O528" i="16"/>
  <c r="N528" i="16"/>
  <c r="M528" i="16"/>
  <c r="L528" i="16"/>
  <c r="K528" i="16"/>
  <c r="J528" i="16"/>
  <c r="I528" i="16"/>
  <c r="H528" i="16"/>
  <c r="G528" i="16"/>
  <c r="F528" i="16"/>
  <c r="E528" i="16"/>
  <c r="D528" i="16"/>
  <c r="C528" i="16"/>
  <c r="P527" i="16"/>
  <c r="O527" i="16"/>
  <c r="N527" i="16"/>
  <c r="M527" i="16"/>
  <c r="L527" i="16"/>
  <c r="K527" i="16"/>
  <c r="J527" i="16"/>
  <c r="I527" i="16"/>
  <c r="H527" i="16"/>
  <c r="G527" i="16"/>
  <c r="F527" i="16"/>
  <c r="E527" i="16"/>
  <c r="D527" i="16"/>
  <c r="C527" i="16"/>
  <c r="P526" i="16"/>
  <c r="O526" i="16"/>
  <c r="N526" i="16"/>
  <c r="M526" i="16"/>
  <c r="L526" i="16"/>
  <c r="K526" i="16"/>
  <c r="J526" i="16"/>
  <c r="I526" i="16"/>
  <c r="H526" i="16"/>
  <c r="G526" i="16"/>
  <c r="F526" i="16"/>
  <c r="E526" i="16"/>
  <c r="D526" i="16"/>
  <c r="C526" i="16"/>
  <c r="P525" i="16"/>
  <c r="O525" i="16"/>
  <c r="N525" i="16"/>
  <c r="M525" i="16"/>
  <c r="L525" i="16"/>
  <c r="K525" i="16"/>
  <c r="J525" i="16"/>
  <c r="I525" i="16"/>
  <c r="H525" i="16"/>
  <c r="G525" i="16"/>
  <c r="F525" i="16"/>
  <c r="E525" i="16"/>
  <c r="D525" i="16"/>
  <c r="C525" i="16"/>
  <c r="P524" i="16"/>
  <c r="O524" i="16"/>
  <c r="N524" i="16"/>
  <c r="M524" i="16"/>
  <c r="L524" i="16"/>
  <c r="K524" i="16"/>
  <c r="J524" i="16"/>
  <c r="I524" i="16"/>
  <c r="H524" i="16"/>
  <c r="G524" i="16"/>
  <c r="F524" i="16"/>
  <c r="E524" i="16"/>
  <c r="D524" i="16"/>
  <c r="C524" i="16"/>
  <c r="P523" i="16"/>
  <c r="O523" i="16"/>
  <c r="N523" i="16"/>
  <c r="M523" i="16"/>
  <c r="L523" i="16"/>
  <c r="K523" i="16"/>
  <c r="J523" i="16"/>
  <c r="I523" i="16"/>
  <c r="H523" i="16"/>
  <c r="G523" i="16"/>
  <c r="F523" i="16"/>
  <c r="E523" i="16"/>
  <c r="D523" i="16"/>
  <c r="C523" i="16"/>
  <c r="P522" i="16"/>
  <c r="O522" i="16"/>
  <c r="N522" i="16"/>
  <c r="M522" i="16"/>
  <c r="L522" i="16"/>
  <c r="K522" i="16"/>
  <c r="J522" i="16"/>
  <c r="I522" i="16"/>
  <c r="H522" i="16"/>
  <c r="G522" i="16"/>
  <c r="F522" i="16"/>
  <c r="E522" i="16"/>
  <c r="D522" i="16"/>
  <c r="C522" i="16"/>
  <c r="P521" i="16"/>
  <c r="O521" i="16"/>
  <c r="N521" i="16"/>
  <c r="M521" i="16"/>
  <c r="L521" i="16"/>
  <c r="K521" i="16"/>
  <c r="J521" i="16"/>
  <c r="I521" i="16"/>
  <c r="H521" i="16"/>
  <c r="G521" i="16"/>
  <c r="F521" i="16"/>
  <c r="E521" i="16"/>
  <c r="D521" i="16"/>
  <c r="C521" i="16"/>
  <c r="P520" i="16"/>
  <c r="O520" i="16"/>
  <c r="N520" i="16"/>
  <c r="M520" i="16"/>
  <c r="L520" i="16"/>
  <c r="K520" i="16"/>
  <c r="J520" i="16"/>
  <c r="I520" i="16"/>
  <c r="H520" i="16"/>
  <c r="G520" i="16"/>
  <c r="F520" i="16"/>
  <c r="E520" i="16"/>
  <c r="D520" i="16"/>
  <c r="C520" i="16"/>
  <c r="P519" i="16"/>
  <c r="O519" i="16"/>
  <c r="N519" i="16"/>
  <c r="M519" i="16"/>
  <c r="L519" i="16"/>
  <c r="K519" i="16"/>
  <c r="J519" i="16"/>
  <c r="I519" i="16"/>
  <c r="H519" i="16"/>
  <c r="G519" i="16"/>
  <c r="F519" i="16"/>
  <c r="E519" i="16"/>
  <c r="D519" i="16"/>
  <c r="C519" i="16"/>
  <c r="P518" i="16"/>
  <c r="O518" i="16"/>
  <c r="N518" i="16"/>
  <c r="M518" i="16"/>
  <c r="L518" i="16"/>
  <c r="K518" i="16"/>
  <c r="J518" i="16"/>
  <c r="I518" i="16"/>
  <c r="H518" i="16"/>
  <c r="G518" i="16"/>
  <c r="F518" i="16"/>
  <c r="E518" i="16"/>
  <c r="D518" i="16"/>
  <c r="C518" i="16"/>
  <c r="P517" i="16"/>
  <c r="O517" i="16"/>
  <c r="N517" i="16"/>
  <c r="M517" i="16"/>
  <c r="L517" i="16"/>
  <c r="K517" i="16"/>
  <c r="J517" i="16"/>
  <c r="I517" i="16"/>
  <c r="H517" i="16"/>
  <c r="G517" i="16"/>
  <c r="F517" i="16"/>
  <c r="E517" i="16"/>
  <c r="D517" i="16"/>
  <c r="C517" i="16"/>
  <c r="P516" i="16"/>
  <c r="O516" i="16"/>
  <c r="N516" i="16"/>
  <c r="M516" i="16"/>
  <c r="L516" i="16"/>
  <c r="K516" i="16"/>
  <c r="J516" i="16"/>
  <c r="I516" i="16"/>
  <c r="H516" i="16"/>
  <c r="G516" i="16"/>
  <c r="F516" i="16"/>
  <c r="E516" i="16"/>
  <c r="D516" i="16"/>
  <c r="C516" i="16"/>
  <c r="P515" i="16"/>
  <c r="O515" i="16"/>
  <c r="N515" i="16"/>
  <c r="M515" i="16"/>
  <c r="L515" i="16"/>
  <c r="K515" i="16"/>
  <c r="J515" i="16"/>
  <c r="I515" i="16"/>
  <c r="H515" i="16"/>
  <c r="G515" i="16"/>
  <c r="F515" i="16"/>
  <c r="E515" i="16"/>
  <c r="D515" i="16"/>
  <c r="C515" i="16"/>
  <c r="P514" i="16"/>
  <c r="O514" i="16"/>
  <c r="N514" i="16"/>
  <c r="M514" i="16"/>
  <c r="L514" i="16"/>
  <c r="K514" i="16"/>
  <c r="J514" i="16"/>
  <c r="I514" i="16"/>
  <c r="H514" i="16"/>
  <c r="G514" i="16"/>
  <c r="F514" i="16"/>
  <c r="E514" i="16"/>
  <c r="D514" i="16"/>
  <c r="C514" i="16"/>
  <c r="P513" i="16"/>
  <c r="O513" i="16"/>
  <c r="N513" i="16"/>
  <c r="M513" i="16"/>
  <c r="L513" i="16"/>
  <c r="K513" i="16"/>
  <c r="J513" i="16"/>
  <c r="I513" i="16"/>
  <c r="H513" i="16"/>
  <c r="G513" i="16"/>
  <c r="F513" i="16"/>
  <c r="E513" i="16"/>
  <c r="D513" i="16"/>
  <c r="C513" i="16"/>
  <c r="P512" i="16"/>
  <c r="O512" i="16"/>
  <c r="N512" i="16"/>
  <c r="M512" i="16"/>
  <c r="L512" i="16"/>
  <c r="K512" i="16"/>
  <c r="J512" i="16"/>
  <c r="I512" i="16"/>
  <c r="H512" i="16"/>
  <c r="G512" i="16"/>
  <c r="F512" i="16"/>
  <c r="E512" i="16"/>
  <c r="D512" i="16"/>
  <c r="C512" i="16"/>
  <c r="P511" i="16"/>
  <c r="O511" i="16"/>
  <c r="N511" i="16"/>
  <c r="M511" i="16"/>
  <c r="L511" i="16"/>
  <c r="K511" i="16"/>
  <c r="J511" i="16"/>
  <c r="I511" i="16"/>
  <c r="H511" i="16"/>
  <c r="G511" i="16"/>
  <c r="F511" i="16"/>
  <c r="E511" i="16"/>
  <c r="D511" i="16"/>
  <c r="C511" i="16"/>
  <c r="P510" i="16"/>
  <c r="O510" i="16"/>
  <c r="N510" i="16"/>
  <c r="M510" i="16"/>
  <c r="L510" i="16"/>
  <c r="K510" i="16"/>
  <c r="J510" i="16"/>
  <c r="I510" i="16"/>
  <c r="H510" i="16"/>
  <c r="G510" i="16"/>
  <c r="F510" i="16"/>
  <c r="E510" i="16"/>
  <c r="D510" i="16"/>
  <c r="C510" i="16"/>
  <c r="P509" i="16"/>
  <c r="O509" i="16"/>
  <c r="N509" i="16"/>
  <c r="M509" i="16"/>
  <c r="L509" i="16"/>
  <c r="K509" i="16"/>
  <c r="J509" i="16"/>
  <c r="I509" i="16"/>
  <c r="H509" i="16"/>
  <c r="G509" i="16"/>
  <c r="F509" i="16"/>
  <c r="E509" i="16"/>
  <c r="D509" i="16"/>
  <c r="C509" i="16"/>
  <c r="P508" i="16"/>
  <c r="O508" i="16"/>
  <c r="N508" i="16"/>
  <c r="M508" i="16"/>
  <c r="L508" i="16"/>
  <c r="K508" i="16"/>
  <c r="J508" i="16"/>
  <c r="I508" i="16"/>
  <c r="H508" i="16"/>
  <c r="G508" i="16"/>
  <c r="F508" i="16"/>
  <c r="E508" i="16"/>
  <c r="D508" i="16"/>
  <c r="C508" i="16"/>
  <c r="P507" i="16"/>
  <c r="O507" i="16"/>
  <c r="N507" i="16"/>
  <c r="M507" i="16"/>
  <c r="L507" i="16"/>
  <c r="K507" i="16"/>
  <c r="J507" i="16"/>
  <c r="I507" i="16"/>
  <c r="H507" i="16"/>
  <c r="G507" i="16"/>
  <c r="F507" i="16"/>
  <c r="E507" i="16"/>
  <c r="D507" i="16"/>
  <c r="C507" i="16"/>
  <c r="P506" i="16"/>
  <c r="O506" i="16"/>
  <c r="N506" i="16"/>
  <c r="M506" i="16"/>
  <c r="L506" i="16"/>
  <c r="K506" i="16"/>
  <c r="J506" i="16"/>
  <c r="I506" i="16"/>
  <c r="H506" i="16"/>
  <c r="G506" i="16"/>
  <c r="F506" i="16"/>
  <c r="E506" i="16"/>
  <c r="D506" i="16"/>
  <c r="C506" i="16"/>
  <c r="P505" i="16"/>
  <c r="O505" i="16"/>
  <c r="N505" i="16"/>
  <c r="M505" i="16"/>
  <c r="L505" i="16"/>
  <c r="K505" i="16"/>
  <c r="J505" i="16"/>
  <c r="I505" i="16"/>
  <c r="H505" i="16"/>
  <c r="G505" i="16"/>
  <c r="F505" i="16"/>
  <c r="E505" i="16"/>
  <c r="D505" i="16"/>
  <c r="C505" i="16"/>
  <c r="P504" i="16"/>
  <c r="O504" i="16"/>
  <c r="N504" i="16"/>
  <c r="M504" i="16"/>
  <c r="L504" i="16"/>
  <c r="K504" i="16"/>
  <c r="J504" i="16"/>
  <c r="I504" i="16"/>
  <c r="H504" i="16"/>
  <c r="G504" i="16"/>
  <c r="F504" i="16"/>
  <c r="E504" i="16"/>
  <c r="D504" i="16"/>
  <c r="C504" i="16"/>
  <c r="P503" i="16"/>
  <c r="O503" i="16"/>
  <c r="N503" i="16"/>
  <c r="M503" i="16"/>
  <c r="L503" i="16"/>
  <c r="K503" i="16"/>
  <c r="J503" i="16"/>
  <c r="I503" i="16"/>
  <c r="H503" i="16"/>
  <c r="G503" i="16"/>
  <c r="F503" i="16"/>
  <c r="E503" i="16"/>
  <c r="D503" i="16"/>
  <c r="C503" i="16"/>
  <c r="P502" i="16"/>
  <c r="O502" i="16"/>
  <c r="N502" i="16"/>
  <c r="M502" i="16"/>
  <c r="L502" i="16"/>
  <c r="K502" i="16"/>
  <c r="J502" i="16"/>
  <c r="I502" i="16"/>
  <c r="H502" i="16"/>
  <c r="G502" i="16"/>
  <c r="F502" i="16"/>
  <c r="E502" i="16"/>
  <c r="D502" i="16"/>
  <c r="C502" i="16"/>
  <c r="P501" i="16"/>
  <c r="O501" i="16"/>
  <c r="N501" i="16"/>
  <c r="M501" i="16"/>
  <c r="L501" i="16"/>
  <c r="K501" i="16"/>
  <c r="J501" i="16"/>
  <c r="I501" i="16"/>
  <c r="H501" i="16"/>
  <c r="G501" i="16"/>
  <c r="F501" i="16"/>
  <c r="E501" i="16"/>
  <c r="D501" i="16"/>
  <c r="C501" i="16"/>
  <c r="P500" i="16"/>
  <c r="O500" i="16"/>
  <c r="N500" i="16"/>
  <c r="M500" i="16"/>
  <c r="L500" i="16"/>
  <c r="K500" i="16"/>
  <c r="J500" i="16"/>
  <c r="I500" i="16"/>
  <c r="H500" i="16"/>
  <c r="G500" i="16"/>
  <c r="F500" i="16"/>
  <c r="E500" i="16"/>
  <c r="D500" i="16"/>
  <c r="C500" i="16"/>
  <c r="P499" i="16"/>
  <c r="O499" i="16"/>
  <c r="N499" i="16"/>
  <c r="M499" i="16"/>
  <c r="L499" i="16"/>
  <c r="K499" i="16"/>
  <c r="J499" i="16"/>
  <c r="I499" i="16"/>
  <c r="H499" i="16"/>
  <c r="G499" i="16"/>
  <c r="F499" i="16"/>
  <c r="E499" i="16"/>
  <c r="D499" i="16"/>
  <c r="C499" i="16"/>
  <c r="P498" i="16"/>
  <c r="O498" i="16"/>
  <c r="N498" i="16"/>
  <c r="M498" i="16"/>
  <c r="L498" i="16"/>
  <c r="K498" i="16"/>
  <c r="J498" i="16"/>
  <c r="I498" i="16"/>
  <c r="H498" i="16"/>
  <c r="G498" i="16"/>
  <c r="F498" i="16"/>
  <c r="E498" i="16"/>
  <c r="D498" i="16"/>
  <c r="C498" i="16"/>
  <c r="P497" i="16"/>
  <c r="O497" i="16"/>
  <c r="N497" i="16"/>
  <c r="M497" i="16"/>
  <c r="L497" i="16"/>
  <c r="K497" i="16"/>
  <c r="J497" i="16"/>
  <c r="I497" i="16"/>
  <c r="H497" i="16"/>
  <c r="G497" i="16"/>
  <c r="F497" i="16"/>
  <c r="E497" i="16"/>
  <c r="D497" i="16"/>
  <c r="C497" i="16"/>
  <c r="P496" i="16"/>
  <c r="O496" i="16"/>
  <c r="N496" i="16"/>
  <c r="M496" i="16"/>
  <c r="L496" i="16"/>
  <c r="K496" i="16"/>
  <c r="J496" i="16"/>
  <c r="I496" i="16"/>
  <c r="H496" i="16"/>
  <c r="G496" i="16"/>
  <c r="F496" i="16"/>
  <c r="E496" i="16"/>
  <c r="D496" i="16"/>
  <c r="C496" i="16"/>
  <c r="P495" i="16"/>
  <c r="O495" i="16"/>
  <c r="N495" i="16"/>
  <c r="M495" i="16"/>
  <c r="L495" i="16"/>
  <c r="K495" i="16"/>
  <c r="J495" i="16"/>
  <c r="I495" i="16"/>
  <c r="H495" i="16"/>
  <c r="G495" i="16"/>
  <c r="F495" i="16"/>
  <c r="E495" i="16"/>
  <c r="D495" i="16"/>
  <c r="C495" i="16"/>
  <c r="P494" i="16"/>
  <c r="O494" i="16"/>
  <c r="N494" i="16"/>
  <c r="M494" i="16"/>
  <c r="L494" i="16"/>
  <c r="K494" i="16"/>
  <c r="J494" i="16"/>
  <c r="I494" i="16"/>
  <c r="H494" i="16"/>
  <c r="G494" i="16"/>
  <c r="F494" i="16"/>
  <c r="E494" i="16"/>
  <c r="D494" i="16"/>
  <c r="C494" i="16"/>
  <c r="P493" i="16"/>
  <c r="O493" i="16"/>
  <c r="N493" i="16"/>
  <c r="M493" i="16"/>
  <c r="L493" i="16"/>
  <c r="K493" i="16"/>
  <c r="J493" i="16"/>
  <c r="I493" i="16"/>
  <c r="H493" i="16"/>
  <c r="G493" i="16"/>
  <c r="F493" i="16"/>
  <c r="E493" i="16"/>
  <c r="D493" i="16"/>
  <c r="C493" i="16"/>
  <c r="P492" i="16"/>
  <c r="O492" i="16"/>
  <c r="N492" i="16"/>
  <c r="M492" i="16"/>
  <c r="L492" i="16"/>
  <c r="K492" i="16"/>
  <c r="J492" i="16"/>
  <c r="I492" i="16"/>
  <c r="H492" i="16"/>
  <c r="G492" i="16"/>
  <c r="F492" i="16"/>
  <c r="E492" i="16"/>
  <c r="D492" i="16"/>
  <c r="C492" i="16"/>
  <c r="P491" i="16"/>
  <c r="O491" i="16"/>
  <c r="N491" i="16"/>
  <c r="M491" i="16"/>
  <c r="L491" i="16"/>
  <c r="K491" i="16"/>
  <c r="J491" i="16"/>
  <c r="I491" i="16"/>
  <c r="H491" i="16"/>
  <c r="G491" i="16"/>
  <c r="F491" i="16"/>
  <c r="E491" i="16"/>
  <c r="D491" i="16"/>
  <c r="C491" i="16"/>
  <c r="P490" i="16"/>
  <c r="O490" i="16"/>
  <c r="N490" i="16"/>
  <c r="M490" i="16"/>
  <c r="L490" i="16"/>
  <c r="K490" i="16"/>
  <c r="J490" i="16"/>
  <c r="I490" i="16"/>
  <c r="H490" i="16"/>
  <c r="G490" i="16"/>
  <c r="F490" i="16"/>
  <c r="E490" i="16"/>
  <c r="D490" i="16"/>
  <c r="C490" i="16"/>
  <c r="P489" i="16"/>
  <c r="O489" i="16"/>
  <c r="N489" i="16"/>
  <c r="M489" i="16"/>
  <c r="L489" i="16"/>
  <c r="K489" i="16"/>
  <c r="J489" i="16"/>
  <c r="I489" i="16"/>
  <c r="H489" i="16"/>
  <c r="G489" i="16"/>
  <c r="F489" i="16"/>
  <c r="E489" i="16"/>
  <c r="D489" i="16"/>
  <c r="C489" i="16"/>
  <c r="P488" i="16"/>
  <c r="O488" i="16"/>
  <c r="N488" i="16"/>
  <c r="M488" i="16"/>
  <c r="L488" i="16"/>
  <c r="K488" i="16"/>
  <c r="J488" i="16"/>
  <c r="I488" i="16"/>
  <c r="H488" i="16"/>
  <c r="G488" i="16"/>
  <c r="F488" i="16"/>
  <c r="E488" i="16"/>
  <c r="D488" i="16"/>
  <c r="C488" i="16"/>
  <c r="P487" i="16"/>
  <c r="O487" i="16"/>
  <c r="N487" i="16"/>
  <c r="M487" i="16"/>
  <c r="L487" i="16"/>
  <c r="K487" i="16"/>
  <c r="J487" i="16"/>
  <c r="I487" i="16"/>
  <c r="H487" i="16"/>
  <c r="G487" i="16"/>
  <c r="F487" i="16"/>
  <c r="E487" i="16"/>
  <c r="D487" i="16"/>
  <c r="C487" i="16"/>
  <c r="P486" i="16"/>
  <c r="O486" i="16"/>
  <c r="N486" i="16"/>
  <c r="M486" i="16"/>
  <c r="L486" i="16"/>
  <c r="K486" i="16"/>
  <c r="J486" i="16"/>
  <c r="I486" i="16"/>
  <c r="H486" i="16"/>
  <c r="G486" i="16"/>
  <c r="F486" i="16"/>
  <c r="E486" i="16"/>
  <c r="D486" i="16"/>
  <c r="C486" i="16"/>
  <c r="P485" i="16"/>
  <c r="O485" i="16"/>
  <c r="N485" i="16"/>
  <c r="M485" i="16"/>
  <c r="L485" i="16"/>
  <c r="K485" i="16"/>
  <c r="J485" i="16"/>
  <c r="I485" i="16"/>
  <c r="H485" i="16"/>
  <c r="G485" i="16"/>
  <c r="F485" i="16"/>
  <c r="E485" i="16"/>
  <c r="D485" i="16"/>
  <c r="C485" i="16"/>
  <c r="P484" i="16"/>
  <c r="O484" i="16"/>
  <c r="N484" i="16"/>
  <c r="M484" i="16"/>
  <c r="L484" i="16"/>
  <c r="K484" i="16"/>
  <c r="J484" i="16"/>
  <c r="I484" i="16"/>
  <c r="H484" i="16"/>
  <c r="G484" i="16"/>
  <c r="F484" i="16"/>
  <c r="E484" i="16"/>
  <c r="D484" i="16"/>
  <c r="C484" i="16"/>
  <c r="P483" i="16"/>
  <c r="O483" i="16"/>
  <c r="N483" i="16"/>
  <c r="M483" i="16"/>
  <c r="L483" i="16"/>
  <c r="K483" i="16"/>
  <c r="J483" i="16"/>
  <c r="I483" i="16"/>
  <c r="H483" i="16"/>
  <c r="G483" i="16"/>
  <c r="F483" i="16"/>
  <c r="E483" i="16"/>
  <c r="D483" i="16"/>
  <c r="C483" i="16"/>
  <c r="P482" i="16"/>
  <c r="O482" i="16"/>
  <c r="N482" i="16"/>
  <c r="M482" i="16"/>
  <c r="L482" i="16"/>
  <c r="K482" i="16"/>
  <c r="J482" i="16"/>
  <c r="I482" i="16"/>
  <c r="H482" i="16"/>
  <c r="G482" i="16"/>
  <c r="F482" i="16"/>
  <c r="E482" i="16"/>
  <c r="D482" i="16"/>
  <c r="C482" i="16"/>
  <c r="P481" i="16"/>
  <c r="O481" i="16"/>
  <c r="N481" i="16"/>
  <c r="M481" i="16"/>
  <c r="L481" i="16"/>
  <c r="K481" i="16"/>
  <c r="J481" i="16"/>
  <c r="I481" i="16"/>
  <c r="H481" i="16"/>
  <c r="G481" i="16"/>
  <c r="F481" i="16"/>
  <c r="E481" i="16"/>
  <c r="D481" i="16"/>
  <c r="C481" i="16"/>
  <c r="P480" i="16"/>
  <c r="O480" i="16"/>
  <c r="N480" i="16"/>
  <c r="M480" i="16"/>
  <c r="L480" i="16"/>
  <c r="K480" i="16"/>
  <c r="J480" i="16"/>
  <c r="I480" i="16"/>
  <c r="H480" i="16"/>
  <c r="G480" i="16"/>
  <c r="F480" i="16"/>
  <c r="E480" i="16"/>
  <c r="D480" i="16"/>
  <c r="C480" i="16"/>
  <c r="P479" i="16"/>
  <c r="O479" i="16"/>
  <c r="N479" i="16"/>
  <c r="M479" i="16"/>
  <c r="L479" i="16"/>
  <c r="K479" i="16"/>
  <c r="J479" i="16"/>
  <c r="I479" i="16"/>
  <c r="H479" i="16"/>
  <c r="G479" i="16"/>
  <c r="F479" i="16"/>
  <c r="E479" i="16"/>
  <c r="D479" i="16"/>
  <c r="C479" i="16"/>
  <c r="P478" i="16"/>
  <c r="O478" i="16"/>
  <c r="N478" i="16"/>
  <c r="M478" i="16"/>
  <c r="L478" i="16"/>
  <c r="K478" i="16"/>
  <c r="J478" i="16"/>
  <c r="I478" i="16"/>
  <c r="H478" i="16"/>
  <c r="G478" i="16"/>
  <c r="F478" i="16"/>
  <c r="E478" i="16"/>
  <c r="D478" i="16"/>
  <c r="C478" i="16"/>
  <c r="P477" i="16"/>
  <c r="O477" i="16"/>
  <c r="N477" i="16"/>
  <c r="M477" i="16"/>
  <c r="L477" i="16"/>
  <c r="K477" i="16"/>
  <c r="J477" i="16"/>
  <c r="I477" i="16"/>
  <c r="H477" i="16"/>
  <c r="G477" i="16"/>
  <c r="F477" i="16"/>
  <c r="E477" i="16"/>
  <c r="D477" i="16"/>
  <c r="C477" i="16"/>
  <c r="P476" i="16"/>
  <c r="O476" i="16"/>
  <c r="N476" i="16"/>
  <c r="M476" i="16"/>
  <c r="L476" i="16"/>
  <c r="K476" i="16"/>
  <c r="J476" i="16"/>
  <c r="I476" i="16"/>
  <c r="H476" i="16"/>
  <c r="G476" i="16"/>
  <c r="F476" i="16"/>
  <c r="E476" i="16"/>
  <c r="D476" i="16"/>
  <c r="C476" i="16"/>
  <c r="P475" i="16"/>
  <c r="O475" i="16"/>
  <c r="N475" i="16"/>
  <c r="M475" i="16"/>
  <c r="L475" i="16"/>
  <c r="K475" i="16"/>
  <c r="J475" i="16"/>
  <c r="I475" i="16"/>
  <c r="H475" i="16"/>
  <c r="G475" i="16"/>
  <c r="F475" i="16"/>
  <c r="E475" i="16"/>
  <c r="D475" i="16"/>
  <c r="C475" i="16"/>
  <c r="P474" i="16"/>
  <c r="O474" i="16"/>
  <c r="N474" i="16"/>
  <c r="M474" i="16"/>
  <c r="L474" i="16"/>
  <c r="K474" i="16"/>
  <c r="J474" i="16"/>
  <c r="I474" i="16"/>
  <c r="H474" i="16"/>
  <c r="G474" i="16"/>
  <c r="F474" i="16"/>
  <c r="E474" i="16"/>
  <c r="D474" i="16"/>
  <c r="C474" i="16"/>
  <c r="P473" i="16"/>
  <c r="O473" i="16"/>
  <c r="N473" i="16"/>
  <c r="M473" i="16"/>
  <c r="L473" i="16"/>
  <c r="K473" i="16"/>
  <c r="J473" i="16"/>
  <c r="I473" i="16"/>
  <c r="H473" i="16"/>
  <c r="G473" i="16"/>
  <c r="F473" i="16"/>
  <c r="E473" i="16"/>
  <c r="D473" i="16"/>
  <c r="C473" i="16"/>
  <c r="P472" i="16"/>
  <c r="O472" i="16"/>
  <c r="N472" i="16"/>
  <c r="M472" i="16"/>
  <c r="L472" i="16"/>
  <c r="K472" i="16"/>
  <c r="J472" i="16"/>
  <c r="I472" i="16"/>
  <c r="H472" i="16"/>
  <c r="G472" i="16"/>
  <c r="F472" i="16"/>
  <c r="E472" i="16"/>
  <c r="D472" i="16"/>
  <c r="C472" i="16"/>
  <c r="P471" i="16"/>
  <c r="O471" i="16"/>
  <c r="N471" i="16"/>
  <c r="M471" i="16"/>
  <c r="L471" i="16"/>
  <c r="K471" i="16"/>
  <c r="J471" i="16"/>
  <c r="I471" i="16"/>
  <c r="H471" i="16"/>
  <c r="G471" i="16"/>
  <c r="F471" i="16"/>
  <c r="E471" i="16"/>
  <c r="D471" i="16"/>
  <c r="C471" i="16"/>
  <c r="P470" i="16"/>
  <c r="O470" i="16"/>
  <c r="N470" i="16"/>
  <c r="M470" i="16"/>
  <c r="L470" i="16"/>
  <c r="K470" i="16"/>
  <c r="J470" i="16"/>
  <c r="I470" i="16"/>
  <c r="H470" i="16"/>
  <c r="G470" i="16"/>
  <c r="F470" i="16"/>
  <c r="E470" i="16"/>
  <c r="D470" i="16"/>
  <c r="C470" i="16"/>
  <c r="P469" i="16"/>
  <c r="O469" i="16"/>
  <c r="N469" i="16"/>
  <c r="M469" i="16"/>
  <c r="L469" i="16"/>
  <c r="K469" i="16"/>
  <c r="J469" i="16"/>
  <c r="I469" i="16"/>
  <c r="H469" i="16"/>
  <c r="G469" i="16"/>
  <c r="F469" i="16"/>
  <c r="E469" i="16"/>
  <c r="D469" i="16"/>
  <c r="C469" i="16"/>
  <c r="P468" i="16"/>
  <c r="O468" i="16"/>
  <c r="N468" i="16"/>
  <c r="M468" i="16"/>
  <c r="L468" i="16"/>
  <c r="K468" i="16"/>
  <c r="J468" i="16"/>
  <c r="I468" i="16"/>
  <c r="H468" i="16"/>
  <c r="G468" i="16"/>
  <c r="F468" i="16"/>
  <c r="E468" i="16"/>
  <c r="D468" i="16"/>
  <c r="C468" i="16"/>
  <c r="P467" i="16"/>
  <c r="O467" i="16"/>
  <c r="N467" i="16"/>
  <c r="M467" i="16"/>
  <c r="L467" i="16"/>
  <c r="K467" i="16"/>
  <c r="J467" i="16"/>
  <c r="I467" i="16"/>
  <c r="H467" i="16"/>
  <c r="G467" i="16"/>
  <c r="F467" i="16"/>
  <c r="E467" i="16"/>
  <c r="D467" i="16"/>
  <c r="C467" i="16"/>
  <c r="P466" i="16"/>
  <c r="O466" i="16"/>
  <c r="N466" i="16"/>
  <c r="M466" i="16"/>
  <c r="L466" i="16"/>
  <c r="K466" i="16"/>
  <c r="J466" i="16"/>
  <c r="I466" i="16"/>
  <c r="H466" i="16"/>
  <c r="G466" i="16"/>
  <c r="F466" i="16"/>
  <c r="E466" i="16"/>
  <c r="D466" i="16"/>
  <c r="C466" i="16"/>
  <c r="P465" i="16"/>
  <c r="O465" i="16"/>
  <c r="N465" i="16"/>
  <c r="M465" i="16"/>
  <c r="L465" i="16"/>
  <c r="K465" i="16"/>
  <c r="J465" i="16"/>
  <c r="I465" i="16"/>
  <c r="H465" i="16"/>
  <c r="G465" i="16"/>
  <c r="F465" i="16"/>
  <c r="E465" i="16"/>
  <c r="D465" i="16"/>
  <c r="C465" i="16"/>
  <c r="P464" i="16"/>
  <c r="O464" i="16"/>
  <c r="N464" i="16"/>
  <c r="M464" i="16"/>
  <c r="L464" i="16"/>
  <c r="K464" i="16"/>
  <c r="J464" i="16"/>
  <c r="I464" i="16"/>
  <c r="H464" i="16"/>
  <c r="G464" i="16"/>
  <c r="F464" i="16"/>
  <c r="E464" i="16"/>
  <c r="D464" i="16"/>
  <c r="C464" i="16"/>
  <c r="P463" i="16"/>
  <c r="O463" i="16"/>
  <c r="N463" i="16"/>
  <c r="M463" i="16"/>
  <c r="L463" i="16"/>
  <c r="K463" i="16"/>
  <c r="J463" i="16"/>
  <c r="I463" i="16"/>
  <c r="H463" i="16"/>
  <c r="G463" i="16"/>
  <c r="F463" i="16"/>
  <c r="E463" i="16"/>
  <c r="D463" i="16"/>
  <c r="C463" i="16"/>
  <c r="P462" i="16"/>
  <c r="O462" i="16"/>
  <c r="N462" i="16"/>
  <c r="M462" i="16"/>
  <c r="L462" i="16"/>
  <c r="K462" i="16"/>
  <c r="J462" i="16"/>
  <c r="I462" i="16"/>
  <c r="H462" i="16"/>
  <c r="G462" i="16"/>
  <c r="F462" i="16"/>
  <c r="E462" i="16"/>
  <c r="D462" i="16"/>
  <c r="C462" i="16"/>
  <c r="P461" i="16"/>
  <c r="O461" i="16"/>
  <c r="N461" i="16"/>
  <c r="M461" i="16"/>
  <c r="L461" i="16"/>
  <c r="K461" i="16"/>
  <c r="J461" i="16"/>
  <c r="I461" i="16"/>
  <c r="H461" i="16"/>
  <c r="G461" i="16"/>
  <c r="F461" i="16"/>
  <c r="E461" i="16"/>
  <c r="D461" i="16"/>
  <c r="C461" i="16"/>
  <c r="P460" i="16"/>
  <c r="O460" i="16"/>
  <c r="N460" i="16"/>
  <c r="M460" i="16"/>
  <c r="L460" i="16"/>
  <c r="K460" i="16"/>
  <c r="J460" i="16"/>
  <c r="I460" i="16"/>
  <c r="H460" i="16"/>
  <c r="G460" i="16"/>
  <c r="F460" i="16"/>
  <c r="E460" i="16"/>
  <c r="D460" i="16"/>
  <c r="C460" i="16"/>
  <c r="P459" i="16"/>
  <c r="O459" i="16"/>
  <c r="N459" i="16"/>
  <c r="M459" i="16"/>
  <c r="L459" i="16"/>
  <c r="K459" i="16"/>
  <c r="J459" i="16"/>
  <c r="I459" i="16"/>
  <c r="H459" i="16"/>
  <c r="G459" i="16"/>
  <c r="F459" i="16"/>
  <c r="E459" i="16"/>
  <c r="D459" i="16"/>
  <c r="C459" i="16"/>
  <c r="P458" i="16"/>
  <c r="O458" i="16"/>
  <c r="N458" i="16"/>
  <c r="M458" i="16"/>
  <c r="L458" i="16"/>
  <c r="K458" i="16"/>
  <c r="J458" i="16"/>
  <c r="I458" i="16"/>
  <c r="H458" i="16"/>
  <c r="G458" i="16"/>
  <c r="F458" i="16"/>
  <c r="E458" i="16"/>
  <c r="D458" i="16"/>
  <c r="C458" i="16"/>
  <c r="P457" i="16"/>
  <c r="O457" i="16"/>
  <c r="N457" i="16"/>
  <c r="M457" i="16"/>
  <c r="L457" i="16"/>
  <c r="K457" i="16"/>
  <c r="J457" i="16"/>
  <c r="I457" i="16"/>
  <c r="H457" i="16"/>
  <c r="G457" i="16"/>
  <c r="F457" i="16"/>
  <c r="E457" i="16"/>
  <c r="D457" i="16"/>
  <c r="C457" i="16"/>
  <c r="P456" i="16"/>
  <c r="O456" i="16"/>
  <c r="N456" i="16"/>
  <c r="M456" i="16"/>
  <c r="L456" i="16"/>
  <c r="K456" i="16"/>
  <c r="J456" i="16"/>
  <c r="I456" i="16"/>
  <c r="H456" i="16"/>
  <c r="G456" i="16"/>
  <c r="F456" i="16"/>
  <c r="E456" i="16"/>
  <c r="D456" i="16"/>
  <c r="C456" i="16"/>
  <c r="P455" i="16"/>
  <c r="O455" i="16"/>
  <c r="N455" i="16"/>
  <c r="M455" i="16"/>
  <c r="L455" i="16"/>
  <c r="K455" i="16"/>
  <c r="J455" i="16"/>
  <c r="I455" i="16"/>
  <c r="H455" i="16"/>
  <c r="G455" i="16"/>
  <c r="F455" i="16"/>
  <c r="E455" i="16"/>
  <c r="D455" i="16"/>
  <c r="C455" i="16"/>
  <c r="P454" i="16"/>
  <c r="O454" i="16"/>
  <c r="N454" i="16"/>
  <c r="M454" i="16"/>
  <c r="L454" i="16"/>
  <c r="K454" i="16"/>
  <c r="J454" i="16"/>
  <c r="I454" i="16"/>
  <c r="H454" i="16"/>
  <c r="G454" i="16"/>
  <c r="F454" i="16"/>
  <c r="E454" i="16"/>
  <c r="D454" i="16"/>
  <c r="C454" i="16"/>
  <c r="P453" i="16"/>
  <c r="O453" i="16"/>
  <c r="N453" i="16"/>
  <c r="M453" i="16"/>
  <c r="L453" i="16"/>
  <c r="K453" i="16"/>
  <c r="J453" i="16"/>
  <c r="I453" i="16"/>
  <c r="H453" i="16"/>
  <c r="G453" i="16"/>
  <c r="F453" i="16"/>
  <c r="E453" i="16"/>
  <c r="D453" i="16"/>
  <c r="C453" i="16"/>
  <c r="P452" i="16"/>
  <c r="O452" i="16"/>
  <c r="N452" i="16"/>
  <c r="M452" i="16"/>
  <c r="L452" i="16"/>
  <c r="K452" i="16"/>
  <c r="J452" i="16"/>
  <c r="I452" i="16"/>
  <c r="H452" i="16"/>
  <c r="G452" i="16"/>
  <c r="F452" i="16"/>
  <c r="E452" i="16"/>
  <c r="D452" i="16"/>
  <c r="C452" i="16"/>
  <c r="P451" i="16"/>
  <c r="O451" i="16"/>
  <c r="N451" i="16"/>
  <c r="M451" i="16"/>
  <c r="L451" i="16"/>
  <c r="K451" i="16"/>
  <c r="J451" i="16"/>
  <c r="I451" i="16"/>
  <c r="H451" i="16"/>
  <c r="G451" i="16"/>
  <c r="F451" i="16"/>
  <c r="E451" i="16"/>
  <c r="D451" i="16"/>
  <c r="C451" i="16"/>
  <c r="P450" i="16"/>
  <c r="O450" i="16"/>
  <c r="N450" i="16"/>
  <c r="M450" i="16"/>
  <c r="L450" i="16"/>
  <c r="K450" i="16"/>
  <c r="J450" i="16"/>
  <c r="I450" i="16"/>
  <c r="H450" i="16"/>
  <c r="G450" i="16"/>
  <c r="F450" i="16"/>
  <c r="E450" i="16"/>
  <c r="D450" i="16"/>
  <c r="C450" i="16"/>
  <c r="P449" i="16"/>
  <c r="O449" i="16"/>
  <c r="N449" i="16"/>
  <c r="M449" i="16"/>
  <c r="L449" i="16"/>
  <c r="K449" i="16"/>
  <c r="J449" i="16"/>
  <c r="I449" i="16"/>
  <c r="H449" i="16"/>
  <c r="G449" i="16"/>
  <c r="F449" i="16"/>
  <c r="E449" i="16"/>
  <c r="D449" i="16"/>
  <c r="C449" i="16"/>
  <c r="P448" i="16"/>
  <c r="O448" i="16"/>
  <c r="N448" i="16"/>
  <c r="M448" i="16"/>
  <c r="L448" i="16"/>
  <c r="K448" i="16"/>
  <c r="J448" i="16"/>
  <c r="I448" i="16"/>
  <c r="H448" i="16"/>
  <c r="G448" i="16"/>
  <c r="F448" i="16"/>
  <c r="E448" i="16"/>
  <c r="D448" i="16"/>
  <c r="C448" i="16"/>
  <c r="P447" i="16"/>
  <c r="O447" i="16"/>
  <c r="N447" i="16"/>
  <c r="M447" i="16"/>
  <c r="L447" i="16"/>
  <c r="K447" i="16"/>
  <c r="J447" i="16"/>
  <c r="I447" i="16"/>
  <c r="H447" i="16"/>
  <c r="G447" i="16"/>
  <c r="F447" i="16"/>
  <c r="E447" i="16"/>
  <c r="D447" i="16"/>
  <c r="C447" i="16"/>
  <c r="P446" i="16"/>
  <c r="O446" i="16"/>
  <c r="N446" i="16"/>
  <c r="M446" i="16"/>
  <c r="L446" i="16"/>
  <c r="K446" i="16"/>
  <c r="J446" i="16"/>
  <c r="I446" i="16"/>
  <c r="H446" i="16"/>
  <c r="G446" i="16"/>
  <c r="F446" i="16"/>
  <c r="E446" i="16"/>
  <c r="D446" i="16"/>
  <c r="C446" i="16"/>
  <c r="P445" i="16"/>
  <c r="O445" i="16"/>
  <c r="N445" i="16"/>
  <c r="M445" i="16"/>
  <c r="L445" i="16"/>
  <c r="K445" i="16"/>
  <c r="J445" i="16"/>
  <c r="I445" i="16"/>
  <c r="H445" i="16"/>
  <c r="G445" i="16"/>
  <c r="F445" i="16"/>
  <c r="E445" i="16"/>
  <c r="D445" i="16"/>
  <c r="C445" i="16"/>
  <c r="P444" i="16"/>
  <c r="O444" i="16"/>
  <c r="N444" i="16"/>
  <c r="M444" i="16"/>
  <c r="L444" i="16"/>
  <c r="K444" i="16"/>
  <c r="J444" i="16"/>
  <c r="I444" i="16"/>
  <c r="H444" i="16"/>
  <c r="G444" i="16"/>
  <c r="F444" i="16"/>
  <c r="E444" i="16"/>
  <c r="D444" i="16"/>
  <c r="C444" i="16"/>
  <c r="P443" i="16"/>
  <c r="O443" i="16"/>
  <c r="N443" i="16"/>
  <c r="M443" i="16"/>
  <c r="L443" i="16"/>
  <c r="K443" i="16"/>
  <c r="J443" i="16"/>
  <c r="I443" i="16"/>
  <c r="H443" i="16"/>
  <c r="G443" i="16"/>
  <c r="F443" i="16"/>
  <c r="E443" i="16"/>
  <c r="D443" i="16"/>
  <c r="C443" i="16"/>
  <c r="P442" i="16"/>
  <c r="O442" i="16"/>
  <c r="N442" i="16"/>
  <c r="M442" i="16"/>
  <c r="L442" i="16"/>
  <c r="K442" i="16"/>
  <c r="J442" i="16"/>
  <c r="I442" i="16"/>
  <c r="H442" i="16"/>
  <c r="G442" i="16"/>
  <c r="F442" i="16"/>
  <c r="E442" i="16"/>
  <c r="D442" i="16"/>
  <c r="C442" i="16"/>
  <c r="P441" i="16"/>
  <c r="O441" i="16"/>
  <c r="N441" i="16"/>
  <c r="M441" i="16"/>
  <c r="L441" i="16"/>
  <c r="K441" i="16"/>
  <c r="J441" i="16"/>
  <c r="I441" i="16"/>
  <c r="H441" i="16"/>
  <c r="G441" i="16"/>
  <c r="F441" i="16"/>
  <c r="E441" i="16"/>
  <c r="D441" i="16"/>
  <c r="C441" i="16"/>
  <c r="P440" i="16"/>
  <c r="O440" i="16"/>
  <c r="N440" i="16"/>
  <c r="M440" i="16"/>
  <c r="L440" i="16"/>
  <c r="K440" i="16"/>
  <c r="J440" i="16"/>
  <c r="I440" i="16"/>
  <c r="H440" i="16"/>
  <c r="G440" i="16"/>
  <c r="F440" i="16"/>
  <c r="E440" i="16"/>
  <c r="D440" i="16"/>
  <c r="C440" i="16"/>
  <c r="P439" i="16"/>
  <c r="O439" i="16"/>
  <c r="N439" i="16"/>
  <c r="M439" i="16"/>
  <c r="L439" i="16"/>
  <c r="K439" i="16"/>
  <c r="J439" i="16"/>
  <c r="I439" i="16"/>
  <c r="H439" i="16"/>
  <c r="G439" i="16"/>
  <c r="F439" i="16"/>
  <c r="E439" i="16"/>
  <c r="D439" i="16"/>
  <c r="C439" i="16"/>
  <c r="P438" i="16"/>
  <c r="O438" i="16"/>
  <c r="N438" i="16"/>
  <c r="M438" i="16"/>
  <c r="L438" i="16"/>
  <c r="K438" i="16"/>
  <c r="J438" i="16"/>
  <c r="I438" i="16"/>
  <c r="H438" i="16"/>
  <c r="G438" i="16"/>
  <c r="F438" i="16"/>
  <c r="E438" i="16"/>
  <c r="D438" i="16"/>
  <c r="C438" i="16"/>
  <c r="P437" i="16"/>
  <c r="O437" i="16"/>
  <c r="N437" i="16"/>
  <c r="M437" i="16"/>
  <c r="L437" i="16"/>
  <c r="K437" i="16"/>
  <c r="J437" i="16"/>
  <c r="I437" i="16"/>
  <c r="H437" i="16"/>
  <c r="G437" i="16"/>
  <c r="F437" i="16"/>
  <c r="E437" i="16"/>
  <c r="D437" i="16"/>
  <c r="C437" i="16"/>
  <c r="P436" i="16"/>
  <c r="O436" i="16"/>
  <c r="N436" i="16"/>
  <c r="M436" i="16"/>
  <c r="L436" i="16"/>
  <c r="K436" i="16"/>
  <c r="J436" i="16"/>
  <c r="I436" i="16"/>
  <c r="H436" i="16"/>
  <c r="G436" i="16"/>
  <c r="F436" i="16"/>
  <c r="E436" i="16"/>
  <c r="D436" i="16"/>
  <c r="C436" i="16"/>
  <c r="P435" i="16"/>
  <c r="O435" i="16"/>
  <c r="N435" i="16"/>
  <c r="M435" i="16"/>
  <c r="L435" i="16"/>
  <c r="K435" i="16"/>
  <c r="J435" i="16"/>
  <c r="I435" i="16"/>
  <c r="H435" i="16"/>
  <c r="G435" i="16"/>
  <c r="F435" i="16"/>
  <c r="E435" i="16"/>
  <c r="D435" i="16"/>
  <c r="C435" i="16"/>
  <c r="P434" i="16"/>
  <c r="O434" i="16"/>
  <c r="N434" i="16"/>
  <c r="M434" i="16"/>
  <c r="L434" i="16"/>
  <c r="K434" i="16"/>
  <c r="J434" i="16"/>
  <c r="I434" i="16"/>
  <c r="H434" i="16"/>
  <c r="G434" i="16"/>
  <c r="F434" i="16"/>
  <c r="E434" i="16"/>
  <c r="D434" i="16"/>
  <c r="C434" i="16"/>
  <c r="P433" i="16"/>
  <c r="O433" i="16"/>
  <c r="N433" i="16"/>
  <c r="M433" i="16"/>
  <c r="L433" i="16"/>
  <c r="K433" i="16"/>
  <c r="J433" i="16"/>
  <c r="I433" i="16"/>
  <c r="H433" i="16"/>
  <c r="G433" i="16"/>
  <c r="F433" i="16"/>
  <c r="E433" i="16"/>
  <c r="D433" i="16"/>
  <c r="C433" i="16"/>
  <c r="P432" i="16"/>
  <c r="O432" i="16"/>
  <c r="N432" i="16"/>
  <c r="M432" i="16"/>
  <c r="L432" i="16"/>
  <c r="K432" i="16"/>
  <c r="J432" i="16"/>
  <c r="I432" i="16"/>
  <c r="H432" i="16"/>
  <c r="G432" i="16"/>
  <c r="F432" i="16"/>
  <c r="E432" i="16"/>
  <c r="D432" i="16"/>
  <c r="C432" i="16"/>
  <c r="P431" i="16"/>
  <c r="O431" i="16"/>
  <c r="N431" i="16"/>
  <c r="M431" i="16"/>
  <c r="L431" i="16"/>
  <c r="K431" i="16"/>
  <c r="J431" i="16"/>
  <c r="I431" i="16"/>
  <c r="H431" i="16"/>
  <c r="G431" i="16"/>
  <c r="F431" i="16"/>
  <c r="E431" i="16"/>
  <c r="D431" i="16"/>
  <c r="C431" i="16"/>
  <c r="P430" i="16"/>
  <c r="O430" i="16"/>
  <c r="N430" i="16"/>
  <c r="M430" i="16"/>
  <c r="L430" i="16"/>
  <c r="K430" i="16"/>
  <c r="J430" i="16"/>
  <c r="I430" i="16"/>
  <c r="H430" i="16"/>
  <c r="G430" i="16"/>
  <c r="F430" i="16"/>
  <c r="E430" i="16"/>
  <c r="D430" i="16"/>
  <c r="C430" i="16"/>
  <c r="P429" i="16"/>
  <c r="O429" i="16"/>
  <c r="N429" i="16"/>
  <c r="M429" i="16"/>
  <c r="L429" i="16"/>
  <c r="K429" i="16"/>
  <c r="J429" i="16"/>
  <c r="I429" i="16"/>
  <c r="H429" i="16"/>
  <c r="G429" i="16"/>
  <c r="F429" i="16"/>
  <c r="E429" i="16"/>
  <c r="D429" i="16"/>
  <c r="C429" i="16"/>
  <c r="P428" i="16"/>
  <c r="O428" i="16"/>
  <c r="N428" i="16"/>
  <c r="M428" i="16"/>
  <c r="L428" i="16"/>
  <c r="K428" i="16"/>
  <c r="J428" i="16"/>
  <c r="I428" i="16"/>
  <c r="H428" i="16"/>
  <c r="G428" i="16"/>
  <c r="F428" i="16"/>
  <c r="E428" i="16"/>
  <c r="D428" i="16"/>
  <c r="C428" i="16"/>
  <c r="P427" i="16"/>
  <c r="O427" i="16"/>
  <c r="N427" i="16"/>
  <c r="M427" i="16"/>
  <c r="L427" i="16"/>
  <c r="K427" i="16"/>
  <c r="J427" i="16"/>
  <c r="I427" i="16"/>
  <c r="H427" i="16"/>
  <c r="G427" i="16"/>
  <c r="F427" i="16"/>
  <c r="E427" i="16"/>
  <c r="D427" i="16"/>
  <c r="C427" i="16"/>
  <c r="P426" i="16"/>
  <c r="O426" i="16"/>
  <c r="N426" i="16"/>
  <c r="M426" i="16"/>
  <c r="L426" i="16"/>
  <c r="K426" i="16"/>
  <c r="J426" i="16"/>
  <c r="I426" i="16"/>
  <c r="H426" i="16"/>
  <c r="G426" i="16"/>
  <c r="F426" i="16"/>
  <c r="E426" i="16"/>
  <c r="D426" i="16"/>
  <c r="C426" i="16"/>
  <c r="P425" i="16"/>
  <c r="O425" i="16"/>
  <c r="N425" i="16"/>
  <c r="M425" i="16"/>
  <c r="L425" i="16"/>
  <c r="K425" i="16"/>
  <c r="J425" i="16"/>
  <c r="I425" i="16"/>
  <c r="H425" i="16"/>
  <c r="G425" i="16"/>
  <c r="F425" i="16"/>
  <c r="E425" i="16"/>
  <c r="D425" i="16"/>
  <c r="C425" i="16"/>
  <c r="P424" i="16"/>
  <c r="O424" i="16"/>
  <c r="N424" i="16"/>
  <c r="M424" i="16"/>
  <c r="L424" i="16"/>
  <c r="K424" i="16"/>
  <c r="J424" i="16"/>
  <c r="I424" i="16"/>
  <c r="H424" i="16"/>
  <c r="G424" i="16"/>
  <c r="F424" i="16"/>
  <c r="E424" i="16"/>
  <c r="D424" i="16"/>
  <c r="C424" i="16"/>
  <c r="P423" i="16"/>
  <c r="O423" i="16"/>
  <c r="N423" i="16"/>
  <c r="M423" i="16"/>
  <c r="L423" i="16"/>
  <c r="K423" i="16"/>
  <c r="J423" i="16"/>
  <c r="I423" i="16"/>
  <c r="H423" i="16"/>
  <c r="G423" i="16"/>
  <c r="F423" i="16"/>
  <c r="E423" i="16"/>
  <c r="D423" i="16"/>
  <c r="C423" i="16"/>
  <c r="P422" i="16"/>
  <c r="O422" i="16"/>
  <c r="N422" i="16"/>
  <c r="M422" i="16"/>
  <c r="L422" i="16"/>
  <c r="K422" i="16"/>
  <c r="J422" i="16"/>
  <c r="I422" i="16"/>
  <c r="H422" i="16"/>
  <c r="G422" i="16"/>
  <c r="F422" i="16"/>
  <c r="E422" i="16"/>
  <c r="D422" i="16"/>
  <c r="C422" i="16"/>
  <c r="P421" i="16"/>
  <c r="O421" i="16"/>
  <c r="N421" i="16"/>
  <c r="M421" i="16"/>
  <c r="L421" i="16"/>
  <c r="K421" i="16"/>
  <c r="J421" i="16"/>
  <c r="I421" i="16"/>
  <c r="H421" i="16"/>
  <c r="G421" i="16"/>
  <c r="F421" i="16"/>
  <c r="E421" i="16"/>
  <c r="D421" i="16"/>
  <c r="C421" i="16"/>
  <c r="P420" i="16"/>
  <c r="O420" i="16"/>
  <c r="N420" i="16"/>
  <c r="M420" i="16"/>
  <c r="L420" i="16"/>
  <c r="K420" i="16"/>
  <c r="J420" i="16"/>
  <c r="I420" i="16"/>
  <c r="H420" i="16"/>
  <c r="G420" i="16"/>
  <c r="F420" i="16"/>
  <c r="E420" i="16"/>
  <c r="D420" i="16"/>
  <c r="C420" i="16"/>
  <c r="P419" i="16"/>
  <c r="O419" i="16"/>
  <c r="N419" i="16"/>
  <c r="M419" i="16"/>
  <c r="L419" i="16"/>
  <c r="K419" i="16"/>
  <c r="J419" i="16"/>
  <c r="I419" i="16"/>
  <c r="H419" i="16"/>
  <c r="G419" i="16"/>
  <c r="F419" i="16"/>
  <c r="E419" i="16"/>
  <c r="D419" i="16"/>
  <c r="C419" i="16"/>
  <c r="P418" i="16"/>
  <c r="O418" i="16"/>
  <c r="N418" i="16"/>
  <c r="M418" i="16"/>
  <c r="L418" i="16"/>
  <c r="K418" i="16"/>
  <c r="J418" i="16"/>
  <c r="I418" i="16"/>
  <c r="H418" i="16"/>
  <c r="G418" i="16"/>
  <c r="F418" i="16"/>
  <c r="E418" i="16"/>
  <c r="D418" i="16"/>
  <c r="C418" i="16"/>
  <c r="P417" i="16"/>
  <c r="O417" i="16"/>
  <c r="N417" i="16"/>
  <c r="M417" i="16"/>
  <c r="L417" i="16"/>
  <c r="K417" i="16"/>
  <c r="J417" i="16"/>
  <c r="I417" i="16"/>
  <c r="H417" i="16"/>
  <c r="G417" i="16"/>
  <c r="F417" i="16"/>
  <c r="E417" i="16"/>
  <c r="D417" i="16"/>
  <c r="C417" i="16"/>
  <c r="P416" i="16"/>
  <c r="O416" i="16"/>
  <c r="N416" i="16"/>
  <c r="M416" i="16"/>
  <c r="L416" i="16"/>
  <c r="K416" i="16"/>
  <c r="J416" i="16"/>
  <c r="I416" i="16"/>
  <c r="H416" i="16"/>
  <c r="G416" i="16"/>
  <c r="F416" i="16"/>
  <c r="E416" i="16"/>
  <c r="D416" i="16"/>
  <c r="C416" i="16"/>
  <c r="P415" i="16"/>
  <c r="O415" i="16"/>
  <c r="N415" i="16"/>
  <c r="M415" i="16"/>
  <c r="L415" i="16"/>
  <c r="K415" i="16"/>
  <c r="J415" i="16"/>
  <c r="I415" i="16"/>
  <c r="H415" i="16"/>
  <c r="G415" i="16"/>
  <c r="F415" i="16"/>
  <c r="E415" i="16"/>
  <c r="D415" i="16"/>
  <c r="C415" i="16"/>
  <c r="P414" i="16"/>
  <c r="O414" i="16"/>
  <c r="N414" i="16"/>
  <c r="M414" i="16"/>
  <c r="L414" i="16"/>
  <c r="K414" i="16"/>
  <c r="J414" i="16"/>
  <c r="I414" i="16"/>
  <c r="H414" i="16"/>
  <c r="G414" i="16"/>
  <c r="F414" i="16"/>
  <c r="E414" i="16"/>
  <c r="D414" i="16"/>
  <c r="C414" i="16"/>
  <c r="P413" i="16"/>
  <c r="O413" i="16"/>
  <c r="N413" i="16"/>
  <c r="M413" i="16"/>
  <c r="L413" i="16"/>
  <c r="K413" i="16"/>
  <c r="J413" i="16"/>
  <c r="I413" i="16"/>
  <c r="H413" i="16"/>
  <c r="G413" i="16"/>
  <c r="F413" i="16"/>
  <c r="E413" i="16"/>
  <c r="D413" i="16"/>
  <c r="C413" i="16"/>
  <c r="P412" i="16"/>
  <c r="O412" i="16"/>
  <c r="N412" i="16"/>
  <c r="M412" i="16"/>
  <c r="L412" i="16"/>
  <c r="K412" i="16"/>
  <c r="J412" i="16"/>
  <c r="I412" i="16"/>
  <c r="H412" i="16"/>
  <c r="G412" i="16"/>
  <c r="F412" i="16"/>
  <c r="E412" i="16"/>
  <c r="D412" i="16"/>
  <c r="C412" i="16"/>
  <c r="P411" i="16"/>
  <c r="O411" i="16"/>
  <c r="N411" i="16"/>
  <c r="M411" i="16"/>
  <c r="L411" i="16"/>
  <c r="K411" i="16"/>
  <c r="J411" i="16"/>
  <c r="I411" i="16"/>
  <c r="H411" i="16"/>
  <c r="G411" i="16"/>
  <c r="F411" i="16"/>
  <c r="E411" i="16"/>
  <c r="D411" i="16"/>
  <c r="C411" i="16"/>
  <c r="P410" i="16"/>
  <c r="O410" i="16"/>
  <c r="N410" i="16"/>
  <c r="M410" i="16"/>
  <c r="L410" i="16"/>
  <c r="K410" i="16"/>
  <c r="J410" i="16"/>
  <c r="I410" i="16"/>
  <c r="H410" i="16"/>
  <c r="G410" i="16"/>
  <c r="F410" i="16"/>
  <c r="E410" i="16"/>
  <c r="D410" i="16"/>
  <c r="C410" i="16"/>
  <c r="P409" i="16"/>
  <c r="O409" i="16"/>
  <c r="N409" i="16"/>
  <c r="M409" i="16"/>
  <c r="L409" i="16"/>
  <c r="K409" i="16"/>
  <c r="J409" i="16"/>
  <c r="I409" i="16"/>
  <c r="H409" i="16"/>
  <c r="G409" i="16"/>
  <c r="F409" i="16"/>
  <c r="E409" i="16"/>
  <c r="D409" i="16"/>
  <c r="C409" i="16"/>
  <c r="P408" i="16"/>
  <c r="O408" i="16"/>
  <c r="N408" i="16"/>
  <c r="M408" i="16"/>
  <c r="L408" i="16"/>
  <c r="K408" i="16"/>
  <c r="J408" i="16"/>
  <c r="I408" i="16"/>
  <c r="H408" i="16"/>
  <c r="G408" i="16"/>
  <c r="F408" i="16"/>
  <c r="E408" i="16"/>
  <c r="D408" i="16"/>
  <c r="C408" i="16"/>
  <c r="P407" i="16"/>
  <c r="O407" i="16"/>
  <c r="N407" i="16"/>
  <c r="M407" i="16"/>
  <c r="L407" i="16"/>
  <c r="K407" i="16"/>
  <c r="J407" i="16"/>
  <c r="I407" i="16"/>
  <c r="H407" i="16"/>
  <c r="G407" i="16"/>
  <c r="F407" i="16"/>
  <c r="E407" i="16"/>
  <c r="D407" i="16"/>
  <c r="C407" i="16"/>
  <c r="P406" i="16"/>
  <c r="O406" i="16"/>
  <c r="N406" i="16"/>
  <c r="M406" i="16"/>
  <c r="L406" i="16"/>
  <c r="K406" i="16"/>
  <c r="J406" i="16"/>
  <c r="I406" i="16"/>
  <c r="H406" i="16"/>
  <c r="G406" i="16"/>
  <c r="F406" i="16"/>
  <c r="E406" i="16"/>
  <c r="D406" i="16"/>
  <c r="C406" i="16"/>
  <c r="P405" i="16"/>
  <c r="O405" i="16"/>
  <c r="N405" i="16"/>
  <c r="M405" i="16"/>
  <c r="L405" i="16"/>
  <c r="K405" i="16"/>
  <c r="J405" i="16"/>
  <c r="I405" i="16"/>
  <c r="H405" i="16"/>
  <c r="G405" i="16"/>
  <c r="F405" i="16"/>
  <c r="E405" i="16"/>
  <c r="D405" i="16"/>
  <c r="C405" i="16"/>
  <c r="P404" i="16"/>
  <c r="O404" i="16"/>
  <c r="N404" i="16"/>
  <c r="M404" i="16"/>
  <c r="L404" i="16"/>
  <c r="K404" i="16"/>
  <c r="J404" i="16"/>
  <c r="I404" i="16"/>
  <c r="H404" i="16"/>
  <c r="G404" i="16"/>
  <c r="F404" i="16"/>
  <c r="E404" i="16"/>
  <c r="D404" i="16"/>
  <c r="C404" i="16"/>
  <c r="P403" i="16"/>
  <c r="O403" i="16"/>
  <c r="N403" i="16"/>
  <c r="M403" i="16"/>
  <c r="L403" i="16"/>
  <c r="K403" i="16"/>
  <c r="J403" i="16"/>
  <c r="I403" i="16"/>
  <c r="H403" i="16"/>
  <c r="G403" i="16"/>
  <c r="F403" i="16"/>
  <c r="E403" i="16"/>
  <c r="D403" i="16"/>
  <c r="C403" i="16"/>
  <c r="P402" i="16"/>
  <c r="O402" i="16"/>
  <c r="N402" i="16"/>
  <c r="M402" i="16"/>
  <c r="L402" i="16"/>
  <c r="K402" i="16"/>
  <c r="J402" i="16"/>
  <c r="I402" i="16"/>
  <c r="H402" i="16"/>
  <c r="G402" i="16"/>
  <c r="F402" i="16"/>
  <c r="E402" i="16"/>
  <c r="D402" i="16"/>
  <c r="C402" i="16"/>
  <c r="P401" i="16"/>
  <c r="O401" i="16"/>
  <c r="N401" i="16"/>
  <c r="M401" i="16"/>
  <c r="L401" i="16"/>
  <c r="K401" i="16"/>
  <c r="J401" i="16"/>
  <c r="I401" i="16"/>
  <c r="H401" i="16"/>
  <c r="G401" i="16"/>
  <c r="F401" i="16"/>
  <c r="E401" i="16"/>
  <c r="D401" i="16"/>
  <c r="C401" i="16"/>
  <c r="P400" i="16"/>
  <c r="O400" i="16"/>
  <c r="N400" i="16"/>
  <c r="M400" i="16"/>
  <c r="L400" i="16"/>
  <c r="K400" i="16"/>
  <c r="J400" i="16"/>
  <c r="I400" i="16"/>
  <c r="H400" i="16"/>
  <c r="G400" i="16"/>
  <c r="F400" i="16"/>
  <c r="E400" i="16"/>
  <c r="D400" i="16"/>
  <c r="C400" i="16"/>
  <c r="P399" i="16"/>
  <c r="O399" i="16"/>
  <c r="N399" i="16"/>
  <c r="M399" i="16"/>
  <c r="L399" i="16"/>
  <c r="K399" i="16"/>
  <c r="J399" i="16"/>
  <c r="I399" i="16"/>
  <c r="H399" i="16"/>
  <c r="G399" i="16"/>
  <c r="F399" i="16"/>
  <c r="E399" i="16"/>
  <c r="D399" i="16"/>
  <c r="C399" i="16"/>
  <c r="P398" i="16"/>
  <c r="O398" i="16"/>
  <c r="N398" i="16"/>
  <c r="M398" i="16"/>
  <c r="L398" i="16"/>
  <c r="K398" i="16"/>
  <c r="J398" i="16"/>
  <c r="I398" i="16"/>
  <c r="H398" i="16"/>
  <c r="G398" i="16"/>
  <c r="F398" i="16"/>
  <c r="E398" i="16"/>
  <c r="D398" i="16"/>
  <c r="C398" i="16"/>
  <c r="P397" i="16"/>
  <c r="O397" i="16"/>
  <c r="N397" i="16"/>
  <c r="M397" i="16"/>
  <c r="L397" i="16"/>
  <c r="K397" i="16"/>
  <c r="J397" i="16"/>
  <c r="I397" i="16"/>
  <c r="H397" i="16"/>
  <c r="G397" i="16"/>
  <c r="F397" i="16"/>
  <c r="E397" i="16"/>
  <c r="D397" i="16"/>
  <c r="C397" i="16"/>
  <c r="P396" i="16"/>
  <c r="O396" i="16"/>
  <c r="N396" i="16"/>
  <c r="M396" i="16"/>
  <c r="L396" i="16"/>
  <c r="K396" i="16"/>
  <c r="J396" i="16"/>
  <c r="I396" i="16"/>
  <c r="H396" i="16"/>
  <c r="G396" i="16"/>
  <c r="F396" i="16"/>
  <c r="E396" i="16"/>
  <c r="D396" i="16"/>
  <c r="C396" i="16"/>
  <c r="P395" i="16"/>
  <c r="O395" i="16"/>
  <c r="N395" i="16"/>
  <c r="M395" i="16"/>
  <c r="L395" i="16"/>
  <c r="K395" i="16"/>
  <c r="J395" i="16"/>
  <c r="I395" i="16"/>
  <c r="H395" i="16"/>
  <c r="G395" i="16"/>
  <c r="F395" i="16"/>
  <c r="E395" i="16"/>
  <c r="D395" i="16"/>
  <c r="C395" i="16"/>
  <c r="P394" i="16"/>
  <c r="O394" i="16"/>
  <c r="N394" i="16"/>
  <c r="M394" i="16"/>
  <c r="L394" i="16"/>
  <c r="K394" i="16"/>
  <c r="J394" i="16"/>
  <c r="I394" i="16"/>
  <c r="H394" i="16"/>
  <c r="G394" i="16"/>
  <c r="F394" i="16"/>
  <c r="E394" i="16"/>
  <c r="D394" i="16"/>
  <c r="C394" i="16"/>
  <c r="P393" i="16"/>
  <c r="O393" i="16"/>
  <c r="N393" i="16"/>
  <c r="M393" i="16"/>
  <c r="L393" i="16"/>
  <c r="K393" i="16"/>
  <c r="J393" i="16"/>
  <c r="I393" i="16"/>
  <c r="H393" i="16"/>
  <c r="G393" i="16"/>
  <c r="F393" i="16"/>
  <c r="E393" i="16"/>
  <c r="D393" i="16"/>
  <c r="C393" i="16"/>
  <c r="P392" i="16"/>
  <c r="O392" i="16"/>
  <c r="N392" i="16"/>
  <c r="M392" i="16"/>
  <c r="L392" i="16"/>
  <c r="K392" i="16"/>
  <c r="J392" i="16"/>
  <c r="I392" i="16"/>
  <c r="H392" i="16"/>
  <c r="G392" i="16"/>
  <c r="F392" i="16"/>
  <c r="E392" i="16"/>
  <c r="D392" i="16"/>
  <c r="C392" i="16"/>
  <c r="P391" i="16"/>
  <c r="O391" i="16"/>
  <c r="N391" i="16"/>
  <c r="M391" i="16"/>
  <c r="L391" i="16"/>
  <c r="K391" i="16"/>
  <c r="J391" i="16"/>
  <c r="I391" i="16"/>
  <c r="H391" i="16"/>
  <c r="G391" i="16"/>
  <c r="F391" i="16"/>
  <c r="E391" i="16"/>
  <c r="D391" i="16"/>
  <c r="C391" i="16"/>
  <c r="P390" i="16"/>
  <c r="O390" i="16"/>
  <c r="N390" i="16"/>
  <c r="M390" i="16"/>
  <c r="L390" i="16"/>
  <c r="K390" i="16"/>
  <c r="J390" i="16"/>
  <c r="I390" i="16"/>
  <c r="H390" i="16"/>
  <c r="G390" i="16"/>
  <c r="F390" i="16"/>
  <c r="E390" i="16"/>
  <c r="D390" i="16"/>
  <c r="C390" i="16"/>
  <c r="P389" i="16"/>
  <c r="O389" i="16"/>
  <c r="N389" i="16"/>
  <c r="M389" i="16"/>
  <c r="L389" i="16"/>
  <c r="K389" i="16"/>
  <c r="J389" i="16"/>
  <c r="I389" i="16"/>
  <c r="H389" i="16"/>
  <c r="G389" i="16"/>
  <c r="F389" i="16"/>
  <c r="E389" i="16"/>
  <c r="D389" i="16"/>
  <c r="C389" i="16"/>
  <c r="P388" i="16"/>
  <c r="O388" i="16"/>
  <c r="N388" i="16"/>
  <c r="M388" i="16"/>
  <c r="L388" i="16"/>
  <c r="K388" i="16"/>
  <c r="J388" i="16"/>
  <c r="I388" i="16"/>
  <c r="H388" i="16"/>
  <c r="G388" i="16"/>
  <c r="F388" i="16"/>
  <c r="E388" i="16"/>
  <c r="D388" i="16"/>
  <c r="C388" i="16"/>
  <c r="P387" i="16"/>
  <c r="O387" i="16"/>
  <c r="N387" i="16"/>
  <c r="M387" i="16"/>
  <c r="L387" i="16"/>
  <c r="K387" i="16"/>
  <c r="J387" i="16"/>
  <c r="I387" i="16"/>
  <c r="H387" i="16"/>
  <c r="G387" i="16"/>
  <c r="F387" i="16"/>
  <c r="E387" i="16"/>
  <c r="D387" i="16"/>
  <c r="C387" i="16"/>
  <c r="P386" i="16"/>
  <c r="O386" i="16"/>
  <c r="N386" i="16"/>
  <c r="M386" i="16"/>
  <c r="L386" i="16"/>
  <c r="K386" i="16"/>
  <c r="J386" i="16"/>
  <c r="I386" i="16"/>
  <c r="H386" i="16"/>
  <c r="G386" i="16"/>
  <c r="F386" i="16"/>
  <c r="E386" i="16"/>
  <c r="D386" i="16"/>
  <c r="C386" i="16"/>
  <c r="P385" i="16"/>
  <c r="O385" i="16"/>
  <c r="N385" i="16"/>
  <c r="M385" i="16"/>
  <c r="L385" i="16"/>
  <c r="K385" i="16"/>
  <c r="J385" i="16"/>
  <c r="I385" i="16"/>
  <c r="H385" i="16"/>
  <c r="G385" i="16"/>
  <c r="F385" i="16"/>
  <c r="E385" i="16"/>
  <c r="D385" i="16"/>
  <c r="C385" i="16"/>
  <c r="P384" i="16"/>
  <c r="O384" i="16"/>
  <c r="N384" i="16"/>
  <c r="M384" i="16"/>
  <c r="L384" i="16"/>
  <c r="K384" i="16"/>
  <c r="J384" i="16"/>
  <c r="I384" i="16"/>
  <c r="H384" i="16"/>
  <c r="G384" i="16"/>
  <c r="F384" i="16"/>
  <c r="E384" i="16"/>
  <c r="D384" i="16"/>
  <c r="C384" i="16"/>
  <c r="P383" i="16"/>
  <c r="O383" i="16"/>
  <c r="N383" i="16"/>
  <c r="M383" i="16"/>
  <c r="L383" i="16"/>
  <c r="K383" i="16"/>
  <c r="J383" i="16"/>
  <c r="I383" i="16"/>
  <c r="H383" i="16"/>
  <c r="G383" i="16"/>
  <c r="F383" i="16"/>
  <c r="E383" i="16"/>
  <c r="D383" i="16"/>
  <c r="C383" i="16"/>
  <c r="P382" i="16"/>
  <c r="O382" i="16"/>
  <c r="N382" i="16"/>
  <c r="M382" i="16"/>
  <c r="L382" i="16"/>
  <c r="K382" i="16"/>
  <c r="J382" i="16"/>
  <c r="I382" i="16"/>
  <c r="H382" i="16"/>
  <c r="G382" i="16"/>
  <c r="F382" i="16"/>
  <c r="E382" i="16"/>
  <c r="D382" i="16"/>
  <c r="C382" i="16"/>
  <c r="P381" i="16"/>
  <c r="O381" i="16"/>
  <c r="N381" i="16"/>
  <c r="M381" i="16"/>
  <c r="L381" i="16"/>
  <c r="K381" i="16"/>
  <c r="J381" i="16"/>
  <c r="I381" i="16"/>
  <c r="H381" i="16"/>
  <c r="G381" i="16"/>
  <c r="F381" i="16"/>
  <c r="E381" i="16"/>
  <c r="D381" i="16"/>
  <c r="C381" i="16"/>
  <c r="P380" i="16"/>
  <c r="O380" i="16"/>
  <c r="N380" i="16"/>
  <c r="M380" i="16"/>
  <c r="L380" i="16"/>
  <c r="K380" i="16"/>
  <c r="J380" i="16"/>
  <c r="I380" i="16"/>
  <c r="H380" i="16"/>
  <c r="G380" i="16"/>
  <c r="F380" i="16"/>
  <c r="E380" i="16"/>
  <c r="D380" i="16"/>
  <c r="C380" i="16"/>
  <c r="P379" i="16"/>
  <c r="O379" i="16"/>
  <c r="N379" i="16"/>
  <c r="M379" i="16"/>
  <c r="L379" i="16"/>
  <c r="K379" i="16"/>
  <c r="J379" i="16"/>
  <c r="I379" i="16"/>
  <c r="H379" i="16"/>
  <c r="G379" i="16"/>
  <c r="F379" i="16"/>
  <c r="E379" i="16"/>
  <c r="D379" i="16"/>
  <c r="C379" i="16"/>
  <c r="P378" i="16"/>
  <c r="O378" i="16"/>
  <c r="N378" i="16"/>
  <c r="M378" i="16"/>
  <c r="L378" i="16"/>
  <c r="K378" i="16"/>
  <c r="J378" i="16"/>
  <c r="I378" i="16"/>
  <c r="H378" i="16"/>
  <c r="G378" i="16"/>
  <c r="F378" i="16"/>
  <c r="E378" i="16"/>
  <c r="D378" i="16"/>
  <c r="C378" i="16"/>
  <c r="P377" i="16"/>
  <c r="O377" i="16"/>
  <c r="N377" i="16"/>
  <c r="M377" i="16"/>
  <c r="L377" i="16"/>
  <c r="K377" i="16"/>
  <c r="J377" i="16"/>
  <c r="I377" i="16"/>
  <c r="H377" i="16"/>
  <c r="G377" i="16"/>
  <c r="F377" i="16"/>
  <c r="E377" i="16"/>
  <c r="D377" i="16"/>
  <c r="C377" i="16"/>
  <c r="P376" i="16"/>
  <c r="O376" i="16"/>
  <c r="N376" i="16"/>
  <c r="M376" i="16"/>
  <c r="L376" i="16"/>
  <c r="K376" i="16"/>
  <c r="J376" i="16"/>
  <c r="I376" i="16"/>
  <c r="H376" i="16"/>
  <c r="G376" i="16"/>
  <c r="F376" i="16"/>
  <c r="E376" i="16"/>
  <c r="D376" i="16"/>
  <c r="C376" i="16"/>
  <c r="P375" i="16"/>
  <c r="O375" i="16"/>
  <c r="N375" i="16"/>
  <c r="M375" i="16"/>
  <c r="L375" i="16"/>
  <c r="K375" i="16"/>
  <c r="J375" i="16"/>
  <c r="I375" i="16"/>
  <c r="H375" i="16"/>
  <c r="G375" i="16"/>
  <c r="F375" i="16"/>
  <c r="E375" i="16"/>
  <c r="D375" i="16"/>
  <c r="C375" i="16"/>
  <c r="P374" i="16"/>
  <c r="O374" i="16"/>
  <c r="N374" i="16"/>
  <c r="M374" i="16"/>
  <c r="L374" i="16"/>
  <c r="K374" i="16"/>
  <c r="J374" i="16"/>
  <c r="I374" i="16"/>
  <c r="H374" i="16"/>
  <c r="G374" i="16"/>
  <c r="F374" i="16"/>
  <c r="E374" i="16"/>
  <c r="D374" i="16"/>
  <c r="C374" i="16"/>
  <c r="P373" i="16"/>
  <c r="O373" i="16"/>
  <c r="N373" i="16"/>
  <c r="M373" i="16"/>
  <c r="L373" i="16"/>
  <c r="K373" i="16"/>
  <c r="J373" i="16"/>
  <c r="I373" i="16"/>
  <c r="H373" i="16"/>
  <c r="G373" i="16"/>
  <c r="F373" i="16"/>
  <c r="E373" i="16"/>
  <c r="D373" i="16"/>
  <c r="C373" i="16"/>
  <c r="P372" i="16"/>
  <c r="O372" i="16"/>
  <c r="N372" i="16"/>
  <c r="M372" i="16"/>
  <c r="L372" i="16"/>
  <c r="K372" i="16"/>
  <c r="J372" i="16"/>
  <c r="I372" i="16"/>
  <c r="H372" i="16"/>
  <c r="G372" i="16"/>
  <c r="F372" i="16"/>
  <c r="E372" i="16"/>
  <c r="D372" i="16"/>
  <c r="C372" i="16"/>
  <c r="P371" i="16"/>
  <c r="O371" i="16"/>
  <c r="N371" i="16"/>
  <c r="M371" i="16"/>
  <c r="L371" i="16"/>
  <c r="K371" i="16"/>
  <c r="J371" i="16"/>
  <c r="I371" i="16"/>
  <c r="H371" i="16"/>
  <c r="G371" i="16"/>
  <c r="F371" i="16"/>
  <c r="E371" i="16"/>
  <c r="D371" i="16"/>
  <c r="C371" i="16"/>
  <c r="P370" i="16"/>
  <c r="O370" i="16"/>
  <c r="N370" i="16"/>
  <c r="M370" i="16"/>
  <c r="L370" i="16"/>
  <c r="K370" i="16"/>
  <c r="J370" i="16"/>
  <c r="I370" i="16"/>
  <c r="H370" i="16"/>
  <c r="G370" i="16"/>
  <c r="F370" i="16"/>
  <c r="E370" i="16"/>
  <c r="D370" i="16"/>
  <c r="C370" i="16"/>
  <c r="P369" i="16"/>
  <c r="O369" i="16"/>
  <c r="N369" i="16"/>
  <c r="M369" i="16"/>
  <c r="L369" i="16"/>
  <c r="K369" i="16"/>
  <c r="J369" i="16"/>
  <c r="I369" i="16"/>
  <c r="H369" i="16"/>
  <c r="G369" i="16"/>
  <c r="F369" i="16"/>
  <c r="E369" i="16"/>
  <c r="D369" i="16"/>
  <c r="C369" i="16"/>
  <c r="P368" i="16"/>
  <c r="O368" i="16"/>
  <c r="N368" i="16"/>
  <c r="M368" i="16"/>
  <c r="L368" i="16"/>
  <c r="K368" i="16"/>
  <c r="J368" i="16"/>
  <c r="I368" i="16"/>
  <c r="H368" i="16"/>
  <c r="G368" i="16"/>
  <c r="F368" i="16"/>
  <c r="E368" i="16"/>
  <c r="D368" i="16"/>
  <c r="C368" i="16"/>
  <c r="P367" i="16"/>
  <c r="O367" i="16"/>
  <c r="N367" i="16"/>
  <c r="M367" i="16"/>
  <c r="L367" i="16"/>
  <c r="K367" i="16"/>
  <c r="J367" i="16"/>
  <c r="I367" i="16"/>
  <c r="H367" i="16"/>
  <c r="G367" i="16"/>
  <c r="F367" i="16"/>
  <c r="E367" i="16"/>
  <c r="D367" i="16"/>
  <c r="C367" i="16"/>
  <c r="P366" i="16"/>
  <c r="O366" i="16"/>
  <c r="N366" i="16"/>
  <c r="M366" i="16"/>
  <c r="L366" i="16"/>
  <c r="K366" i="16"/>
  <c r="J366" i="16"/>
  <c r="I366" i="16"/>
  <c r="H366" i="16"/>
  <c r="G366" i="16"/>
  <c r="F366" i="16"/>
  <c r="E366" i="16"/>
  <c r="D366" i="16"/>
  <c r="C366" i="16"/>
  <c r="P365" i="16"/>
  <c r="O365" i="16"/>
  <c r="N365" i="16"/>
  <c r="M365" i="16"/>
  <c r="L365" i="16"/>
  <c r="K365" i="16"/>
  <c r="J365" i="16"/>
  <c r="I365" i="16"/>
  <c r="H365" i="16"/>
  <c r="G365" i="16"/>
  <c r="F365" i="16"/>
  <c r="E365" i="16"/>
  <c r="D365" i="16"/>
  <c r="C365" i="16"/>
  <c r="P364" i="16"/>
  <c r="O364" i="16"/>
  <c r="N364" i="16"/>
  <c r="M364" i="16"/>
  <c r="L364" i="16"/>
  <c r="K364" i="16"/>
  <c r="J364" i="16"/>
  <c r="I364" i="16"/>
  <c r="H364" i="16"/>
  <c r="G364" i="16"/>
  <c r="F364" i="16"/>
  <c r="E364" i="16"/>
  <c r="D364" i="16"/>
  <c r="C364" i="16"/>
  <c r="P363" i="16"/>
  <c r="O363" i="16"/>
  <c r="N363" i="16"/>
  <c r="M363" i="16"/>
  <c r="L363" i="16"/>
  <c r="K363" i="16"/>
  <c r="J363" i="16"/>
  <c r="I363" i="16"/>
  <c r="H363" i="16"/>
  <c r="G363" i="16"/>
  <c r="F363" i="16"/>
  <c r="E363" i="16"/>
  <c r="D363" i="16"/>
  <c r="C363" i="16"/>
  <c r="P362" i="16"/>
  <c r="O362" i="16"/>
  <c r="N362" i="16"/>
  <c r="M362" i="16"/>
  <c r="L362" i="16"/>
  <c r="K362" i="16"/>
  <c r="J362" i="16"/>
  <c r="I362" i="16"/>
  <c r="H362" i="16"/>
  <c r="G362" i="16"/>
  <c r="F362" i="16"/>
  <c r="E362" i="16"/>
  <c r="D362" i="16"/>
  <c r="C362" i="16"/>
  <c r="P361" i="16"/>
  <c r="O361" i="16"/>
  <c r="N361" i="16"/>
  <c r="M361" i="16"/>
  <c r="L361" i="16"/>
  <c r="K361" i="16"/>
  <c r="J361" i="16"/>
  <c r="I361" i="16"/>
  <c r="H361" i="16"/>
  <c r="G361" i="16"/>
  <c r="F361" i="16"/>
  <c r="E361" i="16"/>
  <c r="D361" i="16"/>
  <c r="C361" i="16"/>
  <c r="P360" i="16"/>
  <c r="O360" i="16"/>
  <c r="N360" i="16"/>
  <c r="M360" i="16"/>
  <c r="L360" i="16"/>
  <c r="K360" i="16"/>
  <c r="J360" i="16"/>
  <c r="I360" i="16"/>
  <c r="H360" i="16"/>
  <c r="G360" i="16"/>
  <c r="F360" i="16"/>
  <c r="E360" i="16"/>
  <c r="D360" i="16"/>
  <c r="C360" i="16"/>
  <c r="P359" i="16"/>
  <c r="O359" i="16"/>
  <c r="N359" i="16"/>
  <c r="M359" i="16"/>
  <c r="L359" i="16"/>
  <c r="K359" i="16"/>
  <c r="J359" i="16"/>
  <c r="I359" i="16"/>
  <c r="H359" i="16"/>
  <c r="G359" i="16"/>
  <c r="F359" i="16"/>
  <c r="E359" i="16"/>
  <c r="D359" i="16"/>
  <c r="C359" i="16"/>
  <c r="P358" i="16"/>
  <c r="O358" i="16"/>
  <c r="N358" i="16"/>
  <c r="M358" i="16"/>
  <c r="L358" i="16"/>
  <c r="K358" i="16"/>
  <c r="J358" i="16"/>
  <c r="I358" i="16"/>
  <c r="H358" i="16"/>
  <c r="G358" i="16"/>
  <c r="F358" i="16"/>
  <c r="E358" i="16"/>
  <c r="D358" i="16"/>
  <c r="C358" i="16"/>
  <c r="P357" i="16"/>
  <c r="O357" i="16"/>
  <c r="N357" i="16"/>
  <c r="M357" i="16"/>
  <c r="L357" i="16"/>
  <c r="K357" i="16"/>
  <c r="J357" i="16"/>
  <c r="I357" i="16"/>
  <c r="H357" i="16"/>
  <c r="G357" i="16"/>
  <c r="F357" i="16"/>
  <c r="E357" i="16"/>
  <c r="D357" i="16"/>
  <c r="C357" i="16"/>
  <c r="P356" i="16"/>
  <c r="O356" i="16"/>
  <c r="N356" i="16"/>
  <c r="M356" i="16"/>
  <c r="L356" i="16"/>
  <c r="K356" i="16"/>
  <c r="J356" i="16"/>
  <c r="I356" i="16"/>
  <c r="H356" i="16"/>
  <c r="G356" i="16"/>
  <c r="F356" i="16"/>
  <c r="E356" i="16"/>
  <c r="D356" i="16"/>
  <c r="C356" i="16"/>
  <c r="P355" i="16"/>
  <c r="O355" i="16"/>
  <c r="N355" i="16"/>
  <c r="M355" i="16"/>
  <c r="L355" i="16"/>
  <c r="K355" i="16"/>
  <c r="J355" i="16"/>
  <c r="I355" i="16"/>
  <c r="H355" i="16"/>
  <c r="G355" i="16"/>
  <c r="F355" i="16"/>
  <c r="E355" i="16"/>
  <c r="D355" i="16"/>
  <c r="C355" i="16"/>
  <c r="P354" i="16"/>
  <c r="O354" i="16"/>
  <c r="N354" i="16"/>
  <c r="M354" i="16"/>
  <c r="L354" i="16"/>
  <c r="K354" i="16"/>
  <c r="J354" i="16"/>
  <c r="I354" i="16"/>
  <c r="H354" i="16"/>
  <c r="G354" i="16"/>
  <c r="F354" i="16"/>
  <c r="E354" i="16"/>
  <c r="D354" i="16"/>
  <c r="C354" i="16"/>
  <c r="P353" i="16"/>
  <c r="O353" i="16"/>
  <c r="N353" i="16"/>
  <c r="M353" i="16"/>
  <c r="L353" i="16"/>
  <c r="K353" i="16"/>
  <c r="J353" i="16"/>
  <c r="I353" i="16"/>
  <c r="H353" i="16"/>
  <c r="G353" i="16"/>
  <c r="F353" i="16"/>
  <c r="E353" i="16"/>
  <c r="D353" i="16"/>
  <c r="C353" i="16"/>
  <c r="P352" i="16"/>
  <c r="O352" i="16"/>
  <c r="N352" i="16"/>
  <c r="M352" i="16"/>
  <c r="L352" i="16"/>
  <c r="K352" i="16"/>
  <c r="J352" i="16"/>
  <c r="I352" i="16"/>
  <c r="H352" i="16"/>
  <c r="G352" i="16"/>
  <c r="F352" i="16"/>
  <c r="E352" i="16"/>
  <c r="D352" i="16"/>
  <c r="C352" i="16"/>
  <c r="P351" i="16"/>
  <c r="O351" i="16"/>
  <c r="N351" i="16"/>
  <c r="M351" i="16"/>
  <c r="L351" i="16"/>
  <c r="K351" i="16"/>
  <c r="J351" i="16"/>
  <c r="I351" i="16"/>
  <c r="H351" i="16"/>
  <c r="G351" i="16"/>
  <c r="F351" i="16"/>
  <c r="E351" i="16"/>
  <c r="D351" i="16"/>
  <c r="C351" i="16"/>
  <c r="P350" i="16"/>
  <c r="O350" i="16"/>
  <c r="N350" i="16"/>
  <c r="M350" i="16"/>
  <c r="L350" i="16"/>
  <c r="K350" i="16"/>
  <c r="J350" i="16"/>
  <c r="I350" i="16"/>
  <c r="H350" i="16"/>
  <c r="G350" i="16"/>
  <c r="F350" i="16"/>
  <c r="E350" i="16"/>
  <c r="D350" i="16"/>
  <c r="C350" i="16"/>
  <c r="P349" i="16"/>
  <c r="O349" i="16"/>
  <c r="N349" i="16"/>
  <c r="M349" i="16"/>
  <c r="L349" i="16"/>
  <c r="K349" i="16"/>
  <c r="J349" i="16"/>
  <c r="I349" i="16"/>
  <c r="H349" i="16"/>
  <c r="G349" i="16"/>
  <c r="F349" i="16"/>
  <c r="E349" i="16"/>
  <c r="D349" i="16"/>
  <c r="C349" i="16"/>
  <c r="P348" i="16"/>
  <c r="O348" i="16"/>
  <c r="N348" i="16"/>
  <c r="M348" i="16"/>
  <c r="L348" i="16"/>
  <c r="K348" i="16"/>
  <c r="J348" i="16"/>
  <c r="I348" i="16"/>
  <c r="H348" i="16"/>
  <c r="G348" i="16"/>
  <c r="F348" i="16"/>
  <c r="E348" i="16"/>
  <c r="D348" i="16"/>
  <c r="C348" i="16"/>
  <c r="P347" i="16"/>
  <c r="O347" i="16"/>
  <c r="N347" i="16"/>
  <c r="M347" i="16"/>
  <c r="L347" i="16"/>
  <c r="K347" i="16"/>
  <c r="J347" i="16"/>
  <c r="I347" i="16"/>
  <c r="H347" i="16"/>
  <c r="G347" i="16"/>
  <c r="F347" i="16"/>
  <c r="E347" i="16"/>
  <c r="D347" i="16"/>
  <c r="C347" i="16"/>
  <c r="P346" i="16"/>
  <c r="O346" i="16"/>
  <c r="N346" i="16"/>
  <c r="M346" i="16"/>
  <c r="L346" i="16"/>
  <c r="K346" i="16"/>
  <c r="J346" i="16"/>
  <c r="I346" i="16"/>
  <c r="H346" i="16"/>
  <c r="G346" i="16"/>
  <c r="F346" i="16"/>
  <c r="E346" i="16"/>
  <c r="D346" i="16"/>
  <c r="C346" i="16"/>
  <c r="P345" i="16"/>
  <c r="O345" i="16"/>
  <c r="N345" i="16"/>
  <c r="M345" i="16"/>
  <c r="L345" i="16"/>
  <c r="K345" i="16"/>
  <c r="J345" i="16"/>
  <c r="I345" i="16"/>
  <c r="H345" i="16"/>
  <c r="G345" i="16"/>
  <c r="F345" i="16"/>
  <c r="E345" i="16"/>
  <c r="D345" i="16"/>
  <c r="C345" i="16"/>
  <c r="P344" i="16"/>
  <c r="O344" i="16"/>
  <c r="N344" i="16"/>
  <c r="M344" i="16"/>
  <c r="L344" i="16"/>
  <c r="K344" i="16"/>
  <c r="J344" i="16"/>
  <c r="I344" i="16"/>
  <c r="H344" i="16"/>
  <c r="G344" i="16"/>
  <c r="F344" i="16"/>
  <c r="E344" i="16"/>
  <c r="D344" i="16"/>
  <c r="C344" i="16"/>
  <c r="P343" i="16"/>
  <c r="O343" i="16"/>
  <c r="N343" i="16"/>
  <c r="M343" i="16"/>
  <c r="L343" i="16"/>
  <c r="K343" i="16"/>
  <c r="J343" i="16"/>
  <c r="I343" i="16"/>
  <c r="H343" i="16"/>
  <c r="G343" i="16"/>
  <c r="F343" i="16"/>
  <c r="E343" i="16"/>
  <c r="D343" i="16"/>
  <c r="C343" i="16"/>
  <c r="P342" i="16"/>
  <c r="O342" i="16"/>
  <c r="N342" i="16"/>
  <c r="M342" i="16"/>
  <c r="L342" i="16"/>
  <c r="K342" i="16"/>
  <c r="J342" i="16"/>
  <c r="I342" i="16"/>
  <c r="H342" i="16"/>
  <c r="G342" i="16"/>
  <c r="F342" i="16"/>
  <c r="E342" i="16"/>
  <c r="D342" i="16"/>
  <c r="C342" i="16"/>
  <c r="P341" i="16"/>
  <c r="O341" i="16"/>
  <c r="N341" i="16"/>
  <c r="M341" i="16"/>
  <c r="L341" i="16"/>
  <c r="K341" i="16"/>
  <c r="J341" i="16"/>
  <c r="I341" i="16"/>
  <c r="H341" i="16"/>
  <c r="G341" i="16"/>
  <c r="F341" i="16"/>
  <c r="E341" i="16"/>
  <c r="D341" i="16"/>
  <c r="C341" i="16"/>
  <c r="P340" i="16"/>
  <c r="O340" i="16"/>
  <c r="N340" i="16"/>
  <c r="M340" i="16"/>
  <c r="L340" i="16"/>
  <c r="K340" i="16"/>
  <c r="J340" i="16"/>
  <c r="I340" i="16"/>
  <c r="H340" i="16"/>
  <c r="G340" i="16"/>
  <c r="F340" i="16"/>
  <c r="E340" i="16"/>
  <c r="D340" i="16"/>
  <c r="C340" i="16"/>
  <c r="P339" i="16"/>
  <c r="O339" i="16"/>
  <c r="N339" i="16"/>
  <c r="M339" i="16"/>
  <c r="L339" i="16"/>
  <c r="K339" i="16"/>
  <c r="J339" i="16"/>
  <c r="I339" i="16"/>
  <c r="H339" i="16"/>
  <c r="G339" i="16"/>
  <c r="F339" i="16"/>
  <c r="E339" i="16"/>
  <c r="D339" i="16"/>
  <c r="C339" i="16"/>
  <c r="P338" i="16"/>
  <c r="O338" i="16"/>
  <c r="N338" i="16"/>
  <c r="M338" i="16"/>
  <c r="L338" i="16"/>
  <c r="K338" i="16"/>
  <c r="J338" i="16"/>
  <c r="I338" i="16"/>
  <c r="H338" i="16"/>
  <c r="G338" i="16"/>
  <c r="F338" i="16"/>
  <c r="E338" i="16"/>
  <c r="D338" i="16"/>
  <c r="C338" i="16"/>
  <c r="P337" i="16"/>
  <c r="O337" i="16"/>
  <c r="N337" i="16"/>
  <c r="M337" i="16"/>
  <c r="L337" i="16"/>
  <c r="K337" i="16"/>
  <c r="J337" i="16"/>
  <c r="I337" i="16"/>
  <c r="H337" i="16"/>
  <c r="G337" i="16"/>
  <c r="F337" i="16"/>
  <c r="E337" i="16"/>
  <c r="D337" i="16"/>
  <c r="C337" i="16"/>
  <c r="P336" i="16"/>
  <c r="O336" i="16"/>
  <c r="N336" i="16"/>
  <c r="M336" i="16"/>
  <c r="L336" i="16"/>
  <c r="K336" i="16"/>
  <c r="J336" i="16"/>
  <c r="I336" i="16"/>
  <c r="H336" i="16"/>
  <c r="G336" i="16"/>
  <c r="F336" i="16"/>
  <c r="E336" i="16"/>
  <c r="D336" i="16"/>
  <c r="C336" i="16"/>
  <c r="P335" i="16"/>
  <c r="O335" i="16"/>
  <c r="N335" i="16"/>
  <c r="M335" i="16"/>
  <c r="L335" i="16"/>
  <c r="K335" i="16"/>
  <c r="J335" i="16"/>
  <c r="I335" i="16"/>
  <c r="H335" i="16"/>
  <c r="G335" i="16"/>
  <c r="F335" i="16"/>
  <c r="E335" i="16"/>
  <c r="D335" i="16"/>
  <c r="C335" i="16"/>
  <c r="P334" i="16"/>
  <c r="O334" i="16"/>
  <c r="N334" i="16"/>
  <c r="M334" i="16"/>
  <c r="L334" i="16"/>
  <c r="K334" i="16"/>
  <c r="J334" i="16"/>
  <c r="I334" i="16"/>
  <c r="H334" i="16"/>
  <c r="G334" i="16"/>
  <c r="F334" i="16"/>
  <c r="E334" i="16"/>
  <c r="D334" i="16"/>
  <c r="C334" i="16"/>
  <c r="P333" i="16"/>
  <c r="O333" i="16"/>
  <c r="N333" i="16"/>
  <c r="M333" i="16"/>
  <c r="L333" i="16"/>
  <c r="K333" i="16"/>
  <c r="J333" i="16"/>
  <c r="I333" i="16"/>
  <c r="H333" i="16"/>
  <c r="G333" i="16"/>
  <c r="F333" i="16"/>
  <c r="E333" i="16"/>
  <c r="D333" i="16"/>
  <c r="C333" i="16"/>
  <c r="P332" i="16"/>
  <c r="O332" i="16"/>
  <c r="N332" i="16"/>
  <c r="M332" i="16"/>
  <c r="L332" i="16"/>
  <c r="K332" i="16"/>
  <c r="J332" i="16"/>
  <c r="I332" i="16"/>
  <c r="H332" i="16"/>
  <c r="G332" i="16"/>
  <c r="F332" i="16"/>
  <c r="E332" i="16"/>
  <c r="D332" i="16"/>
  <c r="C332" i="16"/>
  <c r="P331" i="16"/>
  <c r="O331" i="16"/>
  <c r="N331" i="16"/>
  <c r="M331" i="16"/>
  <c r="L331" i="16"/>
  <c r="K331" i="16"/>
  <c r="J331" i="16"/>
  <c r="I331" i="16"/>
  <c r="H331" i="16"/>
  <c r="G331" i="16"/>
  <c r="F331" i="16"/>
  <c r="E331" i="16"/>
  <c r="D331" i="16"/>
  <c r="C331" i="16"/>
  <c r="P330" i="16"/>
  <c r="O330" i="16"/>
  <c r="N330" i="16"/>
  <c r="M330" i="16"/>
  <c r="L330" i="16"/>
  <c r="K330" i="16"/>
  <c r="J330" i="16"/>
  <c r="I330" i="16"/>
  <c r="H330" i="16"/>
  <c r="G330" i="16"/>
  <c r="F330" i="16"/>
  <c r="E330" i="16"/>
  <c r="D330" i="16"/>
  <c r="C330" i="16"/>
  <c r="P329" i="16"/>
  <c r="O329" i="16"/>
  <c r="N329" i="16"/>
  <c r="M329" i="16"/>
  <c r="L329" i="16"/>
  <c r="K329" i="16"/>
  <c r="J329" i="16"/>
  <c r="I329" i="16"/>
  <c r="H329" i="16"/>
  <c r="G329" i="16"/>
  <c r="F329" i="16"/>
  <c r="E329" i="16"/>
  <c r="D329" i="16"/>
  <c r="C329" i="16"/>
  <c r="P328" i="16"/>
  <c r="O328" i="16"/>
  <c r="N328" i="16"/>
  <c r="M328" i="16"/>
  <c r="L328" i="16"/>
  <c r="K328" i="16"/>
  <c r="J328" i="16"/>
  <c r="I328" i="16"/>
  <c r="H328" i="16"/>
  <c r="G328" i="16"/>
  <c r="F328" i="16"/>
  <c r="E328" i="16"/>
  <c r="D328" i="16"/>
  <c r="C328" i="16"/>
  <c r="P327" i="16"/>
  <c r="O327" i="16"/>
  <c r="N327" i="16"/>
  <c r="M327" i="16"/>
  <c r="L327" i="16"/>
  <c r="K327" i="16"/>
  <c r="J327" i="16"/>
  <c r="I327" i="16"/>
  <c r="H327" i="16"/>
  <c r="G327" i="16"/>
  <c r="F327" i="16"/>
  <c r="E327" i="16"/>
  <c r="D327" i="16"/>
  <c r="C327" i="16"/>
  <c r="P326" i="16"/>
  <c r="O326" i="16"/>
  <c r="N326" i="16"/>
  <c r="M326" i="16"/>
  <c r="L326" i="16"/>
  <c r="K326" i="16"/>
  <c r="J326" i="16"/>
  <c r="I326" i="16"/>
  <c r="H326" i="16"/>
  <c r="G326" i="16"/>
  <c r="F326" i="16"/>
  <c r="E326" i="16"/>
  <c r="D326" i="16"/>
  <c r="C326" i="16"/>
  <c r="P325" i="16"/>
  <c r="O325" i="16"/>
  <c r="N325" i="16"/>
  <c r="M325" i="16"/>
  <c r="L325" i="16"/>
  <c r="K325" i="16"/>
  <c r="J325" i="16"/>
  <c r="I325" i="16"/>
  <c r="H325" i="16"/>
  <c r="G325" i="16"/>
  <c r="F325" i="16"/>
  <c r="E325" i="16"/>
  <c r="D325" i="16"/>
  <c r="C325" i="16"/>
  <c r="P324" i="16"/>
  <c r="O324" i="16"/>
  <c r="N324" i="16"/>
  <c r="M324" i="16"/>
  <c r="L324" i="16"/>
  <c r="K324" i="16"/>
  <c r="J324" i="16"/>
  <c r="I324" i="16"/>
  <c r="H324" i="16"/>
  <c r="G324" i="16"/>
  <c r="F324" i="16"/>
  <c r="E324" i="16"/>
  <c r="D324" i="16"/>
  <c r="C324" i="16"/>
  <c r="P323" i="16"/>
  <c r="O323" i="16"/>
  <c r="N323" i="16"/>
  <c r="M323" i="16"/>
  <c r="L323" i="16"/>
  <c r="K323" i="16"/>
  <c r="J323" i="16"/>
  <c r="I323" i="16"/>
  <c r="H323" i="16"/>
  <c r="G323" i="16"/>
  <c r="F323" i="16"/>
  <c r="E323" i="16"/>
  <c r="D323" i="16"/>
  <c r="C323" i="16"/>
  <c r="P322" i="16"/>
  <c r="O322" i="16"/>
  <c r="N322" i="16"/>
  <c r="M322" i="16"/>
  <c r="L322" i="16"/>
  <c r="K322" i="16"/>
  <c r="J322" i="16"/>
  <c r="I322" i="16"/>
  <c r="H322" i="16"/>
  <c r="G322" i="16"/>
  <c r="F322" i="16"/>
  <c r="E322" i="16"/>
  <c r="D322" i="16"/>
  <c r="C322" i="16"/>
  <c r="P321" i="16"/>
  <c r="O321" i="16"/>
  <c r="N321" i="16"/>
  <c r="M321" i="16"/>
  <c r="L321" i="16"/>
  <c r="K321" i="16"/>
  <c r="J321" i="16"/>
  <c r="I321" i="16"/>
  <c r="H321" i="16"/>
  <c r="G321" i="16"/>
  <c r="F321" i="16"/>
  <c r="E321" i="16"/>
  <c r="D321" i="16"/>
  <c r="C321" i="16"/>
  <c r="P320" i="16"/>
  <c r="O320" i="16"/>
  <c r="N320" i="16"/>
  <c r="M320" i="16"/>
  <c r="L320" i="16"/>
  <c r="K320" i="16"/>
  <c r="J320" i="16"/>
  <c r="I320" i="16"/>
  <c r="H320" i="16"/>
  <c r="G320" i="16"/>
  <c r="F320" i="16"/>
  <c r="E320" i="16"/>
  <c r="D320" i="16"/>
  <c r="C320" i="16"/>
  <c r="P319" i="16"/>
  <c r="O319" i="16"/>
  <c r="N319" i="16"/>
  <c r="M319" i="16"/>
  <c r="L319" i="16"/>
  <c r="K319" i="16"/>
  <c r="J319" i="16"/>
  <c r="I319" i="16"/>
  <c r="H319" i="16"/>
  <c r="G319" i="16"/>
  <c r="F319" i="16"/>
  <c r="E319" i="16"/>
  <c r="D319" i="16"/>
  <c r="C319" i="16"/>
  <c r="P318" i="16"/>
  <c r="O318" i="16"/>
  <c r="N318" i="16"/>
  <c r="M318" i="16"/>
  <c r="L318" i="16"/>
  <c r="K318" i="16"/>
  <c r="J318" i="16"/>
  <c r="I318" i="16"/>
  <c r="H318" i="16"/>
  <c r="G318" i="16"/>
  <c r="F318" i="16"/>
  <c r="E318" i="16"/>
  <c r="D318" i="16"/>
  <c r="C318" i="16"/>
  <c r="P317" i="16"/>
  <c r="O317" i="16"/>
  <c r="N317" i="16"/>
  <c r="M317" i="16"/>
  <c r="L317" i="16"/>
  <c r="K317" i="16"/>
  <c r="J317" i="16"/>
  <c r="I317" i="16"/>
  <c r="H317" i="16"/>
  <c r="G317" i="16"/>
  <c r="F317" i="16"/>
  <c r="E317" i="16"/>
  <c r="D317" i="16"/>
  <c r="C317" i="16"/>
  <c r="P316" i="16"/>
  <c r="O316" i="16"/>
  <c r="N316" i="16"/>
  <c r="M316" i="16"/>
  <c r="L316" i="16"/>
  <c r="K316" i="16"/>
  <c r="J316" i="16"/>
  <c r="I316" i="16"/>
  <c r="H316" i="16"/>
  <c r="G316" i="16"/>
  <c r="F316" i="16"/>
  <c r="E316" i="16"/>
  <c r="D316" i="16"/>
  <c r="C316" i="16"/>
  <c r="P315" i="16"/>
  <c r="O315" i="16"/>
  <c r="N315" i="16"/>
  <c r="M315" i="16"/>
  <c r="L315" i="16"/>
  <c r="K315" i="16"/>
  <c r="J315" i="16"/>
  <c r="I315" i="16"/>
  <c r="H315" i="16"/>
  <c r="G315" i="16"/>
  <c r="F315" i="16"/>
  <c r="E315" i="16"/>
  <c r="D315" i="16"/>
  <c r="C315" i="16"/>
  <c r="P314" i="16"/>
  <c r="O314" i="16"/>
  <c r="N314" i="16"/>
  <c r="M314" i="16"/>
  <c r="L314" i="16"/>
  <c r="K314" i="16"/>
  <c r="J314" i="16"/>
  <c r="I314" i="16"/>
  <c r="H314" i="16"/>
  <c r="G314" i="16"/>
  <c r="F314" i="16"/>
  <c r="E314" i="16"/>
  <c r="D314" i="16"/>
  <c r="C314" i="16"/>
  <c r="P313" i="16"/>
  <c r="O313" i="16"/>
  <c r="N313" i="16"/>
  <c r="M313" i="16"/>
  <c r="L313" i="16"/>
  <c r="K313" i="16"/>
  <c r="J313" i="16"/>
  <c r="I313" i="16"/>
  <c r="H313" i="16"/>
  <c r="G313" i="16"/>
  <c r="F313" i="16"/>
  <c r="E313" i="16"/>
  <c r="D313" i="16"/>
  <c r="C313" i="16"/>
  <c r="P312" i="16"/>
  <c r="O312" i="16"/>
  <c r="N312" i="16"/>
  <c r="M312" i="16"/>
  <c r="L312" i="16"/>
  <c r="K312" i="16"/>
  <c r="J312" i="16"/>
  <c r="I312" i="16"/>
  <c r="H312" i="16"/>
  <c r="G312" i="16"/>
  <c r="F312" i="16"/>
  <c r="E312" i="16"/>
  <c r="D312" i="16"/>
  <c r="C312" i="16"/>
  <c r="P311" i="16"/>
  <c r="O311" i="16"/>
  <c r="N311" i="16"/>
  <c r="M311" i="16"/>
  <c r="L311" i="16"/>
  <c r="K311" i="16"/>
  <c r="J311" i="16"/>
  <c r="I311" i="16"/>
  <c r="H311" i="16"/>
  <c r="G311" i="16"/>
  <c r="F311" i="16"/>
  <c r="E311" i="16"/>
  <c r="D311" i="16"/>
  <c r="C311" i="16"/>
  <c r="P310" i="16"/>
  <c r="O310" i="16"/>
  <c r="N310" i="16"/>
  <c r="M310" i="16"/>
  <c r="L310" i="16"/>
  <c r="K310" i="16"/>
  <c r="J310" i="16"/>
  <c r="I310" i="16"/>
  <c r="H310" i="16"/>
  <c r="G310" i="16"/>
  <c r="F310" i="16"/>
  <c r="E310" i="16"/>
  <c r="D310" i="16"/>
  <c r="C310" i="16"/>
  <c r="P309" i="16"/>
  <c r="O309" i="16"/>
  <c r="N309" i="16"/>
  <c r="M309" i="16"/>
  <c r="L309" i="16"/>
  <c r="K309" i="16"/>
  <c r="J309" i="16"/>
  <c r="I309" i="16"/>
  <c r="H309" i="16"/>
  <c r="G309" i="16"/>
  <c r="F309" i="16"/>
  <c r="E309" i="16"/>
  <c r="D309" i="16"/>
  <c r="C309" i="16"/>
  <c r="P308" i="16"/>
  <c r="O308" i="16"/>
  <c r="N308" i="16"/>
  <c r="M308" i="16"/>
  <c r="L308" i="16"/>
  <c r="K308" i="16"/>
  <c r="J308" i="16"/>
  <c r="I308" i="16"/>
  <c r="H308" i="16"/>
  <c r="G308" i="16"/>
  <c r="F308" i="16"/>
  <c r="E308" i="16"/>
  <c r="D308" i="16"/>
  <c r="C308" i="16"/>
  <c r="P307" i="16"/>
  <c r="O307" i="16"/>
  <c r="N307" i="16"/>
  <c r="M307" i="16"/>
  <c r="L307" i="16"/>
  <c r="K307" i="16"/>
  <c r="J307" i="16"/>
  <c r="I307" i="16"/>
  <c r="H307" i="16"/>
  <c r="G307" i="16"/>
  <c r="F307" i="16"/>
  <c r="E307" i="16"/>
  <c r="D307" i="16"/>
  <c r="C307" i="16"/>
  <c r="P306" i="16"/>
  <c r="O306" i="16"/>
  <c r="N306" i="16"/>
  <c r="M306" i="16"/>
  <c r="L306" i="16"/>
  <c r="K306" i="16"/>
  <c r="J306" i="16"/>
  <c r="I306" i="16"/>
  <c r="H306" i="16"/>
  <c r="G306" i="16"/>
  <c r="F306" i="16"/>
  <c r="E306" i="16"/>
  <c r="D306" i="16"/>
  <c r="C306" i="16"/>
  <c r="P305" i="16"/>
  <c r="O305" i="16"/>
  <c r="N305" i="16"/>
  <c r="M305" i="16"/>
  <c r="L305" i="16"/>
  <c r="K305" i="16"/>
  <c r="J305" i="16"/>
  <c r="I305" i="16"/>
  <c r="H305" i="16"/>
  <c r="G305" i="16"/>
  <c r="F305" i="16"/>
  <c r="E305" i="16"/>
  <c r="D305" i="16"/>
  <c r="C305" i="16"/>
  <c r="P304" i="16"/>
  <c r="O304" i="16"/>
  <c r="N304" i="16"/>
  <c r="M304" i="16"/>
  <c r="L304" i="16"/>
  <c r="K304" i="16"/>
  <c r="J304" i="16"/>
  <c r="I304" i="16"/>
  <c r="H304" i="16"/>
  <c r="G304" i="16"/>
  <c r="F304" i="16"/>
  <c r="E304" i="16"/>
  <c r="D304" i="16"/>
  <c r="C304" i="16"/>
  <c r="P303" i="16"/>
  <c r="O303" i="16"/>
  <c r="N303" i="16"/>
  <c r="M303" i="16"/>
  <c r="L303" i="16"/>
  <c r="K303" i="16"/>
  <c r="J303" i="16"/>
  <c r="I303" i="16"/>
  <c r="H303" i="16"/>
  <c r="G303" i="16"/>
  <c r="F303" i="16"/>
  <c r="E303" i="16"/>
  <c r="D303" i="16"/>
  <c r="C303" i="16"/>
  <c r="P302" i="16"/>
  <c r="O302" i="16"/>
  <c r="N302" i="16"/>
  <c r="M302" i="16"/>
  <c r="L302" i="16"/>
  <c r="K302" i="16"/>
  <c r="J302" i="16"/>
  <c r="I302" i="16"/>
  <c r="H302" i="16"/>
  <c r="G302" i="16"/>
  <c r="F302" i="16"/>
  <c r="E302" i="16"/>
  <c r="D302" i="16"/>
  <c r="C302" i="16"/>
  <c r="P301" i="16"/>
  <c r="O301" i="16"/>
  <c r="N301" i="16"/>
  <c r="M301" i="16"/>
  <c r="L301" i="16"/>
  <c r="K301" i="16"/>
  <c r="J301" i="16"/>
  <c r="I301" i="16"/>
  <c r="H301" i="16"/>
  <c r="G301" i="16"/>
  <c r="F301" i="16"/>
  <c r="E301" i="16"/>
  <c r="D301" i="16"/>
  <c r="C301" i="16"/>
  <c r="P300" i="16"/>
  <c r="O300" i="16"/>
  <c r="N300" i="16"/>
  <c r="M300" i="16"/>
  <c r="L300" i="16"/>
  <c r="K300" i="16"/>
  <c r="J300" i="16"/>
  <c r="I300" i="16"/>
  <c r="H300" i="16"/>
  <c r="G300" i="16"/>
  <c r="F300" i="16"/>
  <c r="E300" i="16"/>
  <c r="D300" i="16"/>
  <c r="C300" i="16"/>
  <c r="P299" i="16"/>
  <c r="O299" i="16"/>
  <c r="N299" i="16"/>
  <c r="M299" i="16"/>
  <c r="L299" i="16"/>
  <c r="K299" i="16"/>
  <c r="J299" i="16"/>
  <c r="I299" i="16"/>
  <c r="H299" i="16"/>
  <c r="G299" i="16"/>
  <c r="F299" i="16"/>
  <c r="E299" i="16"/>
  <c r="D299" i="16"/>
  <c r="C299" i="16"/>
  <c r="P298" i="16"/>
  <c r="O298" i="16"/>
  <c r="N298" i="16"/>
  <c r="M298" i="16"/>
  <c r="L298" i="16"/>
  <c r="K298" i="16"/>
  <c r="J298" i="16"/>
  <c r="I298" i="16"/>
  <c r="H298" i="16"/>
  <c r="G298" i="16"/>
  <c r="F298" i="16"/>
  <c r="E298" i="16"/>
  <c r="D298" i="16"/>
  <c r="C298" i="16"/>
  <c r="P297" i="16"/>
  <c r="O297" i="16"/>
  <c r="N297" i="16"/>
  <c r="M297" i="16"/>
  <c r="L297" i="16"/>
  <c r="K297" i="16"/>
  <c r="J297" i="16"/>
  <c r="I297" i="16"/>
  <c r="H297" i="16"/>
  <c r="G297" i="16"/>
  <c r="F297" i="16"/>
  <c r="E297" i="16"/>
  <c r="D297" i="16"/>
  <c r="C297" i="16"/>
  <c r="P296" i="16"/>
  <c r="O296" i="16"/>
  <c r="N296" i="16"/>
  <c r="M296" i="16"/>
  <c r="L296" i="16"/>
  <c r="K296" i="16"/>
  <c r="J296" i="16"/>
  <c r="I296" i="16"/>
  <c r="H296" i="16"/>
  <c r="G296" i="16"/>
  <c r="F296" i="16"/>
  <c r="E296" i="16"/>
  <c r="D296" i="16"/>
  <c r="C296" i="16"/>
  <c r="P295" i="16"/>
  <c r="O295" i="16"/>
  <c r="N295" i="16"/>
  <c r="M295" i="16"/>
  <c r="L295" i="16"/>
  <c r="K295" i="16"/>
  <c r="J295" i="16"/>
  <c r="I295" i="16"/>
  <c r="H295" i="16"/>
  <c r="G295" i="16"/>
  <c r="F295" i="16"/>
  <c r="E295" i="16"/>
  <c r="D295" i="16"/>
  <c r="C295" i="16"/>
  <c r="P294" i="16"/>
  <c r="O294" i="16"/>
  <c r="N294" i="16"/>
  <c r="M294" i="16"/>
  <c r="L294" i="16"/>
  <c r="K294" i="16"/>
  <c r="J294" i="16"/>
  <c r="I294" i="16"/>
  <c r="H294" i="16"/>
  <c r="G294" i="16"/>
  <c r="F294" i="16"/>
  <c r="E294" i="16"/>
  <c r="D294" i="16"/>
  <c r="C294" i="16"/>
  <c r="P293" i="16"/>
  <c r="O293" i="16"/>
  <c r="N293" i="16"/>
  <c r="M293" i="16"/>
  <c r="L293" i="16"/>
  <c r="K293" i="16"/>
  <c r="J293" i="16"/>
  <c r="I293" i="16"/>
  <c r="H293" i="16"/>
  <c r="G293" i="16"/>
  <c r="F293" i="16"/>
  <c r="E293" i="16"/>
  <c r="D293" i="16"/>
  <c r="C293" i="16"/>
  <c r="P292" i="16"/>
  <c r="O292" i="16"/>
  <c r="N292" i="16"/>
  <c r="M292" i="16"/>
  <c r="L292" i="16"/>
  <c r="K292" i="16"/>
  <c r="J292" i="16"/>
  <c r="I292" i="16"/>
  <c r="H292" i="16"/>
  <c r="G292" i="16"/>
  <c r="F292" i="16"/>
  <c r="E292" i="16"/>
  <c r="D292" i="16"/>
  <c r="C292" i="16"/>
  <c r="P291" i="16"/>
  <c r="O291" i="16"/>
  <c r="N291" i="16"/>
  <c r="M291" i="16"/>
  <c r="L291" i="16"/>
  <c r="K291" i="16"/>
  <c r="J291" i="16"/>
  <c r="I291" i="16"/>
  <c r="H291" i="16"/>
  <c r="G291" i="16"/>
  <c r="F291" i="16"/>
  <c r="E291" i="16"/>
  <c r="D291" i="16"/>
  <c r="C291" i="16"/>
  <c r="P290" i="16"/>
  <c r="O290" i="16"/>
  <c r="N290" i="16"/>
  <c r="M290" i="16"/>
  <c r="L290" i="16"/>
  <c r="K290" i="16"/>
  <c r="J290" i="16"/>
  <c r="I290" i="16"/>
  <c r="H290" i="16"/>
  <c r="G290" i="16"/>
  <c r="F290" i="16"/>
  <c r="E290" i="16"/>
  <c r="D290" i="16"/>
  <c r="C290" i="16"/>
  <c r="P289" i="16"/>
  <c r="O289" i="16"/>
  <c r="N289" i="16"/>
  <c r="M289" i="16"/>
  <c r="L289" i="16"/>
  <c r="K289" i="16"/>
  <c r="J289" i="16"/>
  <c r="I289" i="16"/>
  <c r="H289" i="16"/>
  <c r="G289" i="16"/>
  <c r="F289" i="16"/>
  <c r="E289" i="16"/>
  <c r="D289" i="16"/>
  <c r="C289" i="16"/>
  <c r="P288" i="16"/>
  <c r="O288" i="16"/>
  <c r="N288" i="16"/>
  <c r="M288" i="16"/>
  <c r="L288" i="16"/>
  <c r="K288" i="16"/>
  <c r="J288" i="16"/>
  <c r="I288" i="16"/>
  <c r="H288" i="16"/>
  <c r="G288" i="16"/>
  <c r="F288" i="16"/>
  <c r="E288" i="16"/>
  <c r="D288" i="16"/>
  <c r="C288" i="16"/>
  <c r="P287" i="16"/>
  <c r="O287" i="16"/>
  <c r="N287" i="16"/>
  <c r="M287" i="16"/>
  <c r="L287" i="16"/>
  <c r="K287" i="16"/>
  <c r="J287" i="16"/>
  <c r="I287" i="16"/>
  <c r="H287" i="16"/>
  <c r="G287" i="16"/>
  <c r="F287" i="16"/>
  <c r="E287" i="16"/>
  <c r="D287" i="16"/>
  <c r="C287" i="16"/>
  <c r="P286" i="16"/>
  <c r="O286" i="16"/>
  <c r="N286" i="16"/>
  <c r="M286" i="16"/>
  <c r="L286" i="16"/>
  <c r="K286" i="16"/>
  <c r="J286" i="16"/>
  <c r="I286" i="16"/>
  <c r="H286" i="16"/>
  <c r="G286" i="16"/>
  <c r="F286" i="16"/>
  <c r="E286" i="16"/>
  <c r="D286" i="16"/>
  <c r="C286" i="16"/>
  <c r="P285" i="16"/>
  <c r="O285" i="16"/>
  <c r="N285" i="16"/>
  <c r="M285" i="16"/>
  <c r="L285" i="16"/>
  <c r="K285" i="16"/>
  <c r="J285" i="16"/>
  <c r="I285" i="16"/>
  <c r="H285" i="16"/>
  <c r="G285" i="16"/>
  <c r="F285" i="16"/>
  <c r="E285" i="16"/>
  <c r="D285" i="16"/>
  <c r="C285" i="16"/>
  <c r="P284" i="16"/>
  <c r="O284" i="16"/>
  <c r="N284" i="16"/>
  <c r="M284" i="16"/>
  <c r="L284" i="16"/>
  <c r="K284" i="16"/>
  <c r="J284" i="16"/>
  <c r="I284" i="16"/>
  <c r="H284" i="16"/>
  <c r="G284" i="16"/>
  <c r="F284" i="16"/>
  <c r="E284" i="16"/>
  <c r="D284" i="16"/>
  <c r="C284" i="16"/>
  <c r="P283" i="16"/>
  <c r="O283" i="16"/>
  <c r="N283" i="16"/>
  <c r="M283" i="16"/>
  <c r="L283" i="16"/>
  <c r="K283" i="16"/>
  <c r="J283" i="16"/>
  <c r="I283" i="16"/>
  <c r="H283" i="16"/>
  <c r="G283" i="16"/>
  <c r="F283" i="16"/>
  <c r="E283" i="16"/>
  <c r="D283" i="16"/>
  <c r="C283" i="16"/>
  <c r="P282" i="16"/>
  <c r="O282" i="16"/>
  <c r="N282" i="16"/>
  <c r="M282" i="16"/>
  <c r="L282" i="16"/>
  <c r="K282" i="16"/>
  <c r="J282" i="16"/>
  <c r="I282" i="16"/>
  <c r="H282" i="16"/>
  <c r="G282" i="16"/>
  <c r="F282" i="16"/>
  <c r="E282" i="16"/>
  <c r="D282" i="16"/>
  <c r="C282" i="16"/>
  <c r="P281" i="16"/>
  <c r="O281" i="16"/>
  <c r="N281" i="16"/>
  <c r="M281" i="16"/>
  <c r="L281" i="16"/>
  <c r="K281" i="16"/>
  <c r="J281" i="16"/>
  <c r="I281" i="16"/>
  <c r="H281" i="16"/>
  <c r="G281" i="16"/>
  <c r="F281" i="16"/>
  <c r="E281" i="16"/>
  <c r="D281" i="16"/>
  <c r="C281" i="16"/>
  <c r="P280" i="16"/>
  <c r="O280" i="16"/>
  <c r="N280" i="16"/>
  <c r="M280" i="16"/>
  <c r="L280" i="16"/>
  <c r="K280" i="16"/>
  <c r="J280" i="16"/>
  <c r="I280" i="16"/>
  <c r="H280" i="16"/>
  <c r="G280" i="16"/>
  <c r="F280" i="16"/>
  <c r="E280" i="16"/>
  <c r="D280" i="16"/>
  <c r="C280" i="16"/>
  <c r="P279" i="16"/>
  <c r="O279" i="16"/>
  <c r="N279" i="16"/>
  <c r="M279" i="16"/>
  <c r="L279" i="16"/>
  <c r="K279" i="16"/>
  <c r="J279" i="16"/>
  <c r="I279" i="16"/>
  <c r="H279" i="16"/>
  <c r="G279" i="16"/>
  <c r="F279" i="16"/>
  <c r="E279" i="16"/>
  <c r="D279" i="16"/>
  <c r="C279" i="16"/>
  <c r="P278" i="16"/>
  <c r="O278" i="16"/>
  <c r="N278" i="16"/>
  <c r="M278" i="16"/>
  <c r="L278" i="16"/>
  <c r="K278" i="16"/>
  <c r="J278" i="16"/>
  <c r="I278" i="16"/>
  <c r="H278" i="16"/>
  <c r="G278" i="16"/>
  <c r="F278" i="16"/>
  <c r="E278" i="16"/>
  <c r="D278" i="16"/>
  <c r="C278" i="16"/>
  <c r="P277" i="16"/>
  <c r="O277" i="16"/>
  <c r="N277" i="16"/>
  <c r="M277" i="16"/>
  <c r="L277" i="16"/>
  <c r="K277" i="16"/>
  <c r="J277" i="16"/>
  <c r="I277" i="16"/>
  <c r="H277" i="16"/>
  <c r="G277" i="16"/>
  <c r="F277" i="16"/>
  <c r="E277" i="16"/>
  <c r="D277" i="16"/>
  <c r="C277" i="16"/>
  <c r="P276" i="16"/>
  <c r="O276" i="16"/>
  <c r="N276" i="16"/>
  <c r="M276" i="16"/>
  <c r="L276" i="16"/>
  <c r="K276" i="16"/>
  <c r="J276" i="16"/>
  <c r="I276" i="16"/>
  <c r="H276" i="16"/>
  <c r="G276" i="16"/>
  <c r="F276" i="16"/>
  <c r="E276" i="16"/>
  <c r="D276" i="16"/>
  <c r="C276" i="16"/>
  <c r="P275" i="16"/>
  <c r="O275" i="16"/>
  <c r="N275" i="16"/>
  <c r="M275" i="16"/>
  <c r="L275" i="16"/>
  <c r="K275" i="16"/>
  <c r="J275" i="16"/>
  <c r="I275" i="16"/>
  <c r="H275" i="16"/>
  <c r="G275" i="16"/>
  <c r="F275" i="16"/>
  <c r="E275" i="16"/>
  <c r="D275" i="16"/>
  <c r="C275" i="16"/>
  <c r="P274" i="16"/>
  <c r="O274" i="16"/>
  <c r="N274" i="16"/>
  <c r="M274" i="16"/>
  <c r="L274" i="16"/>
  <c r="K274" i="16"/>
  <c r="J274" i="16"/>
  <c r="I274" i="16"/>
  <c r="H274" i="16"/>
  <c r="G274" i="16"/>
  <c r="F274" i="16"/>
  <c r="E274" i="16"/>
  <c r="D274" i="16"/>
  <c r="C274" i="16"/>
  <c r="P273" i="16"/>
  <c r="O273" i="16"/>
  <c r="N273" i="16"/>
  <c r="M273" i="16"/>
  <c r="L273" i="16"/>
  <c r="K273" i="16"/>
  <c r="J273" i="16"/>
  <c r="I273" i="16"/>
  <c r="H273" i="16"/>
  <c r="G273" i="16"/>
  <c r="F273" i="16"/>
  <c r="E273" i="16"/>
  <c r="D273" i="16"/>
  <c r="C273" i="16"/>
  <c r="P272" i="16"/>
  <c r="O272" i="16"/>
  <c r="N272" i="16"/>
  <c r="M272" i="16"/>
  <c r="L272" i="16"/>
  <c r="K272" i="16"/>
  <c r="J272" i="16"/>
  <c r="I272" i="16"/>
  <c r="H272" i="16"/>
  <c r="G272" i="16"/>
  <c r="F272" i="16"/>
  <c r="E272" i="16"/>
  <c r="D272" i="16"/>
  <c r="C272" i="16"/>
  <c r="P271" i="16"/>
  <c r="O271" i="16"/>
  <c r="N271" i="16"/>
  <c r="M271" i="16"/>
  <c r="L271" i="16"/>
  <c r="K271" i="16"/>
  <c r="J271" i="16"/>
  <c r="I271" i="16"/>
  <c r="H271" i="16"/>
  <c r="G271" i="16"/>
  <c r="F271" i="16"/>
  <c r="E271" i="16"/>
  <c r="D271" i="16"/>
  <c r="C271" i="16"/>
  <c r="P270" i="16"/>
  <c r="O270" i="16"/>
  <c r="N270" i="16"/>
  <c r="M270" i="16"/>
  <c r="L270" i="16"/>
  <c r="K270" i="16"/>
  <c r="J270" i="16"/>
  <c r="I270" i="16"/>
  <c r="H270" i="16"/>
  <c r="G270" i="16"/>
  <c r="F270" i="16"/>
  <c r="E270" i="16"/>
  <c r="D270" i="16"/>
  <c r="C270" i="16"/>
  <c r="P269" i="16"/>
  <c r="O269" i="16"/>
  <c r="N269" i="16"/>
  <c r="M269" i="16"/>
  <c r="L269" i="16"/>
  <c r="K269" i="16"/>
  <c r="J269" i="16"/>
  <c r="I269" i="16"/>
  <c r="H269" i="16"/>
  <c r="G269" i="16"/>
  <c r="F269" i="16"/>
  <c r="E269" i="16"/>
  <c r="D269" i="16"/>
  <c r="C269" i="16"/>
  <c r="P268" i="16"/>
  <c r="O268" i="16"/>
  <c r="N268" i="16"/>
  <c r="M268" i="16"/>
  <c r="L268" i="16"/>
  <c r="K268" i="16"/>
  <c r="J268" i="16"/>
  <c r="I268" i="16"/>
  <c r="H268" i="16"/>
  <c r="G268" i="16"/>
  <c r="F268" i="16"/>
  <c r="E268" i="16"/>
  <c r="D268" i="16"/>
  <c r="C268" i="16"/>
  <c r="P267" i="16"/>
  <c r="O267" i="16"/>
  <c r="N267" i="16"/>
  <c r="M267" i="16"/>
  <c r="L267" i="16"/>
  <c r="K267" i="16"/>
  <c r="J267" i="16"/>
  <c r="I267" i="16"/>
  <c r="H267" i="16"/>
  <c r="G267" i="16"/>
  <c r="F267" i="16"/>
  <c r="E267" i="16"/>
  <c r="D267" i="16"/>
  <c r="C267" i="16"/>
  <c r="P266" i="16"/>
  <c r="O266" i="16"/>
  <c r="N266" i="16"/>
  <c r="M266" i="16"/>
  <c r="L266" i="16"/>
  <c r="K266" i="16"/>
  <c r="J266" i="16"/>
  <c r="I266" i="16"/>
  <c r="H266" i="16"/>
  <c r="G266" i="16"/>
  <c r="F266" i="16"/>
  <c r="E266" i="16"/>
  <c r="D266" i="16"/>
  <c r="C266" i="16"/>
  <c r="P265" i="16"/>
  <c r="O265" i="16"/>
  <c r="N265" i="16"/>
  <c r="M265" i="16"/>
  <c r="L265" i="16"/>
  <c r="K265" i="16"/>
  <c r="J265" i="16"/>
  <c r="I265" i="16"/>
  <c r="H265" i="16"/>
  <c r="G265" i="16"/>
  <c r="F265" i="16"/>
  <c r="E265" i="16"/>
  <c r="D265" i="16"/>
  <c r="C265" i="16"/>
  <c r="P264" i="16"/>
  <c r="O264" i="16"/>
  <c r="N264" i="16"/>
  <c r="M264" i="16"/>
  <c r="L264" i="16"/>
  <c r="K264" i="16"/>
  <c r="J264" i="16"/>
  <c r="I264" i="16"/>
  <c r="H264" i="16"/>
  <c r="G264" i="16"/>
  <c r="F264" i="16"/>
  <c r="E264" i="16"/>
  <c r="D264" i="16"/>
  <c r="C264" i="16"/>
  <c r="P263" i="16"/>
  <c r="O263" i="16"/>
  <c r="N263" i="16"/>
  <c r="M263" i="16"/>
  <c r="L263" i="16"/>
  <c r="K263" i="16"/>
  <c r="J263" i="16"/>
  <c r="I263" i="16"/>
  <c r="H263" i="16"/>
  <c r="G263" i="16"/>
  <c r="F263" i="16"/>
  <c r="E263" i="16"/>
  <c r="D263" i="16"/>
  <c r="C263" i="16"/>
  <c r="P262" i="16"/>
  <c r="O262" i="16"/>
  <c r="N262" i="16"/>
  <c r="M262" i="16"/>
  <c r="L262" i="16"/>
  <c r="K262" i="16"/>
  <c r="J262" i="16"/>
  <c r="I262" i="16"/>
  <c r="H262" i="16"/>
  <c r="G262" i="16"/>
  <c r="F262" i="16"/>
  <c r="E262" i="16"/>
  <c r="D262" i="16"/>
  <c r="C262" i="16"/>
  <c r="P261" i="16"/>
  <c r="O261" i="16"/>
  <c r="N261" i="16"/>
  <c r="M261" i="16"/>
  <c r="L261" i="16"/>
  <c r="K261" i="16"/>
  <c r="J261" i="16"/>
  <c r="I261" i="16"/>
  <c r="H261" i="16"/>
  <c r="G261" i="16"/>
  <c r="F261" i="16"/>
  <c r="E261" i="16"/>
  <c r="D261" i="16"/>
  <c r="C261" i="16"/>
  <c r="P260" i="16"/>
  <c r="O260" i="16"/>
  <c r="N260" i="16"/>
  <c r="M260" i="16"/>
  <c r="L260" i="16"/>
  <c r="K260" i="16"/>
  <c r="J260" i="16"/>
  <c r="I260" i="16"/>
  <c r="H260" i="16"/>
  <c r="G260" i="16"/>
  <c r="F260" i="16"/>
  <c r="E260" i="16"/>
  <c r="D260" i="16"/>
  <c r="C260" i="16"/>
  <c r="P259" i="16"/>
  <c r="O259" i="16"/>
  <c r="N259" i="16"/>
  <c r="M259" i="16"/>
  <c r="L259" i="16"/>
  <c r="K259" i="16"/>
  <c r="J259" i="16"/>
  <c r="I259" i="16"/>
  <c r="H259" i="16"/>
  <c r="G259" i="16"/>
  <c r="F259" i="16"/>
  <c r="E259" i="16"/>
  <c r="D259" i="16"/>
  <c r="C259" i="16"/>
  <c r="P258" i="16"/>
  <c r="O258" i="16"/>
  <c r="N258" i="16"/>
  <c r="M258" i="16"/>
  <c r="L258" i="16"/>
  <c r="K258" i="16"/>
  <c r="J258" i="16"/>
  <c r="I258" i="16"/>
  <c r="H258" i="16"/>
  <c r="G258" i="16"/>
  <c r="F258" i="16"/>
  <c r="E258" i="16"/>
  <c r="D258" i="16"/>
  <c r="C258" i="16"/>
  <c r="P257" i="16"/>
  <c r="O257" i="16"/>
  <c r="N257" i="16"/>
  <c r="M257" i="16"/>
  <c r="L257" i="16"/>
  <c r="K257" i="16"/>
  <c r="J257" i="16"/>
  <c r="I257" i="16"/>
  <c r="H257" i="16"/>
  <c r="G257" i="16"/>
  <c r="F257" i="16"/>
  <c r="E257" i="16"/>
  <c r="D257" i="16"/>
  <c r="C257" i="16"/>
  <c r="P256" i="16"/>
  <c r="O256" i="16"/>
  <c r="N256" i="16"/>
  <c r="M256" i="16"/>
  <c r="L256" i="16"/>
  <c r="K256" i="16"/>
  <c r="J256" i="16"/>
  <c r="I256" i="16"/>
  <c r="H256" i="16"/>
  <c r="G256" i="16"/>
  <c r="F256" i="16"/>
  <c r="E256" i="16"/>
  <c r="D256" i="16"/>
  <c r="C256" i="16"/>
  <c r="P255" i="16"/>
  <c r="O255" i="16"/>
  <c r="N255" i="16"/>
  <c r="M255" i="16"/>
  <c r="L255" i="16"/>
  <c r="K255" i="16"/>
  <c r="J255" i="16"/>
  <c r="I255" i="16"/>
  <c r="H255" i="16"/>
  <c r="G255" i="16"/>
  <c r="F255" i="16"/>
  <c r="E255" i="16"/>
  <c r="D255" i="16"/>
  <c r="C255" i="16"/>
  <c r="P254" i="16"/>
  <c r="O254" i="16"/>
  <c r="N254" i="16"/>
  <c r="M254" i="16"/>
  <c r="L254" i="16"/>
  <c r="K254" i="16"/>
  <c r="J254" i="16"/>
  <c r="I254" i="16"/>
  <c r="H254" i="16"/>
  <c r="G254" i="16"/>
  <c r="F254" i="16"/>
  <c r="E254" i="16"/>
  <c r="D254" i="16"/>
  <c r="C254" i="16"/>
  <c r="P253" i="16"/>
  <c r="O253" i="16"/>
  <c r="N253" i="16"/>
  <c r="M253" i="16"/>
  <c r="L253" i="16"/>
  <c r="K253" i="16"/>
  <c r="J253" i="16"/>
  <c r="I253" i="16"/>
  <c r="H253" i="16"/>
  <c r="G253" i="16"/>
  <c r="F253" i="16"/>
  <c r="E253" i="16"/>
  <c r="D253" i="16"/>
  <c r="C253" i="16"/>
  <c r="P252" i="16"/>
  <c r="O252" i="16"/>
  <c r="N252" i="16"/>
  <c r="M252" i="16"/>
  <c r="L252" i="16"/>
  <c r="K252" i="16"/>
  <c r="J252" i="16"/>
  <c r="I252" i="16"/>
  <c r="H252" i="16"/>
  <c r="G252" i="16"/>
  <c r="F252" i="16"/>
  <c r="E252" i="16"/>
  <c r="D252" i="16"/>
  <c r="C252" i="16"/>
  <c r="P251" i="16"/>
  <c r="O251" i="16"/>
  <c r="N251" i="16"/>
  <c r="M251" i="16"/>
  <c r="L251" i="16"/>
  <c r="K251" i="16"/>
  <c r="J251" i="16"/>
  <c r="I251" i="16"/>
  <c r="H251" i="16"/>
  <c r="G251" i="16"/>
  <c r="F251" i="16"/>
  <c r="E251" i="16"/>
  <c r="D251" i="16"/>
  <c r="C251" i="16"/>
  <c r="P250" i="16"/>
  <c r="O250" i="16"/>
  <c r="N250" i="16"/>
  <c r="M250" i="16"/>
  <c r="L250" i="16"/>
  <c r="K250" i="16"/>
  <c r="J250" i="16"/>
  <c r="I250" i="16"/>
  <c r="H250" i="16"/>
  <c r="G250" i="16"/>
  <c r="F250" i="16"/>
  <c r="E250" i="16"/>
  <c r="D250" i="16"/>
  <c r="C250" i="16"/>
  <c r="P249" i="16"/>
  <c r="O249" i="16"/>
  <c r="N249" i="16"/>
  <c r="M249" i="16"/>
  <c r="L249" i="16"/>
  <c r="K249" i="16"/>
  <c r="J249" i="16"/>
  <c r="I249" i="16"/>
  <c r="H249" i="16"/>
  <c r="G249" i="16"/>
  <c r="F249" i="16"/>
  <c r="E249" i="16"/>
  <c r="D249" i="16"/>
  <c r="C249" i="16"/>
  <c r="P248" i="16"/>
  <c r="O248" i="16"/>
  <c r="N248" i="16"/>
  <c r="M248" i="16"/>
  <c r="L248" i="16"/>
  <c r="K248" i="16"/>
  <c r="J248" i="16"/>
  <c r="I248" i="16"/>
  <c r="H248" i="16"/>
  <c r="G248" i="16"/>
  <c r="F248" i="16"/>
  <c r="E248" i="16"/>
  <c r="D248" i="16"/>
  <c r="C248" i="16"/>
  <c r="P247" i="16"/>
  <c r="O247" i="16"/>
  <c r="N247" i="16"/>
  <c r="M247" i="16"/>
  <c r="L247" i="16"/>
  <c r="K247" i="16"/>
  <c r="J247" i="16"/>
  <c r="I247" i="16"/>
  <c r="H247" i="16"/>
  <c r="G247" i="16"/>
  <c r="F247" i="16"/>
  <c r="E247" i="16"/>
  <c r="D247" i="16"/>
  <c r="C247" i="16"/>
  <c r="P246" i="16"/>
  <c r="O246" i="16"/>
  <c r="N246" i="16"/>
  <c r="M246" i="16"/>
  <c r="L246" i="16"/>
  <c r="K246" i="16"/>
  <c r="J246" i="16"/>
  <c r="I246" i="16"/>
  <c r="H246" i="16"/>
  <c r="G246" i="16"/>
  <c r="F246" i="16"/>
  <c r="E246" i="16"/>
  <c r="D246" i="16"/>
  <c r="C246" i="16"/>
  <c r="P245" i="16"/>
  <c r="O245" i="16"/>
  <c r="N245" i="16"/>
  <c r="M245" i="16"/>
  <c r="L245" i="16"/>
  <c r="K245" i="16"/>
  <c r="J245" i="16"/>
  <c r="I245" i="16"/>
  <c r="H245" i="16"/>
  <c r="G245" i="16"/>
  <c r="F245" i="16"/>
  <c r="E245" i="16"/>
  <c r="D245" i="16"/>
  <c r="C245" i="16"/>
  <c r="P244" i="16"/>
  <c r="O244" i="16"/>
  <c r="N244" i="16"/>
  <c r="M244" i="16"/>
  <c r="L244" i="16"/>
  <c r="K244" i="16"/>
  <c r="J244" i="16"/>
  <c r="I244" i="16"/>
  <c r="H244" i="16"/>
  <c r="G244" i="16"/>
  <c r="F244" i="16"/>
  <c r="E244" i="16"/>
  <c r="D244" i="16"/>
  <c r="C244" i="16"/>
  <c r="P243" i="16"/>
  <c r="O243" i="16"/>
  <c r="N243" i="16"/>
  <c r="M243" i="16"/>
  <c r="L243" i="16"/>
  <c r="K243" i="16"/>
  <c r="J243" i="16"/>
  <c r="I243" i="16"/>
  <c r="H243" i="16"/>
  <c r="G243" i="16"/>
  <c r="F243" i="16"/>
  <c r="E243" i="16"/>
  <c r="D243" i="16"/>
  <c r="C243" i="16"/>
  <c r="P242" i="16"/>
  <c r="O242" i="16"/>
  <c r="N242" i="16"/>
  <c r="M242" i="16"/>
  <c r="L242" i="16"/>
  <c r="K242" i="16"/>
  <c r="J242" i="16"/>
  <c r="I242" i="16"/>
  <c r="H242" i="16"/>
  <c r="G242" i="16"/>
  <c r="F242" i="16"/>
  <c r="E242" i="16"/>
  <c r="D242" i="16"/>
  <c r="C242" i="16"/>
  <c r="P241" i="16"/>
  <c r="O241" i="16"/>
  <c r="N241" i="16"/>
  <c r="M241" i="16"/>
  <c r="L241" i="16"/>
  <c r="K241" i="16"/>
  <c r="J241" i="16"/>
  <c r="I241" i="16"/>
  <c r="H241" i="16"/>
  <c r="G241" i="16"/>
  <c r="F241" i="16"/>
  <c r="E241" i="16"/>
  <c r="D241" i="16"/>
  <c r="C241" i="16"/>
  <c r="P240" i="16"/>
  <c r="O240" i="16"/>
  <c r="N240" i="16"/>
  <c r="M240" i="16"/>
  <c r="L240" i="16"/>
  <c r="K240" i="16"/>
  <c r="J240" i="16"/>
  <c r="I240" i="16"/>
  <c r="H240" i="16"/>
  <c r="G240" i="16"/>
  <c r="F240" i="16"/>
  <c r="E240" i="16"/>
  <c r="D240" i="16"/>
  <c r="C240" i="16"/>
  <c r="P239" i="16"/>
  <c r="O239" i="16"/>
  <c r="N239" i="16"/>
  <c r="M239" i="16"/>
  <c r="L239" i="16"/>
  <c r="K239" i="16"/>
  <c r="J239" i="16"/>
  <c r="I239" i="16"/>
  <c r="H239" i="16"/>
  <c r="G239" i="16"/>
  <c r="F239" i="16"/>
  <c r="E239" i="16"/>
  <c r="D239" i="16"/>
  <c r="C239" i="16"/>
  <c r="P238" i="16"/>
  <c r="O238" i="16"/>
  <c r="N238" i="16"/>
  <c r="M238" i="16"/>
  <c r="L238" i="16"/>
  <c r="K238" i="16"/>
  <c r="J238" i="16"/>
  <c r="I238" i="16"/>
  <c r="H238" i="16"/>
  <c r="G238" i="16"/>
  <c r="F238" i="16"/>
  <c r="E238" i="16"/>
  <c r="D238" i="16"/>
  <c r="C238" i="16"/>
  <c r="P237" i="16"/>
  <c r="O237" i="16"/>
  <c r="N237" i="16"/>
  <c r="M237" i="16"/>
  <c r="L237" i="16"/>
  <c r="K237" i="16"/>
  <c r="J237" i="16"/>
  <c r="I237" i="16"/>
  <c r="H237" i="16"/>
  <c r="G237" i="16"/>
  <c r="F237" i="16"/>
  <c r="E237" i="16"/>
  <c r="D237" i="16"/>
  <c r="C237" i="16"/>
  <c r="P236" i="16"/>
  <c r="O236" i="16"/>
  <c r="N236" i="16"/>
  <c r="M236" i="16"/>
  <c r="L236" i="16"/>
  <c r="K236" i="16"/>
  <c r="J236" i="16"/>
  <c r="I236" i="16"/>
  <c r="H236" i="16"/>
  <c r="G236" i="16"/>
  <c r="F236" i="16"/>
  <c r="E236" i="16"/>
  <c r="D236" i="16"/>
  <c r="C236" i="16"/>
  <c r="P235" i="16"/>
  <c r="O235" i="16"/>
  <c r="N235" i="16"/>
  <c r="M235" i="16"/>
  <c r="L235" i="16"/>
  <c r="K235" i="16"/>
  <c r="J235" i="16"/>
  <c r="I235" i="16"/>
  <c r="H235" i="16"/>
  <c r="G235" i="16"/>
  <c r="F235" i="16"/>
  <c r="E235" i="16"/>
  <c r="D235" i="16"/>
  <c r="C235" i="16"/>
  <c r="P234" i="16"/>
  <c r="O234" i="16"/>
  <c r="N234" i="16"/>
  <c r="M234" i="16"/>
  <c r="L234" i="16"/>
  <c r="K234" i="16"/>
  <c r="J234" i="16"/>
  <c r="I234" i="16"/>
  <c r="H234" i="16"/>
  <c r="G234" i="16"/>
  <c r="F234" i="16"/>
  <c r="E234" i="16"/>
  <c r="D234" i="16"/>
  <c r="C234" i="16"/>
  <c r="P233" i="16"/>
  <c r="O233" i="16"/>
  <c r="N233" i="16"/>
  <c r="M233" i="16"/>
  <c r="L233" i="16"/>
  <c r="K233" i="16"/>
  <c r="J233" i="16"/>
  <c r="I233" i="16"/>
  <c r="H233" i="16"/>
  <c r="G233" i="16"/>
  <c r="F233" i="16"/>
  <c r="E233" i="16"/>
  <c r="D233" i="16"/>
  <c r="C233" i="16"/>
  <c r="P232" i="16"/>
  <c r="O232" i="16"/>
  <c r="N232" i="16"/>
  <c r="M232" i="16"/>
  <c r="L232" i="16"/>
  <c r="K232" i="16"/>
  <c r="J232" i="16"/>
  <c r="I232" i="16"/>
  <c r="H232" i="16"/>
  <c r="G232" i="16"/>
  <c r="F232" i="16"/>
  <c r="E232" i="16"/>
  <c r="D232" i="16"/>
  <c r="C232" i="16"/>
  <c r="P231" i="16"/>
  <c r="O231" i="16"/>
  <c r="N231" i="16"/>
  <c r="M231" i="16"/>
  <c r="L231" i="16"/>
  <c r="K231" i="16"/>
  <c r="J231" i="16"/>
  <c r="I231" i="16"/>
  <c r="H231" i="16"/>
  <c r="G231" i="16"/>
  <c r="F231" i="16"/>
  <c r="E231" i="16"/>
  <c r="D231" i="16"/>
  <c r="C231" i="16"/>
  <c r="P230" i="16"/>
  <c r="O230" i="16"/>
  <c r="N230" i="16"/>
  <c r="M230" i="16"/>
  <c r="L230" i="16"/>
  <c r="K230" i="16"/>
  <c r="J230" i="16"/>
  <c r="I230" i="16"/>
  <c r="H230" i="16"/>
  <c r="G230" i="16"/>
  <c r="F230" i="16"/>
  <c r="E230" i="16"/>
  <c r="D230" i="16"/>
  <c r="C230" i="16"/>
  <c r="P229" i="16"/>
  <c r="O229" i="16"/>
  <c r="N229" i="16"/>
  <c r="M229" i="16"/>
  <c r="L229" i="16"/>
  <c r="K229" i="16"/>
  <c r="J229" i="16"/>
  <c r="I229" i="16"/>
  <c r="H229" i="16"/>
  <c r="G229" i="16"/>
  <c r="F229" i="16"/>
  <c r="E229" i="16"/>
  <c r="D229" i="16"/>
  <c r="C229" i="16"/>
  <c r="P228" i="16"/>
  <c r="O228" i="16"/>
  <c r="N228" i="16"/>
  <c r="M228" i="16"/>
  <c r="L228" i="16"/>
  <c r="K228" i="16"/>
  <c r="J228" i="16"/>
  <c r="I228" i="16"/>
  <c r="H228" i="16"/>
  <c r="G228" i="16"/>
  <c r="F228" i="16"/>
  <c r="E228" i="16"/>
  <c r="D228" i="16"/>
  <c r="C228" i="16"/>
  <c r="P227" i="16"/>
  <c r="O227" i="16"/>
  <c r="N227" i="16"/>
  <c r="M227" i="16"/>
  <c r="L227" i="16"/>
  <c r="K227" i="16"/>
  <c r="J227" i="16"/>
  <c r="I227" i="16"/>
  <c r="H227" i="16"/>
  <c r="G227" i="16"/>
  <c r="F227" i="16"/>
  <c r="E227" i="16"/>
  <c r="D227" i="16"/>
  <c r="C227" i="16"/>
  <c r="P226" i="16"/>
  <c r="O226" i="16"/>
  <c r="N226" i="16"/>
  <c r="M226" i="16"/>
  <c r="L226" i="16"/>
  <c r="K226" i="16"/>
  <c r="J226" i="16"/>
  <c r="I226" i="16"/>
  <c r="H226" i="16"/>
  <c r="G226" i="16"/>
  <c r="F226" i="16"/>
  <c r="E226" i="16"/>
  <c r="D226" i="16"/>
  <c r="C226" i="16"/>
  <c r="P225" i="16"/>
  <c r="O225" i="16"/>
  <c r="N225" i="16"/>
  <c r="M225" i="16"/>
  <c r="L225" i="16"/>
  <c r="K225" i="16"/>
  <c r="J225" i="16"/>
  <c r="I225" i="16"/>
  <c r="H225" i="16"/>
  <c r="G225" i="16"/>
  <c r="F225" i="16"/>
  <c r="E225" i="16"/>
  <c r="D225" i="16"/>
  <c r="C225" i="16"/>
  <c r="P224" i="16"/>
  <c r="O224" i="16"/>
  <c r="N224" i="16"/>
  <c r="M224" i="16"/>
  <c r="L224" i="16"/>
  <c r="K224" i="16"/>
  <c r="J224" i="16"/>
  <c r="I224" i="16"/>
  <c r="H224" i="16"/>
  <c r="G224" i="16"/>
  <c r="F224" i="16"/>
  <c r="E224" i="16"/>
  <c r="D224" i="16"/>
  <c r="C224" i="16"/>
  <c r="P223" i="16"/>
  <c r="O223" i="16"/>
  <c r="N223" i="16"/>
  <c r="M223" i="16"/>
  <c r="L223" i="16"/>
  <c r="K223" i="16"/>
  <c r="J223" i="16"/>
  <c r="I223" i="16"/>
  <c r="H223" i="16"/>
  <c r="G223" i="16"/>
  <c r="F223" i="16"/>
  <c r="E223" i="16"/>
  <c r="D223" i="16"/>
  <c r="C223" i="16"/>
  <c r="P222" i="16"/>
  <c r="O222" i="16"/>
  <c r="N222" i="16"/>
  <c r="M222" i="16"/>
  <c r="L222" i="16"/>
  <c r="K222" i="16"/>
  <c r="J222" i="16"/>
  <c r="I222" i="16"/>
  <c r="H222" i="16"/>
  <c r="G222" i="16"/>
  <c r="F222" i="16"/>
  <c r="E222" i="16"/>
  <c r="D222" i="16"/>
  <c r="C222" i="16"/>
  <c r="P221" i="16"/>
  <c r="O221" i="16"/>
  <c r="N221" i="16"/>
  <c r="M221" i="16"/>
  <c r="L221" i="16"/>
  <c r="K221" i="16"/>
  <c r="J221" i="16"/>
  <c r="I221" i="16"/>
  <c r="H221" i="16"/>
  <c r="G221" i="16"/>
  <c r="F221" i="16"/>
  <c r="E221" i="16"/>
  <c r="D221" i="16"/>
  <c r="C221" i="16"/>
  <c r="P220" i="16"/>
  <c r="O220" i="16"/>
  <c r="N220" i="16"/>
  <c r="M220" i="16"/>
  <c r="L220" i="16"/>
  <c r="K220" i="16"/>
  <c r="J220" i="16"/>
  <c r="I220" i="16"/>
  <c r="H220" i="16"/>
  <c r="G220" i="16"/>
  <c r="F220" i="16"/>
  <c r="E220" i="16"/>
  <c r="D220" i="16"/>
  <c r="C220" i="16"/>
  <c r="P219" i="16"/>
  <c r="O219" i="16"/>
  <c r="N219" i="16"/>
  <c r="M219" i="16"/>
  <c r="L219" i="16"/>
  <c r="K219" i="16"/>
  <c r="J219" i="16"/>
  <c r="I219" i="16"/>
  <c r="H219" i="16"/>
  <c r="G219" i="16"/>
  <c r="F219" i="16"/>
  <c r="E219" i="16"/>
  <c r="D219" i="16"/>
  <c r="C219" i="16"/>
  <c r="P218" i="16"/>
  <c r="O218" i="16"/>
  <c r="N218" i="16"/>
  <c r="M218" i="16"/>
  <c r="L218" i="16"/>
  <c r="K218" i="16"/>
  <c r="J218" i="16"/>
  <c r="I218" i="16"/>
  <c r="H218" i="16"/>
  <c r="G218" i="16"/>
  <c r="F218" i="16"/>
  <c r="E218" i="16"/>
  <c r="D218" i="16"/>
  <c r="C218" i="16"/>
  <c r="P217" i="16"/>
  <c r="O217" i="16"/>
  <c r="N217" i="16"/>
  <c r="M217" i="16"/>
  <c r="L217" i="16"/>
  <c r="K217" i="16"/>
  <c r="J217" i="16"/>
  <c r="I217" i="16"/>
  <c r="H217" i="16"/>
  <c r="G217" i="16"/>
  <c r="F217" i="16"/>
  <c r="E217" i="16"/>
  <c r="D217" i="16"/>
  <c r="C217" i="16"/>
  <c r="P216" i="16"/>
  <c r="O216" i="16"/>
  <c r="N216" i="16"/>
  <c r="M216" i="16"/>
  <c r="L216" i="16"/>
  <c r="K216" i="16"/>
  <c r="J216" i="16"/>
  <c r="I216" i="16"/>
  <c r="H216" i="16"/>
  <c r="G216" i="16"/>
  <c r="F216" i="16"/>
  <c r="E216" i="16"/>
  <c r="D216" i="16"/>
  <c r="C216" i="16"/>
  <c r="P215" i="16"/>
  <c r="O215" i="16"/>
  <c r="N215" i="16"/>
  <c r="M215" i="16"/>
  <c r="L215" i="16"/>
  <c r="K215" i="16"/>
  <c r="J215" i="16"/>
  <c r="I215" i="16"/>
  <c r="H215" i="16"/>
  <c r="G215" i="16"/>
  <c r="F215" i="16"/>
  <c r="E215" i="16"/>
  <c r="D215" i="16"/>
  <c r="C215" i="16"/>
  <c r="P214" i="16"/>
  <c r="O214" i="16"/>
  <c r="N214" i="16"/>
  <c r="M214" i="16"/>
  <c r="L214" i="16"/>
  <c r="K214" i="16"/>
  <c r="J214" i="16"/>
  <c r="I214" i="16"/>
  <c r="H214" i="16"/>
  <c r="G214" i="16"/>
  <c r="F214" i="16"/>
  <c r="E214" i="16"/>
  <c r="D214" i="16"/>
  <c r="C214" i="16"/>
  <c r="P213" i="16"/>
  <c r="O213" i="16"/>
  <c r="N213" i="16"/>
  <c r="M213" i="16"/>
  <c r="L213" i="16"/>
  <c r="K213" i="16"/>
  <c r="J213" i="16"/>
  <c r="I213" i="16"/>
  <c r="H213" i="16"/>
  <c r="G213" i="16"/>
  <c r="F213" i="16"/>
  <c r="E213" i="16"/>
  <c r="D213" i="16"/>
  <c r="C213" i="16"/>
  <c r="P212" i="16"/>
  <c r="O212" i="16"/>
  <c r="N212" i="16"/>
  <c r="M212" i="16"/>
  <c r="L212" i="16"/>
  <c r="K212" i="16"/>
  <c r="J212" i="16"/>
  <c r="I212" i="16"/>
  <c r="H212" i="16"/>
  <c r="G212" i="16"/>
  <c r="F212" i="16"/>
  <c r="E212" i="16"/>
  <c r="D212" i="16"/>
  <c r="C212" i="16"/>
  <c r="P211" i="16"/>
  <c r="O211" i="16"/>
  <c r="N211" i="16"/>
  <c r="M211" i="16"/>
  <c r="L211" i="16"/>
  <c r="K211" i="16"/>
  <c r="J211" i="16"/>
  <c r="I211" i="16"/>
  <c r="H211" i="16"/>
  <c r="G211" i="16"/>
  <c r="F211" i="16"/>
  <c r="E211" i="16"/>
  <c r="D211" i="16"/>
  <c r="C211" i="16"/>
  <c r="P210" i="16"/>
  <c r="O210" i="16"/>
  <c r="N210" i="16"/>
  <c r="M210" i="16"/>
  <c r="L210" i="16"/>
  <c r="K210" i="16"/>
  <c r="J210" i="16"/>
  <c r="I210" i="16"/>
  <c r="H210" i="16"/>
  <c r="G210" i="16"/>
  <c r="F210" i="16"/>
  <c r="E210" i="16"/>
  <c r="D210" i="16"/>
  <c r="C210" i="16"/>
  <c r="P209" i="16"/>
  <c r="O209" i="16"/>
  <c r="N209" i="16"/>
  <c r="M209" i="16"/>
  <c r="L209" i="16"/>
  <c r="K209" i="16"/>
  <c r="J209" i="16"/>
  <c r="I209" i="16"/>
  <c r="H209" i="16"/>
  <c r="G209" i="16"/>
  <c r="F209" i="16"/>
  <c r="E209" i="16"/>
  <c r="D209" i="16"/>
  <c r="C209" i="16"/>
  <c r="P208" i="16"/>
  <c r="O208" i="16"/>
  <c r="N208" i="16"/>
  <c r="M208" i="16"/>
  <c r="L208" i="16"/>
  <c r="K208" i="16"/>
  <c r="J208" i="16"/>
  <c r="I208" i="16"/>
  <c r="H208" i="16"/>
  <c r="G208" i="16"/>
  <c r="F208" i="16"/>
  <c r="E208" i="16"/>
  <c r="D208" i="16"/>
  <c r="C208" i="16"/>
  <c r="P207" i="16"/>
  <c r="O207" i="16"/>
  <c r="N207" i="16"/>
  <c r="M207" i="16"/>
  <c r="L207" i="16"/>
  <c r="K207" i="16"/>
  <c r="J207" i="16"/>
  <c r="I207" i="16"/>
  <c r="H207" i="16"/>
  <c r="G207" i="16"/>
  <c r="F207" i="16"/>
  <c r="E207" i="16"/>
  <c r="D207" i="16"/>
  <c r="C207" i="16"/>
  <c r="P206" i="16"/>
  <c r="O206" i="16"/>
  <c r="N206" i="16"/>
  <c r="M206" i="16"/>
  <c r="L206" i="16"/>
  <c r="K206" i="16"/>
  <c r="J206" i="16"/>
  <c r="I206" i="16"/>
  <c r="H206" i="16"/>
  <c r="G206" i="16"/>
  <c r="F206" i="16"/>
  <c r="E206" i="16"/>
  <c r="D206" i="16"/>
  <c r="C206" i="16"/>
  <c r="P205" i="16"/>
  <c r="O205" i="16"/>
  <c r="N205" i="16"/>
  <c r="M205" i="16"/>
  <c r="L205" i="16"/>
  <c r="K205" i="16"/>
  <c r="J205" i="16"/>
  <c r="I205" i="16"/>
  <c r="H205" i="16"/>
  <c r="G205" i="16"/>
  <c r="F205" i="16"/>
  <c r="E205" i="16"/>
  <c r="D205" i="16"/>
  <c r="C205" i="16"/>
  <c r="P204" i="16"/>
  <c r="O204" i="16"/>
  <c r="N204" i="16"/>
  <c r="M204" i="16"/>
  <c r="L204" i="16"/>
  <c r="K204" i="16"/>
  <c r="J204" i="16"/>
  <c r="I204" i="16"/>
  <c r="H204" i="16"/>
  <c r="G204" i="16"/>
  <c r="F204" i="16"/>
  <c r="E204" i="16"/>
  <c r="D204" i="16"/>
  <c r="C204" i="16"/>
  <c r="P203" i="16"/>
  <c r="O203" i="16"/>
  <c r="N203" i="16"/>
  <c r="M203" i="16"/>
  <c r="L203" i="16"/>
  <c r="K203" i="16"/>
  <c r="J203" i="16"/>
  <c r="I203" i="16"/>
  <c r="H203" i="16"/>
  <c r="G203" i="16"/>
  <c r="F203" i="16"/>
  <c r="E203" i="16"/>
  <c r="D203" i="16"/>
  <c r="C203" i="16"/>
  <c r="P202" i="16"/>
  <c r="O202" i="16"/>
  <c r="N202" i="16"/>
  <c r="M202" i="16"/>
  <c r="L202" i="16"/>
  <c r="K202" i="16"/>
  <c r="J202" i="16"/>
  <c r="I202" i="16"/>
  <c r="H202" i="16"/>
  <c r="G202" i="16"/>
  <c r="F202" i="16"/>
  <c r="E202" i="16"/>
  <c r="D202" i="16"/>
  <c r="C202" i="16"/>
  <c r="P201" i="16"/>
  <c r="O201" i="16"/>
  <c r="N201" i="16"/>
  <c r="M201" i="16"/>
  <c r="L201" i="16"/>
  <c r="K201" i="16"/>
  <c r="J201" i="16"/>
  <c r="I201" i="16"/>
  <c r="H201" i="16"/>
  <c r="G201" i="16"/>
  <c r="F201" i="16"/>
  <c r="E201" i="16"/>
  <c r="D201" i="16"/>
  <c r="C201" i="16"/>
  <c r="P200" i="16"/>
  <c r="O200" i="16"/>
  <c r="N200" i="16"/>
  <c r="M200" i="16"/>
  <c r="L200" i="16"/>
  <c r="K200" i="16"/>
  <c r="J200" i="16"/>
  <c r="I200" i="16"/>
  <c r="H200" i="16"/>
  <c r="G200" i="16"/>
  <c r="F200" i="16"/>
  <c r="E200" i="16"/>
  <c r="D200" i="16"/>
  <c r="C200" i="16"/>
  <c r="P199" i="16"/>
  <c r="O199" i="16"/>
  <c r="N199" i="16"/>
  <c r="M199" i="16"/>
  <c r="L199" i="16"/>
  <c r="K199" i="16"/>
  <c r="J199" i="16"/>
  <c r="I199" i="16"/>
  <c r="H199" i="16"/>
  <c r="G199" i="16"/>
  <c r="F199" i="16"/>
  <c r="E199" i="16"/>
  <c r="D199" i="16"/>
  <c r="C199" i="16"/>
  <c r="P198" i="16"/>
  <c r="O198" i="16"/>
  <c r="N198" i="16"/>
  <c r="M198" i="16"/>
  <c r="L198" i="16"/>
  <c r="K198" i="16"/>
  <c r="J198" i="16"/>
  <c r="I198" i="16"/>
  <c r="H198" i="16"/>
  <c r="G198" i="16"/>
  <c r="F198" i="16"/>
  <c r="E198" i="16"/>
  <c r="D198" i="16"/>
  <c r="C198" i="16"/>
  <c r="P197" i="16"/>
  <c r="O197" i="16"/>
  <c r="N197" i="16"/>
  <c r="M197" i="16"/>
  <c r="L197" i="16"/>
  <c r="K197" i="16"/>
  <c r="J197" i="16"/>
  <c r="I197" i="16"/>
  <c r="H197" i="16"/>
  <c r="G197" i="16"/>
  <c r="F197" i="16"/>
  <c r="E197" i="16"/>
  <c r="D197" i="16"/>
  <c r="C197" i="16"/>
  <c r="P196" i="16"/>
  <c r="O196" i="16"/>
  <c r="N196" i="16"/>
  <c r="M196" i="16"/>
  <c r="L196" i="16"/>
  <c r="K196" i="16"/>
  <c r="J196" i="16"/>
  <c r="I196" i="16"/>
  <c r="H196" i="16"/>
  <c r="G196" i="16"/>
  <c r="F196" i="16"/>
  <c r="E196" i="16"/>
  <c r="D196" i="16"/>
  <c r="C196" i="16"/>
  <c r="P195" i="16"/>
  <c r="O195" i="16"/>
  <c r="N195" i="16"/>
  <c r="M195" i="16"/>
  <c r="L195" i="16"/>
  <c r="K195" i="16"/>
  <c r="J195" i="16"/>
  <c r="I195" i="16"/>
  <c r="H195" i="16"/>
  <c r="G195" i="16"/>
  <c r="F195" i="16"/>
  <c r="E195" i="16"/>
  <c r="D195" i="16"/>
  <c r="C195" i="16"/>
  <c r="P194" i="16"/>
  <c r="O194" i="16"/>
  <c r="N194" i="16"/>
  <c r="M194" i="16"/>
  <c r="L194" i="16"/>
  <c r="K194" i="16"/>
  <c r="J194" i="16"/>
  <c r="I194" i="16"/>
  <c r="H194" i="16"/>
  <c r="G194" i="16"/>
  <c r="F194" i="16"/>
  <c r="E194" i="16"/>
  <c r="D194" i="16"/>
  <c r="C194" i="16"/>
  <c r="P193" i="16"/>
  <c r="O193" i="16"/>
  <c r="N193" i="16"/>
  <c r="M193" i="16"/>
  <c r="L193" i="16"/>
  <c r="K193" i="16"/>
  <c r="J193" i="16"/>
  <c r="I193" i="16"/>
  <c r="H193" i="16"/>
  <c r="G193" i="16"/>
  <c r="F193" i="16"/>
  <c r="E193" i="16"/>
  <c r="D193" i="16"/>
  <c r="C193" i="16"/>
  <c r="P192" i="16"/>
  <c r="O192" i="16"/>
  <c r="N192" i="16"/>
  <c r="M192" i="16"/>
  <c r="L192" i="16"/>
  <c r="K192" i="16"/>
  <c r="J192" i="16"/>
  <c r="I192" i="16"/>
  <c r="H192" i="16"/>
  <c r="G192" i="16"/>
  <c r="F192" i="16"/>
  <c r="E192" i="16"/>
  <c r="D192" i="16"/>
  <c r="C192" i="16"/>
  <c r="P191" i="16"/>
  <c r="O191" i="16"/>
  <c r="N191" i="16"/>
  <c r="M191" i="16"/>
  <c r="L191" i="16"/>
  <c r="K191" i="16"/>
  <c r="J191" i="16"/>
  <c r="I191" i="16"/>
  <c r="H191" i="16"/>
  <c r="G191" i="16"/>
  <c r="F191" i="16"/>
  <c r="E191" i="16"/>
  <c r="D191" i="16"/>
  <c r="C191" i="16"/>
  <c r="P190" i="16"/>
  <c r="O190" i="16"/>
  <c r="N190" i="16"/>
  <c r="M190" i="16"/>
  <c r="L190" i="16"/>
  <c r="K190" i="16"/>
  <c r="J190" i="16"/>
  <c r="I190" i="16"/>
  <c r="H190" i="16"/>
  <c r="G190" i="16"/>
  <c r="F190" i="16"/>
  <c r="E190" i="16"/>
  <c r="D190" i="16"/>
  <c r="C190" i="16"/>
  <c r="P189" i="16"/>
  <c r="O189" i="16"/>
  <c r="N189" i="16"/>
  <c r="M189" i="16"/>
  <c r="L189" i="16"/>
  <c r="K189" i="16"/>
  <c r="J189" i="16"/>
  <c r="I189" i="16"/>
  <c r="H189" i="16"/>
  <c r="G189" i="16"/>
  <c r="F189" i="16"/>
  <c r="E189" i="16"/>
  <c r="D189" i="16"/>
  <c r="C189" i="16"/>
  <c r="P188" i="16"/>
  <c r="O188" i="16"/>
  <c r="N188" i="16"/>
  <c r="M188" i="16"/>
  <c r="L188" i="16"/>
  <c r="K188" i="16"/>
  <c r="J188" i="16"/>
  <c r="I188" i="16"/>
  <c r="H188" i="16"/>
  <c r="G188" i="16"/>
  <c r="F188" i="16"/>
  <c r="E188" i="16"/>
  <c r="D188" i="16"/>
  <c r="C188" i="16"/>
  <c r="P187" i="16"/>
  <c r="O187" i="16"/>
  <c r="N187" i="16"/>
  <c r="M187" i="16"/>
  <c r="L187" i="16"/>
  <c r="K187" i="16"/>
  <c r="J187" i="16"/>
  <c r="I187" i="16"/>
  <c r="H187" i="16"/>
  <c r="G187" i="16"/>
  <c r="F187" i="16"/>
  <c r="E187" i="16"/>
  <c r="D187" i="16"/>
  <c r="C187" i="16"/>
  <c r="P186" i="16"/>
  <c r="O186" i="16"/>
  <c r="N186" i="16"/>
  <c r="M186" i="16"/>
  <c r="L186" i="16"/>
  <c r="K186" i="16"/>
  <c r="J186" i="16"/>
  <c r="I186" i="16"/>
  <c r="H186" i="16"/>
  <c r="G186" i="16"/>
  <c r="F186" i="16"/>
  <c r="E186" i="16"/>
  <c r="D186" i="16"/>
  <c r="C186" i="16"/>
  <c r="P185" i="16"/>
  <c r="O185" i="16"/>
  <c r="N185" i="16"/>
  <c r="M185" i="16"/>
  <c r="L185" i="16"/>
  <c r="K185" i="16"/>
  <c r="J185" i="16"/>
  <c r="I185" i="16"/>
  <c r="H185" i="16"/>
  <c r="G185" i="16"/>
  <c r="F185" i="16"/>
  <c r="E185" i="16"/>
  <c r="D185" i="16"/>
  <c r="C185" i="16"/>
  <c r="P184" i="16"/>
  <c r="O184" i="16"/>
  <c r="N184" i="16"/>
  <c r="M184" i="16"/>
  <c r="L184" i="16"/>
  <c r="K184" i="16"/>
  <c r="J184" i="16"/>
  <c r="I184" i="16"/>
  <c r="H184" i="16"/>
  <c r="G184" i="16"/>
  <c r="F184" i="16"/>
  <c r="E184" i="16"/>
  <c r="D184" i="16"/>
  <c r="C184" i="16"/>
  <c r="P183" i="16"/>
  <c r="O183" i="16"/>
  <c r="N183" i="16"/>
  <c r="M183" i="16"/>
  <c r="L183" i="16"/>
  <c r="K183" i="16"/>
  <c r="J183" i="16"/>
  <c r="I183" i="16"/>
  <c r="H183" i="16"/>
  <c r="G183" i="16"/>
  <c r="F183" i="16"/>
  <c r="E183" i="16"/>
  <c r="D183" i="16"/>
  <c r="C183" i="16"/>
  <c r="P182" i="16"/>
  <c r="O182" i="16"/>
  <c r="N182" i="16"/>
  <c r="M182" i="16"/>
  <c r="L182" i="16"/>
  <c r="K182" i="16"/>
  <c r="J182" i="16"/>
  <c r="I182" i="16"/>
  <c r="H182" i="16"/>
  <c r="G182" i="16"/>
  <c r="F182" i="16"/>
  <c r="E182" i="16"/>
  <c r="D182" i="16"/>
  <c r="C182" i="16"/>
  <c r="P181" i="16"/>
  <c r="O181" i="16"/>
  <c r="N181" i="16"/>
  <c r="M181" i="16"/>
  <c r="L181" i="16"/>
  <c r="K181" i="16"/>
  <c r="J181" i="16"/>
  <c r="I181" i="16"/>
  <c r="H181" i="16"/>
  <c r="G181" i="16"/>
  <c r="F181" i="16"/>
  <c r="E181" i="16"/>
  <c r="D181" i="16"/>
  <c r="C181" i="16"/>
  <c r="P180" i="16"/>
  <c r="O180" i="16"/>
  <c r="N180" i="16"/>
  <c r="M180" i="16"/>
  <c r="L180" i="16"/>
  <c r="K180" i="16"/>
  <c r="J180" i="16"/>
  <c r="I180" i="16"/>
  <c r="H180" i="16"/>
  <c r="G180" i="16"/>
  <c r="F180" i="16"/>
  <c r="E180" i="16"/>
  <c r="D180" i="16"/>
  <c r="C180" i="16"/>
  <c r="P179" i="16"/>
  <c r="O179" i="16"/>
  <c r="N179" i="16"/>
  <c r="M179" i="16"/>
  <c r="L179" i="16"/>
  <c r="K179" i="16"/>
  <c r="J179" i="16"/>
  <c r="I179" i="16"/>
  <c r="H179" i="16"/>
  <c r="G179" i="16"/>
  <c r="F179" i="16"/>
  <c r="E179" i="16"/>
  <c r="D179" i="16"/>
  <c r="C179" i="16"/>
  <c r="P178" i="16"/>
  <c r="O178" i="16"/>
  <c r="N178" i="16"/>
  <c r="M178" i="16"/>
  <c r="L178" i="16"/>
  <c r="K178" i="16"/>
  <c r="J178" i="16"/>
  <c r="I178" i="16"/>
  <c r="H178" i="16"/>
  <c r="G178" i="16"/>
  <c r="F178" i="16"/>
  <c r="E178" i="16"/>
  <c r="D178" i="16"/>
  <c r="C178" i="16"/>
  <c r="P177" i="16"/>
  <c r="O177" i="16"/>
  <c r="N177" i="16"/>
  <c r="M177" i="16"/>
  <c r="L177" i="16"/>
  <c r="K177" i="16"/>
  <c r="J177" i="16"/>
  <c r="I177" i="16"/>
  <c r="H177" i="16"/>
  <c r="G177" i="16"/>
  <c r="F177" i="16"/>
  <c r="E177" i="16"/>
  <c r="D177" i="16"/>
  <c r="C177" i="16"/>
  <c r="P176" i="16"/>
  <c r="O176" i="16"/>
  <c r="N176" i="16"/>
  <c r="M176" i="16"/>
  <c r="L176" i="16"/>
  <c r="K176" i="16"/>
  <c r="J176" i="16"/>
  <c r="I176" i="16"/>
  <c r="H176" i="16"/>
  <c r="G176" i="16"/>
  <c r="F176" i="16"/>
  <c r="E176" i="16"/>
  <c r="D176" i="16"/>
  <c r="C176" i="16"/>
  <c r="P175" i="16"/>
  <c r="O175" i="16"/>
  <c r="N175" i="16"/>
  <c r="M175" i="16"/>
  <c r="L175" i="16"/>
  <c r="K175" i="16"/>
  <c r="J175" i="16"/>
  <c r="I175" i="16"/>
  <c r="H175" i="16"/>
  <c r="G175" i="16"/>
  <c r="F175" i="16"/>
  <c r="E175" i="16"/>
  <c r="D175" i="16"/>
  <c r="C175" i="16"/>
  <c r="P174" i="16"/>
  <c r="O174" i="16"/>
  <c r="N174" i="16"/>
  <c r="M174" i="16"/>
  <c r="L174" i="16"/>
  <c r="K174" i="16"/>
  <c r="J174" i="16"/>
  <c r="I174" i="16"/>
  <c r="H174" i="16"/>
  <c r="G174" i="16"/>
  <c r="F174" i="16"/>
  <c r="E174" i="16"/>
  <c r="D174" i="16"/>
  <c r="C174" i="16"/>
  <c r="P173" i="16"/>
  <c r="O173" i="16"/>
  <c r="N173" i="16"/>
  <c r="M173" i="16"/>
  <c r="L173" i="16"/>
  <c r="K173" i="16"/>
  <c r="J173" i="16"/>
  <c r="I173" i="16"/>
  <c r="H173" i="16"/>
  <c r="G173" i="16"/>
  <c r="F173" i="16"/>
  <c r="E173" i="16"/>
  <c r="D173" i="16"/>
  <c r="C173" i="16"/>
  <c r="P172" i="16"/>
  <c r="O172" i="16"/>
  <c r="N172" i="16"/>
  <c r="M172" i="16"/>
  <c r="L172" i="16"/>
  <c r="K172" i="16"/>
  <c r="J172" i="16"/>
  <c r="I172" i="16"/>
  <c r="H172" i="16"/>
  <c r="G172" i="16"/>
  <c r="F172" i="16"/>
  <c r="E172" i="16"/>
  <c r="D172" i="16"/>
  <c r="C172" i="16"/>
  <c r="P171" i="16"/>
  <c r="O171" i="16"/>
  <c r="N171" i="16"/>
  <c r="M171" i="16"/>
  <c r="L171" i="16"/>
  <c r="K171" i="16"/>
  <c r="J171" i="16"/>
  <c r="I171" i="16"/>
  <c r="H171" i="16"/>
  <c r="G171" i="16"/>
  <c r="F171" i="16"/>
  <c r="E171" i="16"/>
  <c r="D171" i="16"/>
  <c r="C171" i="16"/>
  <c r="P170" i="16"/>
  <c r="O170" i="16"/>
  <c r="N170" i="16"/>
  <c r="M170" i="16"/>
  <c r="L170" i="16"/>
  <c r="K170" i="16"/>
  <c r="J170" i="16"/>
  <c r="I170" i="16"/>
  <c r="H170" i="16"/>
  <c r="G170" i="16"/>
  <c r="F170" i="16"/>
  <c r="E170" i="16"/>
  <c r="D170" i="16"/>
  <c r="C170" i="16"/>
  <c r="P169" i="16"/>
  <c r="O169" i="16"/>
  <c r="N169" i="16"/>
  <c r="M169" i="16"/>
  <c r="L169" i="16"/>
  <c r="K169" i="16"/>
  <c r="J169" i="16"/>
  <c r="I169" i="16"/>
  <c r="H169" i="16"/>
  <c r="G169" i="16"/>
  <c r="F169" i="16"/>
  <c r="E169" i="16"/>
  <c r="D169" i="16"/>
  <c r="C169" i="16"/>
  <c r="P168" i="16"/>
  <c r="O168" i="16"/>
  <c r="N168" i="16"/>
  <c r="M168" i="16"/>
  <c r="L168" i="16"/>
  <c r="K168" i="16"/>
  <c r="J168" i="16"/>
  <c r="I168" i="16"/>
  <c r="H168" i="16"/>
  <c r="G168" i="16"/>
  <c r="F168" i="16"/>
  <c r="E168" i="16"/>
  <c r="D168" i="16"/>
  <c r="C168" i="16"/>
  <c r="P167" i="16"/>
  <c r="O167" i="16"/>
  <c r="N167" i="16"/>
  <c r="M167" i="16"/>
  <c r="L167" i="16"/>
  <c r="K167" i="16"/>
  <c r="J167" i="16"/>
  <c r="I167" i="16"/>
  <c r="H167" i="16"/>
  <c r="G167" i="16"/>
  <c r="F167" i="16"/>
  <c r="E167" i="16"/>
  <c r="D167" i="16"/>
  <c r="C167" i="16"/>
  <c r="P166" i="16"/>
  <c r="O166" i="16"/>
  <c r="N166" i="16"/>
  <c r="M166" i="16"/>
  <c r="L166" i="16"/>
  <c r="K166" i="16"/>
  <c r="J166" i="16"/>
  <c r="I166" i="16"/>
  <c r="H166" i="16"/>
  <c r="G166" i="16"/>
  <c r="F166" i="16"/>
  <c r="E166" i="16"/>
  <c r="D166" i="16"/>
  <c r="C166" i="16"/>
  <c r="P165" i="16"/>
  <c r="O165" i="16"/>
  <c r="N165" i="16"/>
  <c r="M165" i="16"/>
  <c r="L165" i="16"/>
  <c r="K165" i="16"/>
  <c r="J165" i="16"/>
  <c r="I165" i="16"/>
  <c r="H165" i="16"/>
  <c r="G165" i="16"/>
  <c r="F165" i="16"/>
  <c r="E165" i="16"/>
  <c r="D165" i="16"/>
  <c r="C165" i="16"/>
  <c r="P164" i="16"/>
  <c r="O164" i="16"/>
  <c r="N164" i="16"/>
  <c r="M164" i="16"/>
  <c r="L164" i="16"/>
  <c r="K164" i="16"/>
  <c r="J164" i="16"/>
  <c r="I164" i="16"/>
  <c r="H164" i="16"/>
  <c r="G164" i="16"/>
  <c r="F164" i="16"/>
  <c r="E164" i="16"/>
  <c r="D164" i="16"/>
  <c r="C164" i="16"/>
  <c r="P163" i="16"/>
  <c r="O163" i="16"/>
  <c r="N163" i="16"/>
  <c r="M163" i="16"/>
  <c r="L163" i="16"/>
  <c r="K163" i="16"/>
  <c r="J163" i="16"/>
  <c r="I163" i="16"/>
  <c r="H163" i="16"/>
  <c r="G163" i="16"/>
  <c r="F163" i="16"/>
  <c r="E163" i="16"/>
  <c r="D163" i="16"/>
  <c r="C163" i="16"/>
  <c r="P162" i="16"/>
  <c r="O162" i="16"/>
  <c r="N162" i="16"/>
  <c r="M162" i="16"/>
  <c r="L162" i="16"/>
  <c r="K162" i="16"/>
  <c r="J162" i="16"/>
  <c r="I162" i="16"/>
  <c r="H162" i="16"/>
  <c r="G162" i="16"/>
  <c r="F162" i="16"/>
  <c r="E162" i="16"/>
  <c r="D162" i="16"/>
  <c r="C162" i="16"/>
  <c r="P161" i="16"/>
  <c r="O161" i="16"/>
  <c r="N161" i="16"/>
  <c r="M161" i="16"/>
  <c r="L161" i="16"/>
  <c r="K161" i="16"/>
  <c r="J161" i="16"/>
  <c r="I161" i="16"/>
  <c r="H161" i="16"/>
  <c r="G161" i="16"/>
  <c r="F161" i="16"/>
  <c r="E161" i="16"/>
  <c r="D161" i="16"/>
  <c r="C161" i="16"/>
  <c r="P160" i="16"/>
  <c r="O160" i="16"/>
  <c r="N160" i="16"/>
  <c r="M160" i="16"/>
  <c r="L160" i="16"/>
  <c r="K160" i="16"/>
  <c r="J160" i="16"/>
  <c r="I160" i="16"/>
  <c r="H160" i="16"/>
  <c r="G160" i="16"/>
  <c r="F160" i="16"/>
  <c r="E160" i="16"/>
  <c r="D160" i="16"/>
  <c r="C160" i="16"/>
  <c r="P159" i="16"/>
  <c r="O159" i="16"/>
  <c r="N159" i="16"/>
  <c r="M159" i="16"/>
  <c r="L159" i="16"/>
  <c r="K159" i="16"/>
  <c r="J159" i="16"/>
  <c r="I159" i="16"/>
  <c r="H159" i="16"/>
  <c r="G159" i="16"/>
  <c r="F159" i="16"/>
  <c r="E159" i="16"/>
  <c r="D159" i="16"/>
  <c r="C159" i="16"/>
  <c r="P158" i="16"/>
  <c r="O158" i="16"/>
  <c r="N158" i="16"/>
  <c r="M158" i="16"/>
  <c r="L158" i="16"/>
  <c r="K158" i="16"/>
  <c r="J158" i="16"/>
  <c r="I158" i="16"/>
  <c r="H158" i="16"/>
  <c r="G158" i="16"/>
  <c r="F158" i="16"/>
  <c r="E158" i="16"/>
  <c r="D158" i="16"/>
  <c r="C158" i="16"/>
  <c r="P157" i="16"/>
  <c r="O157" i="16"/>
  <c r="N157" i="16"/>
  <c r="M157" i="16"/>
  <c r="L157" i="16"/>
  <c r="K157" i="16"/>
  <c r="J157" i="16"/>
  <c r="I157" i="16"/>
  <c r="H157" i="16"/>
  <c r="G157" i="16"/>
  <c r="F157" i="16"/>
  <c r="E157" i="16"/>
  <c r="D157" i="16"/>
  <c r="C157" i="16"/>
  <c r="P156" i="16"/>
  <c r="O156" i="16"/>
  <c r="N156" i="16"/>
  <c r="M156" i="16"/>
  <c r="L156" i="16"/>
  <c r="K156" i="16"/>
  <c r="J156" i="16"/>
  <c r="I156" i="16"/>
  <c r="H156" i="16"/>
  <c r="G156" i="16"/>
  <c r="F156" i="16"/>
  <c r="E156" i="16"/>
  <c r="D156" i="16"/>
  <c r="C156" i="16"/>
  <c r="P155" i="16"/>
  <c r="O155" i="16"/>
  <c r="N155" i="16"/>
  <c r="M155" i="16"/>
  <c r="L155" i="16"/>
  <c r="K155" i="16"/>
  <c r="J155" i="16"/>
  <c r="I155" i="16"/>
  <c r="H155" i="16"/>
  <c r="G155" i="16"/>
  <c r="F155" i="16"/>
  <c r="E155" i="16"/>
  <c r="D155" i="16"/>
  <c r="C155" i="16"/>
  <c r="P154" i="16"/>
  <c r="O154" i="16"/>
  <c r="N154" i="16"/>
  <c r="M154" i="16"/>
  <c r="L154" i="16"/>
  <c r="K154" i="16"/>
  <c r="J154" i="16"/>
  <c r="I154" i="16"/>
  <c r="H154" i="16"/>
  <c r="G154" i="16"/>
  <c r="F154" i="16"/>
  <c r="E154" i="16"/>
  <c r="D154" i="16"/>
  <c r="C154" i="16"/>
  <c r="P153" i="16"/>
  <c r="O153" i="16"/>
  <c r="N153" i="16"/>
  <c r="M153" i="16"/>
  <c r="L153" i="16"/>
  <c r="K153" i="16"/>
  <c r="J153" i="16"/>
  <c r="I153" i="16"/>
  <c r="H153" i="16"/>
  <c r="G153" i="16"/>
  <c r="F153" i="16"/>
  <c r="E153" i="16"/>
  <c r="D153" i="16"/>
  <c r="C153" i="16"/>
  <c r="P152" i="16"/>
  <c r="O152" i="16"/>
  <c r="N152" i="16"/>
  <c r="M152" i="16"/>
  <c r="L152" i="16"/>
  <c r="K152" i="16"/>
  <c r="J152" i="16"/>
  <c r="I152" i="16"/>
  <c r="H152" i="16"/>
  <c r="G152" i="16"/>
  <c r="F152" i="16"/>
  <c r="E152" i="16"/>
  <c r="D152" i="16"/>
  <c r="C152" i="16"/>
  <c r="P151" i="16"/>
  <c r="O151" i="16"/>
  <c r="N151" i="16"/>
  <c r="M151" i="16"/>
  <c r="L151" i="16"/>
  <c r="K151" i="16"/>
  <c r="J151" i="16"/>
  <c r="I151" i="16"/>
  <c r="H151" i="16"/>
  <c r="G151" i="16"/>
  <c r="F151" i="16"/>
  <c r="E151" i="16"/>
  <c r="D151" i="16"/>
  <c r="C151" i="16"/>
  <c r="P150" i="16"/>
  <c r="O150" i="16"/>
  <c r="N150" i="16"/>
  <c r="M150" i="16"/>
  <c r="L150" i="16"/>
  <c r="K150" i="16"/>
  <c r="J150" i="16"/>
  <c r="I150" i="16"/>
  <c r="H150" i="16"/>
  <c r="G150" i="16"/>
  <c r="F150" i="16"/>
  <c r="E150" i="16"/>
  <c r="D150" i="16"/>
  <c r="C150" i="16"/>
  <c r="P149" i="16"/>
  <c r="O149" i="16"/>
  <c r="N149" i="16"/>
  <c r="M149" i="16"/>
  <c r="L149" i="16"/>
  <c r="K149" i="16"/>
  <c r="J149" i="16"/>
  <c r="I149" i="16"/>
  <c r="H149" i="16"/>
  <c r="G149" i="16"/>
  <c r="F149" i="16"/>
  <c r="E149" i="16"/>
  <c r="D149" i="16"/>
  <c r="C149" i="16"/>
  <c r="P148" i="16"/>
  <c r="O148" i="16"/>
  <c r="N148" i="16"/>
  <c r="M148" i="16"/>
  <c r="L148" i="16"/>
  <c r="K148" i="16"/>
  <c r="J148" i="16"/>
  <c r="I148" i="16"/>
  <c r="H148" i="16"/>
  <c r="G148" i="16"/>
  <c r="F148" i="16"/>
  <c r="E148" i="16"/>
  <c r="D148" i="16"/>
  <c r="C148" i="16"/>
  <c r="P147" i="16"/>
  <c r="O147" i="16"/>
  <c r="N147" i="16"/>
  <c r="M147" i="16"/>
  <c r="L147" i="16"/>
  <c r="K147" i="16"/>
  <c r="J147" i="16"/>
  <c r="I147" i="16"/>
  <c r="H147" i="16"/>
  <c r="G147" i="16"/>
  <c r="F147" i="16"/>
  <c r="E147" i="16"/>
  <c r="D147" i="16"/>
  <c r="C147" i="16"/>
  <c r="P146" i="16"/>
  <c r="O146" i="16"/>
  <c r="N146" i="16"/>
  <c r="M146" i="16"/>
  <c r="L146" i="16"/>
  <c r="K146" i="16"/>
  <c r="J146" i="16"/>
  <c r="I146" i="16"/>
  <c r="H146" i="16"/>
  <c r="G146" i="16"/>
  <c r="F146" i="16"/>
  <c r="E146" i="16"/>
  <c r="D146" i="16"/>
  <c r="C146" i="16"/>
  <c r="P145" i="16"/>
  <c r="O145" i="16"/>
  <c r="N145" i="16"/>
  <c r="M145" i="16"/>
  <c r="L145" i="16"/>
  <c r="K145" i="16"/>
  <c r="J145" i="16"/>
  <c r="I145" i="16"/>
  <c r="H145" i="16"/>
  <c r="G145" i="16"/>
  <c r="F145" i="16"/>
  <c r="E145" i="16"/>
  <c r="D145" i="16"/>
  <c r="C145" i="16"/>
  <c r="P144" i="16"/>
  <c r="O144" i="16"/>
  <c r="N144" i="16"/>
  <c r="M144" i="16"/>
  <c r="L144" i="16"/>
  <c r="K144" i="16"/>
  <c r="J144" i="16"/>
  <c r="I144" i="16"/>
  <c r="H144" i="16"/>
  <c r="G144" i="16"/>
  <c r="F144" i="16"/>
  <c r="E144" i="16"/>
  <c r="D144" i="16"/>
  <c r="C144" i="16"/>
  <c r="P143" i="16"/>
  <c r="O143" i="16"/>
  <c r="N143" i="16"/>
  <c r="M143" i="16"/>
  <c r="L143" i="16"/>
  <c r="K143" i="16"/>
  <c r="J143" i="16"/>
  <c r="I143" i="16"/>
  <c r="H143" i="16"/>
  <c r="G143" i="16"/>
  <c r="F143" i="16"/>
  <c r="E143" i="16"/>
  <c r="D143" i="16"/>
  <c r="C143" i="16"/>
  <c r="P142" i="16"/>
  <c r="O142" i="16"/>
  <c r="N142" i="16"/>
  <c r="M142" i="16"/>
  <c r="L142" i="16"/>
  <c r="K142" i="16"/>
  <c r="J142" i="16"/>
  <c r="I142" i="16"/>
  <c r="H142" i="16"/>
  <c r="G142" i="16"/>
  <c r="F142" i="16"/>
  <c r="E142" i="16"/>
  <c r="D142" i="16"/>
  <c r="C142" i="16"/>
  <c r="P141" i="16"/>
  <c r="O141" i="16"/>
  <c r="N141" i="16"/>
  <c r="M141" i="16"/>
  <c r="L141" i="16"/>
  <c r="K141" i="16"/>
  <c r="J141" i="16"/>
  <c r="I141" i="16"/>
  <c r="H141" i="16"/>
  <c r="G141" i="16"/>
  <c r="F141" i="16"/>
  <c r="E141" i="16"/>
  <c r="D141" i="16"/>
  <c r="C141" i="16"/>
  <c r="P140" i="16"/>
  <c r="O140" i="16"/>
  <c r="N140" i="16"/>
  <c r="M140" i="16"/>
  <c r="L140" i="16"/>
  <c r="K140" i="16"/>
  <c r="J140" i="16"/>
  <c r="I140" i="16"/>
  <c r="H140" i="16"/>
  <c r="G140" i="16"/>
  <c r="F140" i="16"/>
  <c r="E140" i="16"/>
  <c r="D140" i="16"/>
  <c r="C140" i="16"/>
  <c r="P139" i="16"/>
  <c r="O139" i="16"/>
  <c r="N139" i="16"/>
  <c r="M139" i="16"/>
  <c r="L139" i="16"/>
  <c r="K139" i="16"/>
  <c r="J139" i="16"/>
  <c r="I139" i="16"/>
  <c r="H139" i="16"/>
  <c r="G139" i="16"/>
  <c r="F139" i="16"/>
  <c r="E139" i="16"/>
  <c r="D139" i="16"/>
  <c r="C139" i="16"/>
  <c r="P138" i="16"/>
  <c r="O138" i="16"/>
  <c r="N138" i="16"/>
  <c r="M138" i="16"/>
  <c r="L138" i="16"/>
  <c r="K138" i="16"/>
  <c r="J138" i="16"/>
  <c r="I138" i="16"/>
  <c r="H138" i="16"/>
  <c r="G138" i="16"/>
  <c r="F138" i="16"/>
  <c r="E138" i="16"/>
  <c r="D138" i="16"/>
  <c r="C138" i="16"/>
  <c r="P137" i="16"/>
  <c r="O137" i="16"/>
  <c r="N137" i="16"/>
  <c r="M137" i="16"/>
  <c r="L137" i="16"/>
  <c r="K137" i="16"/>
  <c r="J137" i="16"/>
  <c r="I137" i="16"/>
  <c r="H137" i="16"/>
  <c r="G137" i="16"/>
  <c r="F137" i="16"/>
  <c r="E137" i="16"/>
  <c r="D137" i="16"/>
  <c r="C137" i="16"/>
  <c r="P136" i="16"/>
  <c r="O136" i="16"/>
  <c r="N136" i="16"/>
  <c r="M136" i="16"/>
  <c r="L136" i="16"/>
  <c r="K136" i="16"/>
  <c r="J136" i="16"/>
  <c r="I136" i="16"/>
  <c r="H136" i="16"/>
  <c r="G136" i="16"/>
  <c r="F136" i="16"/>
  <c r="E136" i="16"/>
  <c r="D136" i="16"/>
  <c r="C136" i="16"/>
  <c r="P135" i="16"/>
  <c r="O135" i="16"/>
  <c r="N135" i="16"/>
  <c r="M135" i="16"/>
  <c r="L135" i="16"/>
  <c r="K135" i="16"/>
  <c r="J135" i="16"/>
  <c r="I135" i="16"/>
  <c r="H135" i="16"/>
  <c r="G135" i="16"/>
  <c r="F135" i="16"/>
  <c r="E135" i="16"/>
  <c r="D135" i="16"/>
  <c r="C135" i="16"/>
  <c r="P134" i="16"/>
  <c r="O134" i="16"/>
  <c r="N134" i="16"/>
  <c r="M134" i="16"/>
  <c r="L134" i="16"/>
  <c r="K134" i="16"/>
  <c r="J134" i="16"/>
  <c r="I134" i="16"/>
  <c r="H134" i="16"/>
  <c r="G134" i="16"/>
  <c r="F134" i="16"/>
  <c r="E134" i="16"/>
  <c r="D134" i="16"/>
  <c r="C134" i="16"/>
  <c r="P133" i="16"/>
  <c r="O133" i="16"/>
  <c r="N133" i="16"/>
  <c r="M133" i="16"/>
  <c r="L133" i="16"/>
  <c r="K133" i="16"/>
  <c r="J133" i="16"/>
  <c r="I133" i="16"/>
  <c r="H133" i="16"/>
  <c r="G133" i="16"/>
  <c r="F133" i="16"/>
  <c r="E133" i="16"/>
  <c r="D133" i="16"/>
  <c r="C133" i="16"/>
  <c r="P132" i="16"/>
  <c r="O132" i="16"/>
  <c r="N132" i="16"/>
  <c r="M132" i="16"/>
  <c r="L132" i="16"/>
  <c r="K132" i="16"/>
  <c r="J132" i="16"/>
  <c r="I132" i="16"/>
  <c r="H132" i="16"/>
  <c r="G132" i="16"/>
  <c r="F132" i="16"/>
  <c r="E132" i="16"/>
  <c r="D132" i="16"/>
  <c r="C132" i="16"/>
  <c r="P131" i="16"/>
  <c r="O131" i="16"/>
  <c r="N131" i="16"/>
  <c r="M131" i="16"/>
  <c r="L131" i="16"/>
  <c r="K131" i="16"/>
  <c r="J131" i="16"/>
  <c r="I131" i="16"/>
  <c r="H131" i="16"/>
  <c r="G131" i="16"/>
  <c r="F131" i="16"/>
  <c r="E131" i="16"/>
  <c r="D131" i="16"/>
  <c r="C131" i="16"/>
  <c r="P130" i="16"/>
  <c r="O130" i="16"/>
  <c r="N130" i="16"/>
  <c r="M130" i="16"/>
  <c r="L130" i="16"/>
  <c r="K130" i="16"/>
  <c r="J130" i="16"/>
  <c r="I130" i="16"/>
  <c r="H130" i="16"/>
  <c r="G130" i="16"/>
  <c r="F130" i="16"/>
  <c r="E130" i="16"/>
  <c r="D130" i="16"/>
  <c r="C130" i="16"/>
  <c r="P129" i="16"/>
  <c r="O129" i="16"/>
  <c r="N129" i="16"/>
  <c r="M129" i="16"/>
  <c r="L129" i="16"/>
  <c r="K129" i="16"/>
  <c r="J129" i="16"/>
  <c r="I129" i="16"/>
  <c r="H129" i="16"/>
  <c r="G129" i="16"/>
  <c r="F129" i="16"/>
  <c r="E129" i="16"/>
  <c r="D129" i="16"/>
  <c r="C129" i="16"/>
  <c r="P128" i="16"/>
  <c r="O128" i="16"/>
  <c r="N128" i="16"/>
  <c r="M128" i="16"/>
  <c r="L128" i="16"/>
  <c r="K128" i="16"/>
  <c r="J128" i="16"/>
  <c r="I128" i="16"/>
  <c r="H128" i="16"/>
  <c r="G128" i="16"/>
  <c r="F128" i="16"/>
  <c r="E128" i="16"/>
  <c r="D128" i="16"/>
  <c r="C128" i="16"/>
  <c r="P127" i="16"/>
  <c r="O127" i="16"/>
  <c r="N127" i="16"/>
  <c r="M127" i="16"/>
  <c r="L127" i="16"/>
  <c r="K127" i="16"/>
  <c r="J127" i="16"/>
  <c r="I127" i="16"/>
  <c r="H127" i="16"/>
  <c r="G127" i="16"/>
  <c r="F127" i="16"/>
  <c r="E127" i="16"/>
  <c r="D127" i="16"/>
  <c r="C127" i="16"/>
  <c r="P126" i="16"/>
  <c r="O126" i="16"/>
  <c r="N126" i="16"/>
  <c r="M126" i="16"/>
  <c r="L126" i="16"/>
  <c r="K126" i="16"/>
  <c r="J126" i="16"/>
  <c r="I126" i="16"/>
  <c r="H126" i="16"/>
  <c r="G126" i="16"/>
  <c r="F126" i="16"/>
  <c r="E126" i="16"/>
  <c r="D126" i="16"/>
  <c r="C126" i="16"/>
  <c r="P125" i="16"/>
  <c r="O125" i="16"/>
  <c r="N125" i="16"/>
  <c r="M125" i="16"/>
  <c r="L125" i="16"/>
  <c r="K125" i="16"/>
  <c r="J125" i="16"/>
  <c r="I125" i="16"/>
  <c r="H125" i="16"/>
  <c r="G125" i="16"/>
  <c r="F125" i="16"/>
  <c r="E125" i="16"/>
  <c r="D125" i="16"/>
  <c r="C125" i="16"/>
  <c r="P124" i="16"/>
  <c r="O124" i="16"/>
  <c r="N124" i="16"/>
  <c r="M124" i="16"/>
  <c r="L124" i="16"/>
  <c r="K124" i="16"/>
  <c r="J124" i="16"/>
  <c r="I124" i="16"/>
  <c r="H124" i="16"/>
  <c r="G124" i="16"/>
  <c r="F124" i="16"/>
  <c r="E124" i="16"/>
  <c r="D124" i="16"/>
  <c r="C124" i="16"/>
  <c r="P123" i="16"/>
  <c r="O123" i="16"/>
  <c r="N123" i="16"/>
  <c r="M123" i="16"/>
  <c r="L123" i="16"/>
  <c r="K123" i="16"/>
  <c r="J123" i="16"/>
  <c r="I123" i="16"/>
  <c r="H123" i="16"/>
  <c r="G123" i="16"/>
  <c r="F123" i="16"/>
  <c r="E123" i="16"/>
  <c r="D123" i="16"/>
  <c r="C123" i="16"/>
  <c r="P122" i="16"/>
  <c r="O122" i="16"/>
  <c r="N122" i="16"/>
  <c r="M122" i="16"/>
  <c r="L122" i="16"/>
  <c r="K122" i="16"/>
  <c r="J122" i="16"/>
  <c r="I122" i="16"/>
  <c r="H122" i="16"/>
  <c r="G122" i="16"/>
  <c r="F122" i="16"/>
  <c r="E122" i="16"/>
  <c r="D122" i="16"/>
  <c r="C122" i="16"/>
  <c r="P121" i="16"/>
  <c r="O121" i="16"/>
  <c r="N121" i="16"/>
  <c r="M121" i="16"/>
  <c r="L121" i="16"/>
  <c r="K121" i="16"/>
  <c r="J121" i="16"/>
  <c r="I121" i="16"/>
  <c r="H121" i="16"/>
  <c r="G121" i="16"/>
  <c r="F121" i="16"/>
  <c r="E121" i="16"/>
  <c r="D121" i="16"/>
  <c r="C121" i="16"/>
  <c r="P120" i="16"/>
  <c r="O120" i="16"/>
  <c r="N120" i="16"/>
  <c r="M120" i="16"/>
  <c r="L120" i="16"/>
  <c r="K120" i="16"/>
  <c r="J120" i="16"/>
  <c r="I120" i="16"/>
  <c r="H120" i="16"/>
  <c r="G120" i="16"/>
  <c r="F120" i="16"/>
  <c r="E120" i="16"/>
  <c r="D120" i="16"/>
  <c r="C120" i="16"/>
  <c r="P119" i="16"/>
  <c r="O119" i="16"/>
  <c r="N119" i="16"/>
  <c r="M119" i="16"/>
  <c r="L119" i="16"/>
  <c r="K119" i="16"/>
  <c r="J119" i="16"/>
  <c r="I119" i="16"/>
  <c r="H119" i="16"/>
  <c r="G119" i="16"/>
  <c r="F119" i="16"/>
  <c r="E119" i="16"/>
  <c r="D119" i="16"/>
  <c r="C119" i="16"/>
  <c r="P118" i="16"/>
  <c r="O118" i="16"/>
  <c r="N118" i="16"/>
  <c r="M118" i="16"/>
  <c r="L118" i="16"/>
  <c r="K118" i="16"/>
  <c r="J118" i="16"/>
  <c r="I118" i="16"/>
  <c r="H118" i="16"/>
  <c r="G118" i="16"/>
  <c r="F118" i="16"/>
  <c r="E118" i="16"/>
  <c r="D118" i="16"/>
  <c r="C118" i="16"/>
  <c r="P117" i="16"/>
  <c r="O117" i="16"/>
  <c r="N117" i="16"/>
  <c r="M117" i="16"/>
  <c r="L117" i="16"/>
  <c r="K117" i="16"/>
  <c r="J117" i="16"/>
  <c r="I117" i="16"/>
  <c r="H117" i="16"/>
  <c r="G117" i="16"/>
  <c r="F117" i="16"/>
  <c r="E117" i="16"/>
  <c r="D117" i="16"/>
  <c r="C117" i="16"/>
  <c r="P116" i="16"/>
  <c r="O116" i="16"/>
  <c r="N116" i="16"/>
  <c r="M116" i="16"/>
  <c r="L116" i="16"/>
  <c r="K116" i="16"/>
  <c r="J116" i="16"/>
  <c r="I116" i="16"/>
  <c r="H116" i="16"/>
  <c r="G116" i="16"/>
  <c r="F116" i="16"/>
  <c r="E116" i="16"/>
  <c r="D116" i="16"/>
  <c r="C116" i="16"/>
  <c r="P115" i="16"/>
  <c r="O115" i="16"/>
  <c r="N115" i="16"/>
  <c r="M115" i="16"/>
  <c r="L115" i="16"/>
  <c r="K115" i="16"/>
  <c r="J115" i="16"/>
  <c r="I115" i="16"/>
  <c r="H115" i="16"/>
  <c r="G115" i="16"/>
  <c r="F115" i="16"/>
  <c r="E115" i="16"/>
  <c r="D115" i="16"/>
  <c r="C115" i="16"/>
  <c r="P114" i="16"/>
  <c r="O114" i="16"/>
  <c r="N114" i="16"/>
  <c r="M114" i="16"/>
  <c r="L114" i="16"/>
  <c r="K114" i="16"/>
  <c r="J114" i="16"/>
  <c r="I114" i="16"/>
  <c r="H114" i="16"/>
  <c r="G114" i="16"/>
  <c r="F114" i="16"/>
  <c r="E114" i="16"/>
  <c r="D114" i="16"/>
  <c r="C114" i="16"/>
  <c r="P113" i="16"/>
  <c r="O113" i="16"/>
  <c r="N113" i="16"/>
  <c r="M113" i="16"/>
  <c r="L113" i="16"/>
  <c r="K113" i="16"/>
  <c r="J113" i="16"/>
  <c r="I113" i="16"/>
  <c r="H113" i="16"/>
  <c r="G113" i="16"/>
  <c r="F113" i="16"/>
  <c r="E113" i="16"/>
  <c r="D113" i="16"/>
  <c r="C113" i="16"/>
  <c r="P112" i="16"/>
  <c r="O112" i="16"/>
  <c r="N112" i="16"/>
  <c r="M112" i="16"/>
  <c r="L112" i="16"/>
  <c r="K112" i="16"/>
  <c r="J112" i="16"/>
  <c r="I112" i="16"/>
  <c r="H112" i="16"/>
  <c r="G112" i="16"/>
  <c r="F112" i="16"/>
  <c r="E112" i="16"/>
  <c r="D112" i="16"/>
  <c r="C112" i="16"/>
  <c r="P111" i="16"/>
  <c r="O111" i="16"/>
  <c r="N111" i="16"/>
  <c r="M111" i="16"/>
  <c r="L111" i="16"/>
  <c r="K111" i="16"/>
  <c r="J111" i="16"/>
  <c r="I111" i="16"/>
  <c r="H111" i="16"/>
  <c r="G111" i="16"/>
  <c r="F111" i="16"/>
  <c r="E111" i="16"/>
  <c r="D111" i="16"/>
  <c r="C111" i="16"/>
  <c r="P110" i="16"/>
  <c r="O110" i="16"/>
  <c r="N110" i="16"/>
  <c r="M110" i="16"/>
  <c r="L110" i="16"/>
  <c r="K110" i="16"/>
  <c r="J110" i="16"/>
  <c r="I110" i="16"/>
  <c r="H110" i="16"/>
  <c r="G110" i="16"/>
  <c r="F110" i="16"/>
  <c r="E110" i="16"/>
  <c r="D110" i="16"/>
  <c r="C110" i="16"/>
  <c r="P109" i="16"/>
  <c r="O109" i="16"/>
  <c r="N109" i="16"/>
  <c r="M109" i="16"/>
  <c r="L109" i="16"/>
  <c r="K109" i="16"/>
  <c r="J109" i="16"/>
  <c r="I109" i="16"/>
  <c r="H109" i="16"/>
  <c r="G109" i="16"/>
  <c r="F109" i="16"/>
  <c r="E109" i="16"/>
  <c r="D109" i="16"/>
  <c r="C109" i="16"/>
  <c r="P108" i="16"/>
  <c r="O108" i="16"/>
  <c r="N108" i="16"/>
  <c r="M108" i="16"/>
  <c r="L108" i="16"/>
  <c r="K108" i="16"/>
  <c r="J108" i="16"/>
  <c r="I108" i="16"/>
  <c r="H108" i="16"/>
  <c r="G108" i="16"/>
  <c r="F108" i="16"/>
  <c r="E108" i="16"/>
  <c r="D108" i="16"/>
  <c r="C108" i="16"/>
  <c r="P107" i="16"/>
  <c r="O107" i="16"/>
  <c r="N107" i="16"/>
  <c r="M107" i="16"/>
  <c r="L107" i="16"/>
  <c r="K107" i="16"/>
  <c r="J107" i="16"/>
  <c r="I107" i="16"/>
  <c r="H107" i="16"/>
  <c r="G107" i="16"/>
  <c r="F107" i="16"/>
  <c r="E107" i="16"/>
  <c r="D107" i="16"/>
  <c r="C107" i="16"/>
  <c r="P106" i="16"/>
  <c r="O106" i="16"/>
  <c r="N106" i="16"/>
  <c r="M106" i="16"/>
  <c r="L106" i="16"/>
  <c r="K106" i="16"/>
  <c r="J106" i="16"/>
  <c r="I106" i="16"/>
  <c r="H106" i="16"/>
  <c r="G106" i="16"/>
  <c r="F106" i="16"/>
  <c r="E106" i="16"/>
  <c r="D106" i="16"/>
  <c r="C106" i="16"/>
  <c r="P105" i="16"/>
  <c r="O105" i="16"/>
  <c r="N105" i="16"/>
  <c r="M105" i="16"/>
  <c r="L105" i="16"/>
  <c r="K105" i="16"/>
  <c r="J105" i="16"/>
  <c r="I105" i="16"/>
  <c r="H105" i="16"/>
  <c r="G105" i="16"/>
  <c r="F105" i="16"/>
  <c r="E105" i="16"/>
  <c r="D105" i="16"/>
  <c r="C105" i="16"/>
  <c r="P104" i="16"/>
  <c r="O104" i="16"/>
  <c r="N104" i="16"/>
  <c r="M104" i="16"/>
  <c r="L104" i="16"/>
  <c r="K104" i="16"/>
  <c r="J104" i="16"/>
  <c r="I104" i="16"/>
  <c r="H104" i="16"/>
  <c r="G104" i="16"/>
  <c r="F104" i="16"/>
  <c r="E104" i="16"/>
  <c r="D104" i="16"/>
  <c r="C104" i="16"/>
  <c r="P103" i="16"/>
  <c r="O103" i="16"/>
  <c r="N103" i="16"/>
  <c r="M103" i="16"/>
  <c r="L103" i="16"/>
  <c r="K103" i="16"/>
  <c r="J103" i="16"/>
  <c r="I103" i="16"/>
  <c r="H103" i="16"/>
  <c r="G103" i="16"/>
  <c r="F103" i="16"/>
  <c r="E103" i="16"/>
  <c r="D103" i="16"/>
  <c r="C103" i="16"/>
  <c r="P102" i="16"/>
  <c r="O102" i="16"/>
  <c r="N102" i="16"/>
  <c r="M102" i="16"/>
  <c r="L102" i="16"/>
  <c r="K102" i="16"/>
  <c r="J102" i="16"/>
  <c r="I102" i="16"/>
  <c r="H102" i="16"/>
  <c r="G102" i="16"/>
  <c r="F102" i="16"/>
  <c r="E102" i="16"/>
  <c r="D102" i="16"/>
  <c r="C102" i="16"/>
  <c r="P101" i="16"/>
  <c r="O101" i="16"/>
  <c r="N101" i="16"/>
  <c r="M101" i="16"/>
  <c r="L101" i="16"/>
  <c r="K101" i="16"/>
  <c r="J101" i="16"/>
  <c r="I101" i="16"/>
  <c r="H101" i="16"/>
  <c r="G101" i="16"/>
  <c r="F101" i="16"/>
  <c r="E101" i="16"/>
  <c r="D101" i="16"/>
  <c r="C101" i="16"/>
  <c r="P100" i="16"/>
  <c r="O100" i="16"/>
  <c r="N100" i="16"/>
  <c r="M100" i="16"/>
  <c r="L100" i="16"/>
  <c r="K100" i="16"/>
  <c r="J100" i="16"/>
  <c r="I100" i="16"/>
  <c r="H100" i="16"/>
  <c r="G100" i="16"/>
  <c r="F100" i="16"/>
  <c r="E100" i="16"/>
  <c r="D100" i="16"/>
  <c r="C100" i="16"/>
  <c r="P99" i="16"/>
  <c r="O99" i="16"/>
  <c r="N99" i="16"/>
  <c r="M99" i="16"/>
  <c r="L99" i="16"/>
  <c r="K99" i="16"/>
  <c r="J99" i="16"/>
  <c r="I99" i="16"/>
  <c r="H99" i="16"/>
  <c r="G99" i="16"/>
  <c r="F99" i="16"/>
  <c r="E99" i="16"/>
  <c r="D99" i="16"/>
  <c r="C99" i="16"/>
  <c r="P98" i="16"/>
  <c r="O98" i="16"/>
  <c r="N98" i="16"/>
  <c r="M98" i="16"/>
  <c r="L98" i="16"/>
  <c r="K98" i="16"/>
  <c r="J98" i="16"/>
  <c r="I98" i="16"/>
  <c r="H98" i="16"/>
  <c r="G98" i="16"/>
  <c r="F98" i="16"/>
  <c r="E98" i="16"/>
  <c r="D98" i="16"/>
  <c r="C98" i="16"/>
  <c r="P97" i="16"/>
  <c r="O97" i="16"/>
  <c r="N97" i="16"/>
  <c r="M97" i="16"/>
  <c r="L97" i="16"/>
  <c r="K97" i="16"/>
  <c r="J97" i="16"/>
  <c r="I97" i="16"/>
  <c r="H97" i="16"/>
  <c r="G97" i="16"/>
  <c r="F97" i="16"/>
  <c r="E97" i="16"/>
  <c r="D97" i="16"/>
  <c r="C97" i="16"/>
  <c r="P96" i="16"/>
  <c r="O96" i="16"/>
  <c r="N96" i="16"/>
  <c r="M96" i="16"/>
  <c r="L96" i="16"/>
  <c r="K96" i="16"/>
  <c r="J96" i="16"/>
  <c r="I96" i="16"/>
  <c r="H96" i="16"/>
  <c r="G96" i="16"/>
  <c r="F96" i="16"/>
  <c r="E96" i="16"/>
  <c r="D96" i="16"/>
  <c r="C96" i="16"/>
  <c r="P95" i="16"/>
  <c r="O95" i="16"/>
  <c r="N95" i="16"/>
  <c r="M95" i="16"/>
  <c r="L95" i="16"/>
  <c r="K95" i="16"/>
  <c r="J95" i="16"/>
  <c r="I95" i="16"/>
  <c r="H95" i="16"/>
  <c r="G95" i="16"/>
  <c r="F95" i="16"/>
  <c r="E95" i="16"/>
  <c r="D95" i="16"/>
  <c r="C95" i="16"/>
  <c r="P94" i="16"/>
  <c r="O94" i="16"/>
  <c r="N94" i="16"/>
  <c r="M94" i="16"/>
  <c r="L94" i="16"/>
  <c r="K94" i="16"/>
  <c r="J94" i="16"/>
  <c r="I94" i="16"/>
  <c r="H94" i="16"/>
  <c r="G94" i="16"/>
  <c r="F94" i="16"/>
  <c r="E94" i="16"/>
  <c r="D94" i="16"/>
  <c r="C94" i="16"/>
  <c r="P93" i="16"/>
  <c r="O93" i="16"/>
  <c r="N93" i="16"/>
  <c r="M93" i="16"/>
  <c r="L93" i="16"/>
  <c r="K93" i="16"/>
  <c r="J93" i="16"/>
  <c r="I93" i="16"/>
  <c r="H93" i="16"/>
  <c r="G93" i="16"/>
  <c r="F93" i="16"/>
  <c r="E93" i="16"/>
  <c r="D93" i="16"/>
  <c r="C93" i="16"/>
  <c r="P92" i="16"/>
  <c r="O92" i="16"/>
  <c r="N92" i="16"/>
  <c r="M92" i="16"/>
  <c r="L92" i="16"/>
  <c r="K92" i="16"/>
  <c r="J92" i="16"/>
  <c r="I92" i="16"/>
  <c r="H92" i="16"/>
  <c r="G92" i="16"/>
  <c r="F92" i="16"/>
  <c r="E92" i="16"/>
  <c r="D92" i="16"/>
  <c r="C92" i="16"/>
  <c r="P91" i="16"/>
  <c r="O91" i="16"/>
  <c r="N91" i="16"/>
  <c r="M91" i="16"/>
  <c r="L91" i="16"/>
  <c r="K91" i="16"/>
  <c r="J91" i="16"/>
  <c r="I91" i="16"/>
  <c r="H91" i="16"/>
  <c r="G91" i="16"/>
  <c r="F91" i="16"/>
  <c r="E91" i="16"/>
  <c r="D91" i="16"/>
  <c r="C91" i="16"/>
  <c r="P90" i="16"/>
  <c r="O90" i="16"/>
  <c r="N90" i="16"/>
  <c r="M90" i="16"/>
  <c r="L90" i="16"/>
  <c r="K90" i="16"/>
  <c r="J90" i="16"/>
  <c r="I90" i="16"/>
  <c r="H90" i="16"/>
  <c r="G90" i="16"/>
  <c r="F90" i="16"/>
  <c r="E90" i="16"/>
  <c r="D90" i="16"/>
  <c r="C90" i="16"/>
  <c r="P89" i="16"/>
  <c r="O89" i="16"/>
  <c r="N89" i="16"/>
  <c r="M89" i="16"/>
  <c r="L89" i="16"/>
  <c r="K89" i="16"/>
  <c r="J89" i="16"/>
  <c r="I89" i="16"/>
  <c r="H89" i="16"/>
  <c r="G89" i="16"/>
  <c r="F89" i="16"/>
  <c r="E89" i="16"/>
  <c r="D89" i="16"/>
  <c r="C89" i="16"/>
  <c r="P88" i="16"/>
  <c r="O88" i="16"/>
  <c r="N88" i="16"/>
  <c r="M88" i="16"/>
  <c r="L88" i="16"/>
  <c r="K88" i="16"/>
  <c r="J88" i="16"/>
  <c r="I88" i="16"/>
  <c r="H88" i="16"/>
  <c r="G88" i="16"/>
  <c r="F88" i="16"/>
  <c r="E88" i="16"/>
  <c r="D88" i="16"/>
  <c r="C88" i="16"/>
  <c r="P87" i="16"/>
  <c r="O87" i="16"/>
  <c r="N87" i="16"/>
  <c r="M87" i="16"/>
  <c r="L87" i="16"/>
  <c r="K87" i="16"/>
  <c r="J87" i="16"/>
  <c r="I87" i="16"/>
  <c r="H87" i="16"/>
  <c r="G87" i="16"/>
  <c r="F87" i="16"/>
  <c r="E87" i="16"/>
  <c r="D87" i="16"/>
  <c r="C87" i="16"/>
  <c r="P86" i="16"/>
  <c r="O86" i="16"/>
  <c r="N86" i="16"/>
  <c r="M86" i="16"/>
  <c r="L86" i="16"/>
  <c r="K86" i="16"/>
  <c r="J86" i="16"/>
  <c r="I86" i="16"/>
  <c r="H86" i="16"/>
  <c r="G86" i="16"/>
  <c r="F86" i="16"/>
  <c r="E86" i="16"/>
  <c r="D86" i="16"/>
  <c r="C86" i="16"/>
  <c r="P85" i="16"/>
  <c r="O85" i="16"/>
  <c r="N85" i="16"/>
  <c r="M85" i="16"/>
  <c r="L85" i="16"/>
  <c r="K85" i="16"/>
  <c r="J85" i="16"/>
  <c r="I85" i="16"/>
  <c r="H85" i="16"/>
  <c r="G85" i="16"/>
  <c r="F85" i="16"/>
  <c r="E85" i="16"/>
  <c r="D85" i="16"/>
  <c r="C85" i="16"/>
  <c r="P84" i="16"/>
  <c r="O84" i="16"/>
  <c r="N84" i="16"/>
  <c r="M84" i="16"/>
  <c r="L84" i="16"/>
  <c r="K84" i="16"/>
  <c r="J84" i="16"/>
  <c r="I84" i="16"/>
  <c r="H84" i="16"/>
  <c r="G84" i="16"/>
  <c r="F84" i="16"/>
  <c r="E84" i="16"/>
  <c r="D84" i="16"/>
  <c r="C84" i="16"/>
  <c r="P83" i="16"/>
  <c r="O83" i="16"/>
  <c r="N83" i="16"/>
  <c r="M83" i="16"/>
  <c r="L83" i="16"/>
  <c r="K83" i="16"/>
  <c r="J83" i="16"/>
  <c r="I83" i="16"/>
  <c r="H83" i="16"/>
  <c r="G83" i="16"/>
  <c r="F83" i="16"/>
  <c r="E83" i="16"/>
  <c r="D83" i="16"/>
  <c r="C83" i="16"/>
  <c r="P82" i="16"/>
  <c r="O82" i="16"/>
  <c r="N82" i="16"/>
  <c r="M82" i="16"/>
  <c r="L82" i="16"/>
  <c r="K82" i="16"/>
  <c r="J82" i="16"/>
  <c r="I82" i="16"/>
  <c r="H82" i="16"/>
  <c r="G82" i="16"/>
  <c r="F82" i="16"/>
  <c r="E82" i="16"/>
  <c r="D82" i="16"/>
  <c r="C82" i="16"/>
  <c r="P81" i="16"/>
  <c r="O81" i="16"/>
  <c r="N81" i="16"/>
  <c r="M81" i="16"/>
  <c r="L81" i="16"/>
  <c r="K81" i="16"/>
  <c r="J81" i="16"/>
  <c r="I81" i="16"/>
  <c r="H81" i="16"/>
  <c r="G81" i="16"/>
  <c r="F81" i="16"/>
  <c r="E81" i="16"/>
  <c r="D81" i="16"/>
  <c r="C81" i="16"/>
  <c r="P80" i="16"/>
  <c r="O80" i="16"/>
  <c r="N80" i="16"/>
  <c r="M80" i="16"/>
  <c r="L80" i="16"/>
  <c r="K80" i="16"/>
  <c r="J80" i="16"/>
  <c r="I80" i="16"/>
  <c r="H80" i="16"/>
  <c r="G80" i="16"/>
  <c r="F80" i="16"/>
  <c r="E80" i="16"/>
  <c r="D80" i="16"/>
  <c r="C80" i="16"/>
  <c r="P79" i="16"/>
  <c r="O79" i="16"/>
  <c r="N79" i="16"/>
  <c r="M79" i="16"/>
  <c r="L79" i="16"/>
  <c r="K79" i="16"/>
  <c r="J79" i="16"/>
  <c r="I79" i="16"/>
  <c r="H79" i="16"/>
  <c r="G79" i="16"/>
  <c r="F79" i="16"/>
  <c r="E79" i="16"/>
  <c r="D79" i="16"/>
  <c r="C79" i="16"/>
  <c r="P78" i="16"/>
  <c r="O78" i="16"/>
  <c r="N78" i="16"/>
  <c r="M78" i="16"/>
  <c r="L78" i="16"/>
  <c r="K78" i="16"/>
  <c r="J78" i="16"/>
  <c r="I78" i="16"/>
  <c r="H78" i="16"/>
  <c r="G78" i="16"/>
  <c r="F78" i="16"/>
  <c r="E78" i="16"/>
  <c r="D78" i="16"/>
  <c r="C78" i="16"/>
  <c r="P77" i="16"/>
  <c r="O77" i="16"/>
  <c r="N77" i="16"/>
  <c r="M77" i="16"/>
  <c r="L77" i="16"/>
  <c r="K77" i="16"/>
  <c r="J77" i="16"/>
  <c r="I77" i="16"/>
  <c r="H77" i="16"/>
  <c r="G77" i="16"/>
  <c r="F77" i="16"/>
  <c r="E77" i="16"/>
  <c r="D77" i="16"/>
  <c r="C77" i="16"/>
  <c r="P76" i="16"/>
  <c r="O76" i="16"/>
  <c r="N76" i="16"/>
  <c r="M76" i="16"/>
  <c r="L76" i="16"/>
  <c r="K76" i="16"/>
  <c r="J76" i="16"/>
  <c r="I76" i="16"/>
  <c r="H76" i="16"/>
  <c r="G76" i="16"/>
  <c r="F76" i="16"/>
  <c r="E76" i="16"/>
  <c r="D76" i="16"/>
  <c r="C76" i="16"/>
  <c r="P75" i="16"/>
  <c r="O75" i="16"/>
  <c r="N75" i="16"/>
  <c r="M75" i="16"/>
  <c r="L75" i="16"/>
  <c r="K75" i="16"/>
  <c r="J75" i="16"/>
  <c r="I75" i="16"/>
  <c r="H75" i="16"/>
  <c r="G75" i="16"/>
  <c r="F75" i="16"/>
  <c r="E75" i="16"/>
  <c r="D75" i="16"/>
  <c r="C75" i="16"/>
  <c r="P74" i="16"/>
  <c r="O74" i="16"/>
  <c r="N74" i="16"/>
  <c r="M74" i="16"/>
  <c r="L74" i="16"/>
  <c r="K74" i="16"/>
  <c r="J74" i="16"/>
  <c r="I74" i="16"/>
  <c r="H74" i="16"/>
  <c r="G74" i="16"/>
  <c r="F74" i="16"/>
  <c r="E74" i="16"/>
  <c r="D74" i="16"/>
  <c r="C74" i="16"/>
  <c r="P73" i="16"/>
  <c r="O73" i="16"/>
  <c r="N73" i="16"/>
  <c r="M73" i="16"/>
  <c r="L73" i="16"/>
  <c r="K73" i="16"/>
  <c r="J73" i="16"/>
  <c r="I73" i="16"/>
  <c r="H73" i="16"/>
  <c r="G73" i="16"/>
  <c r="F73" i="16"/>
  <c r="E73" i="16"/>
  <c r="D73" i="16"/>
  <c r="C73" i="16"/>
  <c r="P72" i="16"/>
  <c r="O72" i="16"/>
  <c r="N72" i="16"/>
  <c r="M72" i="16"/>
  <c r="L72" i="16"/>
  <c r="K72" i="16"/>
  <c r="J72" i="16"/>
  <c r="I72" i="16"/>
  <c r="H72" i="16"/>
  <c r="G72" i="16"/>
  <c r="F72" i="16"/>
  <c r="E72" i="16"/>
  <c r="D72" i="16"/>
  <c r="C72" i="16"/>
  <c r="P71" i="16"/>
  <c r="O71" i="16"/>
  <c r="N71" i="16"/>
  <c r="M71" i="16"/>
  <c r="L71" i="16"/>
  <c r="K71" i="16"/>
  <c r="J71" i="16"/>
  <c r="I71" i="16"/>
  <c r="H71" i="16"/>
  <c r="G71" i="16"/>
  <c r="F71" i="16"/>
  <c r="E71" i="16"/>
  <c r="D71" i="16"/>
  <c r="C71" i="16"/>
  <c r="P70" i="16"/>
  <c r="O70" i="16"/>
  <c r="N70" i="16"/>
  <c r="M70" i="16"/>
  <c r="L70" i="16"/>
  <c r="K70" i="16"/>
  <c r="J70" i="16"/>
  <c r="I70" i="16"/>
  <c r="H70" i="16"/>
  <c r="G70" i="16"/>
  <c r="F70" i="16"/>
  <c r="E70" i="16"/>
  <c r="D70" i="16"/>
  <c r="C70" i="16"/>
  <c r="P69" i="16"/>
  <c r="O69" i="16"/>
  <c r="N69" i="16"/>
  <c r="M69" i="16"/>
  <c r="L69" i="16"/>
  <c r="K69" i="16"/>
  <c r="J69" i="16"/>
  <c r="I69" i="16"/>
  <c r="H69" i="16"/>
  <c r="G69" i="16"/>
  <c r="F69" i="16"/>
  <c r="E69" i="16"/>
  <c r="D69" i="16"/>
  <c r="C69" i="16"/>
  <c r="P68" i="16"/>
  <c r="O68" i="16"/>
  <c r="N68" i="16"/>
  <c r="M68" i="16"/>
  <c r="L68" i="16"/>
  <c r="K68" i="16"/>
  <c r="J68" i="16"/>
  <c r="I68" i="16"/>
  <c r="H68" i="16"/>
  <c r="G68" i="16"/>
  <c r="F68" i="16"/>
  <c r="E68" i="16"/>
  <c r="D68" i="16"/>
  <c r="C68" i="16"/>
  <c r="P67" i="16"/>
  <c r="O67" i="16"/>
  <c r="N67" i="16"/>
  <c r="M67" i="16"/>
  <c r="L67" i="16"/>
  <c r="K67" i="16"/>
  <c r="J67" i="16"/>
  <c r="I67" i="16"/>
  <c r="H67" i="16"/>
  <c r="G67" i="16"/>
  <c r="F67" i="16"/>
  <c r="E67" i="16"/>
  <c r="D67" i="16"/>
  <c r="C67" i="16"/>
  <c r="P66" i="16"/>
  <c r="O66" i="16"/>
  <c r="N66" i="16"/>
  <c r="M66" i="16"/>
  <c r="L66" i="16"/>
  <c r="K66" i="16"/>
  <c r="J66" i="16"/>
  <c r="I66" i="16"/>
  <c r="H66" i="16"/>
  <c r="G66" i="16"/>
  <c r="F66" i="16"/>
  <c r="E66" i="16"/>
  <c r="D66" i="16"/>
  <c r="C66" i="16"/>
  <c r="P65" i="16"/>
  <c r="O65" i="16"/>
  <c r="N65" i="16"/>
  <c r="M65" i="16"/>
  <c r="L65" i="16"/>
  <c r="K65" i="16"/>
  <c r="J65" i="16"/>
  <c r="I65" i="16"/>
  <c r="H65" i="16"/>
  <c r="G65" i="16"/>
  <c r="F65" i="16"/>
  <c r="E65" i="16"/>
  <c r="D65" i="16"/>
  <c r="C65" i="16"/>
  <c r="P64" i="16"/>
  <c r="O64" i="16"/>
  <c r="N64" i="16"/>
  <c r="M64" i="16"/>
  <c r="L64" i="16"/>
  <c r="K64" i="16"/>
  <c r="J64" i="16"/>
  <c r="I64" i="16"/>
  <c r="H64" i="16"/>
  <c r="G64" i="16"/>
  <c r="F64" i="16"/>
  <c r="E64" i="16"/>
  <c r="D64" i="16"/>
  <c r="C64" i="16"/>
  <c r="P63" i="16"/>
  <c r="O63" i="16"/>
  <c r="N63" i="16"/>
  <c r="M63" i="16"/>
  <c r="L63" i="16"/>
  <c r="K63" i="16"/>
  <c r="J63" i="16"/>
  <c r="I63" i="16"/>
  <c r="H63" i="16"/>
  <c r="G63" i="16"/>
  <c r="F63" i="16"/>
  <c r="E63" i="16"/>
  <c r="D63" i="16"/>
  <c r="C63" i="16"/>
  <c r="P62" i="16"/>
  <c r="O62" i="16"/>
  <c r="N62" i="16"/>
  <c r="M62" i="16"/>
  <c r="L62" i="16"/>
  <c r="K62" i="16"/>
  <c r="J62" i="16"/>
  <c r="I62" i="16"/>
  <c r="H62" i="16"/>
  <c r="G62" i="16"/>
  <c r="F62" i="16"/>
  <c r="E62" i="16"/>
  <c r="D62" i="16"/>
  <c r="C62" i="16"/>
  <c r="P61" i="16"/>
  <c r="O61" i="16"/>
  <c r="N61" i="16"/>
  <c r="M61" i="16"/>
  <c r="L61" i="16"/>
  <c r="K61" i="16"/>
  <c r="J61" i="16"/>
  <c r="I61" i="16"/>
  <c r="H61" i="16"/>
  <c r="G61" i="16"/>
  <c r="F61" i="16"/>
  <c r="E61" i="16"/>
  <c r="D61" i="16"/>
  <c r="C61" i="16"/>
  <c r="P60" i="16"/>
  <c r="O60" i="16"/>
  <c r="N60" i="16"/>
  <c r="M60" i="16"/>
  <c r="L60" i="16"/>
  <c r="K60" i="16"/>
  <c r="J60" i="16"/>
  <c r="I60" i="16"/>
  <c r="H60" i="16"/>
  <c r="G60" i="16"/>
  <c r="F60" i="16"/>
  <c r="E60" i="16"/>
  <c r="D60" i="16"/>
  <c r="C60" i="16"/>
  <c r="P59" i="16"/>
  <c r="O59" i="16"/>
  <c r="N59" i="16"/>
  <c r="M59" i="16"/>
  <c r="L59" i="16"/>
  <c r="K59" i="16"/>
  <c r="J59" i="16"/>
  <c r="I59" i="16"/>
  <c r="H59" i="16"/>
  <c r="G59" i="16"/>
  <c r="F59" i="16"/>
  <c r="E59" i="16"/>
  <c r="D59" i="16"/>
  <c r="C59" i="16"/>
  <c r="P58" i="16"/>
  <c r="O58" i="16"/>
  <c r="N58" i="16"/>
  <c r="M58" i="16"/>
  <c r="L58" i="16"/>
  <c r="K58" i="16"/>
  <c r="J58" i="16"/>
  <c r="I58" i="16"/>
  <c r="H58" i="16"/>
  <c r="G58" i="16"/>
  <c r="F58" i="16"/>
  <c r="E58" i="16"/>
  <c r="D58" i="16"/>
  <c r="C58" i="16"/>
  <c r="P57" i="16"/>
  <c r="O57" i="16"/>
  <c r="N57" i="16"/>
  <c r="M57" i="16"/>
  <c r="L57" i="16"/>
  <c r="K57" i="16"/>
  <c r="J57" i="16"/>
  <c r="I57" i="16"/>
  <c r="H57" i="16"/>
  <c r="G57" i="16"/>
  <c r="F57" i="16"/>
  <c r="E57" i="16"/>
  <c r="D57" i="16"/>
  <c r="C57" i="16"/>
  <c r="P56" i="16"/>
  <c r="O56" i="16"/>
  <c r="N56" i="16"/>
  <c r="M56" i="16"/>
  <c r="L56" i="16"/>
  <c r="K56" i="16"/>
  <c r="J56" i="16"/>
  <c r="I56" i="16"/>
  <c r="H56" i="16"/>
  <c r="G56" i="16"/>
  <c r="F56" i="16"/>
  <c r="E56" i="16"/>
  <c r="D56" i="16"/>
  <c r="C56" i="16"/>
  <c r="P55" i="16"/>
  <c r="O55" i="16"/>
  <c r="N55" i="16"/>
  <c r="M55" i="16"/>
  <c r="L55" i="16"/>
  <c r="K55" i="16"/>
  <c r="J55" i="16"/>
  <c r="I55" i="16"/>
  <c r="H55" i="16"/>
  <c r="G55" i="16"/>
  <c r="F55" i="16"/>
  <c r="E55" i="16"/>
  <c r="D55" i="16"/>
  <c r="C55" i="16"/>
  <c r="P54" i="16"/>
  <c r="O54" i="16"/>
  <c r="N54" i="16"/>
  <c r="M54" i="16"/>
  <c r="L54" i="16"/>
  <c r="K54" i="16"/>
  <c r="J54" i="16"/>
  <c r="I54" i="16"/>
  <c r="H54" i="16"/>
  <c r="G54" i="16"/>
  <c r="F54" i="16"/>
  <c r="E54" i="16"/>
  <c r="D54" i="16"/>
  <c r="C54" i="16"/>
  <c r="P53" i="16"/>
  <c r="O53" i="16"/>
  <c r="N53" i="16"/>
  <c r="M53" i="16"/>
  <c r="L53" i="16"/>
  <c r="K53" i="16"/>
  <c r="J53" i="16"/>
  <c r="I53" i="16"/>
  <c r="H53" i="16"/>
  <c r="G53" i="16"/>
  <c r="F53" i="16"/>
  <c r="E53" i="16"/>
  <c r="D53" i="16"/>
  <c r="C53" i="16"/>
  <c r="P52" i="16"/>
  <c r="O52" i="16"/>
  <c r="N52" i="16"/>
  <c r="M52" i="16"/>
  <c r="L52" i="16"/>
  <c r="K52" i="16"/>
  <c r="J52" i="16"/>
  <c r="I52" i="16"/>
  <c r="H52" i="16"/>
  <c r="G52" i="16"/>
  <c r="F52" i="16"/>
  <c r="E52" i="16"/>
  <c r="D52" i="16"/>
  <c r="C52" i="16"/>
  <c r="P51" i="16"/>
  <c r="O51" i="16"/>
  <c r="N51" i="16"/>
  <c r="M51" i="16"/>
  <c r="L51" i="16"/>
  <c r="K51" i="16"/>
  <c r="J51" i="16"/>
  <c r="I51" i="16"/>
  <c r="H51" i="16"/>
  <c r="G51" i="16"/>
  <c r="F51" i="16"/>
  <c r="E51" i="16"/>
  <c r="D51" i="16"/>
  <c r="C51" i="16"/>
  <c r="P50" i="16"/>
  <c r="O50" i="16"/>
  <c r="N50" i="16"/>
  <c r="M50" i="16"/>
  <c r="L50" i="16"/>
  <c r="K50" i="16"/>
  <c r="J50" i="16"/>
  <c r="I50" i="16"/>
  <c r="H50" i="16"/>
  <c r="G50" i="16"/>
  <c r="F50" i="16"/>
  <c r="E50" i="16"/>
  <c r="D50" i="16"/>
  <c r="C50" i="16"/>
  <c r="P49" i="16"/>
  <c r="O49" i="16"/>
  <c r="N49" i="16"/>
  <c r="M49" i="16"/>
  <c r="L49" i="16"/>
  <c r="K49" i="16"/>
  <c r="J49" i="16"/>
  <c r="I49" i="16"/>
  <c r="H49" i="16"/>
  <c r="G49" i="16"/>
  <c r="F49" i="16"/>
  <c r="E49" i="16"/>
  <c r="D49" i="16"/>
  <c r="C49" i="16"/>
  <c r="P48" i="16"/>
  <c r="O48" i="16"/>
  <c r="N48" i="16"/>
  <c r="M48" i="16"/>
  <c r="L48" i="16"/>
  <c r="K48" i="16"/>
  <c r="J48" i="16"/>
  <c r="I48" i="16"/>
  <c r="H48" i="16"/>
  <c r="G48" i="16"/>
  <c r="F48" i="16"/>
  <c r="E48" i="16"/>
  <c r="D48" i="16"/>
  <c r="C48" i="16"/>
  <c r="P47" i="16"/>
  <c r="O47" i="16"/>
  <c r="N47" i="16"/>
  <c r="M47" i="16"/>
  <c r="L47" i="16"/>
  <c r="K47" i="16"/>
  <c r="J47" i="16"/>
  <c r="I47" i="16"/>
  <c r="H47" i="16"/>
  <c r="G47" i="16"/>
  <c r="F47" i="16"/>
  <c r="E47" i="16"/>
  <c r="D47" i="16"/>
  <c r="C47" i="16"/>
  <c r="P46" i="16"/>
  <c r="O46" i="16"/>
  <c r="N46" i="16"/>
  <c r="M46" i="16"/>
  <c r="L46" i="16"/>
  <c r="K46" i="16"/>
  <c r="J46" i="16"/>
  <c r="I46" i="16"/>
  <c r="H46" i="16"/>
  <c r="G46" i="16"/>
  <c r="F46" i="16"/>
  <c r="E46" i="16"/>
  <c r="D46" i="16"/>
  <c r="C46" i="16"/>
  <c r="P45" i="16"/>
  <c r="O45" i="16"/>
  <c r="N45" i="16"/>
  <c r="M45" i="16"/>
  <c r="L45" i="16"/>
  <c r="K45" i="16"/>
  <c r="J45" i="16"/>
  <c r="I45" i="16"/>
  <c r="H45" i="16"/>
  <c r="G45" i="16"/>
  <c r="F45" i="16"/>
  <c r="E45" i="16"/>
  <c r="D45" i="16"/>
  <c r="C45" i="16"/>
  <c r="P44" i="16"/>
  <c r="O44" i="16"/>
  <c r="N44" i="16"/>
  <c r="M44" i="16"/>
  <c r="L44" i="16"/>
  <c r="K44" i="16"/>
  <c r="J44" i="16"/>
  <c r="I44" i="16"/>
  <c r="H44" i="16"/>
  <c r="G44" i="16"/>
  <c r="F44" i="16"/>
  <c r="E44" i="16"/>
  <c r="D44" i="16"/>
  <c r="C44" i="16"/>
  <c r="P43" i="16"/>
  <c r="O43" i="16"/>
  <c r="N43" i="16"/>
  <c r="M43" i="16"/>
  <c r="L43" i="16"/>
  <c r="K43" i="16"/>
  <c r="J43" i="16"/>
  <c r="I43" i="16"/>
  <c r="H43" i="16"/>
  <c r="G43" i="16"/>
  <c r="F43" i="16"/>
  <c r="E43" i="16"/>
  <c r="D43" i="16"/>
  <c r="C43" i="16"/>
  <c r="P42" i="16"/>
  <c r="O42" i="16"/>
  <c r="N42" i="16"/>
  <c r="M42" i="16"/>
  <c r="L42" i="16"/>
  <c r="K42" i="16"/>
  <c r="J42" i="16"/>
  <c r="I42" i="16"/>
  <c r="H42" i="16"/>
  <c r="G42" i="16"/>
  <c r="F42" i="16"/>
  <c r="E42" i="16"/>
  <c r="D42" i="16"/>
  <c r="C42" i="16"/>
  <c r="P41" i="16"/>
  <c r="O41" i="16"/>
  <c r="N41" i="16"/>
  <c r="M41" i="16"/>
  <c r="L41" i="16"/>
  <c r="K41" i="16"/>
  <c r="J41" i="16"/>
  <c r="I41" i="16"/>
  <c r="H41" i="16"/>
  <c r="G41" i="16"/>
  <c r="F41" i="16"/>
  <c r="E41" i="16"/>
  <c r="D41" i="16"/>
  <c r="C41" i="16"/>
  <c r="P40" i="16"/>
  <c r="O40" i="16"/>
  <c r="N40" i="16"/>
  <c r="M40" i="16"/>
  <c r="L40" i="16"/>
  <c r="K40" i="16"/>
  <c r="J40" i="16"/>
  <c r="I40" i="16"/>
  <c r="H40" i="16"/>
  <c r="G40" i="16"/>
  <c r="F40" i="16"/>
  <c r="E40" i="16"/>
  <c r="D40" i="16"/>
  <c r="C40" i="16"/>
  <c r="P39" i="16"/>
  <c r="O39" i="16"/>
  <c r="N39" i="16"/>
  <c r="M39" i="16"/>
  <c r="L39" i="16"/>
  <c r="K39" i="16"/>
  <c r="J39" i="16"/>
  <c r="I39" i="16"/>
  <c r="H39" i="16"/>
  <c r="G39" i="16"/>
  <c r="F39" i="16"/>
  <c r="E39" i="16"/>
  <c r="D39" i="16"/>
  <c r="C39" i="16"/>
  <c r="P38" i="16"/>
  <c r="O38" i="16"/>
  <c r="N38" i="16"/>
  <c r="M38" i="16"/>
  <c r="L38" i="16"/>
  <c r="K38" i="16"/>
  <c r="J38" i="16"/>
  <c r="I38" i="16"/>
  <c r="H38" i="16"/>
  <c r="G38" i="16"/>
  <c r="F38" i="16"/>
  <c r="E38" i="16"/>
  <c r="D38" i="16"/>
  <c r="C38" i="16"/>
  <c r="P37" i="16"/>
  <c r="O37" i="16"/>
  <c r="N37" i="16"/>
  <c r="M37" i="16"/>
  <c r="L37" i="16"/>
  <c r="K37" i="16"/>
  <c r="J37" i="16"/>
  <c r="I37" i="16"/>
  <c r="H37" i="16"/>
  <c r="G37" i="16"/>
  <c r="F37" i="16"/>
  <c r="E37" i="16"/>
  <c r="D37" i="16"/>
  <c r="C37" i="16"/>
  <c r="P36" i="16"/>
  <c r="O36" i="16"/>
  <c r="N36" i="16"/>
  <c r="M36" i="16"/>
  <c r="L36" i="16"/>
  <c r="K36" i="16"/>
  <c r="J36" i="16"/>
  <c r="I36" i="16"/>
  <c r="H36" i="16"/>
  <c r="G36" i="16"/>
  <c r="F36" i="16"/>
  <c r="E36" i="16"/>
  <c r="D36" i="16"/>
  <c r="C36" i="16"/>
  <c r="P35" i="16"/>
  <c r="O35" i="16"/>
  <c r="N35" i="16"/>
  <c r="M35" i="16"/>
  <c r="L35" i="16"/>
  <c r="K35" i="16"/>
  <c r="J35" i="16"/>
  <c r="I35" i="16"/>
  <c r="H35" i="16"/>
  <c r="G35" i="16"/>
  <c r="F35" i="16"/>
  <c r="E35" i="16"/>
  <c r="D35" i="16"/>
  <c r="C35" i="16"/>
  <c r="P34" i="16"/>
  <c r="O34" i="16"/>
  <c r="N34" i="16"/>
  <c r="M34" i="16"/>
  <c r="L34" i="16"/>
  <c r="K34" i="16"/>
  <c r="J34" i="16"/>
  <c r="I34" i="16"/>
  <c r="H34" i="16"/>
  <c r="G34" i="16"/>
  <c r="F34" i="16"/>
  <c r="E34" i="16"/>
  <c r="D34" i="16"/>
  <c r="C34" i="16"/>
  <c r="P33" i="16"/>
  <c r="O33" i="16"/>
  <c r="N33" i="16"/>
  <c r="M33" i="16"/>
  <c r="L33" i="16"/>
  <c r="K33" i="16"/>
  <c r="J33" i="16"/>
  <c r="I33" i="16"/>
  <c r="H33" i="16"/>
  <c r="G33" i="16"/>
  <c r="F33" i="16"/>
  <c r="E33" i="16"/>
  <c r="D33" i="16"/>
  <c r="C33" i="16"/>
  <c r="P32" i="16"/>
  <c r="O32" i="16"/>
  <c r="N32" i="16"/>
  <c r="M32" i="16"/>
  <c r="L32" i="16"/>
  <c r="K32" i="16"/>
  <c r="J32" i="16"/>
  <c r="I32" i="16"/>
  <c r="H32" i="16"/>
  <c r="G32" i="16"/>
  <c r="F32" i="16"/>
  <c r="E32" i="16"/>
  <c r="D32" i="16"/>
  <c r="C32" i="16"/>
  <c r="P31" i="16"/>
  <c r="O31" i="16"/>
  <c r="N31" i="16"/>
  <c r="M31" i="16"/>
  <c r="L31" i="16"/>
  <c r="K31" i="16"/>
  <c r="J31" i="16"/>
  <c r="I31" i="16"/>
  <c r="H31" i="16"/>
  <c r="G31" i="16"/>
  <c r="F31" i="16"/>
  <c r="E31" i="16"/>
  <c r="D31" i="16"/>
  <c r="C31" i="16"/>
  <c r="P30" i="16"/>
  <c r="O30" i="16"/>
  <c r="N30" i="16"/>
  <c r="M30" i="16"/>
  <c r="L30" i="16"/>
  <c r="K30" i="16"/>
  <c r="J30" i="16"/>
  <c r="I30" i="16"/>
  <c r="H30" i="16"/>
  <c r="G30" i="16"/>
  <c r="F30" i="16"/>
  <c r="E30" i="16"/>
  <c r="D30" i="16"/>
  <c r="C30" i="16"/>
  <c r="P29" i="16"/>
  <c r="O29" i="16"/>
  <c r="N29" i="16"/>
  <c r="M29" i="16"/>
  <c r="L29" i="16"/>
  <c r="K29" i="16"/>
  <c r="J29" i="16"/>
  <c r="I29" i="16"/>
  <c r="H29" i="16"/>
  <c r="G29" i="16"/>
  <c r="F29" i="16"/>
  <c r="E29" i="16"/>
  <c r="D29" i="16"/>
  <c r="C29" i="16"/>
  <c r="P28" i="16"/>
  <c r="O28" i="16"/>
  <c r="N28" i="16"/>
  <c r="M28" i="16"/>
  <c r="L28" i="16"/>
  <c r="K28" i="16"/>
  <c r="J28" i="16"/>
  <c r="I28" i="16"/>
  <c r="H28" i="16"/>
  <c r="G28" i="16"/>
  <c r="F28" i="16"/>
  <c r="E28" i="16"/>
  <c r="D28" i="16"/>
  <c r="C28" i="16"/>
  <c r="P27" i="16"/>
  <c r="O27" i="16"/>
  <c r="N27" i="16"/>
  <c r="M27" i="16"/>
  <c r="L27" i="16"/>
  <c r="K27" i="16"/>
  <c r="J27" i="16"/>
  <c r="I27" i="16"/>
  <c r="H27" i="16"/>
  <c r="G27" i="16"/>
  <c r="F27" i="16"/>
  <c r="E27" i="16"/>
  <c r="D27" i="16"/>
  <c r="C27" i="16"/>
  <c r="P26" i="16"/>
  <c r="O26" i="16"/>
  <c r="N26" i="16"/>
  <c r="M26" i="16"/>
  <c r="L26" i="16"/>
  <c r="K26" i="16"/>
  <c r="J26" i="16"/>
  <c r="I26" i="16"/>
  <c r="H26" i="16"/>
  <c r="G26" i="16"/>
  <c r="F26" i="16"/>
  <c r="E26" i="16"/>
  <c r="D26" i="16"/>
  <c r="C26" i="16"/>
  <c r="P25" i="16"/>
  <c r="O25" i="16"/>
  <c r="N25" i="16"/>
  <c r="M25" i="16"/>
  <c r="L25" i="16"/>
  <c r="K25" i="16"/>
  <c r="J25" i="16"/>
  <c r="I25" i="16"/>
  <c r="H25" i="16"/>
  <c r="G25" i="16"/>
  <c r="F25" i="16"/>
  <c r="E25" i="16"/>
  <c r="D25" i="16"/>
  <c r="C25" i="16"/>
  <c r="P24" i="16"/>
  <c r="O24" i="16"/>
  <c r="N24" i="16"/>
  <c r="M24" i="16"/>
  <c r="L24" i="16"/>
  <c r="K24" i="16"/>
  <c r="J24" i="16"/>
  <c r="I24" i="16"/>
  <c r="H24" i="16"/>
  <c r="G24" i="16"/>
  <c r="F24" i="16"/>
  <c r="E24" i="16"/>
  <c r="D24" i="16"/>
  <c r="C24" i="16"/>
  <c r="P23" i="16"/>
  <c r="O23" i="16"/>
  <c r="N23" i="16"/>
  <c r="M23" i="16"/>
  <c r="L23" i="16"/>
  <c r="K23" i="16"/>
  <c r="J23" i="16"/>
  <c r="I23" i="16"/>
  <c r="H23" i="16"/>
  <c r="G23" i="16"/>
  <c r="F23" i="16"/>
  <c r="E23" i="16"/>
  <c r="D23" i="16"/>
  <c r="C23" i="16"/>
  <c r="P22" i="16"/>
  <c r="O22" i="16"/>
  <c r="N22" i="16"/>
  <c r="M22" i="16"/>
  <c r="L22" i="16"/>
  <c r="K22" i="16"/>
  <c r="J22" i="16"/>
  <c r="I22" i="16"/>
  <c r="H22" i="16"/>
  <c r="G22" i="16"/>
  <c r="F22" i="16"/>
  <c r="E22" i="16"/>
  <c r="D22" i="16"/>
  <c r="C22" i="16"/>
  <c r="P21" i="16"/>
  <c r="O21" i="16"/>
  <c r="N21" i="16"/>
  <c r="M21" i="16"/>
  <c r="L21" i="16"/>
  <c r="K21" i="16"/>
  <c r="J21" i="16"/>
  <c r="I21" i="16"/>
  <c r="H21" i="16"/>
  <c r="G21" i="16"/>
  <c r="F21" i="16"/>
  <c r="E21" i="16"/>
  <c r="D21" i="16"/>
  <c r="C21" i="16"/>
  <c r="P20" i="16"/>
  <c r="O20" i="16"/>
  <c r="N20" i="16"/>
  <c r="M20" i="16"/>
  <c r="L20" i="16"/>
  <c r="K20" i="16"/>
  <c r="J20" i="16"/>
  <c r="I20" i="16"/>
  <c r="H20" i="16"/>
  <c r="G20" i="16"/>
  <c r="F20" i="16"/>
  <c r="E20" i="16"/>
  <c r="D20" i="16"/>
  <c r="C20" i="16"/>
  <c r="P19" i="16"/>
  <c r="O19" i="16"/>
  <c r="N19" i="16"/>
  <c r="M19" i="16"/>
  <c r="L19" i="16"/>
  <c r="K19" i="16"/>
  <c r="J19" i="16"/>
  <c r="I19" i="16"/>
  <c r="H19" i="16"/>
  <c r="G19" i="16"/>
  <c r="F19" i="16"/>
  <c r="E19" i="16"/>
  <c r="D19" i="16"/>
  <c r="C19" i="16"/>
  <c r="P18" i="16"/>
  <c r="O18" i="16"/>
  <c r="N18" i="16"/>
  <c r="M18" i="16"/>
  <c r="L18" i="16"/>
  <c r="K18" i="16"/>
  <c r="J18" i="16"/>
  <c r="I18" i="16"/>
  <c r="H18" i="16"/>
  <c r="G18" i="16"/>
  <c r="F18" i="16"/>
  <c r="E18" i="16"/>
  <c r="D18" i="16"/>
  <c r="C18" i="16"/>
  <c r="P17" i="16"/>
  <c r="O17" i="16"/>
  <c r="N17" i="16"/>
  <c r="M17" i="16"/>
  <c r="L17" i="16"/>
  <c r="K17" i="16"/>
  <c r="J17" i="16"/>
  <c r="I17" i="16"/>
  <c r="H17" i="16"/>
  <c r="G17" i="16"/>
  <c r="F17" i="16"/>
  <c r="E17" i="16"/>
  <c r="D17" i="16"/>
  <c r="C17" i="16"/>
  <c r="P16" i="16"/>
  <c r="O16" i="16"/>
  <c r="N16" i="16"/>
  <c r="M16" i="16"/>
  <c r="L16" i="16"/>
  <c r="K16" i="16"/>
  <c r="J16" i="16"/>
  <c r="I16" i="16"/>
  <c r="H16" i="16"/>
  <c r="G16" i="16"/>
  <c r="F16" i="16"/>
  <c r="E16" i="16"/>
  <c r="D16" i="16"/>
  <c r="C16" i="16"/>
  <c r="P15" i="16"/>
  <c r="O15" i="16"/>
  <c r="N15" i="16"/>
  <c r="M15" i="16"/>
  <c r="L15" i="16"/>
  <c r="K15" i="16"/>
  <c r="J15" i="16"/>
  <c r="I15" i="16"/>
  <c r="H15" i="16"/>
  <c r="G15" i="16"/>
  <c r="F15" i="16"/>
  <c r="E15" i="16"/>
  <c r="D15" i="16"/>
  <c r="C15" i="16"/>
  <c r="P14" i="16"/>
  <c r="O14" i="16"/>
  <c r="N14" i="16"/>
  <c r="M14" i="16"/>
  <c r="L14" i="16"/>
  <c r="K14" i="16"/>
  <c r="J14" i="16"/>
  <c r="I14" i="16"/>
  <c r="H14" i="16"/>
  <c r="G14" i="16"/>
  <c r="F14" i="16"/>
  <c r="E14" i="16"/>
  <c r="D14" i="16"/>
  <c r="C14" i="16"/>
  <c r="P13" i="16"/>
  <c r="O13" i="16"/>
  <c r="N13" i="16"/>
  <c r="M13" i="16"/>
  <c r="L13" i="16"/>
  <c r="K13" i="16"/>
  <c r="J13" i="16"/>
  <c r="I13" i="16"/>
  <c r="H13" i="16"/>
  <c r="G13" i="16"/>
  <c r="F13" i="16"/>
  <c r="E13" i="16"/>
  <c r="D13" i="16"/>
  <c r="C13" i="16"/>
  <c r="P12" i="16"/>
  <c r="O12" i="16"/>
  <c r="N12" i="16"/>
  <c r="M12" i="16"/>
  <c r="L12" i="16"/>
  <c r="K12" i="16"/>
  <c r="J12" i="16"/>
  <c r="I12" i="16"/>
  <c r="H12" i="16"/>
  <c r="G12" i="16"/>
  <c r="F12" i="16"/>
  <c r="E12" i="16"/>
  <c r="D12" i="16"/>
  <c r="C12" i="16"/>
  <c r="P11" i="16"/>
  <c r="O11" i="16"/>
  <c r="N11" i="16"/>
  <c r="M11" i="16"/>
  <c r="L11" i="16"/>
  <c r="K11" i="16"/>
  <c r="J11" i="16"/>
  <c r="I11" i="16"/>
  <c r="H11" i="16"/>
  <c r="G11" i="16"/>
  <c r="F11" i="16"/>
  <c r="E11" i="16"/>
  <c r="D11" i="16"/>
  <c r="C11" i="16"/>
  <c r="P10" i="16"/>
  <c r="O10" i="16"/>
  <c r="N10" i="16"/>
  <c r="M10" i="16"/>
  <c r="L10" i="16"/>
  <c r="K10" i="16"/>
  <c r="J10" i="16"/>
  <c r="I10" i="16"/>
  <c r="H10" i="16"/>
  <c r="G10" i="16"/>
  <c r="F10" i="16"/>
  <c r="E10" i="16"/>
  <c r="D10" i="16"/>
  <c r="C10" i="16"/>
  <c r="P9" i="16"/>
  <c r="O9" i="16"/>
  <c r="N9" i="16"/>
  <c r="M9" i="16"/>
  <c r="L9" i="16"/>
  <c r="K9" i="16"/>
  <c r="J9" i="16"/>
  <c r="I9" i="16"/>
  <c r="H9" i="16"/>
  <c r="G9" i="16"/>
  <c r="F9" i="16"/>
  <c r="E9" i="16"/>
  <c r="D9" i="16"/>
  <c r="C9" i="16"/>
  <c r="P8" i="16"/>
  <c r="O8" i="16"/>
  <c r="N8" i="16"/>
  <c r="M8" i="16"/>
  <c r="L8" i="16"/>
  <c r="K8" i="16"/>
  <c r="J8" i="16"/>
  <c r="I8" i="16"/>
  <c r="H8" i="16"/>
  <c r="G8" i="16"/>
  <c r="F8" i="16"/>
  <c r="E8" i="16"/>
  <c r="D8" i="16"/>
  <c r="C8" i="16"/>
  <c r="P7" i="16"/>
  <c r="O7" i="16"/>
  <c r="N7" i="16"/>
  <c r="M7" i="16"/>
  <c r="L7" i="16"/>
  <c r="K7" i="16"/>
  <c r="J7" i="16"/>
  <c r="I7" i="16"/>
  <c r="H7" i="16"/>
  <c r="G7" i="16"/>
  <c r="F7" i="16"/>
  <c r="E7" i="16"/>
  <c r="D7" i="16"/>
  <c r="C7" i="16"/>
  <c r="P6" i="16"/>
  <c r="O6" i="16"/>
  <c r="N6" i="16"/>
  <c r="M6" i="16"/>
  <c r="L6" i="16"/>
  <c r="K6" i="16"/>
  <c r="J6" i="16"/>
  <c r="I6" i="16"/>
  <c r="H6" i="16"/>
  <c r="G6" i="16"/>
  <c r="F6" i="16"/>
  <c r="E6" i="16"/>
  <c r="D6" i="16"/>
  <c r="C6" i="16"/>
  <c r="P5" i="16"/>
  <c r="O5" i="16"/>
  <c r="N5" i="16"/>
  <c r="M5" i="16"/>
  <c r="L5" i="16"/>
  <c r="K5" i="16"/>
  <c r="J5" i="16"/>
  <c r="I5" i="16"/>
  <c r="H5" i="16"/>
  <c r="G5" i="16"/>
  <c r="F5" i="16"/>
  <c r="E5" i="16"/>
  <c r="D5" i="16"/>
  <c r="C5" i="16"/>
  <c r="P4" i="16"/>
  <c r="O4" i="16"/>
  <c r="N4" i="16"/>
  <c r="M4" i="16"/>
  <c r="L4" i="16"/>
  <c r="K4" i="16"/>
  <c r="J4" i="16"/>
  <c r="I4" i="16"/>
  <c r="H4" i="16"/>
  <c r="G4" i="16"/>
  <c r="F4" i="16"/>
  <c r="E4" i="16"/>
  <c r="D4" i="16"/>
  <c r="C4" i="16"/>
  <c r="P3" i="16"/>
  <c r="O3" i="16"/>
  <c r="N3" i="16"/>
  <c r="M3" i="16"/>
  <c r="L3" i="16"/>
  <c r="K3" i="16"/>
  <c r="J3" i="16"/>
  <c r="I3" i="16"/>
  <c r="H3" i="16"/>
  <c r="G3" i="16"/>
  <c r="F3" i="16"/>
  <c r="E3" i="16"/>
  <c r="D3" i="16"/>
  <c r="C3" i="16"/>
  <c r="P2" i="16"/>
  <c r="O2" i="16"/>
  <c r="N2" i="16"/>
  <c r="M2" i="16"/>
  <c r="L2" i="16"/>
  <c r="K2" i="16"/>
  <c r="J2" i="16"/>
  <c r="I2" i="16"/>
  <c r="H2" i="16"/>
  <c r="G2" i="16"/>
  <c r="F2" i="16"/>
  <c r="E2" i="16"/>
  <c r="D2" i="16"/>
  <c r="C2" i="1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B5E9C05-D424-4FAE-918A-B9465147349E}" keepAlive="1" name="クエリ - infoTable" description="ブック内の 'infoTable' クエリへの接続です。" type="5" refreshedVersion="8" background="1" saveData="1">
    <dbPr connection="Provider=Microsoft.Mashup.OleDb.1;Data Source=$Workbook$;Location=infoTable;Extended Properties=&quot;&quot;" command="SELECT * FROM [infoTable]"/>
  </connection>
  <connection id="2" xr16:uid="{A01E9B4C-1325-4C86-BD5A-6E46D4C71F17}" keepAlive="1" name="クエリ - infoTable (10)" description="ブック内の 'infoTable (10)' クエリへの接続です。" type="5" refreshedVersion="8" background="1" saveData="1">
    <dbPr connection="Provider=Microsoft.Mashup.OleDb.1;Data Source=$Workbook$;Location=&quot;infoTable (10)&quot;;Extended Properties=&quot;&quot;" command="SELECT * FROM [infoTable (10)]"/>
  </connection>
  <connection id="3" xr16:uid="{7BE7B95C-A512-4256-B168-4483C4FD6881}" keepAlive="1" name="クエリ - infoTable (11)" description="ブック内の 'infoTable (11)' クエリへの接続です。" type="5" refreshedVersion="8" background="1" saveData="1">
    <dbPr connection="Provider=Microsoft.Mashup.OleDb.1;Data Source=$Workbook$;Location=&quot;infoTable (11)&quot;;Extended Properties=&quot;&quot;" command="SELECT * FROM [infoTable (11)]"/>
  </connection>
  <connection id="4" xr16:uid="{7153E06D-3C4D-4611-A171-B2B995E9D2AA}" keepAlive="1" name="クエリ - infoTable (12)" description="ブック内の 'infoTable (12)' クエリへの接続です。" type="5" refreshedVersion="8" background="1" saveData="1">
    <dbPr connection="Provider=Microsoft.Mashup.OleDb.1;Data Source=$Workbook$;Location=&quot;infoTable (12)&quot;;Extended Properties=&quot;&quot;" command="SELECT * FROM [infoTable (12)]"/>
  </connection>
  <connection id="5" xr16:uid="{A0572496-17A9-4FE3-8914-8A421D3C4230}" keepAlive="1" name="クエリ - infoTable (13)" description="ブック内の 'infoTable (13)' クエリへの接続です。" type="5" refreshedVersion="8" background="1" saveData="1">
    <dbPr connection="Provider=Microsoft.Mashup.OleDb.1;Data Source=$Workbook$;Location=&quot;infoTable (13)&quot;;Extended Properties=&quot;&quot;" command="SELECT * FROM [infoTable (13)]"/>
  </connection>
  <connection id="6" xr16:uid="{3BDA619F-1F29-4B7B-A356-C74D03668A14}" keepAlive="1" name="クエリ - infoTable (14)" description="ブック内の 'infoTable (14)' クエリへの接続です。" type="5" refreshedVersion="8" background="1" saveData="1">
    <dbPr connection="Provider=Microsoft.Mashup.OleDb.1;Data Source=$Workbook$;Location=&quot;infoTable (14)&quot;;Extended Properties=&quot;&quot;" command="SELECT * FROM [infoTable (14)]"/>
  </connection>
  <connection id="7" xr16:uid="{53649AB2-024F-4711-B8F4-0E0519A80EBA}" keepAlive="1" name="クエリ - infoTable (15)" description="ブック内の 'infoTable (15)' クエリへの接続です。" type="5" refreshedVersion="8" background="1" saveData="1">
    <dbPr connection="Provider=Microsoft.Mashup.OleDb.1;Data Source=$Workbook$;Location=&quot;infoTable (15)&quot;;Extended Properties=&quot;&quot;" command="SELECT * FROM [infoTable (15)]"/>
  </connection>
  <connection id="8" xr16:uid="{091F2A41-ED0A-4684-ABD9-3CEC5D1E2039}" keepAlive="1" name="クエリ - infoTable (16)" description="ブック内の 'infoTable (16)' クエリへの接続です。" type="5" refreshedVersion="8" background="1" saveData="1">
    <dbPr connection="Provider=Microsoft.Mashup.OleDb.1;Data Source=$Workbook$;Location=&quot;infoTable (16)&quot;;Extended Properties=&quot;&quot;" command="SELECT * FROM [infoTable (16)]"/>
  </connection>
  <connection id="9" xr16:uid="{F5FF36CD-C9A9-4B5F-A2C1-57B59375212A}" keepAlive="1" name="クエリ - infoTable (2)" description="ブック内の 'infoTable (2)' クエリへの接続です。" type="5" refreshedVersion="8" background="1" saveData="1">
    <dbPr connection="Provider=Microsoft.Mashup.OleDb.1;Data Source=$Workbook$;Location=&quot;infoTable (2)&quot;;Extended Properties=&quot;&quot;" command="SELECT * FROM [infoTable (2)]"/>
  </connection>
  <connection id="10" xr16:uid="{F0F0F154-6583-4A88-B4D7-6D9ADEC17502}" keepAlive="1" name="クエリ - infoTable (3)" description="ブック内の 'infoTable (3)' クエリへの接続です。" type="5" refreshedVersion="8" background="1" saveData="1">
    <dbPr connection="Provider=Microsoft.Mashup.OleDb.1;Data Source=$Workbook$;Location=&quot;infoTable (3)&quot;;Extended Properties=&quot;&quot;" command="SELECT * FROM [infoTable (3)]"/>
  </connection>
  <connection id="11" xr16:uid="{3C7F0540-252F-4571-9F23-620888A75C9B}" keepAlive="1" name="クエリ - infoTable (4)" description="ブック内の 'infoTable (4)' クエリへの接続です。" type="5" refreshedVersion="8" background="1" saveData="1">
    <dbPr connection="Provider=Microsoft.Mashup.OleDb.1;Data Source=$Workbook$;Location=&quot;infoTable (4)&quot;;Extended Properties=&quot;&quot;" command="SELECT * FROM [infoTable (4)]"/>
  </connection>
  <connection id="12" xr16:uid="{C4873728-2C92-4922-BC5E-67E0DEB44D7A}" keepAlive="1" name="クエリ - infoTable (5)" description="ブック内の 'infoTable (5)' クエリへの接続です。" type="5" refreshedVersion="0" background="1">
    <dbPr connection="Provider=Microsoft.Mashup.OleDb.1;Data Source=$Workbook$;Location=&quot;infoTable (5)&quot;;Extended Properties=&quot;&quot;" command="SELECT * FROM [infoTable (5)]"/>
  </connection>
  <connection id="13" xr16:uid="{6FA44ABD-5DA8-4130-80C1-2135A357DE5C}" keepAlive="1" name="クエリ - infoTable (6)" description="ブック内の 'infoTable (6)' クエリへの接続です。" type="5" refreshedVersion="8" background="1" saveData="1">
    <dbPr connection="Provider=Microsoft.Mashup.OleDb.1;Data Source=$Workbook$;Location=&quot;infoTable (6)&quot;;Extended Properties=&quot;&quot;" command="SELECT * FROM [infoTable (6)]"/>
  </connection>
  <connection id="14" xr16:uid="{509E8F41-BCC1-4C36-BB5A-C96DF71A7119}" keepAlive="1" name="クエリ - infoTable (7)" description="ブック内の 'infoTable (7)' クエリへの接続です。" type="5" refreshedVersion="8" background="1" saveData="1">
    <dbPr connection="Provider=Microsoft.Mashup.OleDb.1;Data Source=$Workbook$;Location=&quot;infoTable (7)&quot;;Extended Properties=&quot;&quot;" command="SELECT * FROM [infoTable (7)]"/>
  </connection>
  <connection id="15" xr16:uid="{B0A3E18B-459B-413D-952B-C0C87E8A8ACF}" keepAlive="1" name="クエリ - infoTable (8)" description="ブック内の 'infoTable (8)' クエリへの接続です。" type="5" refreshedVersion="8" background="1" saveData="1">
    <dbPr connection="Provider=Microsoft.Mashup.OleDb.1;Data Source=$Workbook$;Location=&quot;infoTable (8)&quot;;Extended Properties=&quot;&quot;" command="SELECT * FROM [infoTable (8)]"/>
  </connection>
  <connection id="16" xr16:uid="{33CF55D7-5A1D-4C64-9620-0456D93CFBBE}" keepAlive="1" name="クエリ - infoTable (9)" description="ブック内の 'infoTable (9)' クエリへの接続です。" type="5" refreshedVersion="8" background="1" saveData="1">
    <dbPr connection="Provider=Microsoft.Mashup.OleDb.1;Data Source=$Workbook$;Location=&quot;infoTable (9)&quot;;Extended Properties=&quot;&quot;" command="SELECT * FROM [infoTable (9)]"/>
  </connection>
  <connection id="17" xr16:uid="{F1C11881-224D-4A0A-9137-517B557EC829}" keepAlive="1" name="クエリ - primary_doc" description="ブック内の 'primary_doc' クエリへの接続です。" type="5" refreshedVersion="0" background="1">
    <dbPr connection="Provider=Microsoft.Mashup.OleDb.1;Data Source=$Workbook$;Location=primary_doc;Extended Properties=&quot;&quot;" command="SELECT * FROM [primary_doc]"/>
  </connection>
  <connection id="18" xr16:uid="{E638292B-8516-4C79-9808-D5AADB13CB1A}" keepAlive="1" name="クエリ - テーブル 4" description="ブック内の 'テーブル 4' クエリへの接続です。" type="5" refreshedVersion="8" background="1" saveData="1">
    <dbPr connection="Provider=Microsoft.Mashup.OleDb.1;Data Source=$Workbook$;Location=&quot;テーブル 4&quot;;Extended Properties=&quot;&quot;" command="SELECT * FROM [テーブル 4]"/>
  </connection>
</connections>
</file>

<file path=xl/sharedStrings.xml><?xml version="1.0" encoding="utf-8"?>
<sst xmlns="http://schemas.openxmlformats.org/spreadsheetml/2006/main" count="23499" uniqueCount="3575">
  <si>
    <t>nameOfIssuer</t>
  </si>
  <si>
    <t>titleOfClass</t>
  </si>
  <si>
    <t>cusip</t>
  </si>
  <si>
    <t>value</t>
  </si>
  <si>
    <t>investmentDiscretion</t>
  </si>
  <si>
    <t>AFFIRM HLDGS INC</t>
  </si>
  <si>
    <t>COM CL A</t>
  </si>
  <si>
    <t>00827B106</t>
  </si>
  <si>
    <t>SOLE</t>
  </si>
  <si>
    <t>AIR TRANSPORT SERVICES GRP I</t>
  </si>
  <si>
    <t>COM</t>
  </si>
  <si>
    <t>00922R105</t>
  </si>
  <si>
    <t>ALBANY INTL CORP</t>
  </si>
  <si>
    <t>CL A</t>
  </si>
  <si>
    <t>012348108</t>
  </si>
  <si>
    <t>ALCOA CORP</t>
  </si>
  <si>
    <t>013872106</t>
  </si>
  <si>
    <t>ALPHA &amp; OMEGA SEMICONDUCTOR</t>
  </si>
  <si>
    <t>SHS</t>
  </si>
  <si>
    <t>G6331P104</t>
  </si>
  <si>
    <t>ALPHABET INC</t>
  </si>
  <si>
    <t>CAP STK CL A</t>
  </si>
  <si>
    <t>02079K305</t>
  </si>
  <si>
    <t>AMBARELLA INC</t>
  </si>
  <si>
    <t>G037AX101</t>
  </si>
  <si>
    <t>AMC ENTMT HLDGS INC</t>
  </si>
  <si>
    <t>CL A NEW</t>
  </si>
  <si>
    <t>00165C302</t>
  </si>
  <si>
    <t>AMER SOFTWARE INC</t>
  </si>
  <si>
    <t>029683109</t>
  </si>
  <si>
    <t>AMERICAN WELL CORP</t>
  </si>
  <si>
    <t>03044L105</t>
  </si>
  <si>
    <t>AMERICAN WTR WKS CO INC NEW</t>
  </si>
  <si>
    <t>030420103</t>
  </si>
  <si>
    <t>AMERICAS CAR-MART INC</t>
  </si>
  <si>
    <t>03062T105</t>
  </si>
  <si>
    <t>AMETEK INC</t>
  </si>
  <si>
    <t>031100100</t>
  </si>
  <si>
    <t>AMPLITUDE INC</t>
  </si>
  <si>
    <t>03213A104</t>
  </si>
  <si>
    <t>APPLIED DIGITAL CORP</t>
  </si>
  <si>
    <t>COM NEW</t>
  </si>
  <si>
    <t>038169207</t>
  </si>
  <si>
    <t>APPLOVIN CORP</t>
  </si>
  <si>
    <t>03831W108</t>
  </si>
  <si>
    <t>ARCHER DANIELS MIDLAND CO</t>
  </si>
  <si>
    <t>039483102</t>
  </si>
  <si>
    <t>ARISTA NETWORKS INC</t>
  </si>
  <si>
    <t>040413106</t>
  </si>
  <si>
    <t>ARMSTRONG WORLD INDS INC NEW</t>
  </si>
  <si>
    <t>04247X102</t>
  </si>
  <si>
    <t>ASTEC INDS INC</t>
  </si>
  <si>
    <t>046224101</t>
  </si>
  <si>
    <t>AUTOMATIC DATA PROCESSING IN</t>
  </si>
  <si>
    <t>053015103</t>
  </si>
  <si>
    <t>AUTONATION INC</t>
  </si>
  <si>
    <t>05329W102</t>
  </si>
  <si>
    <t>AUTOZONE INC</t>
  </si>
  <si>
    <t>053332102</t>
  </si>
  <si>
    <t>AVANGRID INC</t>
  </si>
  <si>
    <t>05351W103</t>
  </si>
  <si>
    <t>AVEPOINT INC</t>
  </si>
  <si>
    <t>053604104</t>
  </si>
  <si>
    <t>AVIDXCHANGE HOLDINGS INC</t>
  </si>
  <si>
    <t>05368X102</t>
  </si>
  <si>
    <t>AXIS CAP HLDGS LTD</t>
  </si>
  <si>
    <t>G0692U109</t>
  </si>
  <si>
    <t>AXON ENTERPRISE INC</t>
  </si>
  <si>
    <t>05464C101</t>
  </si>
  <si>
    <t>AZEK CO INC</t>
  </si>
  <si>
    <t>05478C105</t>
  </si>
  <si>
    <t>BANNER CORP</t>
  </si>
  <si>
    <t>06652V208</t>
  </si>
  <si>
    <t>BAUSCH HEALTH COS INC</t>
  </si>
  <si>
    <t>071734107</t>
  </si>
  <si>
    <t>BELLRING BRANDS INC</t>
  </si>
  <si>
    <t>COMMON STOCK</t>
  </si>
  <si>
    <t>07831C103</t>
  </si>
  <si>
    <t>BIO RAD LABS INC</t>
  </si>
  <si>
    <t>090572207</t>
  </si>
  <si>
    <t>BLACK HILLS CORP</t>
  </si>
  <si>
    <t>092113109</t>
  </si>
  <si>
    <t>BRAZE INC</t>
  </si>
  <si>
    <t>10576N102</t>
  </si>
  <si>
    <t>BRIGHTHOUSE FINL INC</t>
  </si>
  <si>
    <t>10922N103</t>
  </si>
  <si>
    <t>BRINKER INTL INC</t>
  </si>
  <si>
    <t>109641100</t>
  </si>
  <si>
    <t>BRISTOL-MYERS SQUIBB CO</t>
  </si>
  <si>
    <t>110122108</t>
  </si>
  <si>
    <t>C H ROBINSON WORLDWIDE INC</t>
  </si>
  <si>
    <t>12541W209</t>
  </si>
  <si>
    <t>CANADIAN PACIFIC KANSAS CITY</t>
  </si>
  <si>
    <t>13646K108</t>
  </si>
  <si>
    <t>CARMAX INC</t>
  </si>
  <si>
    <t>143130102</t>
  </si>
  <si>
    <t>CARNIVAL CORP</t>
  </si>
  <si>
    <t>UNIT 99/99/9999</t>
  </si>
  <si>
    <t>143658300</t>
  </si>
  <si>
    <t>CASTLE BIOSCIENCES INC</t>
  </si>
  <si>
    <t>14843C105</t>
  </si>
  <si>
    <t>CELSIUS HLDGS INC</t>
  </si>
  <si>
    <t>15118V207</t>
  </si>
  <si>
    <t>CENTENE CORP DEL</t>
  </si>
  <si>
    <t>15135B101</t>
  </si>
  <si>
    <t>CENTERRA GOLD INC</t>
  </si>
  <si>
    <t>152006102</t>
  </si>
  <si>
    <t>CEVA INC</t>
  </si>
  <si>
    <t>157210105</t>
  </si>
  <si>
    <t>CHESAPEAKE UTILS CORP</t>
  </si>
  <si>
    <t>165303108</t>
  </si>
  <si>
    <t>CHILDRENS PL INC NEW</t>
  </si>
  <si>
    <t>168905107</t>
  </si>
  <si>
    <t>CHORD ENERGY CORPORATION</t>
  </si>
  <si>
    <t>674215207</t>
  </si>
  <si>
    <t>CINEMARK HLDGS INC</t>
  </si>
  <si>
    <t>17243V102</t>
  </si>
  <si>
    <t>CLEVELAND-CLIFFS INC NEW</t>
  </si>
  <si>
    <t>185899101</t>
  </si>
  <si>
    <t>COGNEX CORP</t>
  </si>
  <si>
    <t>192422103</t>
  </si>
  <si>
    <t>COMERICA INC</t>
  </si>
  <si>
    <t>200340107</t>
  </si>
  <si>
    <t>COMMUNITY BK SYS INC</t>
  </si>
  <si>
    <t>203607106</t>
  </si>
  <si>
    <t>COMMUNITY HEALTH SYS INC NEW</t>
  </si>
  <si>
    <t>203668108</t>
  </si>
  <si>
    <t>COMSTOCK RES INC</t>
  </si>
  <si>
    <t>205768302</t>
  </si>
  <si>
    <t>CONSTRUCTION PARTNERS INC</t>
  </si>
  <si>
    <t>21044C107</t>
  </si>
  <si>
    <t>CORECIVIC INC</t>
  </si>
  <si>
    <t>21871N101</t>
  </si>
  <si>
    <t>COSTCO WHSL CORP NEW</t>
  </si>
  <si>
    <t>22160K105</t>
  </si>
  <si>
    <t>COURSERA INC</t>
  </si>
  <si>
    <t>22266M104</t>
  </si>
  <si>
    <t>CREDO TECHNOLOGY GROUP HOLDI</t>
  </si>
  <si>
    <t>ORDINARY SHARES</t>
  </si>
  <si>
    <t>G25457105</t>
  </si>
  <si>
    <t>CRESCENT ENERGY COMPANY</t>
  </si>
  <si>
    <t>CL A COM</t>
  </si>
  <si>
    <t>44952J104</t>
  </si>
  <si>
    <t>CROCS INC</t>
  </si>
  <si>
    <t>227046109</t>
  </si>
  <si>
    <t>CROWDSTRIKE HLDGS INC</t>
  </si>
  <si>
    <t>22788C105</t>
  </si>
  <si>
    <t>CUSTOMERS BANCORP INC</t>
  </si>
  <si>
    <t>23204G100</t>
  </si>
  <si>
    <t>CVR ENERGY INC</t>
  </si>
  <si>
    <t>12662P108</t>
  </si>
  <si>
    <t>D R HORTON INC</t>
  </si>
  <si>
    <t>23331A109</t>
  </si>
  <si>
    <t>DATADOG INC</t>
  </si>
  <si>
    <t>23804L103</t>
  </si>
  <si>
    <t>DEERE &amp; CO</t>
  </si>
  <si>
    <t>244199105</t>
  </si>
  <si>
    <t>DEVON ENERGY CORP NEW</t>
  </si>
  <si>
    <t>25179M103</t>
  </si>
  <si>
    <t>DICKS SPORTING GOODS INC</t>
  </si>
  <si>
    <t>253393102</t>
  </si>
  <si>
    <t>DOORDASH INC</t>
  </si>
  <si>
    <t>25809K105</t>
  </si>
  <si>
    <t>DRAFTKINGS INC NEW</t>
  </si>
  <si>
    <t>26142V105</t>
  </si>
  <si>
    <t>DREAM FINDERS HOMES INC</t>
  </si>
  <si>
    <t>26154D100</t>
  </si>
  <si>
    <t>DRIVEN BRANDS HLDGS INC</t>
  </si>
  <si>
    <t>26210V102</t>
  </si>
  <si>
    <t>DUCKHORN PORTFOLIO INC</t>
  </si>
  <si>
    <t>26414D106</t>
  </si>
  <si>
    <t>DUOLINGO INC</t>
  </si>
  <si>
    <t>26603R106</t>
  </si>
  <si>
    <t>ECHOSTAR CORP</t>
  </si>
  <si>
    <t>278768106</t>
  </si>
  <si>
    <t>ELECTRONIC ARTS INC</t>
  </si>
  <si>
    <t>285512109</t>
  </si>
  <si>
    <t>ENACT HLDGS INC</t>
  </si>
  <si>
    <t>29249E109</t>
  </si>
  <si>
    <t>ENCORE ENERGY CORP</t>
  </si>
  <si>
    <t>29259W700</t>
  </si>
  <si>
    <t>ENPHASE ENERGY INC</t>
  </si>
  <si>
    <t>29355A107</t>
  </si>
  <si>
    <t>EQT CORP</t>
  </si>
  <si>
    <t>26884L109</t>
  </si>
  <si>
    <t>EQUITRANS MIDSTREAM CORP</t>
  </si>
  <si>
    <t>294600101</t>
  </si>
  <si>
    <t>EVOLV TECHNOLOGIES HLDNGS IN</t>
  </si>
  <si>
    <t>30049H102</t>
  </si>
  <si>
    <t>FARO TECHNOLOGIES INC</t>
  </si>
  <si>
    <t>311642102</t>
  </si>
  <si>
    <t>FIGS INC</t>
  </si>
  <si>
    <t>30260D103</t>
  </si>
  <si>
    <t>FIRST FINL BANKSHARES INC</t>
  </si>
  <si>
    <t>32020R109</t>
  </si>
  <si>
    <t>FORESTAR GROUP INC</t>
  </si>
  <si>
    <t>346232101</t>
  </si>
  <si>
    <t>FORTUNA SILVER MINES INC</t>
  </si>
  <si>
    <t>349915108</t>
  </si>
  <si>
    <t>FORTUNE BRANDS INNOVATIONS I</t>
  </si>
  <si>
    <t>34964C106</t>
  </si>
  <si>
    <t>FORWARD AIR CORP</t>
  </si>
  <si>
    <t>349853101</t>
  </si>
  <si>
    <t>FRANCO NEV CORP</t>
  </si>
  <si>
    <t>351858105</t>
  </si>
  <si>
    <t>FRANKLIN ELEC INC</t>
  </si>
  <si>
    <t>353514102</t>
  </si>
  <si>
    <t>FRESHWORKS INC</t>
  </si>
  <si>
    <t>CLASS A COM</t>
  </si>
  <si>
    <t>358054104</t>
  </si>
  <si>
    <t>G III APPAREL GROUP LTD</t>
  </si>
  <si>
    <t>36237H101</t>
  </si>
  <si>
    <t>GENUINE PARTS CO</t>
  </si>
  <si>
    <t>372460105</t>
  </si>
  <si>
    <t>GOLDEN OCEAN GROUP LTD</t>
  </si>
  <si>
    <t>SHS NEW</t>
  </si>
  <si>
    <t>G39637205</t>
  </si>
  <si>
    <t>GOODYEAR TIRE &amp; RUBR CO</t>
  </si>
  <si>
    <t>382550101</t>
  </si>
  <si>
    <t>GOPRO INC</t>
  </si>
  <si>
    <t>38268T103</t>
  </si>
  <si>
    <t>GREEN BRICK PARTNERS INC</t>
  </si>
  <si>
    <t>392709101</t>
  </si>
  <si>
    <t>GREENBRIER COS INC</t>
  </si>
  <si>
    <t>393657101</t>
  </si>
  <si>
    <t>GROUP 1 AUTOMOTIVE INC</t>
  </si>
  <si>
    <t>398905109</t>
  </si>
  <si>
    <t>GUESS INC</t>
  </si>
  <si>
    <t>401617105</t>
  </si>
  <si>
    <t>GULFPORT ENERGY CORP</t>
  </si>
  <si>
    <t>COMMON SHARES</t>
  </si>
  <si>
    <t>402635502</t>
  </si>
  <si>
    <t>HAIN CELESTIAL GROUP INC</t>
  </si>
  <si>
    <t>405217100</t>
  </si>
  <si>
    <t>HANMI FINL CORP</t>
  </si>
  <si>
    <t>410495204</t>
  </si>
  <si>
    <t>HASHICORP INC</t>
  </si>
  <si>
    <t>418100103</t>
  </si>
  <si>
    <t>HAWAIIAN ELEC INDUSTRIES</t>
  </si>
  <si>
    <t>419870100</t>
  </si>
  <si>
    <t>HAYWARD HLDGS INC</t>
  </si>
  <si>
    <t>421298100</t>
  </si>
  <si>
    <t>HEALTHCARE SVCS GROUP INC</t>
  </si>
  <si>
    <t>421906108</t>
  </si>
  <si>
    <t>HEARTLAND FINL USA INC</t>
  </si>
  <si>
    <t>42234Q102</t>
  </si>
  <si>
    <t>HEICO CORP NEW</t>
  </si>
  <si>
    <t>422806109</t>
  </si>
  <si>
    <t>HELIOS TECHNOLOGIES INC</t>
  </si>
  <si>
    <t>42328H109</t>
  </si>
  <si>
    <t>HENRY SCHEIN INC</t>
  </si>
  <si>
    <t>806407102</t>
  </si>
  <si>
    <t>HERSHEY CO</t>
  </si>
  <si>
    <t>427866108</t>
  </si>
  <si>
    <t>HOLLEY INC</t>
  </si>
  <si>
    <t>43538H103</t>
  </si>
  <si>
    <t>HORMEL FOODS CORP</t>
  </si>
  <si>
    <t>440452100</t>
  </si>
  <si>
    <t>HP INC</t>
  </si>
  <si>
    <t>40434L105</t>
  </si>
  <si>
    <t>HUBSPOT INC</t>
  </si>
  <si>
    <t>443573100</t>
  </si>
  <si>
    <t>IDEX CORP</t>
  </si>
  <si>
    <t>45167R104</t>
  </si>
  <si>
    <t>ILLUMINA INC</t>
  </si>
  <si>
    <t>452327109</t>
  </si>
  <si>
    <t>INGEVITY CORP</t>
  </si>
  <si>
    <t>45688C107</t>
  </si>
  <si>
    <t>INTERFACE INC</t>
  </si>
  <si>
    <t>458665304</t>
  </si>
  <si>
    <t>IPG PHOTONICS CORP</t>
  </si>
  <si>
    <t>44980X109</t>
  </si>
  <si>
    <t>IRIDIUM COMMUNICATIONS INC</t>
  </si>
  <si>
    <t>46269C102</t>
  </si>
  <si>
    <t>JANUS INTERNATIONAL GROUP IN</t>
  </si>
  <si>
    <t>47103N106</t>
  </si>
  <si>
    <t>JOHNSON CTLS INTL PLC</t>
  </si>
  <si>
    <t>G51502105</t>
  </si>
  <si>
    <t>KEMPER CORP</t>
  </si>
  <si>
    <t>488401100</t>
  </si>
  <si>
    <t>KEYSIGHT TECHNOLOGIES INC</t>
  </si>
  <si>
    <t>49338L103</t>
  </si>
  <si>
    <t>KKR &amp; CO INC</t>
  </si>
  <si>
    <t>48251W104</t>
  </si>
  <si>
    <t>LEGALZOOM COM INC</t>
  </si>
  <si>
    <t>52466B103</t>
  </si>
  <si>
    <t>LIFESTANCE HEALTH GROUP INC</t>
  </si>
  <si>
    <t>53228F101</t>
  </si>
  <si>
    <t>LIONS GATE ENTMNT CORP</t>
  </si>
  <si>
    <t>CL A VTG</t>
  </si>
  <si>
    <t>535919401</t>
  </si>
  <si>
    <t>LITHIA MTRS INC</t>
  </si>
  <si>
    <t>536797103</t>
  </si>
  <si>
    <t>LUMEN TECHNOLOGIES INC</t>
  </si>
  <si>
    <t>550241103</t>
  </si>
  <si>
    <t>LYONDELLBASELL INDUSTRIES N</t>
  </si>
  <si>
    <t>SHS - A -</t>
  </si>
  <si>
    <t>N53745100</t>
  </si>
  <si>
    <t>MANITOWOC CO INC</t>
  </si>
  <si>
    <t>563571405</t>
  </si>
  <si>
    <t>MASONITE INTL CORP</t>
  </si>
  <si>
    <t>575385109</t>
  </si>
  <si>
    <t>MAXLINEAR INC</t>
  </si>
  <si>
    <t>57776J100</t>
  </si>
  <si>
    <t>MERITAGE HOMES CORP</t>
  </si>
  <si>
    <t>59001A102</t>
  </si>
  <si>
    <t>METHANEX CORP</t>
  </si>
  <si>
    <t>59151K108</t>
  </si>
  <si>
    <t>METHODE ELECTRS INC</t>
  </si>
  <si>
    <t>591520200</t>
  </si>
  <si>
    <t>MODEL N INC</t>
  </si>
  <si>
    <t>607525102</t>
  </si>
  <si>
    <t>MONTROSE ENVIRONMENTAL GROUP</t>
  </si>
  <si>
    <t>615111101</t>
  </si>
  <si>
    <t>MURPHY USA INC</t>
  </si>
  <si>
    <t>626755102</t>
  </si>
  <si>
    <t>NASDAQ INC</t>
  </si>
  <si>
    <t>631103108</t>
  </si>
  <si>
    <t>NEXGEN ENERGY LTD</t>
  </si>
  <si>
    <t>65340P106</t>
  </si>
  <si>
    <t>NORDIC AMERICAN TANKERS LIMI</t>
  </si>
  <si>
    <t>G65773106</t>
  </si>
  <si>
    <t>NRG ENERGY INC</t>
  </si>
  <si>
    <t>629377508</t>
  </si>
  <si>
    <t>NUTANIX INC</t>
  </si>
  <si>
    <t>67059N108</t>
  </si>
  <si>
    <t>NUTRIEN LTD</t>
  </si>
  <si>
    <t>67077M108</t>
  </si>
  <si>
    <t>NV5 GLOBAL INC</t>
  </si>
  <si>
    <t>62945V109</t>
  </si>
  <si>
    <t>OCEANFIRST FINL CORP</t>
  </si>
  <si>
    <t>675234108</t>
  </si>
  <si>
    <t>OLO INC</t>
  </si>
  <si>
    <t>68134L109</t>
  </si>
  <si>
    <t>OMNICELL COM</t>
  </si>
  <si>
    <t>68213N109</t>
  </si>
  <si>
    <t>OPENDOOR TECHNOLOGIES INC</t>
  </si>
  <si>
    <t>683712103</t>
  </si>
  <si>
    <t>OWENS CORNING NEW</t>
  </si>
  <si>
    <t>690742101</t>
  </si>
  <si>
    <t>PACIFIC PREMIER BANCORP</t>
  </si>
  <si>
    <t>69478X105</t>
  </si>
  <si>
    <t>PARAMOUNT GLOBAL</t>
  </si>
  <si>
    <t>CLASS B COM</t>
  </si>
  <si>
    <t>92556H206</t>
  </si>
  <si>
    <t>PAYCOM SOFTWARE INC</t>
  </si>
  <si>
    <t>70432V102</t>
  </si>
  <si>
    <t>PAYPAL HLDGS INC</t>
  </si>
  <si>
    <t>70450Y103</t>
  </si>
  <si>
    <t>PEABODY ENERGY CORP</t>
  </si>
  <si>
    <t>704551100</t>
  </si>
  <si>
    <t>PENTAIR PLC</t>
  </si>
  <si>
    <t>G7S00T104</t>
  </si>
  <si>
    <t>PERFICIENT INC</t>
  </si>
  <si>
    <t>71375U101</t>
  </si>
  <si>
    <t>PERMIAN RESOURCES CORP</t>
  </si>
  <si>
    <t>71424F105</t>
  </si>
  <si>
    <t>PFIZER INC</t>
  </si>
  <si>
    <t>717081103</t>
  </si>
  <si>
    <t>PHOTRONICS INC</t>
  </si>
  <si>
    <t>719405102</t>
  </si>
  <si>
    <t>PINTEREST INC</t>
  </si>
  <si>
    <t>72352L106</t>
  </si>
  <si>
    <t>PREMIER INC</t>
  </si>
  <si>
    <t>74051N102</t>
  </si>
  <si>
    <t>PRINCIPAL FINANCIAL GROUP IN</t>
  </si>
  <si>
    <t>74251V102</t>
  </si>
  <si>
    <t>PROCEPT BIOROBOTICS CORP</t>
  </si>
  <si>
    <t>74276L105</t>
  </si>
  <si>
    <t>PROTO LABS INC</t>
  </si>
  <si>
    <t>743713109</t>
  </si>
  <si>
    <t>PULTE GROUP INC</t>
  </si>
  <si>
    <t>745867101</t>
  </si>
  <si>
    <t>RAMACO RES INC</t>
  </si>
  <si>
    <t>75134P600</t>
  </si>
  <si>
    <t>REDFIN CORP</t>
  </si>
  <si>
    <t>75737F108</t>
  </si>
  <si>
    <t>REGIONS FINANCIAL CORP NEW</t>
  </si>
  <si>
    <t>7591EP100</t>
  </si>
  <si>
    <t>REVOLVE GROUP INC</t>
  </si>
  <si>
    <t>76156B107</t>
  </si>
  <si>
    <t>RH</t>
  </si>
  <si>
    <t>74967X103</t>
  </si>
  <si>
    <t>RLI CORP</t>
  </si>
  <si>
    <t>749607107</t>
  </si>
  <si>
    <t>ROBLOX CORP</t>
  </si>
  <si>
    <t>771049103</t>
  </si>
  <si>
    <t>ROKU INC</t>
  </si>
  <si>
    <t>77543R102</t>
  </si>
  <si>
    <t>RYAN SPECIALTY HOLDINGS INC</t>
  </si>
  <si>
    <t>78351F107</t>
  </si>
  <si>
    <t>SABRE CORP</t>
  </si>
  <si>
    <t>78573M104</t>
  </si>
  <si>
    <t>SANDSTORM GOLD LTD</t>
  </si>
  <si>
    <t>80013R206</t>
  </si>
  <si>
    <t>SANMINA CORPORATION</t>
  </si>
  <si>
    <t>801056102</t>
  </si>
  <si>
    <t>SEMTECH CORP</t>
  </si>
  <si>
    <t>816850101</t>
  </si>
  <si>
    <t>SHUTTERSTOCK INC</t>
  </si>
  <si>
    <t>825690100</t>
  </si>
  <si>
    <t>SHYFT GROUP INC</t>
  </si>
  <si>
    <t>825698103</t>
  </si>
  <si>
    <t>SITIO ROYALTIES CORP</t>
  </si>
  <si>
    <t>82983N108</t>
  </si>
  <si>
    <t>SONOCO PRODS CO</t>
  </si>
  <si>
    <t>835495102</t>
  </si>
  <si>
    <t>SPARTANNASH CO</t>
  </si>
  <si>
    <t>847215100</t>
  </si>
  <si>
    <t>SQUARESPACE INC</t>
  </si>
  <si>
    <t>CLASS A</t>
  </si>
  <si>
    <t>85225A107</t>
  </si>
  <si>
    <t>STATE STR CORP</t>
  </si>
  <si>
    <t>857477103</t>
  </si>
  <si>
    <t>TELADOC HEALTH INC</t>
  </si>
  <si>
    <t>87918A105</t>
  </si>
  <si>
    <t>TETRA TECHNOLOGIES INC DEL</t>
  </si>
  <si>
    <t>88162F105</t>
  </si>
  <si>
    <t>THE BEAUTY HEALTH COMPANY</t>
  </si>
  <si>
    <t>88331L108</t>
  </si>
  <si>
    <t>TITAN MACHY INC</t>
  </si>
  <si>
    <t>88830R101</t>
  </si>
  <si>
    <t>TOMPKINS FINL CORP</t>
  </si>
  <si>
    <t>890110109</t>
  </si>
  <si>
    <t>TPG INC</t>
  </si>
  <si>
    <t>872657101</t>
  </si>
  <si>
    <t>TRANSMEDICS GROUP INC</t>
  </si>
  <si>
    <t>89377M109</t>
  </si>
  <si>
    <t>TREX CO INC</t>
  </si>
  <si>
    <t>89531P105</t>
  </si>
  <si>
    <t>TRI POINTE HOMES INC</t>
  </si>
  <si>
    <t>87265H109</t>
  </si>
  <si>
    <t>TRUEBLUE INC</t>
  </si>
  <si>
    <t>89785X101</t>
  </si>
  <si>
    <t>TRUSTMARK CORP</t>
  </si>
  <si>
    <t>898402102</t>
  </si>
  <si>
    <t>TTEC HLDGS INC</t>
  </si>
  <si>
    <t>89854H102</t>
  </si>
  <si>
    <t>TUTOR PERINI CORP</t>
  </si>
  <si>
    <t>901109108</t>
  </si>
  <si>
    <t>TYSON FOODS INC</t>
  </si>
  <si>
    <t>902494103</t>
  </si>
  <si>
    <t>UDEMY INC</t>
  </si>
  <si>
    <t>902685106</t>
  </si>
  <si>
    <t>UGI CORP NEW</t>
  </si>
  <si>
    <t>902681105</t>
  </si>
  <si>
    <t>UNISYS CORP</t>
  </si>
  <si>
    <t>909214306</t>
  </si>
  <si>
    <t>UNIVERSAL TECHNICAL INST INC</t>
  </si>
  <si>
    <t>913915104</t>
  </si>
  <si>
    <t>UPWORK INC</t>
  </si>
  <si>
    <t>91688F104</t>
  </si>
  <si>
    <t>VALMONT INDS INC</t>
  </si>
  <si>
    <t>920253101</t>
  </si>
  <si>
    <t>VAREX IMAGING CORP</t>
  </si>
  <si>
    <t>92214X106</t>
  </si>
  <si>
    <t>VERADIGM INC</t>
  </si>
  <si>
    <t>01988P108</t>
  </si>
  <si>
    <t>VERITEX HLDGS INC</t>
  </si>
  <si>
    <t>923451108</t>
  </si>
  <si>
    <t>VERRA MOBILITY CORP</t>
  </si>
  <si>
    <t>CL A COM STK</t>
  </si>
  <si>
    <t>92511U102</t>
  </si>
  <si>
    <t>VERTIV HOLDINGS CO</t>
  </si>
  <si>
    <t>92537N108</t>
  </si>
  <si>
    <t>VIMEO INC</t>
  </si>
  <si>
    <t>92719V100</t>
  </si>
  <si>
    <t>VISHAY PRECISION GROUP INC</t>
  </si>
  <si>
    <t>92835K103</t>
  </si>
  <si>
    <t>VITA COCO CO INC</t>
  </si>
  <si>
    <t>92846Q107</t>
  </si>
  <si>
    <t>WEAVE COMMUNICATIONS INC</t>
  </si>
  <si>
    <t>94724R108</t>
  </si>
  <si>
    <t>WENDYS CO</t>
  </si>
  <si>
    <t>95058W100</t>
  </si>
  <si>
    <t>WESTERN DIGITAL CORP.</t>
  </si>
  <si>
    <t>958102105</t>
  </si>
  <si>
    <t>WORKIVA INC</t>
  </si>
  <si>
    <t>98139A105</t>
  </si>
  <si>
    <t>WYNN RESORTS LTD</t>
  </si>
  <si>
    <t>983134107</t>
  </si>
  <si>
    <t>XP INC</t>
  </si>
  <si>
    <t>G98239109</t>
  </si>
  <si>
    <t>ZETA GLOBAL HOLDINGS CORP</t>
  </si>
  <si>
    <t>98956A105</t>
  </si>
  <si>
    <t>ZOOMINFO TECHNOLOGIES INC</t>
  </si>
  <si>
    <t>98980F104</t>
  </si>
  <si>
    <t>ZSCALER INC</t>
  </si>
  <si>
    <t>98980G102</t>
  </si>
  <si>
    <t>23ANDME HOLDING CO</t>
  </si>
  <si>
    <t>90138Q108</t>
  </si>
  <si>
    <t>3M CO</t>
  </si>
  <si>
    <t>88579Y101</t>
  </si>
  <si>
    <t>8X8 INC NEW</t>
  </si>
  <si>
    <t>282914100</t>
  </si>
  <si>
    <t>ACCOLADE INC</t>
  </si>
  <si>
    <t>00437E102</t>
  </si>
  <si>
    <t>ADVANCE AUTO PARTS INC</t>
  </si>
  <si>
    <t>00751Y106</t>
  </si>
  <si>
    <t>AKAMAI TECHNOLOGIES INC</t>
  </si>
  <si>
    <t>00971T101</t>
  </si>
  <si>
    <t>ALARM COM HLDGS INC</t>
  </si>
  <si>
    <t>011642105</t>
  </si>
  <si>
    <t>ALPHATEC HLDGS INC</t>
  </si>
  <si>
    <t>02081G201</t>
  </si>
  <si>
    <t>ALTA EQUIPMENT GROUP INC</t>
  </si>
  <si>
    <t>02128L106</t>
  </si>
  <si>
    <t>ALTO INGREDIENTS INC</t>
  </si>
  <si>
    <t>021513106</t>
  </si>
  <si>
    <t>AMEDISYS INC</t>
  </si>
  <si>
    <t>023436108</t>
  </si>
  <si>
    <t>AMERICAN PUB ED INC</t>
  </si>
  <si>
    <t>02913V103</t>
  </si>
  <si>
    <t>API GROUP CORP</t>
  </si>
  <si>
    <t>COM STK</t>
  </si>
  <si>
    <t>00187Y100</t>
  </si>
  <si>
    <t>ARVINAS INC</t>
  </si>
  <si>
    <t>04335A105</t>
  </si>
  <si>
    <t>ASBURY AUTOMOTIVE GROUP INC</t>
  </si>
  <si>
    <t>043436104</t>
  </si>
  <si>
    <t>ASGN INC</t>
  </si>
  <si>
    <t>00191U102</t>
  </si>
  <si>
    <t>ASSURANT INC</t>
  </si>
  <si>
    <t>04621X108</t>
  </si>
  <si>
    <t>ATRICURE INC</t>
  </si>
  <si>
    <t>04963C209</t>
  </si>
  <si>
    <t>AZENTA INC</t>
  </si>
  <si>
    <t>114340102</t>
  </si>
  <si>
    <t>BAXTER INTL INC</t>
  </si>
  <si>
    <t>071813109</t>
  </si>
  <si>
    <t>BLUE BIRD CORP</t>
  </si>
  <si>
    <t>095306106</t>
  </si>
  <si>
    <t>BORR DRILLING LTD</t>
  </si>
  <si>
    <t>G1466R173</t>
  </si>
  <si>
    <t>BOWLERO CORP</t>
  </si>
  <si>
    <t>10258P102</t>
  </si>
  <si>
    <t>BROOKDALE SR LIVING INC</t>
  </si>
  <si>
    <t>112463104</t>
  </si>
  <si>
    <t>BROWN &amp; BROWN INC</t>
  </si>
  <si>
    <t>115236101</t>
  </si>
  <si>
    <t>BUMBLE INC</t>
  </si>
  <si>
    <t>12047B105</t>
  </si>
  <si>
    <t>CALAVO GROWERS INC</t>
  </si>
  <si>
    <t>128246105</t>
  </si>
  <si>
    <t>CAMDEN PPTY TR</t>
  </si>
  <si>
    <t>SH BEN INT</t>
  </si>
  <si>
    <t>133131102</t>
  </si>
  <si>
    <t>CLARUS CORP NEW</t>
  </si>
  <si>
    <t>18270P109</t>
  </si>
  <si>
    <t>CODEXIS INC</t>
  </si>
  <si>
    <t>192005106</t>
  </si>
  <si>
    <t>COLLEGIUM PHARMACEUTICAL INC</t>
  </si>
  <si>
    <t>19459J104</t>
  </si>
  <si>
    <t>CVS HEALTH CORP</t>
  </si>
  <si>
    <t>126650100</t>
  </si>
  <si>
    <t>DHT HOLDINGS INC</t>
  </si>
  <si>
    <t>Y2065G121</t>
  </si>
  <si>
    <t>DORIAN LPG LTD</t>
  </si>
  <si>
    <t>SHS USD</t>
  </si>
  <si>
    <t>Y2106R110</t>
  </si>
  <si>
    <t>EASTERN BANKSHARES INC</t>
  </si>
  <si>
    <t>27627N105</t>
  </si>
  <si>
    <t>EPAM SYS INC</t>
  </si>
  <si>
    <t>29414B104</t>
  </si>
  <si>
    <t>ETSY INC</t>
  </si>
  <si>
    <t>29786A106</t>
  </si>
  <si>
    <t>EXTREME NETWORKS</t>
  </si>
  <si>
    <t>30226D106</t>
  </si>
  <si>
    <t>FASTLY INC</t>
  </si>
  <si>
    <t>31188V100</t>
  </si>
  <si>
    <t>FIRST MAJESTIC SILVER CORP</t>
  </si>
  <si>
    <t>32076V103</t>
  </si>
  <si>
    <t>FIVE9 INC</t>
  </si>
  <si>
    <t>338307101</t>
  </si>
  <si>
    <t>FORRESTER RESH INC</t>
  </si>
  <si>
    <t>346563109</t>
  </si>
  <si>
    <t>FRONTLINE PLC</t>
  </si>
  <si>
    <t>M46528101</t>
  </si>
  <si>
    <t>FUNKO INC</t>
  </si>
  <si>
    <t>361008105</t>
  </si>
  <si>
    <t>GMS INC</t>
  </si>
  <si>
    <t>36251C103</t>
  </si>
  <si>
    <t>GRAY TELEVISION INC</t>
  </si>
  <si>
    <t>389375106</t>
  </si>
  <si>
    <t>GREEN PLAINS INC</t>
  </si>
  <si>
    <t>393222104</t>
  </si>
  <si>
    <t>GROCERY OUTLET HLDG CORP</t>
  </si>
  <si>
    <t>39874R101</t>
  </si>
  <si>
    <t>HANCOCK WHITNEY CORPORATION</t>
  </si>
  <si>
    <t>410120109</t>
  </si>
  <si>
    <t>HASBRO INC</t>
  </si>
  <si>
    <t>418056107</t>
  </si>
  <si>
    <t>HEALTH CATALYST INC</t>
  </si>
  <si>
    <t>42225T107</t>
  </si>
  <si>
    <t>HENRY JACK &amp; ASSOC INC</t>
  </si>
  <si>
    <t>426281101</t>
  </si>
  <si>
    <t>HIMS &amp; HERS HEALTH INC</t>
  </si>
  <si>
    <t>433000106</t>
  </si>
  <si>
    <t>HORIZON BANCORP INC</t>
  </si>
  <si>
    <t>440407104</t>
  </si>
  <si>
    <t>IAC INC</t>
  </si>
  <si>
    <t>44891N208</t>
  </si>
  <si>
    <t>IAMGOLD CORP</t>
  </si>
  <si>
    <t>450913108</t>
  </si>
  <si>
    <t>IHEARTMEDIA INC</t>
  </si>
  <si>
    <t>45174J509</t>
  </si>
  <si>
    <t>IMPINJ INC</t>
  </si>
  <si>
    <t>453204109</t>
  </si>
  <si>
    <t>INARI MED INC</t>
  </si>
  <si>
    <t>45332Y109</t>
  </si>
  <si>
    <t>INDEPENDENT BANK GROUP INC</t>
  </si>
  <si>
    <t>45384B106</t>
  </si>
  <si>
    <t>INDIE SEMICONDUCTOR INC</t>
  </si>
  <si>
    <t>45569U101</t>
  </si>
  <si>
    <t>INTAPP INC</t>
  </si>
  <si>
    <t>45827U109</t>
  </si>
  <si>
    <t>INTREPID POTASH INC</t>
  </si>
  <si>
    <t>46121Y201</t>
  </si>
  <si>
    <t>JAMF HLDG CORP</t>
  </si>
  <si>
    <t>47074L105</t>
  </si>
  <si>
    <t>KEARNY FINL CORP MD</t>
  </si>
  <si>
    <t>48716P108</t>
  </si>
  <si>
    <t>L3HARRIS TECHNOLOGIES INC</t>
  </si>
  <si>
    <t>502431109</t>
  </si>
  <si>
    <t>LAS VEGAS SANDS CORP</t>
  </si>
  <si>
    <t>517834107</t>
  </si>
  <si>
    <t>LENDINGCLUB CORP</t>
  </si>
  <si>
    <t>52603A208</t>
  </si>
  <si>
    <t>LIVERAMP HLDGS INC</t>
  </si>
  <si>
    <t>53815P108</t>
  </si>
  <si>
    <t>LYFT INC</t>
  </si>
  <si>
    <t>55087P104</t>
  </si>
  <si>
    <t>MGP INGREDIENTS INC NEW</t>
  </si>
  <si>
    <t>55303J106</t>
  </si>
  <si>
    <t>MOHAWK INDS INC</t>
  </si>
  <si>
    <t>608190104</t>
  </si>
  <si>
    <t>MYR GROUP INC DEL</t>
  </si>
  <si>
    <t>55405W104</t>
  </si>
  <si>
    <t>NABORS INDUSTRIES LTD</t>
  </si>
  <si>
    <t>G6359F137</t>
  </si>
  <si>
    <t>NANOSTRING TECHNOLOGIES INC</t>
  </si>
  <si>
    <t>63009R109</t>
  </si>
  <si>
    <t>NAPCO SEC TECHNOLOGIES INC</t>
  </si>
  <si>
    <t>630402105</t>
  </si>
  <si>
    <t>NERDWALLET INC</t>
  </si>
  <si>
    <t>64082B102</t>
  </si>
  <si>
    <t>NEVRO CORP</t>
  </si>
  <si>
    <t>64157F103</t>
  </si>
  <si>
    <t>NEW RELIC INC</t>
  </si>
  <si>
    <t>64829B100</t>
  </si>
  <si>
    <t>OIL STS INTL INC</t>
  </si>
  <si>
    <t>678026105</t>
  </si>
  <si>
    <t>ON24 INC</t>
  </si>
  <si>
    <t>68339B104</t>
  </si>
  <si>
    <t>OPKO HEALTH INC</t>
  </si>
  <si>
    <t>68375N103</t>
  </si>
  <si>
    <t>ORION ENGINEERED CARBONS S A</t>
  </si>
  <si>
    <t>L72967109</t>
  </si>
  <si>
    <t>OVERSTOCK COM INC DEL</t>
  </si>
  <si>
    <t>690370101</t>
  </si>
  <si>
    <t>PACWEST BANCORP DEL</t>
  </si>
  <si>
    <t>695263103</t>
  </si>
  <si>
    <t>PAR PAC HOLDINGS INC</t>
  </si>
  <si>
    <t>69888T207</t>
  </si>
  <si>
    <t>PARAGON 28 INC</t>
  </si>
  <si>
    <t>69913P105</t>
  </si>
  <si>
    <t>PAYLOCITY HLDG CORP</t>
  </si>
  <si>
    <t>70438V106</t>
  </si>
  <si>
    <t>PHREESIA INC</t>
  </si>
  <si>
    <t>71944F106</t>
  </si>
  <si>
    <t>POPULAR INC</t>
  </si>
  <si>
    <t>733174700</t>
  </si>
  <si>
    <t>PROASSURANCE CORP</t>
  </si>
  <si>
    <t>74267C106</t>
  </si>
  <si>
    <t>PROCORE TECHNOLOGIES INC</t>
  </si>
  <si>
    <t>74275K108</t>
  </si>
  <si>
    <t>RITCHIE BROS AUCTIONEERS</t>
  </si>
  <si>
    <t>767744105</t>
  </si>
  <si>
    <t>ROLLINS INC</t>
  </si>
  <si>
    <t>775711104</t>
  </si>
  <si>
    <t>ROYAL CARIBBEAN GROUP</t>
  </si>
  <si>
    <t>V7780T103</t>
  </si>
  <si>
    <t>SANDY SPRING BANCORP INC</t>
  </si>
  <si>
    <t>800363103</t>
  </si>
  <si>
    <t>SILK RD MED INC</t>
  </si>
  <si>
    <t>82710M100</t>
  </si>
  <si>
    <t>SM ENERGY CO</t>
  </si>
  <si>
    <t>78454L100</t>
  </si>
  <si>
    <t>SMARTSHEET INC</t>
  </si>
  <si>
    <t>83200N103</t>
  </si>
  <si>
    <t>SOUTHERN COPPER CORP</t>
  </si>
  <si>
    <t>84265V105</t>
  </si>
  <si>
    <t>STANLEY BLACK &amp; DECKER INC</t>
  </si>
  <si>
    <t>854502101</t>
  </si>
  <si>
    <t>TACTILE SYS TECHNOLOGY INC</t>
  </si>
  <si>
    <t>87357P100</t>
  </si>
  <si>
    <t>TECHTARGET INC</t>
  </si>
  <si>
    <t>87874R100</t>
  </si>
  <si>
    <t>TEEKAY TANKERS LTD</t>
  </si>
  <si>
    <t>Y8565N300</t>
  </si>
  <si>
    <t>TENABLE HLDGS INC</t>
  </si>
  <si>
    <t>88025T102</t>
  </si>
  <si>
    <t>THOUGHTWORKS HOLDING INC</t>
  </si>
  <si>
    <t>88546E105</t>
  </si>
  <si>
    <t>TOLL BROTHERS INC</t>
  </si>
  <si>
    <t>889478103</t>
  </si>
  <si>
    <t>TRUIST FINL CORP</t>
  </si>
  <si>
    <t>89832Q109</t>
  </si>
  <si>
    <t>VERMILION ENERGY INC</t>
  </si>
  <si>
    <t>923725105</t>
  </si>
  <si>
    <t>VICOR CORP</t>
  </si>
  <si>
    <t>925815102</t>
  </si>
  <si>
    <t>VITAL FARMS INC</t>
  </si>
  <si>
    <t>92847W103</t>
  </si>
  <si>
    <t>WESTROCK CO</t>
  </si>
  <si>
    <t>96145D105</t>
  </si>
  <si>
    <t>WILLSCOT MOBIL MINI HLDNG CO</t>
  </si>
  <si>
    <t>971378104</t>
  </si>
  <si>
    <t>XPEL INC</t>
  </si>
  <si>
    <t>98379L100</t>
  </si>
  <si>
    <t>XPONENTIAL FITNESS INC</t>
  </si>
  <si>
    <t>98422X101</t>
  </si>
  <si>
    <t>ZIONS BANCORPORATION N A</t>
  </si>
  <si>
    <t>989701107</t>
  </si>
  <si>
    <t>10X GENOMICS INC</t>
  </si>
  <si>
    <t>88025U109</t>
  </si>
  <si>
    <t>2U INC</t>
  </si>
  <si>
    <t>90214J101</t>
  </si>
  <si>
    <t>AMERICAN EQTY INVT LIFE HLD</t>
  </si>
  <si>
    <t>025676206</t>
  </si>
  <si>
    <t>ANTERO RESOURCES CORP</t>
  </si>
  <si>
    <t>03674X106</t>
  </si>
  <si>
    <t>BERKLEY W R CORP</t>
  </si>
  <si>
    <t>084423102</t>
  </si>
  <si>
    <t>CASELLA WASTE SYS INC</t>
  </si>
  <si>
    <t>147448104</t>
  </si>
  <si>
    <t>CONNECTONE BANCORP INC</t>
  </si>
  <si>
    <t>20786W107</t>
  </si>
  <si>
    <t>CVB FINL CORP</t>
  </si>
  <si>
    <t>126600105</t>
  </si>
  <si>
    <t>DEFINITIVE HEALTHCARE CORP</t>
  </si>
  <si>
    <t>24477E103</t>
  </si>
  <si>
    <t>DUCOMMUN INC DEL</t>
  </si>
  <si>
    <t>264147109</t>
  </si>
  <si>
    <t>EAGLE BANCORP INC MD</t>
  </si>
  <si>
    <t>268948106</t>
  </si>
  <si>
    <t>FIDELITY NATL INFORMATION SV</t>
  </si>
  <si>
    <t>31620M106</t>
  </si>
  <si>
    <t>FIRST HORIZON CORPORATION</t>
  </si>
  <si>
    <t>320517105</t>
  </si>
  <si>
    <t>GENESCO INC</t>
  </si>
  <si>
    <t>371532102</t>
  </si>
  <si>
    <t>HERITAGE COMM CORP</t>
  </si>
  <si>
    <t>426927109</t>
  </si>
  <si>
    <t>HERITAGE FINL CORP WASH</t>
  </si>
  <si>
    <t>42722X106</t>
  </si>
  <si>
    <t>INDEPENDENT BK CORP MASS</t>
  </si>
  <si>
    <t>453836108</t>
  </si>
  <si>
    <t>INSULET CORP</t>
  </si>
  <si>
    <t>45784P101</t>
  </si>
  <si>
    <t>KEYCORP</t>
  </si>
  <si>
    <t>493267108</t>
  </si>
  <si>
    <t>LINDSAY CORP</t>
  </si>
  <si>
    <t>535555106</t>
  </si>
  <si>
    <t>NEXTGEN HEALTHCARE INC</t>
  </si>
  <si>
    <t>65343C102</t>
  </si>
  <si>
    <t>NORFOLK SOUTHN CORP</t>
  </si>
  <si>
    <t>655844108</t>
  </si>
  <si>
    <t>NORTHERN TR CORP</t>
  </si>
  <si>
    <t>665859104</t>
  </si>
  <si>
    <t>NOW INC</t>
  </si>
  <si>
    <t>67011P100</t>
  </si>
  <si>
    <t>NVIDIA CORPORATION</t>
  </si>
  <si>
    <t>67066G104</t>
  </si>
  <si>
    <t>OSCAR HEALTH INC</t>
  </si>
  <si>
    <t>687793109</t>
  </si>
  <si>
    <t>OSHKOSH CORP</t>
  </si>
  <si>
    <t>688239201</t>
  </si>
  <si>
    <t>PACIFIC BIOSCIENCES CALIF IN</t>
  </si>
  <si>
    <t>69404D108</t>
  </si>
  <si>
    <t>PATTERSON-UTI ENERGY INC</t>
  </si>
  <si>
    <t>703481101</t>
  </si>
  <si>
    <t>RESOURCES CONNECTION INC</t>
  </si>
  <si>
    <t>76122Q105</t>
  </si>
  <si>
    <t>SCHWAB CHARLES CORP</t>
  </si>
  <si>
    <t>808513105</t>
  </si>
  <si>
    <t>SERVISFIRST BANCSHARES INC</t>
  </si>
  <si>
    <t>81768T108</t>
  </si>
  <si>
    <t>SHAKE SHACK INC</t>
  </si>
  <si>
    <t>819047101</t>
  </si>
  <si>
    <t>SI-BONE INC</t>
  </si>
  <si>
    <t>825704109</t>
  </si>
  <si>
    <t>SOVOS BRANDS INC</t>
  </si>
  <si>
    <t>84612U107</t>
  </si>
  <si>
    <t>SPOTIFY TECHNOLOGY S A</t>
  </si>
  <si>
    <t>L8681T102</t>
  </si>
  <si>
    <t>SYNAPTICS INC</t>
  </si>
  <si>
    <t>87157D109</t>
  </si>
  <si>
    <t>THE TRADE DESK INC</t>
  </si>
  <si>
    <t>88339J105</t>
  </si>
  <si>
    <t>TORM PLC</t>
  </si>
  <si>
    <t>SHS CL A</t>
  </si>
  <si>
    <t>G89479102</t>
  </si>
  <si>
    <t>UNITED NAT FOODS INC</t>
  </si>
  <si>
    <t>911163103</t>
  </si>
  <si>
    <t>US BANCORP DEL</t>
  </si>
  <si>
    <t>902973304</t>
  </si>
  <si>
    <t>VISA INC</t>
  </si>
  <si>
    <t>92826C839</t>
  </si>
  <si>
    <t>3-D SYS CORP DEL</t>
  </si>
  <si>
    <t>88554D205</t>
  </si>
  <si>
    <t>ABERCROMBIE &amp; FITCH CO</t>
  </si>
  <si>
    <t>002896207</t>
  </si>
  <si>
    <t>ADVANCED MICRO DEVICES INC</t>
  </si>
  <si>
    <t>007903107</t>
  </si>
  <si>
    <t>AIRBNB INC</t>
  </si>
  <si>
    <t>009066101</t>
  </si>
  <si>
    <t>ARCHER AVIATION INC</t>
  </si>
  <si>
    <t>03945R102</t>
  </si>
  <si>
    <t>ARTISAN PARTNERS ASSET MGMT</t>
  </si>
  <si>
    <t>04316A108</t>
  </si>
  <si>
    <t>BABCOCK &amp; WILCOX ENTERPRISES</t>
  </si>
  <si>
    <t>05614L209</t>
  </si>
  <si>
    <t>BRUKER CORP</t>
  </si>
  <si>
    <t>116794108</t>
  </si>
  <si>
    <t>CANADIAN NATL RY CO</t>
  </si>
  <si>
    <t>136375102</t>
  </si>
  <si>
    <t>CHENIERE ENERGY INC</t>
  </si>
  <si>
    <t>16411R208</t>
  </si>
  <si>
    <t>CLEARWAY ENERGY INC</t>
  </si>
  <si>
    <t>CL C</t>
  </si>
  <si>
    <t>18539C204</t>
  </si>
  <si>
    <t>CLOUDFLARE INC</t>
  </si>
  <si>
    <t>18915M107</t>
  </si>
  <si>
    <t>COHERENT CORP</t>
  </si>
  <si>
    <t>19247G107</t>
  </si>
  <si>
    <t>COINBASE GLOBAL INC</t>
  </si>
  <si>
    <t>19260Q107</t>
  </si>
  <si>
    <t>CULLEN FROST BANKERS INC</t>
  </si>
  <si>
    <t>229899109</t>
  </si>
  <si>
    <t>DOLLAR GEN CORP NEW</t>
  </si>
  <si>
    <t>256677105</t>
  </si>
  <si>
    <t>DOXIMITY INC</t>
  </si>
  <si>
    <t>26622P107</t>
  </si>
  <si>
    <t>EVERSOURCE ENERGY</t>
  </si>
  <si>
    <t>30040W108</t>
  </si>
  <si>
    <t>FMC CORP</t>
  </si>
  <si>
    <t>302491303</t>
  </si>
  <si>
    <t>GANNETT CO INC</t>
  </si>
  <si>
    <t>36472T109</t>
  </si>
  <si>
    <t>GITLAB INC</t>
  </si>
  <si>
    <t>37637K108</t>
  </si>
  <si>
    <t>GRAPHIC PACKAGING HLDG CO</t>
  </si>
  <si>
    <t>388689101</t>
  </si>
  <si>
    <t>HANOVER INS GROUP INC</t>
  </si>
  <si>
    <t>410867105</t>
  </si>
  <si>
    <t>HAWAIIAN HOLDINGS INC</t>
  </si>
  <si>
    <t>419879101</t>
  </si>
  <si>
    <t>INGERSOLL RAND INC</t>
  </si>
  <si>
    <t>45687V106</t>
  </si>
  <si>
    <t>KINSALE CAP GROUP INC</t>
  </si>
  <si>
    <t>49714P108</t>
  </si>
  <si>
    <t>LAZARD LTD</t>
  </si>
  <si>
    <t>SHS A</t>
  </si>
  <si>
    <t>G54050102</t>
  </si>
  <si>
    <t>LINCOLN ELEC HLDGS INC</t>
  </si>
  <si>
    <t>533900106</t>
  </si>
  <si>
    <t>LIVEPERSON INC</t>
  </si>
  <si>
    <t>538146101</t>
  </si>
  <si>
    <t>MADISON SQUARE GRDN SPRT COR</t>
  </si>
  <si>
    <t>55825T103</t>
  </si>
  <si>
    <t>META PLATFORMS INC</t>
  </si>
  <si>
    <t>30303M102</t>
  </si>
  <si>
    <t>MOELIS &amp; CO</t>
  </si>
  <si>
    <t>60786M105</t>
  </si>
  <si>
    <t>NATIONAL VISION HLDGS INC</t>
  </si>
  <si>
    <t>63845R107</t>
  </si>
  <si>
    <t>NERDY INC</t>
  </si>
  <si>
    <t>64081V109</t>
  </si>
  <si>
    <t>NIKE INC</t>
  </si>
  <si>
    <t>CL B</t>
  </si>
  <si>
    <t>654106103</t>
  </si>
  <si>
    <t>NORTHERN OIL &amp; GAS INC</t>
  </si>
  <si>
    <t>665531307</t>
  </si>
  <si>
    <t>NORWEGIAN CRUISE LINE HLDG L</t>
  </si>
  <si>
    <t>G66721104</t>
  </si>
  <si>
    <t>NU HLDGS LTD</t>
  </si>
  <si>
    <t>ORD SHS CL A</t>
  </si>
  <si>
    <t>G6683N103</t>
  </si>
  <si>
    <t>OSISKO GOLD ROYALTIES LTD</t>
  </si>
  <si>
    <t>68827L101</t>
  </si>
  <si>
    <t>PARK NATL CORP</t>
  </si>
  <si>
    <t>700658107</t>
  </si>
  <si>
    <t>PELOTON INTERACTIVE INC</t>
  </si>
  <si>
    <t>70614W100</t>
  </si>
  <si>
    <t>PETMED EXPRESS INC</t>
  </si>
  <si>
    <t>716382106</t>
  </si>
  <si>
    <t>PRA GROUP INC</t>
  </si>
  <si>
    <t>69354N106</t>
  </si>
  <si>
    <t>QUAKER HOUGHTON</t>
  </si>
  <si>
    <t>747316107</t>
  </si>
  <si>
    <t>RESMED INC</t>
  </si>
  <si>
    <t>761152107</t>
  </si>
  <si>
    <t>RTX CORPORATION</t>
  </si>
  <si>
    <t>75513E101</t>
  </si>
  <si>
    <t>SCORPIO TANKERS INC</t>
  </si>
  <si>
    <t>Y7542C130</t>
  </si>
  <si>
    <t>SHOPIFY INC</t>
  </si>
  <si>
    <t>82509L107</t>
  </si>
  <si>
    <t>SITIME CORP</t>
  </si>
  <si>
    <t>82982T106</t>
  </si>
  <si>
    <t>SUPER MICRO COMPUTER INC</t>
  </si>
  <si>
    <t>86800U104</t>
  </si>
  <si>
    <t>THE AARONS COMPANY INC</t>
  </si>
  <si>
    <t>00258W108</t>
  </si>
  <si>
    <t>TREACE MED CONCEPTS INC</t>
  </si>
  <si>
    <t>89455T109</t>
  </si>
  <si>
    <t>TRICO BANCSHARES</t>
  </si>
  <si>
    <t>896095106</t>
  </si>
  <si>
    <t>VALARIS LTD</t>
  </si>
  <si>
    <t>G9460G101</t>
  </si>
  <si>
    <t>VERTEX ENERGY INC</t>
  </si>
  <si>
    <t>92534K107</t>
  </si>
  <si>
    <t>WABTEC</t>
  </si>
  <si>
    <t>929740108</t>
  </si>
  <si>
    <t>WEATHERFORD INTL PLC</t>
  </si>
  <si>
    <t>ORD SHS</t>
  </si>
  <si>
    <t>G48833118</t>
  </si>
  <si>
    <t>XCEL ENERGY INC</t>
  </si>
  <si>
    <t>98389B100</t>
  </si>
  <si>
    <t>ZURN ELKAY WATER SOLNS CORP</t>
  </si>
  <si>
    <t>98983L108</t>
  </si>
  <si>
    <t>ABM INDS INC</t>
  </si>
  <si>
    <t>000957100</t>
  </si>
  <si>
    <t>ADTRAN HOLDINGS INC</t>
  </si>
  <si>
    <t>00486H105</t>
  </si>
  <si>
    <t>AERSALE CORPORATION</t>
  </si>
  <si>
    <t>00810F106</t>
  </si>
  <si>
    <t>AGCO CORP</t>
  </si>
  <si>
    <t>001084102</t>
  </si>
  <si>
    <t>AIR PRODS &amp; CHEMS INC</t>
  </si>
  <si>
    <t>009158106</t>
  </si>
  <si>
    <t>ALKAMI TECHNOLOGY INC</t>
  </si>
  <si>
    <t>01644J108</t>
  </si>
  <si>
    <t>AMAZON COM INC</t>
  </si>
  <si>
    <t>023135106</t>
  </si>
  <si>
    <t>AMER STATES WTR CO</t>
  </si>
  <si>
    <t>029899101</t>
  </si>
  <si>
    <t>APTIV PLC</t>
  </si>
  <si>
    <t>G6095L109</t>
  </si>
  <si>
    <t>ARROW ELECTRS INC</t>
  </si>
  <si>
    <t>042735100</t>
  </si>
  <si>
    <t>ATEA PHARMACEUTICALS INC</t>
  </si>
  <si>
    <t>04683R106</t>
  </si>
  <si>
    <t>AVANOS MED INC</t>
  </si>
  <si>
    <t>05350V106</t>
  </si>
  <si>
    <t>AVNET INC</t>
  </si>
  <si>
    <t>053807103</t>
  </si>
  <si>
    <t>BCE INC</t>
  </si>
  <si>
    <t>05534B760</t>
  </si>
  <si>
    <t>BLACKBERRY LTD</t>
  </si>
  <si>
    <t>09228F103</t>
  </si>
  <si>
    <t>BLUE OWL CAPITAL INC</t>
  </si>
  <si>
    <t>09581B103</t>
  </si>
  <si>
    <t>BREAD FINANCIAL HOLDINGS INC</t>
  </si>
  <si>
    <t>018581108</t>
  </si>
  <si>
    <t>BRP INC</t>
  </si>
  <si>
    <t>COM SUN VTG</t>
  </si>
  <si>
    <t>05577W200</t>
  </si>
  <si>
    <t>CAE INC</t>
  </si>
  <si>
    <t>124765108</t>
  </si>
  <si>
    <t>CANADIAN NAT RES LTD</t>
  </si>
  <si>
    <t>136385101</t>
  </si>
  <si>
    <t>CARLISLE COS INC</t>
  </si>
  <si>
    <t>142339100</t>
  </si>
  <si>
    <t>CARRIER GLOBAL CORPORATION</t>
  </si>
  <si>
    <t>14448C104</t>
  </si>
  <si>
    <t>CAVA GROUP INC</t>
  </si>
  <si>
    <t>148929102</t>
  </si>
  <si>
    <t>CENTURY ALUM CO</t>
  </si>
  <si>
    <t>156431108</t>
  </si>
  <si>
    <t>CHEGG INC</t>
  </si>
  <si>
    <t>163092109</t>
  </si>
  <si>
    <t>CHUYS HLDGS INC</t>
  </si>
  <si>
    <t>171604101</t>
  </si>
  <si>
    <t>COLUMBIA BKG SYS INC</t>
  </si>
  <si>
    <t>197236102</t>
  </si>
  <si>
    <t>CONMED CORP</t>
  </si>
  <si>
    <t>207410101</t>
  </si>
  <si>
    <t>COUCHBASE INC</t>
  </si>
  <si>
    <t>22207T101</t>
  </si>
  <si>
    <t>DEXCOM INC</t>
  </si>
  <si>
    <t>252131107</t>
  </si>
  <si>
    <t>DIGITAL TURBINE INC</t>
  </si>
  <si>
    <t>25400W102</t>
  </si>
  <si>
    <t>DIODES INC</t>
  </si>
  <si>
    <t>254543101</t>
  </si>
  <si>
    <t>DNOW INC</t>
  </si>
  <si>
    <t>DOCGO INC</t>
  </si>
  <si>
    <t>256086109</t>
  </si>
  <si>
    <t>DOUGLAS DYNAMICS INC</t>
  </si>
  <si>
    <t>25960R105</t>
  </si>
  <si>
    <t>ENERGY RECOVERY INC</t>
  </si>
  <si>
    <t>29270J100</t>
  </si>
  <si>
    <t>ENVISTA HOLDINGS CORPORATION</t>
  </si>
  <si>
    <t>29415F104</t>
  </si>
  <si>
    <t>ESCO TECHNOLOGIES INC</t>
  </si>
  <si>
    <t>296315104</t>
  </si>
  <si>
    <t>EVOLUS INC</t>
  </si>
  <si>
    <t>30052C107</t>
  </si>
  <si>
    <t>FIRST AMERN FINL CORP</t>
  </si>
  <si>
    <t>31847R102</t>
  </si>
  <si>
    <t>FIRST BANCSHARES INC MS</t>
  </si>
  <si>
    <t>318916103</t>
  </si>
  <si>
    <t>FIRST FINL CORP IND</t>
  </si>
  <si>
    <t>320218100</t>
  </si>
  <si>
    <t>FIRSTCASH HOLDINGS INC</t>
  </si>
  <si>
    <t>33768G107</t>
  </si>
  <si>
    <t>FOOT LOCKER INC</t>
  </si>
  <si>
    <t>344849104</t>
  </si>
  <si>
    <t>FREEPORT-MCMORAN INC</t>
  </si>
  <si>
    <t>35671D857</t>
  </si>
  <si>
    <t>GENERAL MTRS CO</t>
  </si>
  <si>
    <t>37045V100</t>
  </si>
  <si>
    <t>GRANITE CONSTR INC</t>
  </si>
  <si>
    <t>387328107</t>
  </si>
  <si>
    <t>HCI GROUP INC</t>
  </si>
  <si>
    <t>40416E103</t>
  </si>
  <si>
    <t>HUDBAY MINERALS INC</t>
  </si>
  <si>
    <t>443628102</t>
  </si>
  <si>
    <t>HUMANA INC</t>
  </si>
  <si>
    <t>444859102</t>
  </si>
  <si>
    <t>HUNTSMAN CORP</t>
  </si>
  <si>
    <t>447011107</t>
  </si>
  <si>
    <t>HURON CONSULTING GROUP INC</t>
  </si>
  <si>
    <t>447462102</t>
  </si>
  <si>
    <t>INVESCO LTD</t>
  </si>
  <si>
    <t>G491BT108</t>
  </si>
  <si>
    <t>IQVIA HLDGS INC</t>
  </si>
  <si>
    <t>46266C105</t>
  </si>
  <si>
    <t>KNIFE RIVER CORP</t>
  </si>
  <si>
    <t>498894104</t>
  </si>
  <si>
    <t>LAZARD INC</t>
  </si>
  <si>
    <t>52110M109</t>
  </si>
  <si>
    <t>LEGGETT &amp; PLATT INC</t>
  </si>
  <si>
    <t>524660107</t>
  </si>
  <si>
    <t>LENNOX INTL INC</t>
  </si>
  <si>
    <t>526107107</t>
  </si>
  <si>
    <t>LIVE NATION ENTERTAINMENT IN</t>
  </si>
  <si>
    <t>538034109</t>
  </si>
  <si>
    <t>LOCKHEED MARTIN CORP</t>
  </si>
  <si>
    <t>539830109</t>
  </si>
  <si>
    <t>M &amp; T BK CORP</t>
  </si>
  <si>
    <t>55261F104</t>
  </si>
  <si>
    <t>MAGNITE INC</t>
  </si>
  <si>
    <t>55955D100</t>
  </si>
  <si>
    <t>MARKETAXESS HLDGS INC</t>
  </si>
  <si>
    <t>57060D108</t>
  </si>
  <si>
    <t>MEDPACE HLDGS INC</t>
  </si>
  <si>
    <t>58506Q109</t>
  </si>
  <si>
    <t>MERIDIANLINK INC</t>
  </si>
  <si>
    <t>58985J105</t>
  </si>
  <si>
    <t>MONTAUK RENEWABLES INC</t>
  </si>
  <si>
    <t>61218C103</t>
  </si>
  <si>
    <t>NEW GOLD INC CDA</t>
  </si>
  <si>
    <t>644535106</t>
  </si>
  <si>
    <t>NEXTDOOR HOLDINGS INC</t>
  </si>
  <si>
    <t>65345M108</t>
  </si>
  <si>
    <t>NEXTERA ENERGY INC</t>
  </si>
  <si>
    <t>65339F101</t>
  </si>
  <si>
    <t>NEXTRACKER INC</t>
  </si>
  <si>
    <t>65290E101</t>
  </si>
  <si>
    <t>NU SKIN ENTERPRISES INC</t>
  </si>
  <si>
    <t>67018T105</t>
  </si>
  <si>
    <t>O-I GLASS INC</t>
  </si>
  <si>
    <t>67098H104</t>
  </si>
  <si>
    <t>ONESPAN INC</t>
  </si>
  <si>
    <t>68287N100</t>
  </si>
  <si>
    <t>OWENS &amp; MINOR INC NEW</t>
  </si>
  <si>
    <t>690732102</t>
  </si>
  <si>
    <t>PEGASYSTEMS INC</t>
  </si>
  <si>
    <t>705573103</t>
  </si>
  <si>
    <t>PENNYMAC FINL SVCS INC NEW</t>
  </si>
  <si>
    <t>70932M107</t>
  </si>
  <si>
    <t>PILGRIMS PRIDE CORP</t>
  </si>
  <si>
    <t>72147K108</t>
  </si>
  <si>
    <t>POST HLDGS INC</t>
  </si>
  <si>
    <t>737446104</t>
  </si>
  <si>
    <t>PREFERRED BK LOS ANGELES CA</t>
  </si>
  <si>
    <t>740367404</t>
  </si>
  <si>
    <t>PRIMIS FINANCIAL CORP</t>
  </si>
  <si>
    <t>74167B109</t>
  </si>
  <si>
    <t>PURE STORAGE INC</t>
  </si>
  <si>
    <t>74624M102</t>
  </si>
  <si>
    <t>QUANTA SVCS INC</t>
  </si>
  <si>
    <t>74762E102</t>
  </si>
  <si>
    <t>RIOT PLATFORMS INC</t>
  </si>
  <si>
    <t>767292105</t>
  </si>
  <si>
    <t>SELECT WATER SOLUTIONS INC</t>
  </si>
  <si>
    <t>81617J301</t>
  </si>
  <si>
    <t>SENSATA TECHNOLOGIES HLDG PL</t>
  </si>
  <si>
    <t>G8060N102</t>
  </si>
  <si>
    <t>SJW GROUP</t>
  </si>
  <si>
    <t>784305104</t>
  </si>
  <si>
    <t>SLM CORP</t>
  </si>
  <si>
    <t>78442P106</t>
  </si>
  <si>
    <t>SOLARIS OILFIELD INFRASTRUCT</t>
  </si>
  <si>
    <t>83418M103</t>
  </si>
  <si>
    <t>SONIC AUTOMOTIVE INC</t>
  </si>
  <si>
    <t>83545G102</t>
  </si>
  <si>
    <t>SSR MINING IN</t>
  </si>
  <si>
    <t>784730103</t>
  </si>
  <si>
    <t>STARBUCKS CORP</t>
  </si>
  <si>
    <t>855244109</t>
  </si>
  <si>
    <t>TELUS CORPORATION</t>
  </si>
  <si>
    <t>87971M103</t>
  </si>
  <si>
    <t>TRIUMPH GROUP INC NEW</t>
  </si>
  <si>
    <t>896818101</t>
  </si>
  <si>
    <t>URANIUM ENERGY CORP</t>
  </si>
  <si>
    <t>916896103</t>
  </si>
  <si>
    <t>VISHAY INTERTECHNOLOGY INC</t>
  </si>
  <si>
    <t>928298108</t>
  </si>
  <si>
    <t>VISTEON CORP</t>
  </si>
  <si>
    <t>92839U206</t>
  </si>
  <si>
    <t>WATSCO INC</t>
  </si>
  <si>
    <t>942622200</t>
  </si>
  <si>
    <t>WESTAMERICA BANCORPORATION</t>
  </si>
  <si>
    <t>957090103</t>
  </si>
  <si>
    <t>XPO INC</t>
  </si>
  <si>
    <t>983793100</t>
  </si>
  <si>
    <t>8X8 INC NEW</t>
    <phoneticPr fontId="1"/>
  </si>
  <si>
    <t>Modifier</t>
    <phoneticPr fontId="1"/>
  </si>
  <si>
    <t>Modification Date and Time</t>
    <phoneticPr fontId="1"/>
  </si>
  <si>
    <t>Comments</t>
    <phoneticPr fontId="1"/>
  </si>
  <si>
    <t>Kei Sanada</t>
    <phoneticPr fontId="1"/>
  </si>
  <si>
    <t>nameOfIssuer</t>
    <phoneticPr fontId="1"/>
  </si>
  <si>
    <t>titleOfClass</t>
    <phoneticPr fontId="1"/>
  </si>
  <si>
    <t>investmentDiscretion</t>
    <phoneticPr fontId="1"/>
  </si>
  <si>
    <t>ACCENTURE PLC IRELAND</t>
  </si>
  <si>
    <t>SHS CLASS A</t>
  </si>
  <si>
    <t>G1151C101</t>
  </si>
  <si>
    <t>ACV AUCTIONS INC</t>
  </si>
  <si>
    <t>00091G104</t>
  </si>
  <si>
    <t>ALAMO GROUP INC</t>
  </si>
  <si>
    <t>011311107</t>
  </si>
  <si>
    <t>ALLY FINL INC</t>
  </si>
  <si>
    <t>02005N100</t>
  </si>
  <si>
    <t>A-MARK PRECIOUS METALS INC</t>
  </si>
  <si>
    <t>00181T107</t>
  </si>
  <si>
    <t>AMERICAN AXLE &amp; MFG HLDGS IN</t>
  </si>
  <si>
    <t>024061103</t>
  </si>
  <si>
    <t>AMERICAN VANGUARD CORP</t>
  </si>
  <si>
    <t>030371108</t>
  </si>
  <si>
    <t>ANYWHERE REAL ESTATE INC</t>
  </si>
  <si>
    <t>75605Y106</t>
  </si>
  <si>
    <t>AON PLC</t>
  </si>
  <si>
    <t>G0403H108</t>
  </si>
  <si>
    <t>APOGEE ENTERPRISES INC</t>
  </si>
  <si>
    <t>037598109</t>
  </si>
  <si>
    <t>APPIAN CORP</t>
  </si>
  <si>
    <t>03782L101</t>
  </si>
  <si>
    <t>ARCBEST CORP</t>
  </si>
  <si>
    <t>03937C105</t>
  </si>
  <si>
    <t>ARDMORE SHIPPING CORP</t>
  </si>
  <si>
    <t>Y0207T100</t>
  </si>
  <si>
    <t>ARIS WATER SOLUTIONS INC</t>
  </si>
  <si>
    <t>04041L106</t>
  </si>
  <si>
    <t>ASPEN AEROGELS INC</t>
  </si>
  <si>
    <t>04523Y105</t>
  </si>
  <si>
    <t>AST SPACEMOBILE INC</t>
  </si>
  <si>
    <t>00217D100</t>
  </si>
  <si>
    <t>ASTRONICS CORP</t>
  </si>
  <si>
    <t>046433108</t>
  </si>
  <si>
    <t>ATLANTA BRAVES HLDGS INC</t>
  </si>
  <si>
    <t>COM SER C</t>
  </si>
  <si>
    <t>047726302</t>
  </si>
  <si>
    <t>ATN INTL INC</t>
  </si>
  <si>
    <t>00215F107</t>
  </si>
  <si>
    <t>ATS CORPORATION</t>
  </si>
  <si>
    <t>00217Y104</t>
  </si>
  <si>
    <t>B2GOLD CORP</t>
  </si>
  <si>
    <t>11777Q209</t>
  </si>
  <si>
    <t>BANC OF CALIFORNIA INC</t>
  </si>
  <si>
    <t>05990K106</t>
  </si>
  <si>
    <t>BANCFIRST CORP</t>
  </si>
  <si>
    <t>05945F103</t>
  </si>
  <si>
    <t>BANCORP INC DEL</t>
  </si>
  <si>
    <t>05969A105</t>
  </si>
  <si>
    <t>BEYOND INC</t>
  </si>
  <si>
    <t>BLACKLINE INC</t>
  </si>
  <si>
    <t>09239B109</t>
  </si>
  <si>
    <t>BRC INC</t>
  </si>
  <si>
    <t>05601U105</t>
  </si>
  <si>
    <t>BROWN FORMAN CORP</t>
  </si>
  <si>
    <t>115637209</t>
  </si>
  <si>
    <t>BURLINGTON STORES INC</t>
  </si>
  <si>
    <t>122017106</t>
  </si>
  <si>
    <t>CARVANA CO</t>
  </si>
  <si>
    <t>146869102</t>
  </si>
  <si>
    <t>CELLEBRITE DI LTD</t>
  </si>
  <si>
    <t>M2197Q107</t>
  </si>
  <si>
    <t>CHARGEPOINT HOLDINGS INC</t>
  </si>
  <si>
    <t>15961R105</t>
  </si>
  <si>
    <t>CLEARWATER PAPER CORP</t>
  </si>
  <si>
    <t>18538R103</t>
  </si>
  <si>
    <t>CME GROUP INC</t>
  </si>
  <si>
    <t>12572Q105</t>
  </si>
  <si>
    <t>COHU INC</t>
  </si>
  <si>
    <t>192576106</t>
  </si>
  <si>
    <t>COMMERCE BANCSHARES INC</t>
  </si>
  <si>
    <t>200525103</t>
  </si>
  <si>
    <t>COMMUNITY FINANCIAL SYSTEM I</t>
  </si>
  <si>
    <t>COMPASS INC</t>
  </si>
  <si>
    <t>20464U100</t>
  </si>
  <si>
    <t>COREBRIDGE FINL INC</t>
  </si>
  <si>
    <t>21871X109</t>
  </si>
  <si>
    <t>COUPANG INC</t>
  </si>
  <si>
    <t>22266T109</t>
  </si>
  <si>
    <t>CRACKER BARREL OLD CTRY STOR</t>
  </si>
  <si>
    <t>22410J106</t>
  </si>
  <si>
    <t>CSG SYS INTL INC</t>
  </si>
  <si>
    <t>126349109</t>
  </si>
  <si>
    <t>CYBERARK SOFTWARE LTD</t>
  </si>
  <si>
    <t>M2682V108</t>
  </si>
  <si>
    <t>DECKERS OUTDOOR CORP</t>
  </si>
  <si>
    <t>243537107</t>
  </si>
  <si>
    <t>DELEK US HLDGS INC NEW</t>
  </si>
  <si>
    <t>24665A103</t>
  </si>
  <si>
    <t>DENTSPLY SIRONA INC</t>
  </si>
  <si>
    <t>24906P109</t>
  </si>
  <si>
    <t>DESIGNER BRANDS INC</t>
  </si>
  <si>
    <t>250565108</t>
  </si>
  <si>
    <t>DEUTSCHE BANK A G</t>
  </si>
  <si>
    <t>NAMEN AKT</t>
  </si>
  <si>
    <t>D18190898</t>
  </si>
  <si>
    <t>ENNIS INC</t>
  </si>
  <si>
    <t>293389102</t>
  </si>
  <si>
    <t>ENSTAR GROUP LIMITED</t>
  </si>
  <si>
    <t>G3075P101</t>
  </si>
  <si>
    <t>EURONET WORLDWIDE INC</t>
  </si>
  <si>
    <t>298736109</t>
  </si>
  <si>
    <t>EVERQUOTE INC</t>
  </si>
  <si>
    <t>30041R108</t>
  </si>
  <si>
    <t>EXP WORLD HLDGS INC</t>
  </si>
  <si>
    <t>30212W100</t>
  </si>
  <si>
    <t>EXPEDIA GROUP INC</t>
  </si>
  <si>
    <t>30212P303</t>
  </si>
  <si>
    <t>FASTENAL CO</t>
  </si>
  <si>
    <t>311900104</t>
  </si>
  <si>
    <t>FIRSTSERVICE CORP NEW</t>
  </si>
  <si>
    <t>33767E202</t>
  </si>
  <si>
    <t>FORTIVE CORP</t>
  </si>
  <si>
    <t>34959J108</t>
  </si>
  <si>
    <t>FORTUNA MNG CORP</t>
  </si>
  <si>
    <t>349942102</t>
  </si>
  <si>
    <t>FRANKLIN RESOURCES INC</t>
  </si>
  <si>
    <t>354613101</t>
  </si>
  <si>
    <t>FRESHPET INC</t>
  </si>
  <si>
    <t>358039105</t>
  </si>
  <si>
    <t>FULLER H B CO</t>
  </si>
  <si>
    <t>359694106</t>
  </si>
  <si>
    <t>GE AEROSPACE</t>
  </si>
  <si>
    <t>369604301</t>
  </si>
  <si>
    <t>GENCO SHIPPING &amp; TRADING LTD</t>
  </si>
  <si>
    <t>Y2685T131</t>
  </si>
  <si>
    <t>GEOPARK LTD</t>
  </si>
  <si>
    <t>USD SHS</t>
  </si>
  <si>
    <t>G38327105</t>
  </si>
  <si>
    <t>GINKGO BIOWORKS HOLDINGS INC</t>
  </si>
  <si>
    <t>CL A SHS</t>
  </si>
  <si>
    <t>37611X100</t>
  </si>
  <si>
    <t>GLOBAL SHIP LEASE INC NEW</t>
  </si>
  <si>
    <t>Y27183600</t>
  </si>
  <si>
    <t>GLOBALFOUNDRIES INC</t>
  </si>
  <si>
    <t>G39387108</t>
  </si>
  <si>
    <t>GLOBE LIFE INC</t>
  </si>
  <si>
    <t>37959E102</t>
  </si>
  <si>
    <t>GODADDY INC</t>
  </si>
  <si>
    <t>380237107</t>
  </si>
  <si>
    <t>GOGO INC</t>
  </si>
  <si>
    <t>38046C109</t>
  </si>
  <si>
    <t>GRAB HOLDINGS LIMITED</t>
  </si>
  <si>
    <t>CLASS A ORD</t>
  </si>
  <si>
    <t>G4124C109</t>
  </si>
  <si>
    <t>GRINDR INC</t>
  </si>
  <si>
    <t>39854F101</t>
  </si>
  <si>
    <t>H &amp; E EQUIPMENT SERVICES INC</t>
  </si>
  <si>
    <t>404030108</t>
  </si>
  <si>
    <t>HAEMONETICS CORP MASS</t>
  </si>
  <si>
    <t>405024100</t>
  </si>
  <si>
    <t>HAFNIA LTD</t>
  </si>
  <si>
    <t>G4233B109</t>
  </si>
  <si>
    <t>HARMONY BIOSCIENCES HLDGS IN</t>
  </si>
  <si>
    <t>413197104</t>
  </si>
  <si>
    <t>HELMERICH &amp; PAYNE INC</t>
  </si>
  <si>
    <t>423452101</t>
  </si>
  <si>
    <t>HEXCEL CORP NEW</t>
  </si>
  <si>
    <t>428291108</t>
  </si>
  <si>
    <t>HILLTOP HOLDINGS INC</t>
  </si>
  <si>
    <t>432748101</t>
  </si>
  <si>
    <t>HUNT J B TRANS SVCS INC</t>
  </si>
  <si>
    <t>445658107</t>
  </si>
  <si>
    <t>HUNTINGTON INGALLS INDS INC</t>
  </si>
  <si>
    <t>446413106</t>
  </si>
  <si>
    <t>INTER PARFUMS INC</t>
  </si>
  <si>
    <t>458334109</t>
  </si>
  <si>
    <t>INTERPUBLIC GROUP COS INC</t>
  </si>
  <si>
    <t>460690100</t>
  </si>
  <si>
    <t>IONQ INC</t>
  </si>
  <si>
    <t>46222L108</t>
  </si>
  <si>
    <t>JABIL INC</t>
  </si>
  <si>
    <t>466313103</t>
  </si>
  <si>
    <t>JOBY AVIATION INC</t>
  </si>
  <si>
    <t>G65163100</t>
  </si>
  <si>
    <t>JOHN BEAN TECHNOLOGIES CORP</t>
  </si>
  <si>
    <t>477839104</t>
  </si>
  <si>
    <t>KANZHUN LIMITED</t>
  </si>
  <si>
    <t>SPONSORED ADS</t>
  </si>
  <si>
    <t>48553T106</t>
  </si>
  <si>
    <t>KIMBALL ELECTRONICS INC</t>
  </si>
  <si>
    <t>49428J109</t>
  </si>
  <si>
    <t>KODIAK GAS SVCS INC</t>
  </si>
  <si>
    <t>50012A108</t>
  </si>
  <si>
    <t>KOPPERS HOLDINGS INC</t>
  </si>
  <si>
    <t>50060P106</t>
  </si>
  <si>
    <t>KORNIT DIGITAL LTD</t>
  </si>
  <si>
    <t>M6372Q113</t>
  </si>
  <si>
    <t>KULICKE &amp; SOFFA INDS INC</t>
  </si>
  <si>
    <t>501242101</t>
  </si>
  <si>
    <t>LAUDER ESTEE COS INC</t>
  </si>
  <si>
    <t>518439104</t>
  </si>
  <si>
    <t>LINCOLN NATL CORP IND</t>
  </si>
  <si>
    <t>534187109</t>
  </si>
  <si>
    <t>LKQ CORP</t>
  </si>
  <si>
    <t>501889208</t>
  </si>
  <si>
    <t>LUXFER HLDGS PLC</t>
  </si>
  <si>
    <t>G5698W116</t>
  </si>
  <si>
    <t>MAGNA INTL INC</t>
  </si>
  <si>
    <t>559222401</t>
  </si>
  <si>
    <t>MASTEC INC</t>
  </si>
  <si>
    <t>576323109</t>
  </si>
  <si>
    <t>MATTHEWS INTL CORP</t>
  </si>
  <si>
    <t>577128101</t>
  </si>
  <si>
    <t>MERIT MED SYS INC</t>
  </si>
  <si>
    <t>589889104</t>
  </si>
  <si>
    <t>MICRON TECHNOLOGY INC</t>
  </si>
  <si>
    <t>595112103</t>
  </si>
  <si>
    <t>MONOLITHIC PWR SYS INC</t>
  </si>
  <si>
    <t>609839105</t>
  </si>
  <si>
    <t>MORGAN STANLEY</t>
  </si>
  <si>
    <t>617446448</t>
  </si>
  <si>
    <t>MR COOPER GROUP INC</t>
  </si>
  <si>
    <t>62482R107</t>
  </si>
  <si>
    <t>MSC INDL DIRECT INC</t>
  </si>
  <si>
    <t>553530106</t>
  </si>
  <si>
    <t>MSCI INC</t>
  </si>
  <si>
    <t>55354G100</t>
  </si>
  <si>
    <t>NATIONAL PRESTO INDS INC</t>
  </si>
  <si>
    <t>637215104</t>
  </si>
  <si>
    <t>NAVIGATOR HLDGS LTD</t>
  </si>
  <si>
    <t>Y62132108</t>
  </si>
  <si>
    <t>NETFLIX INC</t>
  </si>
  <si>
    <t>64110L106</t>
  </si>
  <si>
    <t>NETGEAR INC</t>
  </si>
  <si>
    <t>64111Q104</t>
  </si>
  <si>
    <t>NUCOR CORP</t>
  </si>
  <si>
    <t>670346105</t>
  </si>
  <si>
    <t>ON HLDG AG</t>
  </si>
  <si>
    <t>NAMEN AKT A</t>
  </si>
  <si>
    <t>H5919C104</t>
  </si>
  <si>
    <t>OPEN TEXT CORP</t>
  </si>
  <si>
    <t>683715106</t>
  </si>
  <si>
    <t>OVINTIV INC</t>
  </si>
  <si>
    <t>69047Q102</t>
  </si>
  <si>
    <t>PALOMAR HLDGS INC</t>
  </si>
  <si>
    <t>69753M105</t>
  </si>
  <si>
    <t>PAYCOR HCM INC</t>
  </si>
  <si>
    <t>70435P102</t>
  </si>
  <si>
    <t>PAYSAFE LIMITED</t>
  </si>
  <si>
    <t>G6964L206</t>
  </si>
  <si>
    <t>PDD HOLDINGS INC</t>
  </si>
  <si>
    <t>722304102</t>
  </si>
  <si>
    <t>PERION NETWORK LTD</t>
  </si>
  <si>
    <t>M78673114</t>
  </si>
  <si>
    <t>PLANET LABS PBC</t>
  </si>
  <si>
    <t>72703X106</t>
  </si>
  <si>
    <t>POWER INTEGRATIONS INC</t>
  </si>
  <si>
    <t>739276103</t>
  </si>
  <si>
    <t>QUANTUMSCAPE CORP</t>
  </si>
  <si>
    <t>74767V109</t>
  </si>
  <si>
    <t>RADIUS RECYCLING INC</t>
  </si>
  <si>
    <t>806882106</t>
  </si>
  <si>
    <t>ROBINHOOD MKTS INC</t>
  </si>
  <si>
    <t>770700102</t>
  </si>
  <si>
    <t>ROCKWELL AUTOMATION INC</t>
  </si>
  <si>
    <t>773903109</t>
  </si>
  <si>
    <t>ROSS STORES INC</t>
  </si>
  <si>
    <t>778296103</t>
  </si>
  <si>
    <t>RUSH ENTERPRISES INC</t>
  </si>
  <si>
    <t>781846209</t>
  </si>
  <si>
    <t>RUSH STREET INTERACTIVE INC</t>
  </si>
  <si>
    <t>782011100</t>
  </si>
  <si>
    <t>SEA LTD</t>
  </si>
  <si>
    <t>SPONSORD ADS</t>
  </si>
  <si>
    <t>81141R100</t>
  </si>
  <si>
    <t>SILGAN HLDGS INC</t>
  </si>
  <si>
    <t>827048109</t>
  </si>
  <si>
    <t>SITEONE LANDSCAPE SUPPLY INC</t>
  </si>
  <si>
    <t>82982L103</t>
  </si>
  <si>
    <t>SMUCKER J M CO</t>
  </si>
  <si>
    <t>832696405</t>
  </si>
  <si>
    <t>SNAP ON INC</t>
  </si>
  <si>
    <t>833034101</t>
  </si>
  <si>
    <t>SNOWFLAKE INC</t>
  </si>
  <si>
    <t>833445109</t>
  </si>
  <si>
    <t>SPS COMM INC</t>
  </si>
  <si>
    <t>78463M107</t>
  </si>
  <si>
    <t>STAR BULK CARRIERS CORP.</t>
  </si>
  <si>
    <t>SHS PAR</t>
  </si>
  <si>
    <t>Y8162K204</t>
  </si>
  <si>
    <t>STOCK YDS BANCORP INC</t>
  </si>
  <si>
    <t>861025104</t>
  </si>
  <si>
    <t>STONEX GROUP INC</t>
  </si>
  <si>
    <t>861896108</t>
  </si>
  <si>
    <t>SUN LIFE FINANCIAL INC.</t>
  </si>
  <si>
    <t>866796105</t>
  </si>
  <si>
    <t>SWEETGREEN INC</t>
  </si>
  <si>
    <t>87043Q108</t>
  </si>
  <si>
    <t>TAL EDUCATION GROUP</t>
  </si>
  <si>
    <t>874080104</t>
  </si>
  <si>
    <t>TEXAS ROADHOUSE INC</t>
  </si>
  <si>
    <t>882681109</t>
  </si>
  <si>
    <t>TFI INTL INC</t>
  </si>
  <si>
    <t>87241L109</t>
  </si>
  <si>
    <t>TOAST INC</t>
  </si>
  <si>
    <t>888787108</t>
  </si>
  <si>
    <t>TORONTO DOMINION BK ONT</t>
  </si>
  <si>
    <t>891160509</t>
  </si>
  <si>
    <t>TRUPANION INC</t>
  </si>
  <si>
    <t>898202106</t>
  </si>
  <si>
    <t>TRUSTCO BK CORP N Y</t>
  </si>
  <si>
    <t>898349204</t>
  </si>
  <si>
    <t>TSAKOS ENERGY NAVIGATION LTD</t>
  </si>
  <si>
    <t>G9108L173</t>
  </si>
  <si>
    <t>UIPATH INC</t>
  </si>
  <si>
    <t>90364P105</t>
  </si>
  <si>
    <t>UNIFIRST CORP MASS</t>
  </si>
  <si>
    <t>904708104</t>
  </si>
  <si>
    <t>UNITED FIRE GROUP INC</t>
  </si>
  <si>
    <t>910340108</t>
  </si>
  <si>
    <t>UNITED PARCEL SERVICE INC</t>
  </si>
  <si>
    <t>911312106</t>
  </si>
  <si>
    <t>UNIVERSAL INS HLDGS INC</t>
  </si>
  <si>
    <t>91359V107</t>
  </si>
  <si>
    <t>UNIVERSAL LOGISTICS HLDGS IN</t>
  </si>
  <si>
    <t>91388P105</t>
  </si>
  <si>
    <t>UWM HOLDINGS CORPORATION</t>
  </si>
  <si>
    <t>91823B109</t>
  </si>
  <si>
    <t>VAALCO ENERGY INC</t>
  </si>
  <si>
    <t>91851C201</t>
  </si>
  <si>
    <t>VIASAT INC</t>
  </si>
  <si>
    <t>92552V100</t>
  </si>
  <si>
    <t>VTEX</t>
  </si>
  <si>
    <t>G9470A102</t>
  </si>
  <si>
    <t>WAYFAIR INC</t>
  </si>
  <si>
    <t>94419L101</t>
  </si>
  <si>
    <t>WEIBO CORP</t>
  </si>
  <si>
    <t>SPONSORED ADR</t>
  </si>
  <si>
    <t>948596101</t>
  </si>
  <si>
    <t>WEIS MKTS INC</t>
  </si>
  <si>
    <t>948849104</t>
  </si>
  <si>
    <t>WESTERN UN CO</t>
  </si>
  <si>
    <t>959802109</t>
  </si>
  <si>
    <t>WEX INC</t>
  </si>
  <si>
    <t>96208T104</t>
  </si>
  <si>
    <t>WILLIS TOWERS WATSON PLC LTD</t>
  </si>
  <si>
    <t>G96629103</t>
  </si>
  <si>
    <t>Create a file of Numerai GP LLC Holdings from EDGAR infotable.xml</t>
    <phoneticPr fontId="1"/>
  </si>
  <si>
    <t>ALIGN TECHNOLOGY INC</t>
  </si>
  <si>
    <t>016255101</t>
  </si>
  <si>
    <t>ANGIODYNAMICS INC</t>
  </si>
  <si>
    <t>03475V101</t>
  </si>
  <si>
    <t>ARRAY TECHNOLOGIES INC</t>
  </si>
  <si>
    <t>COM SHS</t>
  </si>
  <si>
    <t>04271T100</t>
  </si>
  <si>
    <t>BJS WHSL CLUB HLDGS INC</t>
  </si>
  <si>
    <t>05550J101</t>
  </si>
  <si>
    <t>BROOKFIELD INFRAST PARTNERS</t>
  </si>
  <si>
    <t>LP INT UNIT</t>
  </si>
  <si>
    <t>G16252101</t>
  </si>
  <si>
    <t>CARDIOVASCULAR SYS INC DEL</t>
  </si>
  <si>
    <t>141619106</t>
  </si>
  <si>
    <t>CARGURUS INC</t>
  </si>
  <si>
    <t>141788109</t>
  </si>
  <si>
    <t>CATALENT INC</t>
  </si>
  <si>
    <t>148806102</t>
  </si>
  <si>
    <t>CS DISCO INC</t>
  </si>
  <si>
    <t>126327105</t>
  </si>
  <si>
    <t>ENCORE CAP GROUP INC</t>
  </si>
  <si>
    <t>292554102</t>
  </si>
  <si>
    <t>EQUINOX GOLD CORP</t>
  </si>
  <si>
    <t>29446Y502</t>
  </si>
  <si>
    <t>FRONTLINE LTD</t>
  </si>
  <si>
    <t>G3682E192</t>
  </si>
  <si>
    <t>GEO GROUP INC NEW</t>
  </si>
  <si>
    <t>36162J106</t>
  </si>
  <si>
    <t>GLOBALSTAR INC</t>
  </si>
  <si>
    <t>378973408</t>
  </si>
  <si>
    <t>HARSCO CORP</t>
  </si>
  <si>
    <t>415864107</t>
  </si>
  <si>
    <t>HESKA CORP</t>
  </si>
  <si>
    <t>COM RESTRC NEW</t>
  </si>
  <si>
    <t>42805E306</t>
  </si>
  <si>
    <t>INSTEEL INDS INC</t>
  </si>
  <si>
    <t>45774W108</t>
  </si>
  <si>
    <t>JACKSON FINANCIAL INC</t>
  </si>
  <si>
    <t>46817M107</t>
  </si>
  <si>
    <t>JANUS HENDERSON GROUP PLC</t>
  </si>
  <si>
    <t>G4474Y214</t>
  </si>
  <si>
    <t>JETBLUE AWYS CORP</t>
  </si>
  <si>
    <t>477143101</t>
  </si>
  <si>
    <t>KRATOS DEFENSE &amp; SEC SOLUTIO</t>
  </si>
  <si>
    <t>50077B207</t>
  </si>
  <si>
    <t>LIBERTY LATIN AMERICA LTD</t>
  </si>
  <si>
    <t>COM CL C</t>
  </si>
  <si>
    <t>G9001E128</t>
  </si>
  <si>
    <t>LINDBLAD EXPEDITIONS HLDGS I</t>
  </si>
  <si>
    <t>535219109</t>
  </si>
  <si>
    <t>LITHIUM AMERS CORP NEW</t>
  </si>
  <si>
    <t>53680Q207</t>
  </si>
  <si>
    <t>LIVENT CORP</t>
  </si>
  <si>
    <t>53814L108</t>
  </si>
  <si>
    <t>NEW FORTRESS ENERGY INC</t>
  </si>
  <si>
    <t>644393100</t>
  </si>
  <si>
    <t>NORTHERN OIL AND GAS INC MN</t>
  </si>
  <si>
    <t>ORMAT TECHNOLOGIES INC</t>
  </si>
  <si>
    <t>686688102</t>
  </si>
  <si>
    <t>ORTHOFIX MED INC</t>
  </si>
  <si>
    <t>68752M108</t>
  </si>
  <si>
    <t>PAN AMERN SILVER CORP</t>
  </si>
  <si>
    <t>697900108</t>
  </si>
  <si>
    <t>PIEDMONT LITHIUM INC</t>
  </si>
  <si>
    <t>72016P105</t>
  </si>
  <si>
    <t>PRICE T ROWE GROUP INC</t>
  </si>
  <si>
    <t>74144T108</t>
  </si>
  <si>
    <t>QUANTERIX CORP</t>
  </si>
  <si>
    <t>74766Q101</t>
  </si>
  <si>
    <t>RACKSPACE TECHNOLOGY INC</t>
  </si>
  <si>
    <t>750102105</t>
  </si>
  <si>
    <t>REVANCE THERAPEUTICS INC</t>
  </si>
  <si>
    <t>761330109</t>
  </si>
  <si>
    <t>SHOALS TECHNOLOGIES GROUP IN</t>
  </si>
  <si>
    <t>82489W107</t>
  </si>
  <si>
    <t>SIGNATURE BK NEW YORK N Y</t>
  </si>
  <si>
    <t>82669G104</t>
  </si>
  <si>
    <t>SYNEOS HEALTH INC</t>
  </si>
  <si>
    <t>87166B102</t>
  </si>
  <si>
    <t>TARGET HOSPITALITY CORP</t>
  </si>
  <si>
    <t>87615L107</t>
  </si>
  <si>
    <t>VACASA INC</t>
  </si>
  <si>
    <t>91854V107</t>
  </si>
  <si>
    <t>VISTA ENERGY S.A.B. DE C.V.</t>
  </si>
  <si>
    <t>92837L109</t>
  </si>
  <si>
    <t>WEST PHARMACEUTICAL SVSC INC</t>
  </si>
  <si>
    <t>955306105</t>
  </si>
  <si>
    <t>WORLD WRESTLING ENTMT INC</t>
  </si>
  <si>
    <t>98156Q108</t>
  </si>
  <si>
    <t>ZEBRA TECHNOLOGIES CORPORATI</t>
  </si>
  <si>
    <t>989207105</t>
  </si>
  <si>
    <t>Add a sheets "2023-02-14", "2024-08-14" from EDGAR infotable.xml Filing Date 2023-02-14, 2024-08-14</t>
    <phoneticPr fontId="1"/>
  </si>
  <si>
    <t>AMERICAN WTR WKS CO INC</t>
  </si>
  <si>
    <t>CHILDRENS PL INC</t>
  </si>
  <si>
    <t>CLEVELAND-CLIFFS INC</t>
  </si>
  <si>
    <t>COMMUNITY HEALTH SYS INC</t>
  </si>
  <si>
    <t>DOLLAR GEN CORP</t>
  </si>
  <si>
    <t>8X8 INC</t>
  </si>
  <si>
    <t>HEICO CORP</t>
  </si>
  <si>
    <t>HEXCEL CORP</t>
  </si>
  <si>
    <t>OWENS &amp; MINOR INC</t>
  </si>
  <si>
    <t>OWENS CORNING</t>
  </si>
  <si>
    <t>TRIUMPH GROUP INC</t>
  </si>
  <si>
    <t>UGI CORP</t>
  </si>
  <si>
    <t>FIRSTSERVICE CORP</t>
  </si>
  <si>
    <t>ARMSTRONG WORLD INDS INC</t>
  </si>
  <si>
    <t>CLARUS CORP</t>
  </si>
  <si>
    <t>COSTCO WHSL CORP</t>
  </si>
  <si>
    <t>DELEK US HLDGS INC</t>
  </si>
  <si>
    <t>DEVON ENERGY CORP</t>
  </si>
  <si>
    <t>DRAFTKINGS INC</t>
  </si>
  <si>
    <t>GEO GROUP INC</t>
  </si>
  <si>
    <t>LITHIUM AMERS CORP</t>
  </si>
  <si>
    <t>MGP INGREDIENTS INC</t>
  </si>
  <si>
    <t>PENNYMAC FINL SVCS INC</t>
  </si>
  <si>
    <t>REGIONS FINANCIAL CORP</t>
  </si>
  <si>
    <t>GLOBAL SHIP LEASE INC</t>
  </si>
  <si>
    <t>value</t>
    <phoneticPr fontId="1"/>
  </si>
  <si>
    <t>Create a new file from Numerai_GP_LLC_13F-HR.xlsx
Sheet "ALL" is aggregated 7 quarters of 13F-HR .
The amounts listed in the table are for each 13F-HR value.</t>
    <phoneticPr fontId="1"/>
  </si>
  <si>
    <t>Sheet name change form Filling Date to Reporting Date</t>
    <phoneticPr fontId="1"/>
  </si>
  <si>
    <t>ALIGNMENT HEALTHCARE INC</t>
  </si>
  <si>
    <t>01625V104</t>
  </si>
  <si>
    <t>AMERESCO INC</t>
  </si>
  <si>
    <t>02361E108</t>
  </si>
  <si>
    <t>AMERICAN EXPRESS CO</t>
  </si>
  <si>
    <t>025816109</t>
  </si>
  <si>
    <t>ATI INC</t>
  </si>
  <si>
    <t>01741R102</t>
  </si>
  <si>
    <t>ATKORE INC</t>
  </si>
  <si>
    <t>047649108</t>
  </si>
  <si>
    <t>ATOUR LIFESTYLE HLDGS LTD</t>
  </si>
  <si>
    <t>04965M106</t>
  </si>
  <si>
    <t>AXOS FINANCIAL INC</t>
  </si>
  <si>
    <t>05465C100</t>
  </si>
  <si>
    <t>BADGER METER INC</t>
  </si>
  <si>
    <t>056525108</t>
  </si>
  <si>
    <t>BANK MONTREAL QUE</t>
  </si>
  <si>
    <t>063671101</t>
  </si>
  <si>
    <t>BANK NOVA SCOTIA HALIFAX</t>
  </si>
  <si>
    <t>064149107</t>
  </si>
  <si>
    <t>BEAZER HOMES USA INC</t>
  </si>
  <si>
    <t>07556Q881</t>
  </si>
  <si>
    <t>BOX INC</t>
  </si>
  <si>
    <t>10316T104</t>
  </si>
  <si>
    <t>BROADCOM INC</t>
  </si>
  <si>
    <t>11135F101</t>
  </si>
  <si>
    <t>CAPITOL FED FINL INC</t>
  </si>
  <si>
    <t>14057J101</t>
  </si>
  <si>
    <t>CGI INC</t>
  </si>
  <si>
    <t>CL A SUB VTG</t>
  </si>
  <si>
    <t>12532H104</t>
  </si>
  <si>
    <t>CHEFS WHSE INC</t>
  </si>
  <si>
    <t>163086101</t>
  </si>
  <si>
    <t>CHEMOURS CO</t>
  </si>
  <si>
    <t>163851108</t>
  </si>
  <si>
    <t>CHIPOTLE MEXICAN GRILL INC</t>
  </si>
  <si>
    <t>169656105</t>
  </si>
  <si>
    <t>CHURCHILL DOWNS INC</t>
  </si>
  <si>
    <t>171484108</t>
  </si>
  <si>
    <t>CLEAN HARBORS INC</t>
  </si>
  <si>
    <t>184496107</t>
  </si>
  <si>
    <t>CLEAR SECURE INC</t>
  </si>
  <si>
    <t>18467V109</t>
  </si>
  <si>
    <t>CLIMB GLOBAL SOLUTIONS INC</t>
  </si>
  <si>
    <t>946760105</t>
  </si>
  <si>
    <t>CNO FINL GROUP INC</t>
  </si>
  <si>
    <t>12621E103</t>
  </si>
  <si>
    <t>COEUR MNG INC</t>
  </si>
  <si>
    <t>192108504</t>
  </si>
  <si>
    <t>COMFORT SYS USA INC</t>
  </si>
  <si>
    <t>199908104</t>
  </si>
  <si>
    <t>COMPOSECURE INC</t>
  </si>
  <si>
    <t>20459V105</t>
  </si>
  <si>
    <t>CORSAIR GAMING INC</t>
  </si>
  <si>
    <t>22041X102</t>
  </si>
  <si>
    <t>CRICUT INC</t>
  </si>
  <si>
    <t>22658D100</t>
  </si>
  <si>
    <t>DINGDONG CAYMAN LTD</t>
  </si>
  <si>
    <t>ADS</t>
  </si>
  <si>
    <t>25445D101</t>
  </si>
  <si>
    <t>DISNEY WALT CO</t>
  </si>
  <si>
    <t>254687106</t>
  </si>
  <si>
    <t>DOLBY LABORATORIES INC</t>
  </si>
  <si>
    <t>25659T107</t>
  </si>
  <si>
    <t>DOUBLEVERIFY HLDGS INC</t>
  </si>
  <si>
    <t>25862V105</t>
  </si>
  <si>
    <t>DUTCH BROS INC</t>
  </si>
  <si>
    <t>26701L100</t>
  </si>
  <si>
    <t>ELASTIC N V</t>
  </si>
  <si>
    <t>N14506104</t>
  </si>
  <si>
    <t>EMERSON ELEC CO</t>
  </si>
  <si>
    <t>291011104</t>
  </si>
  <si>
    <t>ESQUIRE FINL HLDGS INC</t>
  </si>
  <si>
    <t>29667J101</t>
  </si>
  <si>
    <t>FACTSET RESH SYS INC</t>
  </si>
  <si>
    <t>303075105</t>
  </si>
  <si>
    <t>FORTINET INC</t>
  </si>
  <si>
    <t>34959E109</t>
  </si>
  <si>
    <t>GREEN DOT CORP</t>
  </si>
  <si>
    <t>39304D102</t>
  </si>
  <si>
    <t>HALLIBURTON CO</t>
  </si>
  <si>
    <t>406216101</t>
  </si>
  <si>
    <t>HARROW INC</t>
  </si>
  <si>
    <t>415858109</t>
  </si>
  <si>
    <t>HIGHPEAK ENERGY INC</t>
  </si>
  <si>
    <t>43114Q105</t>
  </si>
  <si>
    <t>HILLENBRAND INC</t>
  </si>
  <si>
    <t>431571108</t>
  </si>
  <si>
    <t>HUBBELL INC</t>
  </si>
  <si>
    <t>443510607</t>
  </si>
  <si>
    <t>HUDSON TECHNOLOGIES INC</t>
  </si>
  <si>
    <t>444144109</t>
  </si>
  <si>
    <t>INNOVEX INTERNATIONAL INC</t>
  </si>
  <si>
    <t>457651107</t>
  </si>
  <si>
    <t>INTEL CORP</t>
  </si>
  <si>
    <t>458140100</t>
  </si>
  <si>
    <t>KROGER CO</t>
  </si>
  <si>
    <t>501044101</t>
  </si>
  <si>
    <t>LENDINGTREE INC NEW</t>
  </si>
  <si>
    <t>52603B107</t>
  </si>
  <si>
    <t>LIBERTY ENERGY INC</t>
  </si>
  <si>
    <t>53115L104</t>
  </si>
  <si>
    <t>LILIUM N V</t>
  </si>
  <si>
    <t>CLASS A ORD SHS</t>
  </si>
  <si>
    <t>N52586109</t>
  </si>
  <si>
    <t>MALIBU BOATS INC</t>
  </si>
  <si>
    <t>56117J100</t>
  </si>
  <si>
    <t>MAPLEBEAR INC</t>
  </si>
  <si>
    <t>565394103</t>
  </si>
  <si>
    <t>MARTIN MARIETTA MATLS INC</t>
  </si>
  <si>
    <t>573284106</t>
  </si>
  <si>
    <t>METTLER TOLEDO INTERNATIONAL</t>
  </si>
  <si>
    <t>592688105</t>
  </si>
  <si>
    <t>MICROCHIP TECHNOLOGY INC.</t>
  </si>
  <si>
    <t>595017104</t>
  </si>
  <si>
    <t>MILLER INDS INC TENN</t>
  </si>
  <si>
    <t>600551204</t>
  </si>
  <si>
    <t>MITEK SYS INC</t>
  </si>
  <si>
    <t>606710200</t>
  </si>
  <si>
    <t>MONDAY COM LTD</t>
  </si>
  <si>
    <t>M7S64H106</t>
  </si>
  <si>
    <t>NAVITAS SEMICONDUCTOR CORP</t>
  </si>
  <si>
    <t>63942X106</t>
  </si>
  <si>
    <t>NEUMORA THERAPEUTICS INC.</t>
  </si>
  <si>
    <t>640979100</t>
  </si>
  <si>
    <t>NVR INC</t>
  </si>
  <si>
    <t>62944T105</t>
  </si>
  <si>
    <t>ORION S.A.</t>
  </si>
  <si>
    <t>ORLA MNG LTD NEW</t>
  </si>
  <si>
    <t>68634K106</t>
  </si>
  <si>
    <t>PACCAR INC</t>
  </si>
  <si>
    <t>693718108</t>
  </si>
  <si>
    <t>PALANTIR TECHNOLOGIES INC</t>
  </si>
  <si>
    <t>69608A108</t>
  </si>
  <si>
    <t>PATTERSON COS INC</t>
  </si>
  <si>
    <t>703395103</t>
  </si>
  <si>
    <t>PBF ENERGY INC</t>
  </si>
  <si>
    <t>69318G106</t>
  </si>
  <si>
    <t>PERFORMANCE FOOD GROUP CO</t>
  </si>
  <si>
    <t>71377A103</t>
  </si>
  <si>
    <t>PHATHOM PHARMACEUTICALS INC</t>
  </si>
  <si>
    <t>71722W107</t>
  </si>
  <si>
    <t>PPG INDS INC</t>
  </si>
  <si>
    <t>693506107</t>
  </si>
  <si>
    <t>PROGYNY INC</t>
  </si>
  <si>
    <t>74340E103</t>
  </si>
  <si>
    <t>PVH CORPORATION</t>
  </si>
  <si>
    <t>693656100</t>
  </si>
  <si>
    <t>QUALYS INC</t>
  </si>
  <si>
    <t>74758T303</t>
  </si>
  <si>
    <t>RAPID7 INC</t>
  </si>
  <si>
    <t>753422104</t>
  </si>
  <si>
    <t>RAYONIER ADVANCED MATLS INC</t>
  </si>
  <si>
    <t>75508B104</t>
  </si>
  <si>
    <t>RELIANCE INC</t>
  </si>
  <si>
    <t>759509102</t>
  </si>
  <si>
    <t>RESTAURANT BRANDS INTL INC</t>
  </si>
  <si>
    <t>76131D103</t>
  </si>
  <si>
    <t>ROBERT HALF INC.</t>
  </si>
  <si>
    <t>770323103</t>
  </si>
  <si>
    <t>RPC INC</t>
  </si>
  <si>
    <t>749660106</t>
  </si>
  <si>
    <t>SABLE OFFSHORE CORP</t>
  </si>
  <si>
    <t>78574H104</t>
  </si>
  <si>
    <t>SALLY BEAUTY HLDGS INC</t>
  </si>
  <si>
    <t>79546E104</t>
  </si>
  <si>
    <t>SCHLUMBERGER LTD</t>
  </si>
  <si>
    <t>806857108</t>
  </si>
  <si>
    <t>SCOTTS MIRACLE-GRO CO</t>
  </si>
  <si>
    <t>810186106</t>
  </si>
  <si>
    <t>SEZZLE INC</t>
  </si>
  <si>
    <t>78435P105</t>
  </si>
  <si>
    <t>SIMILARWEB LTD</t>
  </si>
  <si>
    <t>M84137104</t>
  </si>
  <si>
    <t>SMARTRENT INC</t>
  </si>
  <si>
    <t>83193G107</t>
  </si>
  <si>
    <t>SPRINKLR INC</t>
  </si>
  <si>
    <t>85208T107</t>
  </si>
  <si>
    <t>STANTEC INC</t>
  </si>
  <si>
    <t>85472N109</t>
  </si>
  <si>
    <t>STEEL DYNAMICS INC</t>
  </si>
  <si>
    <t>858119100</t>
  </si>
  <si>
    <t>TELEDYNE TECHNOLOGIES INC</t>
  </si>
  <si>
    <t>879360105</t>
  </si>
  <si>
    <t>TENCENT MUSIC ENTMT GROUP</t>
  </si>
  <si>
    <t>SPON ADS</t>
  </si>
  <si>
    <t>88034P109</t>
  </si>
  <si>
    <t>TERNIUM SA</t>
  </si>
  <si>
    <t>880890108</t>
  </si>
  <si>
    <t>THE REAL BROKERAGE INC</t>
  </si>
  <si>
    <t>75585H206</t>
  </si>
  <si>
    <t>TKO GROUP HOLDINGS INC</t>
  </si>
  <si>
    <t>87256C101</t>
  </si>
  <si>
    <t>TRANSDIGM GROUP INC</t>
  </si>
  <si>
    <t>893641100</t>
  </si>
  <si>
    <t>TRINET GROUP INC</t>
  </si>
  <si>
    <t>896288107</t>
  </si>
  <si>
    <t>TRONOX HOLDINGS PLC</t>
  </si>
  <si>
    <t>G9087Q102</t>
  </si>
  <si>
    <t>U S PHYSICAL THERAPY</t>
  </si>
  <si>
    <t>90337L108</t>
  </si>
  <si>
    <t>UNITED AIRLS HLDGS INC</t>
  </si>
  <si>
    <t>910047109</t>
  </si>
  <si>
    <t>USANA HEALTH SCIENCES INC</t>
  </si>
  <si>
    <t>90328M107</t>
  </si>
  <si>
    <t>VITAL ENERGY INC</t>
  </si>
  <si>
    <t>516806205</t>
  </si>
  <si>
    <t>WESTERN ALLIANCE BANCORP</t>
  </si>
  <si>
    <t>957638109</t>
  </si>
  <si>
    <t>WINGSTOP INC</t>
  </si>
  <si>
    <t>974155103</t>
  </si>
  <si>
    <t>WORLD ACCEP CORPORATION</t>
  </si>
  <si>
    <t>981419104</t>
  </si>
  <si>
    <t>ZIM INTEGRATED SHIPPING SERV</t>
  </si>
  <si>
    <t>M9T951109</t>
  </si>
  <si>
    <t>ZTO EXPRESS CAYMAN INC</t>
  </si>
  <si>
    <t>SPONSORED ADS A</t>
  </si>
  <si>
    <t>98980A105</t>
  </si>
  <si>
    <t>ZUORA INC</t>
  </si>
  <si>
    <t>98983V106</t>
  </si>
  <si>
    <t>ADOBE INC</t>
  </si>
  <si>
    <t>00724F101</t>
  </si>
  <si>
    <t>AGILON HEALTH INC</t>
  </si>
  <si>
    <t>00857U107</t>
  </si>
  <si>
    <t>AMC NETWORKS INC</t>
  </si>
  <si>
    <t>00164V103</t>
  </si>
  <si>
    <t>AMER SPORTS INC</t>
  </si>
  <si>
    <t>G0260P102</t>
  </si>
  <si>
    <t>040413205</t>
  </si>
  <si>
    <t>ARM HOLDINGS PLC</t>
  </si>
  <si>
    <t>042068205</t>
  </si>
  <si>
    <t>ASTERA LABS INC</t>
  </si>
  <si>
    <t>04626A103</t>
  </si>
  <si>
    <t>AXCELIS TECHNOLOGIES INC</t>
  </si>
  <si>
    <t>054540208</t>
  </si>
  <si>
    <t>BAYTEX ENERGY CORP</t>
  </si>
  <si>
    <t>07317Q105</t>
  </si>
  <si>
    <t>BBB FOODS INC</t>
  </si>
  <si>
    <t>G0896C103</t>
  </si>
  <si>
    <t>BECTON DICKINSON &amp; CO</t>
  </si>
  <si>
    <t>075887109</t>
  </si>
  <si>
    <t>BEST BUY INC</t>
  </si>
  <si>
    <t>086516101</t>
  </si>
  <si>
    <t>BIO-TECHNE CORP</t>
  </si>
  <si>
    <t>09073M104</t>
  </si>
  <si>
    <t>BLEND LABS INC</t>
  </si>
  <si>
    <t>09352U108</t>
  </si>
  <si>
    <t>BRIGHTSPRING HEALTH SVCS INC</t>
  </si>
  <si>
    <t>10950A106</t>
  </si>
  <si>
    <t>CBIZ INC</t>
  </si>
  <si>
    <t>124805102</t>
  </si>
  <si>
    <t>CDW CORP</t>
  </si>
  <si>
    <t>12514G108</t>
  </si>
  <si>
    <t>CENCORA INC</t>
  </si>
  <si>
    <t>03073E105</t>
  </si>
  <si>
    <t>CENTRAL GARDEN &amp; PET CO</t>
  </si>
  <si>
    <t>CL A NON-VTG</t>
  </si>
  <si>
    <t>153527205</t>
  </si>
  <si>
    <t>CHARLES RIV LABS INTL INC</t>
  </si>
  <si>
    <t>159864107</t>
  </si>
  <si>
    <t>COCA COLA CONS INC</t>
  </si>
  <si>
    <t>191098102</t>
  </si>
  <si>
    <t>CONCENTRIX CORP</t>
  </si>
  <si>
    <t>20602D101</t>
  </si>
  <si>
    <t>CONSTELLIUM SE</t>
  </si>
  <si>
    <t>F21107101</t>
  </si>
  <si>
    <t>COPART INC</t>
  </si>
  <si>
    <t>217204106</t>
  </si>
  <si>
    <t>CORE SCIENTIFIC INC NEW</t>
  </si>
  <si>
    <t>21874A106</t>
  </si>
  <si>
    <t>CRITEO S A</t>
  </si>
  <si>
    <t>SPONS ADS</t>
  </si>
  <si>
    <t>226718104</t>
  </si>
  <si>
    <t>CROWN HLDGS INC</t>
  </si>
  <si>
    <t>228368106</t>
  </si>
  <si>
    <t>CSW INDUSTRIALS INC</t>
  </si>
  <si>
    <t>126402106</t>
  </si>
  <si>
    <t>DANAHER CORPORATION</t>
  </si>
  <si>
    <t>235851102</t>
  </si>
  <si>
    <t>DIAMOND HILL INVT GROUP INC</t>
  </si>
  <si>
    <t>25264R207</t>
  </si>
  <si>
    <t>DIVERSIFIED ENERGY COMPANY P</t>
  </si>
  <si>
    <t>G2891G204</t>
  </si>
  <si>
    <t>ELEMENT SOLUTIONS INC</t>
  </si>
  <si>
    <t>28618M106</t>
  </si>
  <si>
    <t>ELEVANCE HEALTH INC</t>
  </si>
  <si>
    <t>036752103</t>
  </si>
  <si>
    <t>EVEREST GROUP LTD</t>
  </si>
  <si>
    <t>G3223R108</t>
  </si>
  <si>
    <t>EXPEDITORS INTL WASH INC</t>
  </si>
  <si>
    <t>302130109</t>
  </si>
  <si>
    <t>FIDELIS INSURANCE HOLDINGS L</t>
  </si>
  <si>
    <t>G3398L118</t>
  </si>
  <si>
    <t>FIRST FNDTN INC</t>
  </si>
  <si>
    <t>32026V104</t>
  </si>
  <si>
    <t>FULL TRUCK ALLIANCE CO LTD</t>
  </si>
  <si>
    <t>35969L108</t>
  </si>
  <si>
    <t>GAMBLING COM GROUP LIMITED</t>
  </si>
  <si>
    <t>G3R239101</t>
  </si>
  <si>
    <t>GENERAL DYNAMICS CORP</t>
  </si>
  <si>
    <t>369550108</t>
  </si>
  <si>
    <t>GENTEX CORP</t>
  </si>
  <si>
    <t>371901109</t>
  </si>
  <si>
    <t>GENWORTH FINL INC</t>
  </si>
  <si>
    <t>37247D106</t>
  </si>
  <si>
    <t>GIBRALTAR INDS INC</t>
  </si>
  <si>
    <t>374689107</t>
  </si>
  <si>
    <t>GLOBAL INDUSTRIAL COMPANY</t>
  </si>
  <si>
    <t>37892E102</t>
  </si>
  <si>
    <t>GOLAR LNG LTD</t>
  </si>
  <si>
    <t>G9456A100</t>
  </si>
  <si>
    <t>GOLDMAN SACHS GROUP INC</t>
  </si>
  <si>
    <t>38141G104</t>
  </si>
  <si>
    <t>GRAFTECH INTL LTD</t>
  </si>
  <si>
    <t>384313508</t>
  </si>
  <si>
    <t>Y2990R101</t>
  </si>
  <si>
    <t>HCA HEALTHCARE INC</t>
  </si>
  <si>
    <t>40412C101</t>
  </si>
  <si>
    <t>HERTZ GLOBAL HLDGS INC</t>
  </si>
  <si>
    <t>42806J700</t>
  </si>
  <si>
    <t>HESAI GROUP</t>
  </si>
  <si>
    <t>428050108</t>
  </si>
  <si>
    <t>HEWLETT PACKARD ENTERPRISE C</t>
  </si>
  <si>
    <t>42824C109</t>
  </si>
  <si>
    <t>IDEXX LABS INC</t>
  </si>
  <si>
    <t>45168D104</t>
  </si>
  <si>
    <t>INTERCONTINENTAL EXCHANGE IN</t>
  </si>
  <si>
    <t>45866F104</t>
  </si>
  <si>
    <t>INTERPARFUMS INC</t>
  </si>
  <si>
    <t>INTUITIVE MACHINES INC</t>
  </si>
  <si>
    <t>46125A100</t>
  </si>
  <si>
    <t>JELD-WEN HLDG INC</t>
  </si>
  <si>
    <t>47580P103</t>
  </si>
  <si>
    <t>KAISER ALUMINUM CORP</t>
  </si>
  <si>
    <t>COM PAR $0.01</t>
  </si>
  <si>
    <t>483007704</t>
  </si>
  <si>
    <t>KEURIG DR PEPPER INC</t>
  </si>
  <si>
    <t>49271V100</t>
  </si>
  <si>
    <t>KINETIK HOLDINGS INC</t>
  </si>
  <si>
    <t>COM NEW CL A</t>
  </si>
  <si>
    <t>02215L209</t>
  </si>
  <si>
    <t>KLA CORP</t>
  </si>
  <si>
    <t>482480100</t>
  </si>
  <si>
    <t>LIBERTY MEDIA CORP DEL</t>
  </si>
  <si>
    <t>COM LBTY LIV S C</t>
  </si>
  <si>
    <t>531229722</t>
  </si>
  <si>
    <t>LITTELFUSE INC</t>
  </si>
  <si>
    <t>537008104</t>
  </si>
  <si>
    <t>LOGILITY SUPPLY CHAIN SOLUTI</t>
  </si>
  <si>
    <t>MARQETA INC</t>
  </si>
  <si>
    <t>57142B104</t>
  </si>
  <si>
    <t>MERCK &amp; CO INC</t>
  </si>
  <si>
    <t>58933Y105</t>
  </si>
  <si>
    <t>METROPOLITAN BK HLDG CORP</t>
  </si>
  <si>
    <t>591774104</t>
  </si>
  <si>
    <t>MICROSOFT CORP</t>
  </si>
  <si>
    <t>594918104</t>
  </si>
  <si>
    <t>MIDWESTONE FINL GROUP INC NE</t>
  </si>
  <si>
    <t>598511103</t>
  </si>
  <si>
    <t>MOLINA HEALTHCARE INC</t>
  </si>
  <si>
    <t>60855R100</t>
  </si>
  <si>
    <t>MOVADO GROUP INC</t>
  </si>
  <si>
    <t>624580106</t>
  </si>
  <si>
    <t>NEW YORK TIMES CO</t>
  </si>
  <si>
    <t>650111107</t>
  </si>
  <si>
    <t>NEXTNAV INC</t>
  </si>
  <si>
    <t>65345N106</t>
  </si>
  <si>
    <t>NEXXEN INTERNATIONAL LTD</t>
  </si>
  <si>
    <t>SPON ADR</t>
  </si>
  <si>
    <t>89484T104</t>
  </si>
  <si>
    <t>OKTA INC</t>
  </si>
  <si>
    <t>679295105</t>
  </si>
  <si>
    <t>OLD REP INTL CORP</t>
  </si>
  <si>
    <t>680223104</t>
  </si>
  <si>
    <t>ORIGIN BANCORP INC</t>
  </si>
  <si>
    <t>68621T102</t>
  </si>
  <si>
    <t>ORTHOPEDIATRICS CORP</t>
  </si>
  <si>
    <t>68752L100</t>
  </si>
  <si>
    <t>PACIRA BIOSCIENCES INC</t>
  </si>
  <si>
    <t>695127100</t>
  </si>
  <si>
    <t>PALO ALTO NETWORKS INC</t>
  </si>
  <si>
    <t>697435105</t>
  </si>
  <si>
    <t>PEDIATRIX MEDICAL GROUP INC</t>
  </si>
  <si>
    <t>58502B106</t>
  </si>
  <si>
    <t>PERDOCEO ED CORP</t>
  </si>
  <si>
    <t>71363P106</t>
  </si>
  <si>
    <t>PHILIP MORRIS INTL INC</t>
  </si>
  <si>
    <t>718172109</t>
  </si>
  <si>
    <t>POWERFLEET INC</t>
  </si>
  <si>
    <t>73931J109</t>
  </si>
  <si>
    <t>QUAD / GRAPHICS INC</t>
  </si>
  <si>
    <t>747301109</t>
  </si>
  <si>
    <t>REPAY HLDGS CORP</t>
  </si>
  <si>
    <t>76029L100</t>
  </si>
  <si>
    <t>ROCKET COS INC</t>
  </si>
  <si>
    <t>77311W101</t>
  </si>
  <si>
    <t>ROCKET LAB USA INC</t>
  </si>
  <si>
    <t>773122106</t>
  </si>
  <si>
    <t>SHENANDOAH TELECOMMUNICATION</t>
  </si>
  <si>
    <t>82312B106</t>
  </si>
  <si>
    <t>SHIFT4 PMTS INC</t>
  </si>
  <si>
    <t>82452J109</t>
  </si>
  <si>
    <t>SIMPSON MFG INC</t>
  </si>
  <si>
    <t>829073105</t>
  </si>
  <si>
    <t>SKYWARD SPECIALTY INS GROUP</t>
  </si>
  <si>
    <t>830940102</t>
  </si>
  <si>
    <t>SMITH A O CORP</t>
  </si>
  <si>
    <t>831865209</t>
  </si>
  <si>
    <t>SPIRE GLOBAL INC</t>
  </si>
  <si>
    <t>COM CL A NEW</t>
  </si>
  <si>
    <t>848560306</t>
  </si>
  <si>
    <t>STEPAN CO</t>
  </si>
  <si>
    <t>858586100</t>
  </si>
  <si>
    <t>STONERIDGE INC</t>
  </si>
  <si>
    <t>86183P102</t>
  </si>
  <si>
    <t>SUNCOKE ENERGY INC</t>
  </si>
  <si>
    <t>86722A103</t>
  </si>
  <si>
    <t>SUPER GROUP SGHC LIMITED</t>
  </si>
  <si>
    <t>G8588X103</t>
  </si>
  <si>
    <t>TALOS ENERGY INC</t>
  </si>
  <si>
    <t>87484T108</t>
  </si>
  <si>
    <t>TARSUS PHARMACEUTICALS INC</t>
  </si>
  <si>
    <t>87650L103</t>
  </si>
  <si>
    <t>G8726X106</t>
  </si>
  <si>
    <t>TELEFLEX INCORPORATED</t>
  </si>
  <si>
    <t>879369106</t>
  </si>
  <si>
    <t>TESLA INC</t>
  </si>
  <si>
    <t>88160R101</t>
  </si>
  <si>
    <t>TEXTRON INC</t>
  </si>
  <si>
    <t>883203101</t>
  </si>
  <si>
    <t>THE REALREAL INC</t>
  </si>
  <si>
    <t>88339P101</t>
  </si>
  <si>
    <t>THIRD COAST BANCSHARES INC</t>
  </si>
  <si>
    <t>88422P109</t>
  </si>
  <si>
    <t>THOMSON REUTERS CORP</t>
  </si>
  <si>
    <t>884903808</t>
  </si>
  <si>
    <t>TIMKEN CO</t>
  </si>
  <si>
    <t>887389104</t>
  </si>
  <si>
    <t>TUYA INC</t>
  </si>
  <si>
    <t>SPONSERED ADS</t>
  </si>
  <si>
    <t>90114C107</t>
  </si>
  <si>
    <t>UFP TECHNOLOGIES INC</t>
  </si>
  <si>
    <t>902673102</t>
  </si>
  <si>
    <t>UP FINTECH HLDG LTD</t>
  </si>
  <si>
    <t>91531W106</t>
  </si>
  <si>
    <t>URBAN OUTFITTERS INC</t>
  </si>
  <si>
    <t>917047102</t>
  </si>
  <si>
    <t>VALERO ENERGY CORP</t>
  </si>
  <si>
    <t>91913Y100</t>
  </si>
  <si>
    <t>VULCAN MATLS CO</t>
  </si>
  <si>
    <t>929160109</t>
  </si>
  <si>
    <t>WARRIOR MET COAL INC</t>
  </si>
  <si>
    <t>93627C101</t>
  </si>
  <si>
    <t>WD 40 CO</t>
  </si>
  <si>
    <t>929236107</t>
  </si>
  <si>
    <t>WIX COM LTD</t>
  </si>
  <si>
    <t>M98068105</t>
  </si>
  <si>
    <t>WOODWARD INC</t>
  </si>
  <si>
    <t>980745103</t>
  </si>
  <si>
    <t>WORKDAY INC</t>
  </si>
  <si>
    <t>98138H101</t>
  </si>
  <si>
    <t>ZOETIS INC</t>
  </si>
  <si>
    <t>98978V103</t>
  </si>
  <si>
    <t>Delete unnecessary data because 2024/12/31 cannot be aggregated correctly from sheet "ALL"</t>
    <phoneticPr fontId="1"/>
  </si>
  <si>
    <t>1ST SOURCE CORP</t>
  </si>
  <si>
    <t>336901103</t>
  </si>
  <si>
    <t>ACADIA HEALTHCARE COMPANY IN</t>
  </si>
  <si>
    <t>00404A109</t>
  </si>
  <si>
    <t>ADT INC DEL</t>
  </si>
  <si>
    <t>00090Q103</t>
  </si>
  <si>
    <t>ALBEMARLE CORP</t>
  </si>
  <si>
    <t>012653101</t>
  </si>
  <si>
    <t>ALBERTSONS COS INC</t>
  </si>
  <si>
    <t>013091103</t>
  </si>
  <si>
    <t>ALERUS FINL CORP</t>
  </si>
  <si>
    <t>01446U103</t>
  </si>
  <si>
    <t>ALLEGIANT TRAVEL CO</t>
  </si>
  <si>
    <t>01748X102</t>
  </si>
  <si>
    <t>ALLEGION PLC</t>
  </si>
  <si>
    <t>G0176J109</t>
  </si>
  <si>
    <t>AMERICAN EAGLE OUTFITTERS IN</t>
  </si>
  <si>
    <t>02553E106</t>
  </si>
  <si>
    <t>AMERICAN WOODMARK CORPORATIO</t>
  </si>
  <si>
    <t>030506109</t>
  </si>
  <si>
    <t>AMKOR TECHNOLOGY INC</t>
  </si>
  <si>
    <t>031652100</t>
  </si>
  <si>
    <t>AMNEAL PHARMACEUTICALS INC</t>
  </si>
  <si>
    <t>COM STK CL A</t>
  </si>
  <si>
    <t>03168L105</t>
  </si>
  <si>
    <t>AMPHASTAR PHARMACEUTICALS IN</t>
  </si>
  <si>
    <t>03209R103</t>
  </si>
  <si>
    <t>ANALOG DEVICES INC</t>
  </si>
  <si>
    <t>032654105</t>
  </si>
  <si>
    <t>ANDERSONS INC</t>
  </si>
  <si>
    <t>034164103</t>
  </si>
  <si>
    <t>APTARGROUP INC</t>
  </si>
  <si>
    <t>038336103</t>
  </si>
  <si>
    <t>ARES MANAGEMENT CORPORATION</t>
  </si>
  <si>
    <t>03990B101</t>
  </si>
  <si>
    <t>ASHLAND INC</t>
  </si>
  <si>
    <t>044186104</t>
  </si>
  <si>
    <t>AUTODESK INC</t>
  </si>
  <si>
    <t>052769106</t>
  </si>
  <si>
    <t>BALCHEM CORP</t>
  </si>
  <si>
    <t>057665200</t>
  </si>
  <si>
    <t>BALL CORP</t>
  </si>
  <si>
    <t>058498106</t>
  </si>
  <si>
    <t>BARRICK GOLD CORP</t>
  </si>
  <si>
    <t>067901108</t>
  </si>
  <si>
    <t>BERKSHIRE HILLS BANCORP INC</t>
  </si>
  <si>
    <t>084680107</t>
  </si>
  <si>
    <t>BERRY CORP</t>
  </si>
  <si>
    <t>08579X101</t>
  </si>
  <si>
    <t>BIRKENSTOCK HOLDING PLC</t>
  </si>
  <si>
    <t>M2029K104</t>
  </si>
  <si>
    <t>BLOOM ENERGY CORP</t>
  </si>
  <si>
    <t>093712107</t>
  </si>
  <si>
    <t>BOISE CASCADE CO DEL</t>
  </si>
  <si>
    <t>09739D100</t>
  </si>
  <si>
    <t>BOOKING HOLDINGS INC</t>
  </si>
  <si>
    <t>09857L108</t>
  </si>
  <si>
    <t>BOOZ ALLEN HAMILTON HLDG COR</t>
  </si>
  <si>
    <t>099502106</t>
  </si>
  <si>
    <t>BOWHEAD SPECIALTY HLDGS INC</t>
  </si>
  <si>
    <t>10240L102</t>
  </si>
  <si>
    <t>BUNGE GLOBAL SA</t>
  </si>
  <si>
    <t>H11356104</t>
  </si>
  <si>
    <t>BW LPG LTD</t>
  </si>
  <si>
    <t>Y10230103</t>
  </si>
  <si>
    <t>CADENCE DESIGN SYSTEM INC</t>
  </si>
  <si>
    <t>127387108</t>
  </si>
  <si>
    <t>CAMECO CORP</t>
  </si>
  <si>
    <t>13321L108</t>
  </si>
  <si>
    <t>CANADIAN IMPERIAL BK COMM</t>
  </si>
  <si>
    <t>136069101</t>
  </si>
  <si>
    <t>CAPITAL BANCORP INC MD</t>
  </si>
  <si>
    <t>139737100</t>
  </si>
  <si>
    <t>CENTURI HOLDINGS INC</t>
  </si>
  <si>
    <t>155923105</t>
  </si>
  <si>
    <t>CHARTER COMMUNICATIONS INC N</t>
  </si>
  <si>
    <t>16119P108</t>
  </si>
  <si>
    <t>CHUBB LIMITED</t>
  </si>
  <si>
    <t>H1467J104</t>
  </si>
  <si>
    <t>CNA FINL CORP</t>
  </si>
  <si>
    <t>126117100</t>
  </si>
  <si>
    <t>COLUMBUS MCKINNON CORP N Y</t>
  </si>
  <si>
    <t>199333105</t>
  </si>
  <si>
    <t>COMCAST CORP NEW</t>
  </si>
  <si>
    <t>20030N101</t>
  </si>
  <si>
    <t>COMMSCOPE HLDG CO INC</t>
  </si>
  <si>
    <t>20337X109</t>
  </si>
  <si>
    <t>COMPASS MINERALS INTL INC</t>
  </si>
  <si>
    <t>20451N101</t>
  </si>
  <si>
    <t>CRANE NXT CO</t>
  </si>
  <si>
    <t>224441105</t>
  </si>
  <si>
    <t>DAVITA INC</t>
  </si>
  <si>
    <t>23918K108</t>
  </si>
  <si>
    <t>DIME CMNTY BANCSHARES INC</t>
  </si>
  <si>
    <t>25432X102</t>
  </si>
  <si>
    <t>DONNELLEY FINL SOLUTIONS INC</t>
  </si>
  <si>
    <t>25787G100</t>
  </si>
  <si>
    <t>DROPBOX INC</t>
  </si>
  <si>
    <t>26210C104</t>
  </si>
  <si>
    <t>EAGLE MATLS INC</t>
  </si>
  <si>
    <t>26969P108</t>
  </si>
  <si>
    <t>EHANG HLDGS LTD</t>
  </si>
  <si>
    <t>26853E102</t>
  </si>
  <si>
    <t>ENERFLEX LTD</t>
  </si>
  <si>
    <t>29269R105</t>
  </si>
  <si>
    <t>EPLUS INC</t>
  </si>
  <si>
    <t>294268107</t>
  </si>
  <si>
    <t>EQUITABLE HLDGS INC</t>
  </si>
  <si>
    <t>29452E101</t>
  </si>
  <si>
    <t>EQUITY BANCSHARES INC</t>
  </si>
  <si>
    <t>29460X109</t>
  </si>
  <si>
    <t>EXLSERVICE HOLDINGS INC</t>
  </si>
  <si>
    <t>302081104</t>
  </si>
  <si>
    <t>EXPAND ENERGY CORPORATION</t>
  </si>
  <si>
    <t>165167735</t>
  </si>
  <si>
    <t>EXPONENT INC</t>
  </si>
  <si>
    <t>30214U102</t>
  </si>
  <si>
    <t>FEDEX CORP</t>
  </si>
  <si>
    <t>31428X106</t>
  </si>
  <si>
    <t>FERRARI N V</t>
  </si>
  <si>
    <t>N3167Y103</t>
  </si>
  <si>
    <t>FIRST BANCORP P R</t>
  </si>
  <si>
    <t>318672706</t>
  </si>
  <si>
    <t>FIRST BUSEY CORP</t>
  </si>
  <si>
    <t>319383204</t>
  </si>
  <si>
    <t>FIRST COMWLTH FINL CORP PA</t>
  </si>
  <si>
    <t>319829107</t>
  </si>
  <si>
    <t>FIRST FINANCIAL CORPORATION</t>
  </si>
  <si>
    <t>FLOOR &amp; DECOR HLDGS INC</t>
  </si>
  <si>
    <t>339750101</t>
  </si>
  <si>
    <t>FLUSHING FINL CORP</t>
  </si>
  <si>
    <t>343873105</t>
  </si>
  <si>
    <t>FRONTIER GROUP HLDGS INC</t>
  </si>
  <si>
    <t>35909R108</t>
  </si>
  <si>
    <t>FULGENT GENETICS INC</t>
  </si>
  <si>
    <t>359664109</t>
  </si>
  <si>
    <t>FUTU HLDGS LTD</t>
  </si>
  <si>
    <t>SPON ADS CL A</t>
  </si>
  <si>
    <t>36118L106</t>
  </si>
  <si>
    <t>GARTNER INC</t>
  </si>
  <si>
    <t>366651107</t>
  </si>
  <si>
    <t>GCM GROSVENOR INC</t>
  </si>
  <si>
    <t>36831E108</t>
  </si>
  <si>
    <t>GE VERNOVA INC</t>
  </si>
  <si>
    <t>36828A101</t>
  </si>
  <si>
    <t>GENERAC HLDGS INC</t>
  </si>
  <si>
    <t>368736104</t>
  </si>
  <si>
    <t>GENIUS SPORTS LIMITED</t>
  </si>
  <si>
    <t>SHARES CL A</t>
  </si>
  <si>
    <t>G3934V109</t>
  </si>
  <si>
    <t>GETTY IMAGES HOLDINGS INC</t>
  </si>
  <si>
    <t>374275105</t>
  </si>
  <si>
    <t>GLOBAL BUSINESS TRAVEL GROUP</t>
  </si>
  <si>
    <t>37890B100</t>
  </si>
  <si>
    <t>GOOSEHEAD INS INC</t>
  </si>
  <si>
    <t>38267D109</t>
  </si>
  <si>
    <t>GORMAN RUPP CO</t>
  </si>
  <si>
    <t>383082104</t>
  </si>
  <si>
    <t>GREAT SOUTHN BANCORP INC</t>
  </si>
  <si>
    <t>390905107</t>
  </si>
  <si>
    <t>GUARDANT HEALTH INC</t>
  </si>
  <si>
    <t>40131M109</t>
  </si>
  <si>
    <t>HILTON WORLDWIDE HLDGS INC</t>
  </si>
  <si>
    <t>43300A203</t>
  </si>
  <si>
    <t>HYSTER-YALE INC</t>
  </si>
  <si>
    <t>449172105</t>
  </si>
  <si>
    <t>IBEX LTD</t>
  </si>
  <si>
    <t>G4690M101</t>
  </si>
  <si>
    <t>ICF INTL INC</t>
  </si>
  <si>
    <t>44925C103</t>
  </si>
  <si>
    <t>IHS HOLDING LIMITED</t>
  </si>
  <si>
    <t>G4701H109</t>
  </si>
  <si>
    <t>INFORMATICA INC</t>
  </si>
  <si>
    <t>45674M101</t>
  </si>
  <si>
    <t>INGREDION INC</t>
  </si>
  <si>
    <t>457187102</t>
  </si>
  <si>
    <t>INTUITIVE SURGICAL INC</t>
  </si>
  <si>
    <t>46120E602</t>
  </si>
  <si>
    <t>ITT INC</t>
  </si>
  <si>
    <t>45073V108</t>
  </si>
  <si>
    <t>JAZZ PHARMACEUTICALS PLC</t>
  </si>
  <si>
    <t>G50871105</t>
  </si>
  <si>
    <t>JBT MAREL CORPORATION</t>
  </si>
  <si>
    <t>KELLY SVCS INC</t>
  </si>
  <si>
    <t>488152208</t>
  </si>
  <si>
    <t>LENNAR CORP</t>
  </si>
  <si>
    <t>526057104</t>
  </si>
  <si>
    <t>LIVE OAK BANCSHARES INC</t>
  </si>
  <si>
    <t>53803X105</t>
  </si>
  <si>
    <t>LUMENTUM HLDGS INC</t>
  </si>
  <si>
    <t>55024U109</t>
  </si>
  <si>
    <t>M/I HOMES INC</t>
  </si>
  <si>
    <t>55305B101</t>
  </si>
  <si>
    <t>MACOM TECH SOLUTIONS HLDGS I</t>
  </si>
  <si>
    <t>55405Y100</t>
  </si>
  <si>
    <t>MANHATTAN ASSOCIATES INC</t>
  </si>
  <si>
    <t>562750109</t>
  </si>
  <si>
    <t>MAREX GROUP PLC</t>
  </si>
  <si>
    <t>ORD</t>
  </si>
  <si>
    <t>G5S37H101</t>
  </si>
  <si>
    <t>MARKEL GROUP INC</t>
  </si>
  <si>
    <t>570535104</t>
  </si>
  <si>
    <t>MARRIOTT INTL INC NEW</t>
  </si>
  <si>
    <t>571903202</t>
  </si>
  <si>
    <t>MATERION CORP</t>
  </si>
  <si>
    <t>576690101</t>
  </si>
  <si>
    <t>MELCO RESORTS AND ENTMNT LTD</t>
  </si>
  <si>
    <t>ADR</t>
  </si>
  <si>
    <t>585464100</t>
  </si>
  <si>
    <t>MOODYS CORP</t>
  </si>
  <si>
    <t>615369105</t>
  </si>
  <si>
    <t>MOTOROLA SOLUTIONS INC</t>
  </si>
  <si>
    <t>620076307</t>
  </si>
  <si>
    <t>NATIONAL BK HLDGS CORP</t>
  </si>
  <si>
    <t>633707104</t>
  </si>
  <si>
    <t>NIU TECHNOLOGIES</t>
  </si>
  <si>
    <t>65481N100</t>
  </si>
  <si>
    <t>NLIGHT INC</t>
  </si>
  <si>
    <t>65487K100</t>
  </si>
  <si>
    <t>NORDSON CORP</t>
  </si>
  <si>
    <t>655663102</t>
  </si>
  <si>
    <t>NOV INC</t>
  </si>
  <si>
    <t>62955J103</t>
  </si>
  <si>
    <t>OCEANEERING INTL INC</t>
  </si>
  <si>
    <t>675232102</t>
  </si>
  <si>
    <t>ODDITY TECH LTD</t>
  </si>
  <si>
    <t>M7518J104</t>
  </si>
  <si>
    <t>OFG BANCORP</t>
  </si>
  <si>
    <t>67103X102</t>
  </si>
  <si>
    <t>OMNICOM GROUP INC</t>
  </si>
  <si>
    <t>681919106</t>
  </si>
  <si>
    <t>OREILLY AUTOMOTIVE INC</t>
  </si>
  <si>
    <t>67103H107</t>
  </si>
  <si>
    <t>PAGERDUTY INC</t>
  </si>
  <si>
    <t>69553P100</t>
  </si>
  <si>
    <t>PAR TECHNOLOGY CORP</t>
  </si>
  <si>
    <t>698884103</t>
  </si>
  <si>
    <t>PARSONS CORP DEL</t>
  </si>
  <si>
    <t>70202L102</t>
  </si>
  <si>
    <t>PENGUIN SOLUTIONS INC</t>
  </si>
  <si>
    <t>G8232Y101</t>
  </si>
  <si>
    <t>PLAYTIKA HLDG CORP</t>
  </si>
  <si>
    <t>72815L107</t>
  </si>
  <si>
    <t>PLEXUS CORP</t>
  </si>
  <si>
    <t>729132100</t>
  </si>
  <si>
    <t>PRIMERICA INC</t>
  </si>
  <si>
    <t>74164M108</t>
  </si>
  <si>
    <t>RADIAN GROUP INC</t>
  </si>
  <si>
    <t>750236101</t>
  </si>
  <si>
    <t>RANGE RES CORP</t>
  </si>
  <si>
    <t>75281A109</t>
  </si>
  <si>
    <t>REDWIRE CORPORATION</t>
  </si>
  <si>
    <t>75776W103</t>
  </si>
  <si>
    <t>REGAL REXNORD CORPORATION</t>
  </si>
  <si>
    <t>758750103</t>
  </si>
  <si>
    <t>REGIONAL MGMT CORP</t>
  </si>
  <si>
    <t>75902K106</t>
  </si>
  <si>
    <t>REMITLY GLOBAL INC</t>
  </si>
  <si>
    <t>75960P104</t>
  </si>
  <si>
    <t>RMR GROUP INC</t>
  </si>
  <si>
    <t>74967R106</t>
  </si>
  <si>
    <t>SAPIENS INTL CORP N V</t>
  </si>
  <si>
    <t>G7T16G103</t>
  </si>
  <si>
    <t>SEABOARD CORP DEL</t>
  </si>
  <si>
    <t>811543107</t>
  </si>
  <si>
    <t>SELECTIVE INS GROUP INC</t>
  </si>
  <si>
    <t>816300107</t>
  </si>
  <si>
    <t>SHERWIN WILLIAMS CO</t>
  </si>
  <si>
    <t>824348106</t>
  </si>
  <si>
    <t>SIRIUSXM HOLDINGS INC</t>
  </si>
  <si>
    <t>829933100</t>
  </si>
  <si>
    <t>SKYWORKS SOLUTIONS INC</t>
  </si>
  <si>
    <t>83088M102</t>
  </si>
  <si>
    <t>SOFI TECHNOLOGIES INC</t>
  </si>
  <si>
    <t>83406F102</t>
  </si>
  <si>
    <t>SOLARIS ENERGY INFRAS INC</t>
  </si>
  <si>
    <t>SPORTRADAR GROUP AG</t>
  </si>
  <si>
    <t>H8088L103</t>
  </si>
  <si>
    <t>STEELCASE INC</t>
  </si>
  <si>
    <t>858155203</t>
  </si>
  <si>
    <t>STELLAR BANCORP INC</t>
  </si>
  <si>
    <t>858927106</t>
  </si>
  <si>
    <t>STERIS PLC</t>
  </si>
  <si>
    <t>G8473T100</t>
  </si>
  <si>
    <t>STRIDE INC</t>
  </si>
  <si>
    <t>86333M108</t>
  </si>
  <si>
    <t>SUNCOR ENERGY INC NEW</t>
  </si>
  <si>
    <t>867224107</t>
  </si>
  <si>
    <t>SYNCHRONY FINANCIAL</t>
  </si>
  <si>
    <t>87165B103</t>
  </si>
  <si>
    <t>SYNOPSYS INC</t>
  </si>
  <si>
    <t>871607107</t>
  </si>
  <si>
    <t>T-MOBILE US INC</t>
  </si>
  <si>
    <t>872590104</t>
  </si>
  <si>
    <t>TARGET CORP</t>
  </si>
  <si>
    <t>87612E106</t>
  </si>
  <si>
    <t>TAYLOR MORRISON HOME CORP</t>
  </si>
  <si>
    <t>87724P106</t>
  </si>
  <si>
    <t>TEEKAY CORPORATION LTD</t>
  </si>
  <si>
    <t>G8726T105</t>
  </si>
  <si>
    <t>TENNANT CO</t>
  </si>
  <si>
    <t>880345103</t>
  </si>
  <si>
    <t>TETRA TECH INC NEW</t>
  </si>
  <si>
    <t>88162G103</t>
  </si>
  <si>
    <t>TJX COS INC NEW</t>
  </si>
  <si>
    <t>872540109</t>
  </si>
  <si>
    <t>TRACTOR SUPPLY CO</t>
  </si>
  <si>
    <t>892356106</t>
  </si>
  <si>
    <t>TRANSCAT INC</t>
  </si>
  <si>
    <t>893529107</t>
  </si>
  <si>
    <t>TRIUMPH FINANCIAL INC</t>
  </si>
  <si>
    <t>89679E300</t>
  </si>
  <si>
    <t>UNITEDHEALTH GROUP INC</t>
  </si>
  <si>
    <t>91324P102</t>
  </si>
  <si>
    <t>VEECO INSTRS INC DEL</t>
  </si>
  <si>
    <t>922417100</t>
  </si>
  <si>
    <t>VIRTUS INVT PARTNERS INC</t>
  </si>
  <si>
    <t>92828Q109</t>
  </si>
  <si>
    <t>VITESSE ENERGY INC</t>
  </si>
  <si>
    <t>92852X103</t>
  </si>
  <si>
    <t>VIVID SEATS INC</t>
  </si>
  <si>
    <t>92854T100</t>
  </si>
  <si>
    <t>VNET GROUP INC</t>
  </si>
  <si>
    <t>90138A103</t>
  </si>
  <si>
    <t>WARBY PARKER INC</t>
  </si>
  <si>
    <t>93403J106</t>
  </si>
  <si>
    <t>WASHINGTON TR BANCORP INC</t>
  </si>
  <si>
    <t>940610108</t>
  </si>
  <si>
    <t>WESCO INTL INC</t>
  </si>
  <si>
    <t>95082P105</t>
  </si>
  <si>
    <t>WYNDHAM HOTELS &amp; RESORTS INC</t>
  </si>
  <si>
    <t>98311A105</t>
  </si>
  <si>
    <t>YEXT INC</t>
  </si>
  <si>
    <t>98585N106</t>
  </si>
  <si>
    <t>ZEEKR INTELLIGENT TECHNOLOGY</t>
  </si>
  <si>
    <t>98923K103</t>
  </si>
  <si>
    <t>AERCAP HOLDINGS NV</t>
  </si>
  <si>
    <t>N00985106</t>
  </si>
  <si>
    <t>AEVA TECHNOLOGIES INC</t>
  </si>
  <si>
    <t>00835Q202</t>
  </si>
  <si>
    <t>AFLAC INC</t>
  </si>
  <si>
    <t>001055102</t>
  </si>
  <si>
    <t>AGILENT TECHNOLOGIES INC</t>
  </si>
  <si>
    <t>00846U101</t>
  </si>
  <si>
    <t>AMERANT BANCORP INC</t>
  </si>
  <si>
    <t>023576101</t>
  </si>
  <si>
    <t>AMERICAN AIRLS GROUP INC</t>
  </si>
  <si>
    <t>02376R102</t>
  </si>
  <si>
    <t>AMERICAN FINL GROUP INC OHIO</t>
  </si>
  <si>
    <t>025932104</t>
  </si>
  <si>
    <t>AMN HEALTHCARE SVCS INC</t>
  </si>
  <si>
    <t>001744101</t>
  </si>
  <si>
    <t>APPLIED INDL TECHNOLOGIES IN</t>
  </si>
  <si>
    <t>03820C105</t>
  </si>
  <si>
    <t>ATLASSIAN CORPORATION</t>
  </si>
  <si>
    <t>049468101</t>
  </si>
  <si>
    <t>BACKBLAZE INC</t>
  </si>
  <si>
    <t>05637B105</t>
  </si>
  <si>
    <t>BANDWIDTH INC</t>
  </si>
  <si>
    <t>05988J103</t>
  </si>
  <si>
    <t>BANK MARIN BANCORP</t>
  </si>
  <si>
    <t>063425102</t>
  </si>
  <si>
    <t>BEL FUSE INC</t>
  </si>
  <si>
    <t>077347300</t>
  </si>
  <si>
    <t>BLACKSKY TECHNOLOGY INC</t>
  </si>
  <si>
    <t>09263B207</t>
  </si>
  <si>
    <t>BOSTON BEER INC</t>
  </si>
  <si>
    <t>100557107</t>
  </si>
  <si>
    <t>BROADRIDGE FINL SOLUTIONS IN</t>
  </si>
  <si>
    <t>11133T103</t>
  </si>
  <si>
    <t>BUCKLE INC</t>
  </si>
  <si>
    <t>118440106</t>
  </si>
  <si>
    <t>CALEDONIA MNG CORP PLC</t>
  </si>
  <si>
    <t>G1757E113</t>
  </si>
  <si>
    <t>CALIFORNIA RES CORP</t>
  </si>
  <si>
    <t>COM STOCK</t>
  </si>
  <si>
    <t>13057Q305</t>
  </si>
  <si>
    <t>CANNAE HLDGS INC</t>
  </si>
  <si>
    <t>13765N107</t>
  </si>
  <si>
    <t>CAPRI HOLDINGS LIMITED</t>
  </si>
  <si>
    <t>G1890L107</t>
  </si>
  <si>
    <t>CENTURY CMNTYS INC</t>
  </si>
  <si>
    <t>156504300</t>
  </si>
  <si>
    <t>CHEMED CORP NEW</t>
  </si>
  <si>
    <t>16359R103</t>
  </si>
  <si>
    <t>CISCO SYS INC</t>
  </si>
  <si>
    <t>17275R102</t>
  </si>
  <si>
    <t>COHEN &amp; STEERS INC</t>
  </si>
  <si>
    <t>19247A100</t>
  </si>
  <si>
    <t>COLLIERS INTL GROUP INC</t>
  </si>
  <si>
    <t>SUB VTG SHS</t>
  </si>
  <si>
    <t>194693107</t>
  </si>
  <si>
    <t>COMPASS DIVERSIFIED</t>
  </si>
  <si>
    <t>20451Q104</t>
  </si>
  <si>
    <t>CYTEK BIOSCIENCES INC</t>
  </si>
  <si>
    <t>23285D109</t>
  </si>
  <si>
    <t>DELTA AIR LINES INC DEL</t>
  </si>
  <si>
    <t>247361702</t>
  </si>
  <si>
    <t>DILLARDS INC</t>
  </si>
  <si>
    <t>254067101</t>
  </si>
  <si>
    <t>EASTMAN CHEM CO</t>
  </si>
  <si>
    <t>277432100</t>
  </si>
  <si>
    <t>EDGEWISE THERAPEUTICS INC</t>
  </si>
  <si>
    <t>28036F105</t>
  </si>
  <si>
    <t>ENSIGN GROUP INC</t>
  </si>
  <si>
    <t>29358P101</t>
  </si>
  <si>
    <t>ERO COPPER CORP</t>
  </si>
  <si>
    <t>296006109</t>
  </si>
  <si>
    <t>FERROVIAL SE</t>
  </si>
  <si>
    <t>N3168P101</t>
  </si>
  <si>
    <t>FIFTH THIRD BANCORP</t>
  </si>
  <si>
    <t>316773100</t>
  </si>
  <si>
    <t>FINVOLUTION GROUP</t>
  </si>
  <si>
    <t>31810T101</t>
  </si>
  <si>
    <t>FIVERR INTL LTD</t>
  </si>
  <si>
    <t>M4R82T106</t>
  </si>
  <si>
    <t>FLAGSTAR FINANCIAL INC</t>
  </si>
  <si>
    <t>649445400</t>
  </si>
  <si>
    <t>FLOWERS FOODS INC</t>
  </si>
  <si>
    <t>343498101</t>
  </si>
  <si>
    <t>FRANKLIN COVEY CO</t>
  </si>
  <si>
    <t>353469109</t>
  </si>
  <si>
    <t>GAOTU TECHEDU INC</t>
  </si>
  <si>
    <t>36257Y109</t>
  </si>
  <si>
    <t>GLACIER BANCORP INC NEW</t>
  </si>
  <si>
    <t>37637Q105</t>
  </si>
  <si>
    <t>GLOBANT S A</t>
  </si>
  <si>
    <t>L44385109</t>
  </si>
  <si>
    <t>HOME DEPOT INC</t>
  </si>
  <si>
    <t>437076102</t>
  </si>
  <si>
    <t>HOPE BANCORP INC</t>
  </si>
  <si>
    <t>43940T109</t>
  </si>
  <si>
    <t>HOULIHAN LOKEY INC</t>
  </si>
  <si>
    <t>441593100</t>
  </si>
  <si>
    <t>IMMERSION CORP</t>
  </si>
  <si>
    <t>452521107</t>
  </si>
  <si>
    <t>INDEPENDENT BK CORP MICH</t>
  </si>
  <si>
    <t>453838609</t>
  </si>
  <si>
    <t>INNOSPEC INC</t>
  </si>
  <si>
    <t>45768S105</t>
  </si>
  <si>
    <t>IRHYTHM TECHNOLOGIES INC</t>
  </si>
  <si>
    <t>450056106</t>
  </si>
  <si>
    <t>JINKOSOLAR HLDG CO LTD</t>
  </si>
  <si>
    <t>47759T100</t>
  </si>
  <si>
    <t>JOYY INC</t>
  </si>
  <si>
    <t>ADS REPSTG COM A</t>
  </si>
  <si>
    <t>46591M109</t>
  </si>
  <si>
    <t>KFORCE INC</t>
  </si>
  <si>
    <t>493732101</t>
  </si>
  <si>
    <t>LIGHTSPEED COMMERCE INC</t>
  </si>
  <si>
    <t>53229C107</t>
  </si>
  <si>
    <t>LINCOLN EDL SVCS CORP</t>
  </si>
  <si>
    <t>533535100</t>
  </si>
  <si>
    <t>LIVANOVA PLC</t>
  </si>
  <si>
    <t>G5509L101</t>
  </si>
  <si>
    <t>LOVESAC COMPANY</t>
  </si>
  <si>
    <t>54738L109</t>
  </si>
  <si>
    <t>LOWES COS INC</t>
  </si>
  <si>
    <t>548661107</t>
  </si>
  <si>
    <t>LSI INDS INC OHIO</t>
  </si>
  <si>
    <t>50216C108</t>
  </si>
  <si>
    <t>MANULIFE FINL CORP</t>
  </si>
  <si>
    <t>56501R106</t>
  </si>
  <si>
    <t>MARSH &amp; MCLENNAN COS INC</t>
  </si>
  <si>
    <t>571748102</t>
  </si>
  <si>
    <t>MATIV HOLDINGS INC</t>
  </si>
  <si>
    <t>808541106</t>
  </si>
  <si>
    <t>MP MATERIALS CORP</t>
  </si>
  <si>
    <t>553368101</t>
  </si>
  <si>
    <t>NAYAX LTD</t>
  </si>
  <si>
    <t>M7S750159</t>
  </si>
  <si>
    <t>NEOGEN CORP</t>
  </si>
  <si>
    <t>640491106</t>
  </si>
  <si>
    <t>NEOGENOMICS INC</t>
  </si>
  <si>
    <t>64049M209</t>
  </si>
  <si>
    <t>NEWMARK GROUP INC</t>
  </si>
  <si>
    <t>65158N102</t>
  </si>
  <si>
    <t>NEWS CORP NEW</t>
  </si>
  <si>
    <t>65249B109</t>
  </si>
  <si>
    <t>NORTHEAST BK PORTLAND ME</t>
  </si>
  <si>
    <t>66405S100</t>
  </si>
  <si>
    <t>NORTHROP GRUMMAN CORP</t>
  </si>
  <si>
    <t>666807102</t>
  </si>
  <si>
    <t>OLD DOMINION FREIGHT LINE IN</t>
  </si>
  <si>
    <t>679580100</t>
  </si>
  <si>
    <t>ONTO INNOVATION INC</t>
  </si>
  <si>
    <t>683344105</t>
  </si>
  <si>
    <t>ORRSTOWN FINL SVCS INC</t>
  </si>
  <si>
    <t>687380105</t>
  </si>
  <si>
    <t>PACKAGING CORP AMER</t>
  </si>
  <si>
    <t>695156109</t>
  </si>
  <si>
    <t>PAGAYA TECHNOLOGIES LTD</t>
  </si>
  <si>
    <t>M7S64L123</t>
  </si>
  <si>
    <t>PAYONEER GLOBAL INC</t>
  </si>
  <si>
    <t>70451X104</t>
  </si>
  <si>
    <t>PAYSIGN INC</t>
  </si>
  <si>
    <t>70451A104</t>
  </si>
  <si>
    <t>PEMBINA PIPELINE CORP</t>
  </si>
  <si>
    <t>706327103</t>
  </si>
  <si>
    <t>PNC FINL SVCS GROUP INC</t>
  </si>
  <si>
    <t>693475105</t>
  </si>
  <si>
    <t>PROG HOLDINGS INC</t>
  </si>
  <si>
    <t>COM NPV</t>
  </si>
  <si>
    <t>74319R101</t>
  </si>
  <si>
    <t>PRUDENTIAL FINL INC</t>
  </si>
  <si>
    <t>744320102</t>
  </si>
  <si>
    <t>PTC INC</t>
  </si>
  <si>
    <t>69370C100</t>
  </si>
  <si>
    <t>QCR HOLDINGS INC</t>
  </si>
  <si>
    <t>74727A104</t>
  </si>
  <si>
    <t>QUANEX BLDG PRODS CORP</t>
  </si>
  <si>
    <t>747619104</t>
  </si>
  <si>
    <t>RALLIANT CORP</t>
  </si>
  <si>
    <t>750940108</t>
  </si>
  <si>
    <t>RPM INTL INC</t>
  </si>
  <si>
    <t>749685103</t>
  </si>
  <si>
    <t>SAIA INC</t>
  </si>
  <si>
    <t>78709Y105</t>
  </si>
  <si>
    <t>SALESFORCE INC</t>
  </si>
  <si>
    <t>79466L302</t>
  </si>
  <si>
    <t>SANFILIPPO JOHN B &amp; SON INC</t>
  </si>
  <si>
    <t>800422107</t>
  </si>
  <si>
    <t>SCANSOURCE INC</t>
  </si>
  <si>
    <t>806037107</t>
  </si>
  <si>
    <t>SCHOLASTIC CORP</t>
  </si>
  <si>
    <t>807066105</t>
  </si>
  <si>
    <t>SCHRODINGER INC</t>
  </si>
  <si>
    <t>80810D103</t>
  </si>
  <si>
    <t>SEABRIDGE GOLD INC</t>
  </si>
  <si>
    <t>811916105</t>
  </si>
  <si>
    <t>SEMRUSH HLDGS INC</t>
  </si>
  <si>
    <t>81686C104</t>
  </si>
  <si>
    <t>SERVICE CORP INTL</t>
  </si>
  <si>
    <t>817565104</t>
  </si>
  <si>
    <t>SHOE CARNIVAL INC</t>
  </si>
  <si>
    <t>824889109</t>
  </si>
  <si>
    <t>SPECTRUM BRANDS HLDGS INC NE</t>
  </si>
  <si>
    <t>84790A105</t>
  </si>
  <si>
    <t>STANDEX INTL CORP</t>
  </si>
  <si>
    <t>854231107</t>
  </si>
  <si>
    <t>SYNOVUS FINL CORP</t>
  </si>
  <si>
    <t>87161C501</t>
  </si>
  <si>
    <t>TAPESTRY INC</t>
  </si>
  <si>
    <t>876030107</t>
  </si>
  <si>
    <t>TARGA RES CORP</t>
  </si>
  <si>
    <t>87612G101</t>
  </si>
  <si>
    <t>TECK RESOURCES LTD</t>
  </si>
  <si>
    <t>878742204</t>
  </si>
  <si>
    <t>THERMO FISHER SCIENTIFIC INC</t>
  </si>
  <si>
    <t>883556102</t>
  </si>
  <si>
    <t>TRIMBLE INC</t>
  </si>
  <si>
    <t>896239100</t>
  </si>
  <si>
    <t>ULTRA CLEAN HLDGS INC</t>
  </si>
  <si>
    <t>90385V107</t>
  </si>
  <si>
    <t>UNDER ARMOUR INC</t>
  </si>
  <si>
    <t>904311107</t>
  </si>
  <si>
    <t>UNION PAC CORP</t>
  </si>
  <si>
    <t>907818108</t>
  </si>
  <si>
    <t>V2X INC</t>
  </si>
  <si>
    <t>92242T101</t>
  </si>
  <si>
    <t>VEEVA SYS INC</t>
  </si>
  <si>
    <t>922475108</t>
  </si>
  <si>
    <t>VERALTO CORP</t>
  </si>
  <si>
    <t>92338C103</t>
  </si>
  <si>
    <t>VONTIER CORPORATION</t>
  </si>
  <si>
    <t>928881101</t>
  </si>
  <si>
    <t>VSE CORP</t>
  </si>
  <si>
    <t>918284100</t>
  </si>
  <si>
    <t>W &amp; T OFFSHORE INC</t>
  </si>
  <si>
    <t>92922P106</t>
  </si>
  <si>
    <t>WALKER &amp; DUNLOP INC</t>
  </si>
  <si>
    <t>93148P102</t>
  </si>
  <si>
    <t>ZUMIEZ INC</t>
  </si>
  <si>
    <t>989817101</t>
  </si>
  <si>
    <t>cusip</t>
    <phoneticPr fontId="1"/>
  </si>
  <si>
    <t>Add a sheets "2024-09-30"  from EDGAR infotable.xml Filing Date 2024-11-14
Add column "2024/9/30" to sheet "ALL" in Excel
Sorted in ascending order by CUSIP.</t>
    <phoneticPr fontId="1"/>
  </si>
  <si>
    <t>Add a sheets "2024-12-31"  from EDGAR infotable.xml Filing Date 2025-02-14
Add column "2024/12/31" to sheet "ALL" in Excel
Sorted in ascending order by CUSIP.</t>
    <phoneticPr fontId="1"/>
  </si>
  <si>
    <t>Add a sheets "2025-03-31"  from EDGAR infotable.xml Filing Date 2025-05-15
Add column "2025/03/31" to sheet "ALL" in Excel
Sorted in ascending order by CUSIP.</t>
    <phoneticPr fontId="1"/>
  </si>
  <si>
    <t>Add a sheets "2025-06-30"  from EDGAR infotable.xml Filing Date 2025-08-14
Add column "2025/06/30" to sheet "ALL" in Excel
Sorted in ascending order by CUSIP.</t>
    <phoneticPr fontId="1"/>
  </si>
  <si>
    <t>022671101</t>
  </si>
  <si>
    <t>AMALGAMATED FINANCIAL CORP</t>
  </si>
  <si>
    <t>ELEVANCE HEALTH INC FORMERLY</t>
  </si>
  <si>
    <t>041242108</t>
  </si>
  <si>
    <t>ARKO CORP</t>
  </si>
  <si>
    <t>060505104</t>
  </si>
  <si>
    <t>BANK AMERICA CORP</t>
  </si>
  <si>
    <t>062540109</t>
  </si>
  <si>
    <t>BANK HAWAII CORP</t>
  </si>
  <si>
    <t>101137107</t>
  </si>
  <si>
    <t>BOSTON SCIENTIFIC CORP</t>
  </si>
  <si>
    <t>124411109</t>
  </si>
  <si>
    <t>BYLINE BANCORP INC</t>
  </si>
  <si>
    <t>127190304</t>
  </si>
  <si>
    <t>CACI INTL INC</t>
  </si>
  <si>
    <t>131193104</t>
  </si>
  <si>
    <t>TOPGOLF CALLAWAY BRANDS CORP</t>
  </si>
  <si>
    <t>156727109</t>
  </si>
  <si>
    <t>CERENCE INC</t>
  </si>
  <si>
    <t>221006109</t>
  </si>
  <si>
    <t>CORVEL CORP</t>
  </si>
  <si>
    <t>235825205</t>
  </si>
  <si>
    <t>DANA INC</t>
  </si>
  <si>
    <t>258278100</t>
  </si>
  <si>
    <t>DORMAN PRODS INC</t>
  </si>
  <si>
    <t>260003108</t>
  </si>
  <si>
    <t>DOVER CORP</t>
  </si>
  <si>
    <t>267475101</t>
  </si>
  <si>
    <t>DYCOM INDS INC</t>
  </si>
  <si>
    <t>300426103</t>
  </si>
  <si>
    <t>EVERUS CONSTR GROUP</t>
  </si>
  <si>
    <t>317585404</t>
  </si>
  <si>
    <t>FINANCIAL INSTNS INC</t>
  </si>
  <si>
    <t>320209109</t>
  </si>
  <si>
    <t>FIRST FINL BANCORP OH</t>
  </si>
  <si>
    <t>337738108</t>
  </si>
  <si>
    <t>FISERV INC</t>
  </si>
  <si>
    <t>346375108</t>
  </si>
  <si>
    <t>FORMFACTOR INC</t>
  </si>
  <si>
    <t>379577208</t>
  </si>
  <si>
    <t>GLOBUS MED INC</t>
  </si>
  <si>
    <t>384109104</t>
  </si>
  <si>
    <t>GRACO INC</t>
  </si>
  <si>
    <t>404251100</t>
  </si>
  <si>
    <t>HNI CORP</t>
  </si>
  <si>
    <t>438516106</t>
  </si>
  <si>
    <t>HONEYWELL INTL INC</t>
  </si>
  <si>
    <t>451051106</t>
  </si>
  <si>
    <t>IBOTTA INC</t>
  </si>
  <si>
    <t>CLASS A COM SHS</t>
  </si>
  <si>
    <t>457730109</t>
  </si>
  <si>
    <t>INSPIRE MED SYS INC</t>
  </si>
  <si>
    <t>465741106</t>
  </si>
  <si>
    <t>ITRON INC</t>
  </si>
  <si>
    <t>501270102</t>
  </si>
  <si>
    <t>KURA SUSHI USA INC</t>
  </si>
  <si>
    <t>511656100</t>
  </si>
  <si>
    <t>LAKELAND FINL CORP</t>
  </si>
  <si>
    <t>512807306</t>
  </si>
  <si>
    <t>LAM RESEARCH CORP</t>
  </si>
  <si>
    <t>513272104</t>
  </si>
  <si>
    <t>LAMB WESTON HLDGS INC</t>
  </si>
  <si>
    <t>515098101</t>
  </si>
  <si>
    <t>LANDSTAR SYS INC</t>
  </si>
  <si>
    <t>516544103</t>
  </si>
  <si>
    <t>LANTHEUS HLDGS INC</t>
  </si>
  <si>
    <t>532206109</t>
  </si>
  <si>
    <t>LIFE360 INC</t>
  </si>
  <si>
    <t>573075108</t>
  </si>
  <si>
    <t>MARTEN TRANS LTD</t>
  </si>
  <si>
    <t>579780206</t>
  </si>
  <si>
    <t>MCCORMICK &amp; CO INC</t>
  </si>
  <si>
    <t>COM NON VTG</t>
  </si>
  <si>
    <t>597742105</t>
  </si>
  <si>
    <t>MIDLAND STATES BANCORP INC</t>
  </si>
  <si>
    <t>617700109</t>
  </si>
  <si>
    <t>MORNINGSTAR INC</t>
  </si>
  <si>
    <t>628778102</t>
  </si>
  <si>
    <t>NBT BANCORP INC</t>
  </si>
  <si>
    <t>667340103</t>
  </si>
  <si>
    <t>NORTHWEST BANCSHARES INC MD</t>
  </si>
  <si>
    <t>671044105</t>
  </si>
  <si>
    <t>OSI SYSTEMS INC</t>
  </si>
  <si>
    <t>682680103</t>
  </si>
  <si>
    <t>ONEOK INC NEW</t>
  </si>
  <si>
    <t>693282105</t>
  </si>
  <si>
    <t>PDF SOLUTIONS INC</t>
  </si>
  <si>
    <t>704699107</t>
  </si>
  <si>
    <t>PEAPACK-GLADSTONE FINL CORP</t>
  </si>
  <si>
    <t>706915105</t>
  </si>
  <si>
    <t>709789101</t>
  </si>
  <si>
    <t>PEOPLES BANCORP INC</t>
  </si>
  <si>
    <t>743315103</t>
  </si>
  <si>
    <t>PROGRESSIVE CORP</t>
  </si>
  <si>
    <t>743606105</t>
  </si>
  <si>
    <t>PROSPERITY BANCSHARES INC</t>
  </si>
  <si>
    <t>747525103</t>
  </si>
  <si>
    <t>QUALCOMM INC</t>
  </si>
  <si>
    <t>759351604</t>
  </si>
  <si>
    <t>REINSURANCE GRP OF AMERICA I</t>
  </si>
  <si>
    <t>760759100</t>
  </si>
  <si>
    <t>REPUBLIC SVCS INC</t>
  </si>
  <si>
    <t>773121108</t>
  </si>
  <si>
    <t>ROCKET LAB CORP</t>
  </si>
  <si>
    <t>781154109</t>
  </si>
  <si>
    <t>RUBRIK INC.</t>
  </si>
  <si>
    <t>828730200</t>
  </si>
  <si>
    <t>SIMMONS 1ST NATL CORP</t>
  </si>
  <si>
    <t>CL A $1 PAR</t>
  </si>
  <si>
    <t>829214105</t>
  </si>
  <si>
    <t>SIMULATIONS PLUS INC</t>
  </si>
  <si>
    <t>853666105</t>
  </si>
  <si>
    <t>STANDARD MTR PRODS INC</t>
  </si>
  <si>
    <t>860372101</t>
  </si>
  <si>
    <t>STEWART INFORMATION SVCS COR</t>
  </si>
  <si>
    <t>860630102</t>
  </si>
  <si>
    <t>STIFEL FINL CORP</t>
  </si>
  <si>
    <t>892672106</t>
  </si>
  <si>
    <t>TRADEWEB MKTS INC</t>
  </si>
  <si>
    <t>911549103</t>
  </si>
  <si>
    <t>UNITED STATES ANTIMONY CORP</t>
  </si>
  <si>
    <t>925550105</t>
  </si>
  <si>
    <t>VIAVI SOLUTIONS INC</t>
  </si>
  <si>
    <t>929328102</t>
  </si>
  <si>
    <t>WSFS FINL CORP</t>
  </si>
  <si>
    <t>941848103</t>
  </si>
  <si>
    <t>WATERS CORP</t>
  </si>
  <si>
    <t>950810101</t>
  </si>
  <si>
    <t>WESBANCO INC</t>
  </si>
  <si>
    <t>969457100</t>
  </si>
  <si>
    <t>WILLIAMS COS INC</t>
  </si>
  <si>
    <t>974637100</t>
  </si>
  <si>
    <t>WINNEBAGO INDS INC</t>
  </si>
  <si>
    <t>981475106</t>
  </si>
  <si>
    <t>WORLD KINECT CORPORATION</t>
  </si>
  <si>
    <t>98422E103</t>
  </si>
  <si>
    <t>XERIS BIOPHARMA HOLDINGS INC</t>
  </si>
  <si>
    <t>00108J109</t>
  </si>
  <si>
    <t>ACM RESH INC</t>
  </si>
  <si>
    <t>00182C103</t>
  </si>
  <si>
    <t>ANI PHARMACEUTICALS INC</t>
  </si>
  <si>
    <t>00770C101</t>
  </si>
  <si>
    <t>ARQ INC</t>
  </si>
  <si>
    <t>03214Q108</t>
  </si>
  <si>
    <t>AMPRIUS TECHNOLOGIES INC</t>
  </si>
  <si>
    <t>03237H101</t>
  </si>
  <si>
    <t>AMYLYX PHARMACEUTICALS INC</t>
  </si>
  <si>
    <t>03743Q108</t>
  </si>
  <si>
    <t>APA CORPORATION</t>
  </si>
  <si>
    <t>03957W106</t>
  </si>
  <si>
    <t>ARCHROCK INC</t>
  </si>
  <si>
    <t>05356F105</t>
  </si>
  <si>
    <t>AVEANNA HEALTHCARE HLDGS INC</t>
  </si>
  <si>
    <t>05508R106</t>
  </si>
  <si>
    <t>B &amp; G FOODS INC NEW</t>
  </si>
  <si>
    <t>05561Q201</t>
  </si>
  <si>
    <t>BOK FINL CORP</t>
  </si>
  <si>
    <t>05589G102</t>
  </si>
  <si>
    <t>THE BALDWIN INSURANCE GRP IN</t>
  </si>
  <si>
    <t>06417N103</t>
  </si>
  <si>
    <t>BANK OZK LITTLE ROCK ARK</t>
  </si>
  <si>
    <t>08160H101</t>
  </si>
  <si>
    <t>BENCHMARK ELECTRS INC</t>
  </si>
  <si>
    <t>12468P104</t>
  </si>
  <si>
    <t>C3 AI INC</t>
  </si>
  <si>
    <t>12618T105</t>
  </si>
  <si>
    <t>CRA INTL INC</t>
  </si>
  <si>
    <t>14149Y108</t>
  </si>
  <si>
    <t>CARDINAL HEALTH INC</t>
  </si>
  <si>
    <t>16679L109</t>
  </si>
  <si>
    <t>CHEWY INC</t>
  </si>
  <si>
    <t>23345M107</t>
  </si>
  <si>
    <t>DT MIDSTREAM INC</t>
  </si>
  <si>
    <t>23834J201</t>
  </si>
  <si>
    <t>DAVE INC</t>
  </si>
  <si>
    <t>CLASS A COM NEW</t>
  </si>
  <si>
    <t>29258Y103</t>
  </si>
  <si>
    <t>ENDEAVOUR SILVER CORP</t>
  </si>
  <si>
    <t>29357K103</t>
  </si>
  <si>
    <t>ENOVA INTL INC</t>
  </si>
  <si>
    <t>29415C101</t>
  </si>
  <si>
    <t>EOS ENERGY ENTERPRISES INC</t>
  </si>
  <si>
    <t>29970N104</t>
  </si>
  <si>
    <t>EVE HLDG INC</t>
  </si>
  <si>
    <t>31946M103</t>
  </si>
  <si>
    <t>FIRST CTZNS BANCSHARES INC D</t>
  </si>
  <si>
    <t>32055Y201</t>
  </si>
  <si>
    <t>FIRST INTST BANCSYSTEM INC</t>
  </si>
  <si>
    <t>35137L105</t>
  </si>
  <si>
    <t>FOX CORP</t>
  </si>
  <si>
    <t>35138V102</t>
  </si>
  <si>
    <t>FOX FACTORY HLDG CORP</t>
  </si>
  <si>
    <t>37611X209</t>
  </si>
  <si>
    <t>38526M106</t>
  </si>
  <si>
    <t>GRAND CANYON ED INC</t>
  </si>
  <si>
    <t>39813G109</t>
  </si>
  <si>
    <t>GRID DYNAMICS HLDGS INC</t>
  </si>
  <si>
    <t>40171V100</t>
  </si>
  <si>
    <t>GUIDEWIRE SOFTWARE INC</t>
  </si>
  <si>
    <t>42222N103</t>
  </si>
  <si>
    <t>HEALTHSTREAM INC</t>
  </si>
  <si>
    <t>42330P107</t>
  </si>
  <si>
    <t>HELIX ENERGY SOLUTIONS GRP I</t>
  </si>
  <si>
    <t>43289P106</t>
  </si>
  <si>
    <t>HIMAX TECHNOLOGIES INC</t>
  </si>
  <si>
    <t>44951W106</t>
  </si>
  <si>
    <t>IES HLDGS INC</t>
  </si>
  <si>
    <t>45765U103</t>
  </si>
  <si>
    <t>INSIGHT ENTERPRISES INC</t>
  </si>
  <si>
    <t>45778Q107</t>
  </si>
  <si>
    <t>INSPERITY INC</t>
  </si>
  <si>
    <t>48282T104</t>
  </si>
  <si>
    <t>KADANT INC</t>
  </si>
  <si>
    <t>49456B101</t>
  </si>
  <si>
    <t>KINDER MORGAN INC DEL</t>
  </si>
  <si>
    <t>53635D202</t>
  </si>
  <si>
    <t>LIQUIDIA CORPORATION</t>
  </si>
  <si>
    <t>57686G105</t>
  </si>
  <si>
    <t>MATSON INC</t>
  </si>
  <si>
    <t>59064R109</t>
  </si>
  <si>
    <t>MESA LABS INC</t>
  </si>
  <si>
    <t>59516C106</t>
  </si>
  <si>
    <t>MICROVAST HOLDINGS INC</t>
  </si>
  <si>
    <t>60871R209</t>
  </si>
  <si>
    <t>MOLSON COORS BEVERAGE CO</t>
  </si>
  <si>
    <t>61174X109</t>
  </si>
  <si>
    <t>MONSTER BEVERAGE CORP NEW</t>
  </si>
  <si>
    <t>64361Q101</t>
  </si>
  <si>
    <t>VIPER ENERGY INC</t>
  </si>
  <si>
    <t>68902V107</t>
  </si>
  <si>
    <t>OTIS WORLDWIDE CORP</t>
  </si>
  <si>
    <t>74347M108</t>
  </si>
  <si>
    <t>PROPETRO HLDG CORP</t>
  </si>
  <si>
    <t>74467Q103</t>
  </si>
  <si>
    <t>PUBMATIC INC</t>
  </si>
  <si>
    <t>74736K101</t>
  </si>
  <si>
    <t>QORVO INC</t>
  </si>
  <si>
    <t>74969N103</t>
  </si>
  <si>
    <t>RLX TECHNOLOGY INC</t>
  </si>
  <si>
    <t>75524B104</t>
  </si>
  <si>
    <t>RBC BEARINGS INC</t>
  </si>
  <si>
    <t>75700L108</t>
  </si>
  <si>
    <t>RED ROCK RESORTS INC</t>
  </si>
  <si>
    <t>75734B100</t>
  </si>
  <si>
    <t>REDDIT INC</t>
  </si>
  <si>
    <t>78137L105</t>
  </si>
  <si>
    <t>RUMBLE INC</t>
  </si>
  <si>
    <t>78349D107</t>
  </si>
  <si>
    <t>RXSIGHT INC</t>
  </si>
  <si>
    <t>83410S108</t>
  </si>
  <si>
    <t>SOHU COM LTD</t>
  </si>
  <si>
    <t>83570H108</t>
  </si>
  <si>
    <t>SONOS INC</t>
  </si>
  <si>
    <t>86272C103</t>
  </si>
  <si>
    <t>STRATEGIC ED INC</t>
  </si>
  <si>
    <t>88023B103</t>
  </si>
  <si>
    <t>TEMPUS AI INC</t>
  </si>
  <si>
    <t>88023U101</t>
  </si>
  <si>
    <t>SOMNIGROUP INTERNATIONAL INC</t>
  </si>
  <si>
    <t>88033G407</t>
  </si>
  <si>
    <t>TENET HEALTHCARE CORP</t>
  </si>
  <si>
    <t>88080T104</t>
  </si>
  <si>
    <t>TERAWULF INC</t>
  </si>
  <si>
    <t>88362T103</t>
  </si>
  <si>
    <t>THERMON GROUP HLDGS INC</t>
  </si>
  <si>
    <t>90278Q108</t>
  </si>
  <si>
    <t>UFP INDUSTRIES INC</t>
  </si>
  <si>
    <t>91347P105</t>
  </si>
  <si>
    <t>UNIVERSAL DISPLAY CORP</t>
  </si>
  <si>
    <t>91529Y106</t>
  </si>
  <si>
    <t>UNUM GROUP</t>
  </si>
  <si>
    <t>94106B101</t>
  </si>
  <si>
    <t>WASTE CONNECTIONS INC</t>
  </si>
  <si>
    <t>94106L109</t>
  </si>
  <si>
    <t>WASTE MGMT INC DEL</t>
  </si>
  <si>
    <t>97717P104</t>
  </si>
  <si>
    <t>WISDOMTREE INC</t>
  </si>
  <si>
    <t>98421M106</t>
  </si>
  <si>
    <t>XEROX HOLDINGS CORP</t>
  </si>
  <si>
    <t>98423F109</t>
  </si>
  <si>
    <t>XOMETRY INC</t>
  </si>
  <si>
    <t>G0450A105</t>
  </si>
  <si>
    <t>ARCH CAP GROUP LTD</t>
  </si>
  <si>
    <t>G29687103</t>
  </si>
  <si>
    <t>AVADEL PHARMACEUTICALS PLC</t>
  </si>
  <si>
    <t>G4740B105</t>
  </si>
  <si>
    <t>ICHOR HOLDINGS</t>
  </si>
  <si>
    <t>G4766E116</t>
  </si>
  <si>
    <t>INDIVIOR PLC</t>
  </si>
  <si>
    <t>G8807B106</t>
  </si>
  <si>
    <t>THERAVANCE BIOPHARMA INC</t>
  </si>
  <si>
    <t>G93A5A101</t>
  </si>
  <si>
    <t>VIKING HOLDINGS LTD</t>
  </si>
  <si>
    <t>H01301128</t>
  </si>
  <si>
    <t>ALCON AG</t>
  </si>
  <si>
    <t>H50430232</t>
  </si>
  <si>
    <t>LOGITECH INTL S A</t>
  </si>
  <si>
    <t>H8817H100</t>
  </si>
  <si>
    <t>TRANSOCEAN LTD</t>
  </si>
  <si>
    <t>REGISTERED SHS</t>
  </si>
  <si>
    <t>M22465104</t>
  </si>
  <si>
    <t>CHECK POINT SOFTWARE TECH LT</t>
  </si>
  <si>
    <t>M51474118</t>
  </si>
  <si>
    <t>GILAT SATELLITE NETWORKS LTD</t>
  </si>
  <si>
    <t>M5R635108</t>
  </si>
  <si>
    <t>INNOVIZ TECHNOLOGIES LTD</t>
  </si>
  <si>
    <t>M6191J100</t>
  </si>
  <si>
    <t>JFROG LTD</t>
  </si>
  <si>
    <t>N0731H103</t>
  </si>
  <si>
    <t>ATAI LIFE SCIENCES NV</t>
  </si>
  <si>
    <t>Q4982L109</t>
  </si>
  <si>
    <t>IREN LIMITED</t>
  </si>
  <si>
    <t>Add a sheets "2025-09-30"  from EDGAR infotable.xml Filing Date 2025-11-14
Add column "2025/09/30" to sheet "ALL" in Excel
Sorted in ascending order by CUSIP.</t>
    <phoneticPr fontId="1"/>
  </si>
  <si>
    <t>Add a sheets "2025-12-31"  from EDGAR infotable.xml Filing Date 2026-02-17
Add column "2025/12/31" to sheet "ALL" in Excel
Sorted in ascending order by CUSIP.</t>
    <phoneticPr fontId="1"/>
  </si>
  <si>
    <t>ACUITY INC</t>
  </si>
  <si>
    <t>00508Y102</t>
  </si>
  <si>
    <t>ADDUS HOMECARE CORP</t>
  </si>
  <si>
    <t>006739106</t>
  </si>
  <si>
    <t>AEROVIRONMENT INC</t>
  </si>
  <si>
    <t>008073108</t>
  </si>
  <si>
    <t>AFFILIATED MANAGERS GROUP IN</t>
  </si>
  <si>
    <t>008252108</t>
  </si>
  <si>
    <t>ALLISON TRANSMISSION HLDGS I</t>
  </si>
  <si>
    <t>01973R101</t>
  </si>
  <si>
    <t>AMDOCS LTD</t>
  </si>
  <si>
    <t>G02602103</t>
  </si>
  <si>
    <t>AMERIPRISE FINL INC</t>
  </si>
  <si>
    <t>03076C106</t>
  </si>
  <si>
    <t>APPLE INC</t>
  </si>
  <si>
    <t>037833100</t>
  </si>
  <si>
    <t>AQUESTIVE THERAPEUTICS INC</t>
  </si>
  <si>
    <t>03843E104</t>
  </si>
  <si>
    <t>ARDENT HEALTH INC</t>
  </si>
  <si>
    <t>03980N107</t>
  </si>
  <si>
    <t>ARHAUS INC</t>
  </si>
  <si>
    <t>04035M102</t>
  </si>
  <si>
    <t>ARIS MNG CORP</t>
  </si>
  <si>
    <t>04040Y109</t>
  </si>
  <si>
    <t>ARLO TECHNOLOGIES INC</t>
  </si>
  <si>
    <t>04206A101</t>
  </si>
  <si>
    <t>ARTERIS INC</t>
  </si>
  <si>
    <t>04302A104</t>
  </si>
  <si>
    <t>AVIENT CORPORATION</t>
  </si>
  <si>
    <t>05368V106</t>
  </si>
  <si>
    <t>BATH &amp; BODY WORKS INC</t>
  </si>
  <si>
    <t>070830104</t>
  </si>
  <si>
    <t>BENTLEY SYS INC</t>
  </si>
  <si>
    <t>COM CL B</t>
  </si>
  <si>
    <t>08265T208</t>
  </si>
  <si>
    <t>BETA BIONICS INC</t>
  </si>
  <si>
    <t>08659B102</t>
  </si>
  <si>
    <t>BKV CORP</t>
  </si>
  <si>
    <t>05603J108</t>
  </si>
  <si>
    <t>BLUELINX HLDGS INC</t>
  </si>
  <si>
    <t>09624H208</t>
  </si>
  <si>
    <t>CABLE ONE INC</t>
  </si>
  <si>
    <t>12685J105</t>
  </si>
  <si>
    <t>CALUMET INC</t>
  </si>
  <si>
    <t>131428104</t>
  </si>
  <si>
    <t>CAMPING WORLD HLDGS INC</t>
  </si>
  <si>
    <t>13462K109</t>
  </si>
  <si>
    <t>CASEYS GEN STORES INC</t>
  </si>
  <si>
    <t>147528103</t>
  </si>
  <si>
    <t>CENOVUS ENERGY INC</t>
  </si>
  <si>
    <t>15135U109</t>
  </si>
  <si>
    <t>CENTRAL PAC FINL CORP</t>
  </si>
  <si>
    <t>154760409</t>
  </si>
  <si>
    <t>CHEESECAKE FACTORY INC</t>
  </si>
  <si>
    <t>163072101</t>
  </si>
  <si>
    <t>CIENA CORP</t>
  </si>
  <si>
    <t>171779309</t>
  </si>
  <si>
    <t>CITY HLDG CO</t>
  </si>
  <si>
    <t>177835105</t>
  </si>
  <si>
    <t>CLEAN ENERGY FUELS CORP</t>
  </si>
  <si>
    <t>184499101</t>
  </si>
  <si>
    <t>CNX RES CORP</t>
  </si>
  <si>
    <t>12653C108</t>
  </si>
  <si>
    <t>COASTAL FINL CORP WA</t>
  </si>
  <si>
    <t>19046P209</t>
  </si>
  <si>
    <t>COLUMBIA FINL INC</t>
  </si>
  <si>
    <t>197641103</t>
  </si>
  <si>
    <t>COLUMBIA SPORTSWEAR CO</t>
  </si>
  <si>
    <t>198516106</t>
  </si>
  <si>
    <t>COSTAR GROUP INC</t>
  </si>
  <si>
    <t>22160N109</t>
  </si>
  <si>
    <t>COVENANT LOGISTICS GROUP INC</t>
  </si>
  <si>
    <t>22284P105</t>
  </si>
  <si>
    <t>CTS CORP</t>
  </si>
  <si>
    <t>126501105</t>
  </si>
  <si>
    <t>CURTISS WRIGHT CORP</t>
  </si>
  <si>
    <t>231561101</t>
  </si>
  <si>
    <t>DIVERSIFIED ENERGY CO</t>
  </si>
  <si>
    <t>25520W107</t>
  </si>
  <si>
    <t>DOCUSIGN INC</t>
  </si>
  <si>
    <t>256163106</t>
  </si>
  <si>
    <t>DOLLAR TREE INC</t>
  </si>
  <si>
    <t>256746108</t>
  </si>
  <si>
    <t>DOMINOS PIZZA INC</t>
  </si>
  <si>
    <t>25754A201</t>
  </si>
  <si>
    <t>DXP ENTERPRISES INC</t>
  </si>
  <si>
    <t>233377407</t>
  </si>
  <si>
    <t>EATON CORP PLC</t>
  </si>
  <si>
    <t>G29183103</t>
  </si>
  <si>
    <t>ELBIT SYS LTD</t>
  </si>
  <si>
    <t>M3760D101</t>
  </si>
  <si>
    <t>EMCOR GROUP INC</t>
  </si>
  <si>
    <t>29084Q100</t>
  </si>
  <si>
    <t>ENCOMPASS HEALTH CORP</t>
  </si>
  <si>
    <t>29261A100</t>
  </si>
  <si>
    <t>ENERPAC TOOL GROUP CORP</t>
  </si>
  <si>
    <t>292765104</t>
  </si>
  <si>
    <t>FIRST HAWAIIAN INC</t>
  </si>
  <si>
    <t>32051X108</t>
  </si>
  <si>
    <t>FIRST MERCHANTS CORP</t>
  </si>
  <si>
    <t>320817109</t>
  </si>
  <si>
    <t>FLOWSERVE CORP</t>
  </si>
  <si>
    <t>34354P105</t>
  </si>
  <si>
    <t>FLUENCE ENERGY INC</t>
  </si>
  <si>
    <t>34379V103</t>
  </si>
  <si>
    <t>FLUOR CORP NEW</t>
  </si>
  <si>
    <t>343412102</t>
  </si>
  <si>
    <t>FLYWIRE CORPORATION</t>
  </si>
  <si>
    <t>COM VTG</t>
  </si>
  <si>
    <t>302492103</t>
  </si>
  <si>
    <t>GALLAGHER ARTHUR J &amp; CO</t>
  </si>
  <si>
    <t>363576109</t>
  </si>
  <si>
    <t>GRANITE RIDGE RESOURCES INC</t>
  </si>
  <si>
    <t>387432107</t>
  </si>
  <si>
    <t>GREAT LAKES DREDGE &amp; DOCK CO</t>
  </si>
  <si>
    <t>390607109</t>
  </si>
  <si>
    <t>HEARTLAND EXPRESS INC</t>
  </si>
  <si>
    <t>422347104</t>
  </si>
  <si>
    <t>HELLO GROUP INC</t>
  </si>
  <si>
    <t>423403104</t>
  </si>
  <si>
    <t>HIMALAYA SHIPPING LTD</t>
  </si>
  <si>
    <t>G4660A103</t>
  </si>
  <si>
    <t>HOME BANCSHARES INC</t>
  </si>
  <si>
    <t>436893200</t>
  </si>
  <si>
    <t>HYATT HOTELS CORP</t>
  </si>
  <si>
    <t>448579102</t>
  </si>
  <si>
    <t>INTERACTIVE BROKERS GROUP IN</t>
  </si>
  <si>
    <t>45841N107</t>
  </si>
  <si>
    <t>J &amp; J SNACK FOODS CORP</t>
  </si>
  <si>
    <t>466032109</t>
  </si>
  <si>
    <t>KIRBY CORP</t>
  </si>
  <si>
    <t>497266106</t>
  </si>
  <si>
    <t>KNOWLES CORP</t>
  </si>
  <si>
    <t>49926D109</t>
  </si>
  <si>
    <t>KOSMOS ENERGY LTD</t>
  </si>
  <si>
    <t>500688106</t>
  </si>
  <si>
    <t>LEMAITRE VASCULAR INC</t>
  </si>
  <si>
    <t>525558201</t>
  </si>
  <si>
    <t>LEONARDO DRS INC</t>
  </si>
  <si>
    <t>52661A108</t>
  </si>
  <si>
    <t>COM LBTY ONE S C</t>
  </si>
  <si>
    <t>531229755</t>
  </si>
  <si>
    <t>LUXEXPERIENCE BV</t>
  </si>
  <si>
    <t>55406W103</t>
  </si>
  <si>
    <t>MADISON SQUARE GARDEN ENTMT</t>
  </si>
  <si>
    <t>558256103</t>
  </si>
  <si>
    <t>MAMAS CREATIONS INC</t>
  </si>
  <si>
    <t>56146T103</t>
  </si>
  <si>
    <t>MERCHANTS BANCORP IND</t>
  </si>
  <si>
    <t>58844R108</t>
  </si>
  <si>
    <t>MICROVISION INC DEL</t>
  </si>
  <si>
    <t>594960304</t>
  </si>
  <si>
    <t>MIDDLEBY CORP</t>
  </si>
  <si>
    <t>596278101</t>
  </si>
  <si>
    <t>MILLICOM INTL CELLULAR S A</t>
  </si>
  <si>
    <t>L6388F110</t>
  </si>
  <si>
    <t>MINERALS TECHNOLOGIES INC</t>
  </si>
  <si>
    <t>603158106</t>
  </si>
  <si>
    <t>NATURAL GROCERS BY VITAMIN C</t>
  </si>
  <si>
    <t>63888U108</t>
  </si>
  <si>
    <t>NETAPP INC</t>
  </si>
  <si>
    <t>64110D104</t>
  </si>
  <si>
    <t>NEUROPACE INC</t>
  </si>
  <si>
    <t>641288105</t>
  </si>
  <si>
    <t>NOVOCURE LTD</t>
  </si>
  <si>
    <t>G6674U108</t>
  </si>
  <si>
    <t>NVENT ELECTRIC PLC</t>
  </si>
  <si>
    <t>G6700G107</t>
  </si>
  <si>
    <t>OCCIDENTAL PETE CORP</t>
  </si>
  <si>
    <t>674599105</t>
  </si>
  <si>
    <t>OKEANIS ECO TANKERS COR</t>
  </si>
  <si>
    <t>Y64177101</t>
  </si>
  <si>
    <t>ORACLE CORP</t>
  </si>
  <si>
    <t>68389X105</t>
  </si>
  <si>
    <t>ORASURE TECHNOLOGIES INC</t>
  </si>
  <si>
    <t>68554V108</t>
  </si>
  <si>
    <t>PANGAEA LOGISTICS SOLUTION L</t>
  </si>
  <si>
    <t>G6891L105</t>
  </si>
  <si>
    <t>PATHWARD FINANCIAL INC</t>
  </si>
  <si>
    <t>59100U108</t>
  </si>
  <si>
    <t>PC CONNECTION INC</t>
  </si>
  <si>
    <t>69318J100</t>
  </si>
  <si>
    <t>PENSKE AUTOMOTIVE GRP INC</t>
  </si>
  <si>
    <t>70959W103</t>
  </si>
  <si>
    <t>PIPER SANDLER COMPANIES</t>
  </si>
  <si>
    <t>724078100</t>
  </si>
  <si>
    <t>PLUG POWER INC</t>
  </si>
  <si>
    <t>72919P202</t>
  </si>
  <si>
    <t>POLARIS INC</t>
  </si>
  <si>
    <t>731068102</t>
  </si>
  <si>
    <t>PORCH GROUP INC</t>
  </si>
  <si>
    <t>733245104</t>
  </si>
  <si>
    <t>POWELL INDS INC</t>
  </si>
  <si>
    <t>739128106</t>
  </si>
  <si>
    <t>PRIMO BRANDS CORPORATION</t>
  </si>
  <si>
    <t>741623102</t>
  </si>
  <si>
    <t>Q2 HLDGS INC</t>
  </si>
  <si>
    <t>74736L109</t>
  </si>
  <si>
    <t>RANPAK HOLDINGS CORP</t>
  </si>
  <si>
    <t>75321W103</t>
  </si>
  <si>
    <t>RENAISSANCERE HLDGS LTD</t>
  </si>
  <si>
    <t>G7496G103</t>
  </si>
  <si>
    <t>ROPER TECHNOLOGIES INC</t>
  </si>
  <si>
    <t>776696106</t>
  </si>
  <si>
    <t>RYDER SYS INC</t>
  </si>
  <si>
    <t>783549108</t>
  </si>
  <si>
    <t>SANDISK CORP</t>
  </si>
  <si>
    <t>80004C200</t>
  </si>
  <si>
    <t>SAVERS VALUE VLG INC</t>
  </si>
  <si>
    <t>80517M109</t>
  </si>
  <si>
    <t>SENSIENT TECHNOLOGIES CORP</t>
  </si>
  <si>
    <t>81725T100</t>
  </si>
  <si>
    <t>SEPTERNA INC</t>
  </si>
  <si>
    <t>81734D104</t>
  </si>
  <si>
    <t>SERVICENOW INC</t>
  </si>
  <si>
    <t>81762P102</t>
  </si>
  <si>
    <t>SILICON MOTION TECHNOLOGY CO</t>
  </si>
  <si>
    <t>82706C108</t>
  </si>
  <si>
    <t>SMITHFIELD FOODS INC</t>
  </si>
  <si>
    <t>832248207</t>
  </si>
  <si>
    <t>SPHERE ENTERTAINMENT CO</t>
  </si>
  <si>
    <t>55826T102</t>
  </si>
  <si>
    <t>SPROUTS FMRS MKT INC</t>
  </si>
  <si>
    <t>85208M102</t>
  </si>
  <si>
    <t>SPX TECHNOLOGIES INC</t>
  </si>
  <si>
    <t>78473E103</t>
  </si>
  <si>
    <t>SUNRUN INC</t>
  </si>
  <si>
    <t>86771W105</t>
  </si>
  <si>
    <t>TABOOLA.COM LTD</t>
  </si>
  <si>
    <t>M8744T106</t>
  </si>
  <si>
    <t>TD SYNNEX CORPORATION</t>
  </si>
  <si>
    <t>87162W100</t>
  </si>
  <si>
    <t>TITAN AMER SA</t>
  </si>
  <si>
    <t>B9151N105</t>
  </si>
  <si>
    <t>TOWNEBANK PORTSMOUTH VA</t>
  </si>
  <si>
    <t>89214P109</t>
  </si>
  <si>
    <t>TYLER TECHNOLOGIES INC</t>
  </si>
  <si>
    <t>902252105</t>
  </si>
  <si>
    <t>UNIVERSAL CORP VA</t>
  </si>
  <si>
    <t>913456109</t>
  </si>
  <si>
    <t>UNIVERSAL HLTH SVCS INC</t>
  </si>
  <si>
    <t>913903100</t>
  </si>
  <si>
    <t>VICTORIAS SECRET AND CO</t>
  </si>
  <si>
    <t>926400102</t>
  </si>
  <si>
    <t>VOYA FINANCIAL INC</t>
  </si>
  <si>
    <t>929089100</t>
  </si>
  <si>
    <t>WATTS WATER TECHNOLOGIES INC</t>
  </si>
  <si>
    <t>942749102</t>
  </si>
  <si>
    <t>WEST FRASER TIMBER CO LTD</t>
  </si>
  <si>
    <t>952845105</t>
  </si>
  <si>
    <t>WESTERN DIGITAL CORP</t>
  </si>
  <si>
    <t>WESTLAKE CORPORATION</t>
  </si>
  <si>
    <t>960413102</t>
  </si>
  <si>
    <t>YETI HLDGS INC</t>
  </si>
  <si>
    <t>98585X104</t>
  </si>
  <si>
    <t>ZIMMER BIOMET HOLDINGS INC</t>
  </si>
  <si>
    <t>98956P102</t>
  </si>
  <si>
    <t>ZIPRECRUITER INC</t>
  </si>
  <si>
    <t>98980B103</t>
  </si>
  <si>
    <t>MYR GROUP INC DEL</t>
    <phoneticPr fontId="1"/>
  </si>
  <si>
    <t>1ST FINL BANCORP</t>
  </si>
  <si>
    <t>3D SYS CORP DEL</t>
  </si>
  <si>
    <t>AAON INC</t>
  </si>
  <si>
    <t>COM PAR $0.004</t>
  </si>
  <si>
    <t>000360206</t>
  </si>
  <si>
    <t>ACUSHNET HLDGS CORP</t>
  </si>
  <si>
    <t>005098108</t>
  </si>
  <si>
    <t>ADVANCED ENERGY INDS</t>
  </si>
  <si>
    <t>007973100</t>
  </si>
  <si>
    <t>AFFILIATED MANAGERS GROUP</t>
  </si>
  <si>
    <t>ALAMOS GOLD INC</t>
  </si>
  <si>
    <t>011532108</t>
  </si>
  <si>
    <t>ALASKA AIR GROUP INC</t>
  </si>
  <si>
    <t>011659109</t>
  </si>
  <si>
    <t>ALTRIA GROUP INC</t>
  </si>
  <si>
    <t>02209S103</t>
  </si>
  <si>
    <t>AMERISAFE INC</t>
  </si>
  <si>
    <t>03071H100</t>
  </si>
  <si>
    <t>ANTERIS TECHNOLOGIES GLOBAL</t>
  </si>
  <si>
    <t>03675P102</t>
  </si>
  <si>
    <t>APOLLO GLOBAL MGMT INC</t>
  </si>
  <si>
    <t>03769M106</t>
  </si>
  <si>
    <t>ARCOSA INC</t>
  </si>
  <si>
    <t>039653100</t>
  </si>
  <si>
    <t>ARIS MINING CORPORATION</t>
  </si>
  <si>
    <t>ASANA INC</t>
  </si>
  <si>
    <t>04342Y104</t>
  </si>
  <si>
    <t>ASSOCIATED BANC-CORP</t>
  </si>
  <si>
    <t>045487105</t>
  </si>
  <si>
    <t>ASTRAZENECA PLC</t>
  </si>
  <si>
    <t>G0593M107</t>
  </si>
  <si>
    <t>AVANTOR INC</t>
  </si>
  <si>
    <t>05352A100</t>
  </si>
  <si>
    <t>B &amp; G FOODS INC</t>
  </si>
  <si>
    <t>BAKER HUGHES COMPANY</t>
  </si>
  <si>
    <t>05722G100</t>
  </si>
  <si>
    <t>BANK MONTREAL MEDIUM</t>
  </si>
  <si>
    <t>BANK NOVA SCOTIA B C</t>
  </si>
  <si>
    <t>BARRETT BUSINESS SVCS INC</t>
  </si>
  <si>
    <t>068463108</t>
  </si>
  <si>
    <t>BARRICK MNG CORP</t>
  </si>
  <si>
    <t>06849F108</t>
  </si>
  <si>
    <t>BERKSHIRE HATHAWAY INC DEL</t>
  </si>
  <si>
    <t>CL B NEW</t>
  </si>
  <si>
    <t>084670702</t>
  </si>
  <si>
    <t>BETTERWARE DE MEXC S A P I D</t>
  </si>
  <si>
    <t>P1666E105</t>
  </si>
  <si>
    <t>BJS RESTAURANTS INC</t>
  </si>
  <si>
    <t>09180C106</t>
  </si>
  <si>
    <t>BLACKBAUD INC</t>
  </si>
  <si>
    <t>09227Q100</t>
  </si>
  <si>
    <t>BLACKROCK INC</t>
  </si>
  <si>
    <t>09290D101</t>
  </si>
  <si>
    <t>BRIGHT HORIZONS FAM SOL IN D</t>
  </si>
  <si>
    <t>109194100</t>
  </si>
  <si>
    <t>BRIGHTVIEW HLDGS INC</t>
  </si>
  <si>
    <t>10948C107</t>
  </si>
  <si>
    <t>BUILDERS FIRSTSOURCE INC</t>
  </si>
  <si>
    <t>12008R107</t>
  </si>
  <si>
    <t>C H ROBINSON WORLDWIDE IN</t>
  </si>
  <si>
    <t>CADRE HLDGS INC</t>
  </si>
  <si>
    <t>12763L105</t>
  </si>
  <si>
    <t>CALERES INC</t>
  </si>
  <si>
    <t>129500104</t>
  </si>
  <si>
    <t>CANADIAN NAT RES LTD MED TER</t>
  </si>
  <si>
    <t>CAPITAL CITY BANK</t>
  </si>
  <si>
    <t>139674105</t>
  </si>
  <si>
    <t>CAPITAL ONE FINL CORP</t>
  </si>
  <si>
    <t>14040H105</t>
  </si>
  <si>
    <t>CAVCO INDS INC DEL</t>
  </si>
  <si>
    <t>149568107</t>
  </si>
  <si>
    <t>CCC INTELLIGENT SOLUTIONS HL</t>
  </si>
  <si>
    <t>12510Q100</t>
  </si>
  <si>
    <t>CELANESE CORP DEL</t>
  </si>
  <si>
    <t>150870103</t>
  </si>
  <si>
    <t>CENTURY COMMUNITIES INC</t>
  </si>
  <si>
    <t>CERIBELL INC</t>
  </si>
  <si>
    <t>15678C102</t>
  </si>
  <si>
    <t>CHOICEONE FINANCIA</t>
  </si>
  <si>
    <t>170386106</t>
  </si>
  <si>
    <t>CHURCH &amp; DWIGHT CO INC</t>
  </si>
  <si>
    <t>171340102</t>
  </si>
  <si>
    <t>CIPHER DIGITAL INC</t>
  </si>
  <si>
    <t>17253J106</t>
  </si>
  <si>
    <t>CLEANSPARK INC</t>
  </si>
  <si>
    <t>18452B209</t>
  </si>
  <si>
    <t>CLEARPOINT NEURO INC</t>
  </si>
  <si>
    <t>18507C103</t>
  </si>
  <si>
    <t>CMB.TECH NV</t>
  </si>
  <si>
    <t>B38564108</t>
  </si>
  <si>
    <t>COCA COLA CO</t>
  </si>
  <si>
    <t>191216100</t>
  </si>
  <si>
    <t>COLGATE PALMOLIVE CO</t>
  </si>
  <si>
    <t>194162103</t>
  </si>
  <si>
    <t>COLONY BANKCORP INC</t>
  </si>
  <si>
    <t>19623P101</t>
  </si>
  <si>
    <t>COMMVAULT SYS INC</t>
  </si>
  <si>
    <t>204166102</t>
  </si>
  <si>
    <t>COMPANIA DE MINAS BUENAVENTU</t>
  </si>
  <si>
    <t>204448104</t>
  </si>
  <si>
    <t>CONTANGO SILVER &amp; GOLD INC</t>
  </si>
  <si>
    <t>21077F100</t>
  </si>
  <si>
    <t>CONTROLADORA VUELA COMP DE A</t>
  </si>
  <si>
    <t>SPON ADR RP 10</t>
  </si>
  <si>
    <t>21240E105</t>
  </si>
  <si>
    <t>CORE NATURAL RESOURCES INC</t>
  </si>
  <si>
    <t>218937100</t>
  </si>
  <si>
    <t>COSTCO WHOLESALE CORPORATION</t>
  </si>
  <si>
    <t>CREDIT ACCEP CORP MICH</t>
  </si>
  <si>
    <t>225310101</t>
  </si>
  <si>
    <t>CUMMINS INC</t>
  </si>
  <si>
    <t>231021106</t>
  </si>
  <si>
    <t>CUSHMAN AND WAKEFIELD LTD</t>
  </si>
  <si>
    <t>G2717C106</t>
  </si>
  <si>
    <t>CUSTOM TRUCK ONE SOURCE INC</t>
  </si>
  <si>
    <t>23204X103</t>
  </si>
  <si>
    <t>DANAHER CORP DEL</t>
  </si>
  <si>
    <t>DARLING INGREDIENTS INC</t>
  </si>
  <si>
    <t>237266101</t>
  </si>
  <si>
    <t>DAUCH CORP</t>
  </si>
  <si>
    <t>DELTA AIR LINES INC</t>
  </si>
  <si>
    <t>DEUTSCHE BK AG</t>
  </si>
  <si>
    <t>DYNATRACE INC</t>
  </si>
  <si>
    <t>268150109</t>
  </si>
  <si>
    <t>E L F BEAUTY INC</t>
  </si>
  <si>
    <t>26856L103</t>
  </si>
  <si>
    <t>EAGLE BANCORPORATION INC</t>
  </si>
  <si>
    <t>EQUIFAX INC</t>
  </si>
  <si>
    <t>294429105</t>
  </si>
  <si>
    <t>ERMENEGILDO ZEGNA N V</t>
  </si>
  <si>
    <t>N30577105</t>
  </si>
  <si>
    <t>ETON PHARMACEUTICALS INC</t>
  </si>
  <si>
    <t>29772L108</t>
  </si>
  <si>
    <t>EVERPURE INC</t>
  </si>
  <si>
    <t>EXLSERVICE HLDGS INC</t>
  </si>
  <si>
    <t>EXPRO GROUP HOLDINGS NV</t>
  </si>
  <si>
    <t>N3144W105</t>
  </si>
  <si>
    <t>F&amp;G ANNUITIES &amp; LIFE INC</t>
  </si>
  <si>
    <t>30190A104</t>
  </si>
  <si>
    <t>FINANCIAL INSTITUTIONS INC</t>
  </si>
  <si>
    <t>FIRST BANCORP CORPORATION</t>
  </si>
  <si>
    <t>FIRST CMNTY CORP S C</t>
  </si>
  <si>
    <t>319835104</t>
  </si>
  <si>
    <t>FIRST NATL CORP VA</t>
  </si>
  <si>
    <t>32106V107</t>
  </si>
  <si>
    <t>FIRST SOLAR INC</t>
  </si>
  <si>
    <t>336433107</t>
  </si>
  <si>
    <t>FIRST WATCH RESTAURANT GROUP</t>
  </si>
  <si>
    <t>33748L101</t>
  </si>
  <si>
    <t>FIRSTSUN CAP BANCORP</t>
  </si>
  <si>
    <t>33767U107</t>
  </si>
  <si>
    <t>FLOTEK INDUSTRIES INC</t>
  </si>
  <si>
    <t>343389409</t>
  </si>
  <si>
    <t>FLUOR CORP</t>
  </si>
  <si>
    <t>FORD MTR CO</t>
  </si>
  <si>
    <t>345370860</t>
  </si>
  <si>
    <t>FORTREA HLDGS INC</t>
  </si>
  <si>
    <t>34965K107</t>
  </si>
  <si>
    <t>FORUM ENERGY TECHNOLOGIES IN</t>
  </si>
  <si>
    <t>34984V209</t>
  </si>
  <si>
    <t>GBANK FINL HLDGS INC</t>
  </si>
  <si>
    <t>36166F100</t>
  </si>
  <si>
    <t>GENERAL MILLS INC</t>
  </si>
  <si>
    <t>370334104</t>
  </si>
  <si>
    <t>378973507</t>
  </si>
  <si>
    <t>GOLD COM INC</t>
  </si>
  <si>
    <t>HACKETT GROUP INC</t>
  </si>
  <si>
    <t>404609109</t>
  </si>
  <si>
    <t>HAMILTON INSURANCE GROUP LTD</t>
  </si>
  <si>
    <t>G42706104</t>
  </si>
  <si>
    <t>HARLEY DAVIDSON INC</t>
  </si>
  <si>
    <t>412822108</t>
  </si>
  <si>
    <t>HAWKINS INC</t>
  </si>
  <si>
    <t>420261109</t>
  </si>
  <si>
    <t>HEALTHEQUITY INC</t>
  </si>
  <si>
    <t>42226A107</t>
  </si>
  <si>
    <t>HINGHAM INSTN SVGS MASS</t>
  </si>
  <si>
    <t>433323102</t>
  </si>
  <si>
    <t>HONEST CO INC</t>
  </si>
  <si>
    <t>438333106</t>
  </si>
  <si>
    <t>HORIZON BANCORP IND</t>
  </si>
  <si>
    <t>HUT 8 CORP</t>
  </si>
  <si>
    <t>44812J104</t>
  </si>
  <si>
    <t>I-80 GOLD CORP</t>
  </si>
  <si>
    <t>44955L106</t>
  </si>
  <si>
    <t>ICON PLC</t>
  </si>
  <si>
    <t>G4705A100</t>
  </si>
  <si>
    <t>IES HOLDINGS INC</t>
  </si>
  <si>
    <t>INGRAM MICRO HLDG CORP</t>
  </si>
  <si>
    <t>457152106</t>
  </si>
  <si>
    <t>INTERNATIONAL BANCSHARES COR</t>
  </si>
  <si>
    <t>459044103</t>
  </si>
  <si>
    <t>INVESTAR HOLDING CORP</t>
  </si>
  <si>
    <t>46134L105</t>
  </si>
  <si>
    <t>INVESTORS TITLE CO NC</t>
  </si>
  <si>
    <t>461804106</t>
  </si>
  <si>
    <t>JEFFERIES FINANCIAL GROUP IN</t>
  </si>
  <si>
    <t>47233W109</t>
  </si>
  <si>
    <t>JPMORGAN CHASE &amp; CO</t>
  </si>
  <si>
    <t>46625H100</t>
  </si>
  <si>
    <t>KAISER ALUMINIUM CORPORATION</t>
  </si>
  <si>
    <t>KB HOME</t>
  </si>
  <si>
    <t>48666K109</t>
  </si>
  <si>
    <t>LATHAM GROUP INC</t>
  </si>
  <si>
    <t>51819L107</t>
  </si>
  <si>
    <t>LAUREATE ED INC</t>
  </si>
  <si>
    <t>518613203</t>
  </si>
  <si>
    <t>LENDINGCLUB ISSUANCE TR SER</t>
  </si>
  <si>
    <t>LGI HOMES INC</t>
  </si>
  <si>
    <t>50187T106</t>
  </si>
  <si>
    <t>LOAR HOLDINGS INC</t>
  </si>
  <si>
    <t>53947R105</t>
  </si>
  <si>
    <t>LSB INDS INC</t>
  </si>
  <si>
    <t>502160104</t>
  </si>
  <si>
    <t>LULULEMON ATHLETICA INC</t>
  </si>
  <si>
    <t>550021109</t>
  </si>
  <si>
    <t>LYONDELLBASELL INDUSTRIES NV</t>
  </si>
  <si>
    <t>MANCHESTER UTD PLC NEW</t>
  </si>
  <si>
    <t>ORD CL A</t>
  </si>
  <si>
    <t>G5784H106</t>
  </si>
  <si>
    <t>MARZETTI COMPANY</t>
  </si>
  <si>
    <t>513847103</t>
  </si>
  <si>
    <t>MAYVILLE ENGR CO INC</t>
  </si>
  <si>
    <t>578605107</t>
  </si>
  <si>
    <t>MDA SPACE LTD</t>
  </si>
  <si>
    <t>55293N109</t>
  </si>
  <si>
    <t>MECHANICS BANCORP</t>
  </si>
  <si>
    <t>43785V102</t>
  </si>
  <si>
    <t>MONGODB INC</t>
  </si>
  <si>
    <t>60937P106</t>
  </si>
  <si>
    <t>MOSAIC CO</t>
  </si>
  <si>
    <t>61945C103</t>
  </si>
  <si>
    <t>NATURAL GAS SVCS GROUP INC</t>
  </si>
  <si>
    <t>63886Q109</t>
  </si>
  <si>
    <t>NATURAL GROCERS BY VITAMIN</t>
  </si>
  <si>
    <t>NCINO INC</t>
  </si>
  <si>
    <t>63947X101</t>
  </si>
  <si>
    <t>NEWTEKONE INC</t>
  </si>
  <si>
    <t>652526203</t>
  </si>
  <si>
    <t>NEXTPOWER INC</t>
  </si>
  <si>
    <t>NORTHWEST BANCSHARES INC</t>
  </si>
  <si>
    <t>OLIN CORP</t>
  </si>
  <si>
    <t>COM PAR $1</t>
  </si>
  <si>
    <t>680665205</t>
  </si>
  <si>
    <t>ONITY GROUP INC</t>
  </si>
  <si>
    <t>675746606</t>
  </si>
  <si>
    <t>OOMA INC</t>
  </si>
  <si>
    <t>683416101</t>
  </si>
  <si>
    <t>OPERA LTD</t>
  </si>
  <si>
    <t>68373M107</t>
  </si>
  <si>
    <t>ORANGE CNTY BANCORP INC</t>
  </si>
  <si>
    <t>68417L107</t>
  </si>
  <si>
    <t>PACS GROUP INC</t>
  </si>
  <si>
    <t>69380Q107</t>
  </si>
  <si>
    <t>PARKER-HANNIFIN CORP</t>
  </si>
  <si>
    <t>701094104</t>
  </si>
  <si>
    <t>PATRIA INVESTMENTS LIMITED</t>
  </si>
  <si>
    <t>G69451105</t>
  </si>
  <si>
    <t>PATRICK INDS INC</t>
  </si>
  <si>
    <t>703343103</t>
  </si>
  <si>
    <t>PENNANT GROUP INC</t>
  </si>
  <si>
    <t>70805E109</t>
  </si>
  <si>
    <t>PERIMETER SOLUTIONS INC</t>
  </si>
  <si>
    <t>71385M107</t>
  </si>
  <si>
    <t>724078209</t>
  </si>
  <si>
    <t>PJT PARTNERS INC</t>
  </si>
  <si>
    <t>69343T107</t>
  </si>
  <si>
    <t>POOL CORP</t>
  </si>
  <si>
    <t>73278L105</t>
  </si>
  <si>
    <t>QUEST DIAGNOSTICS INC</t>
  </si>
  <si>
    <t>74834L100</t>
  </si>
  <si>
    <t>RAYMOND JAMES FINL INC</t>
  </si>
  <si>
    <t>754730109</t>
  </si>
  <si>
    <t>REYNOLDS CONSUMER PRODS INC</t>
  </si>
  <si>
    <t>76171L106</t>
  </si>
  <si>
    <t>ROYAL BK CDA</t>
  </si>
  <si>
    <t>780087102</t>
  </si>
  <si>
    <t>ROYAL GOLD INC</t>
  </si>
  <si>
    <t>780287108</t>
  </si>
  <si>
    <t>ROYALTY PHARMA PLC</t>
  </si>
  <si>
    <t>G7709Q104</t>
  </si>
  <si>
    <t>S&amp;P GLOBAL INC</t>
  </si>
  <si>
    <t>78409V104</t>
  </si>
  <si>
    <t>SANMINA CORP</t>
  </si>
  <si>
    <t>SEANERGY MARITIME HLDGS CORP</t>
  </si>
  <si>
    <t>Y73760400</t>
  </si>
  <si>
    <t>SFL CORPORATION LTD</t>
  </si>
  <si>
    <t>G7738W106</t>
  </si>
  <si>
    <t>SILVERCORP METALS INC</t>
  </si>
  <si>
    <t>82835P103</t>
  </si>
  <si>
    <t>SIMMONS FIRST NATL CORP</t>
  </si>
  <si>
    <t>SKEENA RES LTD NEW</t>
  </si>
  <si>
    <t>83056P715</t>
  </si>
  <si>
    <t>SLB LIMITED</t>
  </si>
  <si>
    <t>SOLID POWER INC</t>
  </si>
  <si>
    <t>83422N105</t>
  </si>
  <si>
    <t>SOUTH BOW CORP</t>
  </si>
  <si>
    <t>83671M105</t>
  </si>
  <si>
    <t>SOUTH PLAINS FINANCIAL INC</t>
  </si>
  <si>
    <t>83946P107</t>
  </si>
  <si>
    <t>SOUTHERN FIRST BANCSHARES</t>
  </si>
  <si>
    <t>842873101</t>
  </si>
  <si>
    <t>SPOK HLDGS INC</t>
  </si>
  <si>
    <t>84863T106</t>
  </si>
  <si>
    <t>SS&amp;C TECH HLDGS</t>
  </si>
  <si>
    <t>78467J100</t>
  </si>
  <si>
    <t>STEPSTONE GROUP INC</t>
  </si>
  <si>
    <t>85914M107</t>
  </si>
  <si>
    <t>STONECO LTD</t>
  </si>
  <si>
    <t>G85158106</t>
  </si>
  <si>
    <t>SUNBELT RENTALS HOLDINGS INC</t>
  </si>
  <si>
    <t>866966104</t>
  </si>
  <si>
    <t>T1 ENERGY INC</t>
  </si>
  <si>
    <t>35834F104</t>
  </si>
  <si>
    <t>TAL ED GROUP</t>
  </si>
  <si>
    <t>TASEKO MINES LTD</t>
  </si>
  <si>
    <t>876511106</t>
  </si>
  <si>
    <t>TEJON RANCH CO</t>
  </si>
  <si>
    <t>879080109</t>
  </si>
  <si>
    <t>TEVA PHARMACEUTICAL INDS LTD</t>
  </si>
  <si>
    <t>881624209</t>
  </si>
  <si>
    <t>TEXAS CAP BANCSHARES INC</t>
  </si>
  <si>
    <t>88224Q107</t>
  </si>
  <si>
    <t>TEXAS PACIFIC LAND CORPORATI</t>
  </si>
  <si>
    <t>88262P102</t>
  </si>
  <si>
    <t>THE CIGNA GROUP</t>
  </si>
  <si>
    <t>125523100</t>
  </si>
  <si>
    <t>TIPTREE INC</t>
  </si>
  <si>
    <t>88822Q103</t>
  </si>
  <si>
    <t>TITAN INTL INC ILL</t>
  </si>
  <si>
    <t>88830M102</t>
  </si>
  <si>
    <t>TRANSFORCE INC</t>
  </si>
  <si>
    <t>TTM TECHNOLOGIES INC</t>
  </si>
  <si>
    <t>87305R109</t>
  </si>
  <si>
    <t>UNIVERSAL CORP VA MTNS BK EN</t>
  </si>
  <si>
    <t>US FOODS HLDG CORP</t>
  </si>
  <si>
    <t>912008109</t>
  </si>
  <si>
    <t>UTZ BRANDS INC</t>
  </si>
  <si>
    <t>918090101</t>
  </si>
  <si>
    <t>VAIL RESORTS INC</t>
  </si>
  <si>
    <t>91879Q109</t>
  </si>
  <si>
    <t>VALLEY NATL BANCORP</t>
  </si>
  <si>
    <t>919794107</t>
  </si>
  <si>
    <t>VANGUARD INTL EQUITY INDEX F</t>
  </si>
  <si>
    <t>TT WRLD ST ETF</t>
  </si>
  <si>
    <t>922042742</t>
  </si>
  <si>
    <t>VERISIGN INC</t>
  </si>
  <si>
    <t>92343E102</t>
  </si>
  <si>
    <t>VERISK ANALYTICS INC</t>
  </si>
  <si>
    <t>92345Y106</t>
  </si>
  <si>
    <t>VIEMED HEALTHCARE INC</t>
  </si>
  <si>
    <t>92663R105</t>
  </si>
  <si>
    <t>WELLS FARGO &amp; CO</t>
  </si>
  <si>
    <t>949746101</t>
  </si>
  <si>
    <t>WINMARK CORP</t>
  </si>
  <si>
    <t>974250102</t>
  </si>
  <si>
    <t>XYLEM INC</t>
  </si>
  <si>
    <t>98419M100</t>
  </si>
  <si>
    <t>ZIONS BANCORPORATION NATL AS</t>
  </si>
  <si>
    <t>Add a sheets "2026-03-31"  from EDGAR infotable.xml Filing Date 2026-05-15
Add column "2026/03/31" to sheet "ALL" in Excel
Sorted in ascending order by CUSIP.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</si>
</sst>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$-409]#,##0_);[Red]\([$$-409]#,##0\)"/>
  </numFmts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2" borderId="0" xfId="0" applyFill="1">
      <alignment vertical="center"/>
    </xf>
    <xf numFmtId="14" fontId="0" fillId="2" borderId="0" xfId="0" applyNumberFormat="1" applyFill="1">
      <alignment vertical="center"/>
    </xf>
    <xf numFmtId="176" fontId="0" fillId="0" borderId="0" xfId="0" applyNumberFormat="1">
      <alignment vertical="center"/>
    </xf>
    <xf numFmtId="0" fontId="0" fillId="0" borderId="0" xfId="0" applyAlignment="1">
      <alignment vertical="center" wrapText="1"/>
    </xf>
    <xf numFmtId="0" fontId="0" fillId="0" borderId="1" xfId="0" applyBorder="1">
      <alignment vertical="center"/>
    </xf>
  </cellXfs>
  <cellStyles count="1">
    <cellStyle name="標準" xfId="0" builtinId="0"/>
  </cellStyles>
  <dxfs count="5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onnections" Target="connection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5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163F24BC-60FA-4F3E-A9F8-670864D7DA4C}" autoFormatId="20" applyNumberFormats="0" applyBorderFormats="0" applyFontFormats="0" applyPatternFormats="0" applyAlignmentFormats="0" applyWidthHeightFormats="0">
  <queryTableRefresh nextId="7">
    <queryTableFields count="5">
      <queryTableField id="3" name="cusip" tableColumnId="3"/>
      <queryTableField id="1" name="nameOfIssuer" tableColumnId="1"/>
      <queryTableField id="2" name="titleOfClass" tableColumnId="2"/>
      <queryTableField id="4" name="value" tableColumnId="4"/>
      <queryTableField id="5" name="investmentDiscretion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7" xr16:uid="{FEF0CA10-6ABD-4E0F-854E-0FB1468214FD}" autoFormatId="20" applyNumberFormats="0" applyBorderFormats="0" applyFontFormats="0" applyPatternFormats="0" applyAlignmentFormats="0" applyWidthHeightFormats="0">
  <queryTableRefresh nextId="7">
    <queryTableFields count="5">
      <queryTableField id="3" name="cusip" tableColumnId="3"/>
      <queryTableField id="1" name="nameOfIssuer" tableColumnId="1"/>
      <queryTableField id="2" name="titleOfClass" tableColumnId="2"/>
      <queryTableField id="4" name="value" tableColumnId="4"/>
      <queryTableField id="5" name="investmentDiscretion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D33096DE-9982-4619-88A2-38AA533E6703}" autoFormatId="20" applyNumberFormats="0" applyBorderFormats="0" applyFontFormats="0" applyPatternFormats="0" applyAlignmentFormats="0" applyWidthHeightFormats="0">
  <queryTableRefresh nextId="7">
    <queryTableFields count="5">
      <queryTableField id="3" name="cusip" tableColumnId="3"/>
      <queryTableField id="1" name="nameOfIssuer" tableColumnId="1"/>
      <queryTableField id="2" name="titleOfClass" tableColumnId="2"/>
      <queryTableField id="4" name="value" tableColumnId="4"/>
      <queryTableField id="5" name="investmentDiscretion" tableColumnId="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5" xr16:uid="{BFC3E34F-9D79-49B5-B0C3-10514584E8CF}" autoFormatId="20" applyNumberFormats="0" applyBorderFormats="0" applyFontFormats="0" applyPatternFormats="0" applyAlignmentFormats="0" applyWidthHeightFormats="0">
  <queryTableRefresh nextId="7">
    <queryTableFields count="5">
      <queryTableField id="3" name="cusip" tableColumnId="3"/>
      <queryTableField id="1" name="nameOfIssuer" tableColumnId="1"/>
      <queryTableField id="2" name="titleOfClass" tableColumnId="2"/>
      <queryTableField id="4" name="value" tableColumnId="4"/>
      <queryTableField id="5" name="investmentDiscretion" tableColumnId="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4ECE4E36-1F70-4DDE-8353-61BB704E6E41}" autoFormatId="20" applyNumberFormats="0" applyBorderFormats="0" applyFontFormats="0" applyPatternFormats="0" applyAlignmentFormats="0" applyWidthHeightFormats="0">
  <queryTableRefresh nextId="7">
    <queryTableFields count="5">
      <queryTableField id="3" name="cusip" tableColumnId="3"/>
      <queryTableField id="1" name="nameOfIssuer" tableColumnId="1"/>
      <queryTableField id="2" name="titleOfClass" tableColumnId="2"/>
      <queryTableField id="4" name="value" tableColumnId="4"/>
      <queryTableField id="5" name="investmentDiscretion" tableColumnId="5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E6200662-BD72-4064-BC90-8715D59C23DA}" autoFormatId="20" applyNumberFormats="0" applyBorderFormats="0" applyFontFormats="0" applyPatternFormats="0" applyAlignmentFormats="0" applyWidthHeightFormats="0">
  <queryTableRefresh nextId="7">
    <queryTableFields count="5">
      <queryTableField id="3" name="cusip" tableColumnId="3"/>
      <queryTableField id="1" name="nameOfIssuer" tableColumnId="1"/>
      <queryTableField id="2" name="titleOfClass" tableColumnId="2"/>
      <queryTableField id="4" name="value" tableColumnId="4"/>
      <queryTableField id="5" name="investmentDiscretion" tableColumnId="5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2946BB4F-FB8D-43EB-8D57-08B0652868C0}" autoFormatId="20" applyNumberFormats="0" applyBorderFormats="0" applyFontFormats="0" applyPatternFormats="0" applyAlignmentFormats="0" applyWidthHeightFormats="0">
  <queryTableRefresh nextId="7">
    <queryTableFields count="5">
      <queryTableField id="3" name="cusip" tableColumnId="3"/>
      <queryTableField id="1" name="nameOfIssuer" tableColumnId="1"/>
      <queryTableField id="2" name="titleOfClass" tableColumnId="2"/>
      <queryTableField id="4" name="value" tableColumnId="4"/>
      <queryTableField id="5" name="investmentDiscretion" tableColumnId="5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5" xr16:uid="{0D015168-5CE3-406E-9F00-90C8341D8C33}" autoFormatId="20" applyNumberFormats="0" applyBorderFormats="0" applyFontFormats="0" applyPatternFormats="0" applyAlignmentFormats="0" applyWidthHeightFormats="0">
  <queryTableRefresh nextId="7">
    <queryTableFields count="5">
      <queryTableField id="3" name="cusip" tableColumnId="3"/>
      <queryTableField id="1" name="nameOfIssuer" tableColumnId="1"/>
      <queryTableField id="2" name="titleOfClass" tableColumnId="2"/>
      <queryTableField id="4" name="value" tableColumnId="4"/>
      <queryTableField id="5" name="investmentDiscretion" tableColumnId="5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3" xr16:uid="{16AFCC76-56B8-4EFD-AE0A-FF7AE648FE37}" autoFormatId="20" applyNumberFormats="0" applyBorderFormats="0" applyFontFormats="0" applyPatternFormats="0" applyAlignmentFormats="0" applyWidthHeightFormats="0">
  <queryTableRefresh nextId="7">
    <queryTableFields count="5">
      <queryTableField id="3" name="cusip" tableColumnId="3"/>
      <queryTableField id="1" name="nameOfIssuer" tableColumnId="1"/>
      <queryTableField id="2" name="titleOfClass" tableColumnId="2"/>
      <queryTableField id="4" name="value" tableColumnId="4"/>
      <queryTableField id="5" name="investmentDiscretion" tableColumnId="5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9F1AF6B-0689-49B3-8870-601FFDF8BFF1}" autoFormatId="20" applyNumberFormats="0" applyBorderFormats="0" applyFontFormats="0" applyPatternFormats="0" applyAlignmentFormats="0" applyWidthHeightFormats="0">
  <queryTableRefresh nextId="7">
    <queryTableFields count="5">
      <queryTableField id="3" name="cusip" tableColumnId="3"/>
      <queryTableField id="1" name="nameOfIssuer" tableColumnId="1"/>
      <queryTableField id="2" name="titleOfClass" tableColumnId="2"/>
      <queryTableField id="4" name="value" tableColumnId="4"/>
      <queryTableField id="5" name="investmentDiscretion" tableColumnId="5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1" xr16:uid="{1BABE742-9C9C-4D5F-9080-33D190F61AE3}" autoFormatId="20" applyNumberFormats="0" applyBorderFormats="0" applyFontFormats="0" applyPatternFormats="0" applyAlignmentFormats="0" applyWidthHeightFormats="0">
  <queryTableRefresh nextId="7">
    <queryTableFields count="5">
      <queryTableField id="3" name="cusip" tableColumnId="3"/>
      <queryTableField id="1" name="nameOfIssuer" tableColumnId="1"/>
      <queryTableField id="2" name="titleOfClass" tableColumnId="2"/>
      <queryTableField id="4" name="value" tableColumnId="4"/>
      <queryTableField id="5" name="investmentDiscretion" tableColumnId="5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0" xr16:uid="{8CCC8C1D-B208-41A6-830B-C44977ECE870}" autoFormatId="20" applyNumberFormats="0" applyBorderFormats="0" applyFontFormats="0" applyPatternFormats="0" applyAlignmentFormats="0" applyWidthHeightFormats="0">
  <queryTableRefresh nextId="7">
    <queryTableFields count="5">
      <queryTableField id="3" name="cusip" tableColumnId="3"/>
      <queryTableField id="1" name="nameOfIssuer" tableColumnId="1"/>
      <queryTableField id="2" name="titleOfClass" tableColumnId="2"/>
      <queryTableField id="4" name="value" tableColumnId="4"/>
      <queryTableField id="5" name="investmentDiscretion" tableColumnId="5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9" xr16:uid="{0A121AED-5833-4B97-A6B5-DE3565AC0531}" autoFormatId="20" applyNumberFormats="0" applyBorderFormats="0" applyFontFormats="0" applyPatternFormats="0" applyAlignmentFormats="0" applyWidthHeightFormats="0">
  <queryTableRefresh nextId="7">
    <queryTableFields count="5">
      <queryTableField id="3" name="cusip" tableColumnId="3"/>
      <queryTableField id="1" name="nameOfIssuer" tableColumnId="1"/>
      <queryTableField id="2" name="titleOfClass" tableColumnId="2"/>
      <queryTableField id="4" name="value" tableColumnId="4"/>
      <queryTableField id="5" name="investmentDiscretion" tableColumnId="5"/>
    </queryTable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6" xr16:uid="{F4C16202-6F6F-4E1C-832C-53A7964EDFB8}" autoFormatId="20" applyNumberFormats="0" applyBorderFormats="0" applyFontFormats="0" applyPatternFormats="0" applyAlignmentFormats="0" applyWidthHeightFormats="0">
  <queryTableRefresh nextId="7">
    <queryTableFields count="5">
      <queryTableField id="3" name="cusip" tableColumnId="3"/>
      <queryTableField id="1" name="nameOfIssuer" tableColumnId="1"/>
      <queryTableField id="2" name="titleOfClass" tableColumnId="2"/>
      <queryTableField id="4" name="value" tableColumnId="4"/>
      <queryTableField id="5" name="investmentDiscretion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693C22AD-1257-4F2B-AD48-0220F49E31B8}" name="infoTable__16" displayName="infoTable__16" ref="A1:E747" tableType="queryTable" totalsRowShown="0">
  <sortState xmlns:xlrd2="http://schemas.microsoft.com/office/spreadsheetml/2017/richdata2" ref="A2:E747">
    <sortCondition ref="A2:A747"/>
  </sortState>
  <tableColumns count="5">
    <tableColumn id="3" xr3:uid="{3A9CB8CC-5AF5-45E6-9AE0-7CDFF62B9A99}" uniqueName="3" name="cusip" queryTableFieldId="3" dataDxfId="55"/>
    <tableColumn id="1" xr3:uid="{B9442337-7DF9-4731-A775-5E913298C5CF}" uniqueName="1" name="nameOfIssuer" queryTableFieldId="1" dataDxfId="54"/>
    <tableColumn id="2" xr3:uid="{9442ACC9-0FC6-41D8-8B45-515DE5FA7E26}" uniqueName="2" name="titleOfClass" queryTableFieldId="2" dataDxfId="53"/>
    <tableColumn id="4" xr3:uid="{B3BECEF2-128B-4952-93E5-52FBF9D20776}" uniqueName="4" name="value" queryTableFieldId="4"/>
    <tableColumn id="5" xr3:uid="{7C210A11-6A94-4D43-9C3C-D3EC83E13776}" uniqueName="5" name="investmentDiscretion" queryTableFieldId="5" dataDxfId="5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E36FF009-E6BB-4523-B7EF-F0CBAB3A4E71}" name="infoTable__15" displayName="infoTable__15" ref="A1:E609" tableType="queryTable" totalsRowShown="0">
  <sortState xmlns:xlrd2="http://schemas.microsoft.com/office/spreadsheetml/2017/richdata2" ref="A2:E609">
    <sortCondition ref="A2:A609"/>
  </sortState>
  <tableColumns count="5">
    <tableColumn id="3" xr3:uid="{6D6B74F3-20B2-4C46-BE0E-D83D8D4C1359}" uniqueName="3" name="cusip" queryTableFieldId="3" dataDxfId="51"/>
    <tableColumn id="1" xr3:uid="{5A583538-257E-40ED-930A-89735F3B6686}" uniqueName="1" name="nameOfIssuer" queryTableFieldId="1" dataDxfId="50"/>
    <tableColumn id="2" xr3:uid="{E01D02C0-C36C-4488-9515-687587DC798E}" uniqueName="2" name="titleOfClass" queryTableFieldId="2" dataDxfId="49"/>
    <tableColumn id="4" xr3:uid="{E0950750-E333-44FE-AB2E-E8625111489C}" uniqueName="4" name="value" queryTableFieldId="4"/>
    <tableColumn id="5" xr3:uid="{C34A18FC-AEFE-47C9-A105-ACFC3C70DE6A}" uniqueName="5" name="investmentDiscretion" queryTableFieldId="5" dataDxfId="48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6BDC085F-5DF0-4579-A149-CE6815C463C5}" name="infoTable__14" displayName="infoTable__14" ref="A1:E547" tableType="queryTable" totalsRowShown="0">
  <sortState xmlns:xlrd2="http://schemas.microsoft.com/office/spreadsheetml/2017/richdata2" ref="A2:E547">
    <sortCondition ref="A2:A547"/>
  </sortState>
  <tableColumns count="5">
    <tableColumn id="3" xr3:uid="{1FFADEE2-57CE-4A29-9ED8-D2F3E59D1ADD}" uniqueName="3" name="cusip" queryTableFieldId="3" dataDxfId="47"/>
    <tableColumn id="1" xr3:uid="{EF3FC304-2E8C-4A4D-AA0C-E30132C7AF81}" uniqueName="1" name="nameOfIssuer" queryTableFieldId="1" dataDxfId="46"/>
    <tableColumn id="2" xr3:uid="{CFA0511F-1A55-4FB4-A802-83E5F84E2A25}" uniqueName="2" name="titleOfClass" queryTableFieldId="2" dataDxfId="45"/>
    <tableColumn id="4" xr3:uid="{AA69E6B9-40A2-43D8-929B-D124D17B7181}" uniqueName="4" name="value" queryTableFieldId="4"/>
    <tableColumn id="5" xr3:uid="{D7BC429A-D3CA-4B90-A3A2-117F49D11FA1}" uniqueName="5" name="investmentDiscretion" queryTableFieldId="5" dataDxfId="4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3B1E05F-0A0A-45E6-B409-25D68B79FA06}" name="infoTable__13" displayName="infoTable__13" ref="A1:E439" tableType="queryTable" totalsRowShown="0">
  <sortState xmlns:xlrd2="http://schemas.microsoft.com/office/spreadsheetml/2017/richdata2" ref="A2:E439">
    <sortCondition ref="A2:A439"/>
  </sortState>
  <tableColumns count="5">
    <tableColumn id="3" xr3:uid="{4DEC0B55-A04E-47FD-A84E-BF98DB2F05BE}" uniqueName="3" name="cusip" queryTableFieldId="3" dataDxfId="43"/>
    <tableColumn id="1" xr3:uid="{67301770-018C-4253-8D01-2C3AAC15AEE9}" uniqueName="1" name="nameOfIssuer" queryTableFieldId="1" dataDxfId="42"/>
    <tableColumn id="2" xr3:uid="{0740D607-696C-4BC2-B226-E38CA54B2C5C}" uniqueName="2" name="titleOfClass" queryTableFieldId="2" dataDxfId="41"/>
    <tableColumn id="4" xr3:uid="{981EFAE0-4C08-47B4-A74D-8967EE99B605}" uniqueName="4" name="value" queryTableFieldId="4"/>
    <tableColumn id="5" xr3:uid="{2DF65009-60F7-48CE-B1EF-BC09EFCD36AF}" uniqueName="5" name="investmentDiscretion" queryTableFieldId="5" dataDxfId="4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324079A2-1BD2-4DD4-B41B-F5680C354A6E}" name="infoTable__12" displayName="infoTable__12" ref="A1:E491" tableType="queryTable" totalsRowShown="0">
  <tableColumns count="5">
    <tableColumn id="3" xr3:uid="{A1ECC66E-777A-4200-A67C-12FB354E2AA0}" uniqueName="3" name="cusip" queryTableFieldId="3" dataDxfId="39"/>
    <tableColumn id="1" xr3:uid="{7B002773-199E-46DE-B44F-97329E234B56}" uniqueName="1" name="nameOfIssuer" queryTableFieldId="1" dataDxfId="38"/>
    <tableColumn id="2" xr3:uid="{6AE40BAF-FF3E-4614-9279-C3F650E9DA08}" uniqueName="2" name="titleOfClass" queryTableFieldId="2" dataDxfId="37"/>
    <tableColumn id="4" xr3:uid="{1BD45560-7C72-49A0-9FC7-16C561D85318}" uniqueName="4" name="value" queryTableFieldId="4"/>
    <tableColumn id="5" xr3:uid="{9F354689-51D6-4D39-9F77-2986C00ECADB}" uniqueName="5" name="investmentDiscretion" queryTableFieldId="5" dataDxfId="36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A45C22C-9FFA-4BCD-AD5A-9541844BAE6D}" name="infoTable__11" displayName="infoTable__11" ref="A1:E390" tableType="queryTable" totalsRowShown="0">
  <tableColumns count="5">
    <tableColumn id="3" xr3:uid="{C86FF002-70D0-449A-919B-0F3B5928431D}" uniqueName="3" name="cusip" queryTableFieldId="3" dataDxfId="35"/>
    <tableColumn id="1" xr3:uid="{432EAB74-50F9-42AB-A6B1-97A39E55293C}" uniqueName="1" name="nameOfIssuer" queryTableFieldId="1" dataDxfId="34"/>
    <tableColumn id="2" xr3:uid="{F4924B9C-A34A-4624-979D-8728C3D923FC}" uniqueName="2" name="titleOfClass" queryTableFieldId="2" dataDxfId="33"/>
    <tableColumn id="4" xr3:uid="{E9B0247F-B5D3-4358-92AD-B8937EFC8AD5}" uniqueName="4" name="value" queryTableFieldId="4"/>
    <tableColumn id="5" xr3:uid="{2284DB4D-D5D9-4587-B214-7997751AA48E}" uniqueName="5" name="investmentDiscretion" queryTableFieldId="5" dataDxfId="32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8FF0C72-67B4-43A3-BC7C-C142331CAA54}" name="infoTable__10" displayName="infoTable__10" ref="A1:E346" tableType="queryTable" totalsRowShown="0">
  <tableColumns count="5">
    <tableColumn id="3" xr3:uid="{E042CF14-8ABF-4D23-8854-3E6CA262586A}" uniqueName="3" name="cusip" queryTableFieldId="3" dataDxfId="31"/>
    <tableColumn id="1" xr3:uid="{87D9840C-D704-4056-BD70-5978BF8EE83B}" uniqueName="1" name="nameOfIssuer" queryTableFieldId="1" dataDxfId="30"/>
    <tableColumn id="2" xr3:uid="{B3897760-8B11-42D4-A798-8521525DCCFE}" uniqueName="2" name="titleOfClass" queryTableFieldId="2" dataDxfId="29"/>
    <tableColumn id="4" xr3:uid="{1372383D-5044-4B51-87F6-412055E4A89F}" uniqueName="4" name="value" queryTableFieldId="4"/>
    <tableColumn id="5" xr3:uid="{8A9D173C-8447-4894-9ED0-FCAD63079681}" uniqueName="5" name="investmentDiscretion" queryTableFieldId="5" dataDxfId="28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FC9D45D-7AE3-48D0-80E7-38CBB170C56C}" name="infoTable__28" displayName="infoTable__28" ref="A1:E312" tableType="queryTable" totalsRowShown="0">
  <sortState xmlns:xlrd2="http://schemas.microsoft.com/office/spreadsheetml/2017/richdata2" ref="A2:E312">
    <sortCondition ref="A2:A312"/>
  </sortState>
  <tableColumns count="5">
    <tableColumn id="3" xr3:uid="{88CD7FBD-D214-473F-BFDB-BDEB21E32171}" uniqueName="3" name="cusip" queryTableFieldId="3" dataDxfId="27"/>
    <tableColumn id="1" xr3:uid="{7BEAAC6A-3EF1-4111-82E9-787C61E534BA}" uniqueName="1" name="nameOfIssuer" queryTableFieldId="1" dataDxfId="26"/>
    <tableColumn id="2" xr3:uid="{D55BC6D3-25FC-405E-8A66-0AD787212608}" uniqueName="2" name="titleOfClass" queryTableFieldId="2" dataDxfId="25"/>
    <tableColumn id="4" xr3:uid="{52CB9722-77FA-4D82-87B9-447CE4CA75FA}" uniqueName="4" name="value" queryTableFieldId="4"/>
    <tableColumn id="5" xr3:uid="{207611D3-F30A-44CE-85A8-EB4F64F41855}" uniqueName="5" name="investmentDiscretion" queryTableFieldId="5" dataDxfId="24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616DEFE-2E24-4F00-8C1F-81F75109233B}" name="infoTable__6" displayName="infoTable__6" ref="A1:E251" tableType="queryTable" totalsRowShown="0">
  <sortState xmlns:xlrd2="http://schemas.microsoft.com/office/spreadsheetml/2017/richdata2" ref="A2:E251">
    <sortCondition ref="A2:A251"/>
  </sortState>
  <tableColumns count="5">
    <tableColumn id="3" xr3:uid="{77EFDD2F-8B0C-4E70-B9BA-E13C6F35BF48}" uniqueName="3" name="cusip" queryTableFieldId="3" dataDxfId="23"/>
    <tableColumn id="1" xr3:uid="{8ACB54AF-46E5-4D88-961B-07ED6D7EC309}" uniqueName="1" name="nameOfIssuer" queryTableFieldId="1" dataDxfId="22"/>
    <tableColumn id="2" xr3:uid="{4A2B50E4-571F-49C1-9E67-108DD4B54524}" uniqueName="2" name="titleOfClass" queryTableFieldId="2" dataDxfId="21"/>
    <tableColumn id="4" xr3:uid="{BEC1FCAF-2BEC-4C55-9D70-93783D6B3194}" uniqueName="4" name="value" queryTableFieldId="4"/>
    <tableColumn id="5" xr3:uid="{9B7A6392-75FC-421D-BB2B-50B2B8AD3189}" uniqueName="5" name="investmentDiscretion" queryTableFieldId="5" dataDxfId="20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E719116-65AE-47D7-AE73-6EACA7CBFA43}" name="infoTable" displayName="infoTable" ref="A1:E233" tableType="queryTable" totalsRowShown="0">
  <sortState xmlns:xlrd2="http://schemas.microsoft.com/office/spreadsheetml/2017/richdata2" ref="A2:E233">
    <sortCondition ref="A2:A233"/>
  </sortState>
  <tableColumns count="5">
    <tableColumn id="3" xr3:uid="{3F89F216-7E14-4C5F-8366-E2BC91683A62}" uniqueName="3" name="cusip" queryTableFieldId="3" dataDxfId="19"/>
    <tableColumn id="1" xr3:uid="{B51CE2A6-B82D-4A4C-B426-82468FDE305E}" uniqueName="1" name="nameOfIssuer" queryTableFieldId="1" dataDxfId="18"/>
    <tableColumn id="2" xr3:uid="{020D7F91-0967-483F-B321-1DB51B2AA6A3}" uniqueName="2" name="titleOfClass" queryTableFieldId="2" dataDxfId="17"/>
    <tableColumn id="4" xr3:uid="{0F2BB233-122D-4989-8FFC-987BCE73D2BC}" uniqueName="4" name="value" queryTableFieldId="4"/>
    <tableColumn id="5" xr3:uid="{DC5DB811-FB71-4276-A5D1-2A3EC08DA8C8}" uniqueName="5" name="investmentDiscretion" queryTableFieldId="5" dataDxfId="16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0C5C11C-8735-4EEC-802B-190A88D8697E}" name="infoTable__4" displayName="infoTable__4" ref="A1:E220" tableType="queryTable" totalsRowShown="0">
  <sortState xmlns:xlrd2="http://schemas.microsoft.com/office/spreadsheetml/2017/richdata2" ref="A2:E220">
    <sortCondition ref="A2:A220"/>
  </sortState>
  <tableColumns count="5">
    <tableColumn id="3" xr3:uid="{D60E1886-34F4-4D69-BE93-E03E6EB50550}" uniqueName="3" name="cusip" queryTableFieldId="3" dataDxfId="15"/>
    <tableColumn id="1" xr3:uid="{FDFC0047-BD16-4798-80BB-55BEE66205A4}" uniqueName="1" name="nameOfIssuer" queryTableFieldId="1" dataDxfId="14"/>
    <tableColumn id="2" xr3:uid="{11C92EBE-E177-44D2-A391-4F108C4B25B4}" uniqueName="2" name="titleOfClass" queryTableFieldId="2" dataDxfId="13"/>
    <tableColumn id="4" xr3:uid="{DFAEAE1C-3A49-4186-ADE1-C12BE05527E2}" uniqueName="4" name="value" queryTableFieldId="4"/>
    <tableColumn id="5" xr3:uid="{0C26751B-5DBA-48A3-B0BE-2F8699DF27F4}" uniqueName="5" name="investmentDiscretion" queryTableFieldId="5" dataDxfId="12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D4A5DBE-28B0-46AB-807F-1808330937AE}" name="infoTable__3" displayName="infoTable__3" ref="A1:E160" tableType="queryTable" totalsRowShown="0">
  <sortState xmlns:xlrd2="http://schemas.microsoft.com/office/spreadsheetml/2017/richdata2" ref="A2:E160">
    <sortCondition ref="A2:A160"/>
  </sortState>
  <tableColumns count="5">
    <tableColumn id="3" xr3:uid="{030E5232-EB9C-4C29-8EE7-C64BAD56D3CA}" uniqueName="3" name="cusip" queryTableFieldId="3" dataDxfId="11"/>
    <tableColumn id="1" xr3:uid="{884D270B-3300-489B-AB0D-E7D0536A37CE}" uniqueName="1" name="nameOfIssuer" queryTableFieldId="1" dataDxfId="10"/>
    <tableColumn id="2" xr3:uid="{29CFDCE9-0F86-482E-B0E1-E54BEC1D4CE2}" uniqueName="2" name="titleOfClass" queryTableFieldId="2" dataDxfId="9"/>
    <tableColumn id="4" xr3:uid="{4AC7FDF7-3A37-455E-A768-146CAC7117FA}" uniqueName="4" name="value" queryTableFieldId="4"/>
    <tableColumn id="5" xr3:uid="{A07DCC3F-971E-479B-B0DB-A4F08E75B899}" uniqueName="5" name="investmentDiscretion" queryTableFieldId="5" dataDxfId="8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E8E027B-6908-4003-B5C1-AC94C7763899}" name="infoTable__2" displayName="infoTable__2" ref="A1:E157" tableType="queryTable" totalsRowShown="0">
  <sortState xmlns:xlrd2="http://schemas.microsoft.com/office/spreadsheetml/2017/richdata2" ref="A2:E157">
    <sortCondition ref="A2:A157"/>
  </sortState>
  <tableColumns count="5">
    <tableColumn id="3" xr3:uid="{AF28EE90-84B8-4AA1-8BFA-B1E11618A84B}" uniqueName="3" name="cusip" queryTableFieldId="3" dataDxfId="7"/>
    <tableColumn id="1" xr3:uid="{9CA100C8-76C5-4D09-A89D-AE4F0356F692}" uniqueName="1" name="nameOfIssuer" queryTableFieldId="1" dataDxfId="6"/>
    <tableColumn id="2" xr3:uid="{035126D1-CC4A-4677-810E-3FB43079CFBD}" uniqueName="2" name="titleOfClass" queryTableFieldId="2" dataDxfId="5"/>
    <tableColumn id="4" xr3:uid="{BC46C746-C4C9-4ECC-BD07-346811CB35A3}" uniqueName="4" name="value" queryTableFieldId="4"/>
    <tableColumn id="5" xr3:uid="{CF97F3EC-3C10-4819-94C6-852C6BBF9714}" uniqueName="5" name="investmentDiscretion" queryTableFieldId="5" dataDxfId="4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A3AE465A-5657-4280-A152-BE10D80171E2}" name="infoTable10" displayName="infoTable10" ref="A1:E112" tableType="queryTable" totalsRowShown="0">
  <sortState xmlns:xlrd2="http://schemas.microsoft.com/office/spreadsheetml/2017/richdata2" ref="A2:E112">
    <sortCondition ref="A2:A112"/>
  </sortState>
  <tableColumns count="5">
    <tableColumn id="3" xr3:uid="{9AA70055-0CB8-476C-B6DE-DCFC2517EC46}" uniqueName="3" name="cusip" queryTableFieldId="3" dataDxfId="3"/>
    <tableColumn id="1" xr3:uid="{35E95EA3-D6BC-4EF9-ABD5-BA145CB2E605}" uniqueName="1" name="nameOfIssuer" queryTableFieldId="1" dataDxfId="2"/>
    <tableColumn id="2" xr3:uid="{3B8E1993-AADF-4687-A65E-B8D6D4F87132}" uniqueName="2" name="titleOfClass" queryTableFieldId="2" dataDxfId="1"/>
    <tableColumn id="4" xr3:uid="{BCD78672-8B34-4B3C-9250-2FC5015505D9}" uniqueName="4" name="value" queryTableFieldId="4"/>
    <tableColumn id="5" xr3:uid="{6C717EA4-8578-43F1-91F4-0CA966C071DE}" uniqueName="5" name="investmentDiscretion" queryTableFieldId="5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93457-C686-4DCE-A7BD-6BC0DEB58D1D}">
  <dimension ref="A1:C13"/>
  <sheetViews>
    <sheetView topLeftCell="A5" workbookViewId="0">
      <selection activeCell="A13" sqref="A13"/>
    </sheetView>
  </sheetViews>
  <sheetFormatPr defaultRowHeight="18" x14ac:dyDescent="0.55000000000000004"/>
  <cols>
    <col min="1" max="1" width="10.83203125" bestFit="1" customWidth="1"/>
    <col min="2" max="2" width="26.33203125" bestFit="1" customWidth="1"/>
    <col min="3" max="3" width="94.83203125" bestFit="1" customWidth="1"/>
  </cols>
  <sheetData>
    <row r="1" spans="1:3" x14ac:dyDescent="0.55000000000000004">
      <c r="A1" t="s">
        <v>1131</v>
      </c>
      <c r="B1" t="s">
        <v>1132</v>
      </c>
      <c r="C1" t="s">
        <v>1133</v>
      </c>
    </row>
    <row r="2" spans="1:3" x14ac:dyDescent="0.55000000000000004">
      <c r="A2" s="2" t="s">
        <v>1134</v>
      </c>
      <c r="B2" s="3">
        <v>45502</v>
      </c>
      <c r="C2" s="2" t="s">
        <v>1477</v>
      </c>
    </row>
    <row r="3" spans="1:3" x14ac:dyDescent="0.55000000000000004">
      <c r="A3" s="2" t="s">
        <v>1134</v>
      </c>
      <c r="B3" s="3">
        <v>45519</v>
      </c>
      <c r="C3" s="2" t="s">
        <v>1569</v>
      </c>
    </row>
    <row r="4" spans="1:3" ht="54" x14ac:dyDescent="0.55000000000000004">
      <c r="A4" t="s">
        <v>1134</v>
      </c>
      <c r="B4" s="1">
        <v>45520</v>
      </c>
      <c r="C4" s="5" t="s">
        <v>1596</v>
      </c>
    </row>
    <row r="5" spans="1:3" x14ac:dyDescent="0.55000000000000004">
      <c r="A5" t="s">
        <v>1134</v>
      </c>
      <c r="B5" s="1">
        <v>45529</v>
      </c>
      <c r="C5" t="s">
        <v>1597</v>
      </c>
    </row>
    <row r="6" spans="1:3" ht="54" x14ac:dyDescent="0.55000000000000004">
      <c r="A6" t="s">
        <v>1134</v>
      </c>
      <c r="B6" s="1">
        <v>45613</v>
      </c>
      <c r="C6" s="5" t="s">
        <v>2637</v>
      </c>
    </row>
    <row r="7" spans="1:3" ht="54" x14ac:dyDescent="0.55000000000000004">
      <c r="A7" t="s">
        <v>1134</v>
      </c>
      <c r="B7" s="1">
        <v>45707</v>
      </c>
      <c r="C7" s="5" t="s">
        <v>2638</v>
      </c>
    </row>
    <row r="8" spans="1:3" x14ac:dyDescent="0.55000000000000004">
      <c r="A8" t="s">
        <v>1134</v>
      </c>
      <c r="B8" s="1">
        <v>45765</v>
      </c>
      <c r="C8" s="5" t="s">
        <v>2061</v>
      </c>
    </row>
    <row r="9" spans="1:3" ht="54" x14ac:dyDescent="0.55000000000000004">
      <c r="A9" t="s">
        <v>1134</v>
      </c>
      <c r="B9" s="1">
        <v>45798</v>
      </c>
      <c r="C9" s="5" t="s">
        <v>2639</v>
      </c>
    </row>
    <row r="10" spans="1:3" ht="54" x14ac:dyDescent="0.55000000000000004">
      <c r="A10" t="s">
        <v>1134</v>
      </c>
      <c r="B10" s="1">
        <v>45886</v>
      </c>
      <c r="C10" s="5" t="s">
        <v>2640</v>
      </c>
    </row>
    <row r="11" spans="1:3" ht="54" x14ac:dyDescent="0.55000000000000004">
      <c r="A11" t="s">
        <v>1134</v>
      </c>
      <c r="B11" s="1">
        <v>45987</v>
      </c>
      <c r="C11" s="5" t="s">
        <v>2953</v>
      </c>
    </row>
    <row r="12" spans="1:3" ht="54" x14ac:dyDescent="0.55000000000000004">
      <c r="A12" t="s">
        <v>1134</v>
      </c>
      <c r="B12" s="1">
        <v>46075</v>
      </c>
      <c r="C12" s="5" t="s">
        <v>2954</v>
      </c>
    </row>
    <row r="13" spans="1:3" ht="54" x14ac:dyDescent="0.55000000000000004">
      <c r="A13" t="s">
        <v>1134</v>
      </c>
      <c r="B13" s="1">
        <v>46179</v>
      </c>
      <c r="C13" s="5" t="s">
        <v>3574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15272-0061-4248-80AA-47CFABEF0BA5}">
  <dimension ref="A1:P1701"/>
  <sheetViews>
    <sheetView tabSelected="1" zoomScale="70" zoomScaleNormal="70" workbookViewId="0">
      <selection activeCell="I23" sqref="I23"/>
    </sheetView>
  </sheetViews>
  <sheetFormatPr defaultRowHeight="18" x14ac:dyDescent="0.55000000000000004"/>
  <cols>
    <col min="1" max="1" width="34.5" bestFit="1" customWidth="1"/>
    <col min="2" max="2" width="12" bestFit="1" customWidth="1"/>
    <col min="3" max="14" width="11.9140625" customWidth="1"/>
    <col min="15" max="16" width="11.08203125" bestFit="1" customWidth="1"/>
  </cols>
  <sheetData>
    <row r="1" spans="1:16" x14ac:dyDescent="0.55000000000000004">
      <c r="A1" t="s">
        <v>0</v>
      </c>
      <c r="B1" t="s">
        <v>2636</v>
      </c>
      <c r="C1" s="1">
        <v>44926</v>
      </c>
      <c r="D1" s="1">
        <v>45016</v>
      </c>
      <c r="E1" s="1">
        <v>45107</v>
      </c>
      <c r="F1" s="1">
        <v>45199</v>
      </c>
      <c r="G1" s="1">
        <v>45291</v>
      </c>
      <c r="H1" s="1">
        <v>45382</v>
      </c>
      <c r="I1" s="1">
        <v>45473</v>
      </c>
      <c r="J1" s="1">
        <v>45565</v>
      </c>
      <c r="K1" s="1">
        <v>45657</v>
      </c>
      <c r="L1" s="1">
        <v>45747</v>
      </c>
      <c r="M1" s="1">
        <v>45838</v>
      </c>
      <c r="N1" s="1">
        <v>45930</v>
      </c>
      <c r="O1" s="1">
        <v>46022</v>
      </c>
      <c r="P1" s="1">
        <v>46112</v>
      </c>
    </row>
    <row r="2" spans="1:16" x14ac:dyDescent="0.55000000000000004">
      <c r="A2" t="s">
        <v>3217</v>
      </c>
      <c r="B2" t="s">
        <v>3219</v>
      </c>
      <c r="C2" s="4" t="str">
        <f>IFERROR(VLOOKUP(B2,infoTable10[],4,FALSE),"")</f>
        <v/>
      </c>
      <c r="D2" s="4" t="str">
        <f>IFERROR(VLOOKUP(B2,infoTable__2[],4,FALSE),"")</f>
        <v/>
      </c>
      <c r="E2" s="4" t="str">
        <f>IFERROR(VLOOKUP(B2,infoTable__3[],4,FALSE),"")</f>
        <v/>
      </c>
      <c r="F2" s="4" t="str">
        <f>IFERROR(VLOOKUP(B2,infoTable__4[],4,FALSE),"")</f>
        <v/>
      </c>
      <c r="G2" s="4" t="str">
        <f>IFERROR(VLOOKUP(B2,infoTable[],4,FALSE),"")</f>
        <v/>
      </c>
      <c r="H2" s="4" t="str">
        <f>IFERROR(VLOOKUP(B2,infoTable__6[],4,FALSE),"")</f>
        <v/>
      </c>
      <c r="I2" s="4" t="str">
        <f>IFERROR(VLOOKUP(B2,infoTable__28[],4,FALSE),"")</f>
        <v/>
      </c>
      <c r="J2" s="4" t="str">
        <f>IFERROR(VLOOKUP(B2,infoTable__10[],4,FALSE),"")</f>
        <v/>
      </c>
      <c r="K2" s="4" t="str">
        <f>IFERROR(VLOOKUP(B2,infoTable__11[],4,FALSE),"")</f>
        <v/>
      </c>
      <c r="L2" s="4" t="str">
        <f>IFERROR(VLOOKUP(B2,infoTable__12[],4,FALSE),"")</f>
        <v/>
      </c>
      <c r="M2" s="4" t="str">
        <f>IFERROR(VLOOKUP(B2,infoTable__13[],4,FALSE),"")</f>
        <v/>
      </c>
      <c r="N2" s="4" t="str">
        <f>IFERROR(VLOOKUP(B2,infoTable__14[],4,FALSE),"")</f>
        <v/>
      </c>
      <c r="O2" s="4" t="str">
        <f>IFERROR(VLOOKUP(B2,infoTable__15[],4,FALSE),"")</f>
        <v/>
      </c>
      <c r="P2" s="4">
        <f>IFERROR(VLOOKUP(B2,infoTable__16[],4,FALSE),"")</f>
        <v>701968</v>
      </c>
    </row>
    <row r="3" spans="1:16" x14ac:dyDescent="0.55000000000000004">
      <c r="A3" t="s">
        <v>932</v>
      </c>
      <c r="B3" t="s">
        <v>933</v>
      </c>
      <c r="C3" s="4" t="str">
        <f>IFERROR(VLOOKUP(B3,infoTable10[],4,FALSE),"")</f>
        <v/>
      </c>
      <c r="D3" s="4" t="str">
        <f>IFERROR(VLOOKUP(B3,infoTable__2[],4,FALSE),"")</f>
        <v/>
      </c>
      <c r="E3" s="4" t="str">
        <f>IFERROR(VLOOKUP(B3,infoTable__3[],4,FALSE),"")</f>
        <v/>
      </c>
      <c r="F3" s="4" t="str">
        <f>IFERROR(VLOOKUP(B3,infoTable__4[],4,FALSE),"")</f>
        <v/>
      </c>
      <c r="G3" s="4" t="str">
        <f>IFERROR(VLOOKUP(B3,infoTable[],4,FALSE),"")</f>
        <v/>
      </c>
      <c r="H3" s="4">
        <f>IFERROR(VLOOKUP(B3,infoTable__6[],4,FALSE),"")</f>
        <v>1882473</v>
      </c>
      <c r="I3" s="4" t="str">
        <f>IFERROR(VLOOKUP(B3,infoTable__28[],4,FALSE),"")</f>
        <v/>
      </c>
      <c r="J3" s="4" t="str">
        <f>IFERROR(VLOOKUP(B3,infoTable__10[],4,FALSE),"")</f>
        <v/>
      </c>
      <c r="K3" s="4" t="str">
        <f>IFERROR(VLOOKUP(B3,infoTable__11[],4,FALSE),"")</f>
        <v/>
      </c>
      <c r="L3" s="4" t="str">
        <f>IFERROR(VLOOKUP(B3,infoTable__12[],4,FALSE),"")</f>
        <v/>
      </c>
      <c r="M3" s="4" t="str">
        <f>IFERROR(VLOOKUP(B3,infoTable__13[],4,FALSE),"")</f>
        <v/>
      </c>
      <c r="N3" s="4">
        <f>IFERROR(VLOOKUP(B3,infoTable__14[],4,FALSE),"")</f>
        <v>1266686</v>
      </c>
      <c r="O3" s="4">
        <f>IFERROR(VLOOKUP(B3,infoTable__15[],4,FALSE),"")</f>
        <v>1325048</v>
      </c>
      <c r="P3" s="4">
        <f>IFERROR(VLOOKUP(B3,infoTable__16[],4,FALSE),"")</f>
        <v>386548</v>
      </c>
    </row>
    <row r="4" spans="1:16" x14ac:dyDescent="0.55000000000000004">
      <c r="A4" t="s">
        <v>2402</v>
      </c>
      <c r="B4" t="s">
        <v>2403</v>
      </c>
      <c r="C4" s="4" t="str">
        <f>IFERROR(VLOOKUP(B4,infoTable10[],4,FALSE),"")</f>
        <v/>
      </c>
      <c r="D4" s="4" t="str">
        <f>IFERROR(VLOOKUP(B4,infoTable__2[],4,FALSE),"")</f>
        <v/>
      </c>
      <c r="E4" s="4" t="str">
        <f>IFERROR(VLOOKUP(B4,infoTable__3[],4,FALSE),"")</f>
        <v/>
      </c>
      <c r="F4" s="4" t="str">
        <f>IFERROR(VLOOKUP(B4,infoTable__4[],4,FALSE),"")</f>
        <v/>
      </c>
      <c r="G4" s="4" t="str">
        <f>IFERROR(VLOOKUP(B4,infoTable[],4,FALSE),"")</f>
        <v/>
      </c>
      <c r="H4" s="4" t="str">
        <f>IFERROR(VLOOKUP(B4,infoTable__6[],4,FALSE),"")</f>
        <v/>
      </c>
      <c r="I4" s="4" t="str">
        <f>IFERROR(VLOOKUP(B4,infoTable__28[],4,FALSE),"")</f>
        <v/>
      </c>
      <c r="J4" s="4" t="str">
        <f>IFERROR(VLOOKUP(B4,infoTable__10[],4,FALSE),"")</f>
        <v/>
      </c>
      <c r="K4" s="4" t="str">
        <f>IFERROR(VLOOKUP(B4,infoTable__11[],4,FALSE),"")</f>
        <v/>
      </c>
      <c r="L4" s="4" t="str">
        <f>IFERROR(VLOOKUP(B4,infoTable__12[],4,FALSE),"")</f>
        <v/>
      </c>
      <c r="M4" s="4">
        <f>IFERROR(VLOOKUP(B4,infoTable__13[],4,FALSE),"")</f>
        <v>4853796</v>
      </c>
      <c r="N4" s="4">
        <f>IFERROR(VLOOKUP(B4,infoTable__14[],4,FALSE),"")</f>
        <v>301590</v>
      </c>
      <c r="O4" s="4">
        <f>IFERROR(VLOOKUP(B4,infoTable__15[],4,FALSE),"")</f>
        <v>280086</v>
      </c>
      <c r="P4" s="4">
        <f>IFERROR(VLOOKUP(B4,infoTable__16[],4,FALSE),"")</f>
        <v>424578</v>
      </c>
    </row>
    <row r="5" spans="1:16" x14ac:dyDescent="0.55000000000000004">
      <c r="A5" t="s">
        <v>938</v>
      </c>
      <c r="B5" t="s">
        <v>939</v>
      </c>
      <c r="C5" s="4" t="str">
        <f>IFERROR(VLOOKUP(B5,infoTable10[],4,FALSE),"")</f>
        <v/>
      </c>
      <c r="D5" s="4" t="str">
        <f>IFERROR(VLOOKUP(B5,infoTable__2[],4,FALSE),"")</f>
        <v/>
      </c>
      <c r="E5" s="4" t="str">
        <f>IFERROR(VLOOKUP(B5,infoTable__3[],4,FALSE),"")</f>
        <v/>
      </c>
      <c r="F5" s="4" t="str">
        <f>IFERROR(VLOOKUP(B5,infoTable__4[],4,FALSE),"")</f>
        <v/>
      </c>
      <c r="G5" s="4" t="str">
        <f>IFERROR(VLOOKUP(B5,infoTable[],4,FALSE),"")</f>
        <v/>
      </c>
      <c r="H5" s="4">
        <f>IFERROR(VLOOKUP(B5,infoTable__6[],4,FALSE),"")</f>
        <v>1764107</v>
      </c>
      <c r="I5" s="4" t="str">
        <f>IFERROR(VLOOKUP(B5,infoTable__28[],4,FALSE),"")</f>
        <v/>
      </c>
      <c r="J5" s="4" t="str">
        <f>IFERROR(VLOOKUP(B5,infoTable__10[],4,FALSE),"")</f>
        <v/>
      </c>
      <c r="K5" s="4" t="str">
        <f>IFERROR(VLOOKUP(B5,infoTable__11[],4,FALSE),"")</f>
        <v/>
      </c>
      <c r="L5" s="4" t="str">
        <f>IFERROR(VLOOKUP(B5,infoTable__12[],4,FALSE),"")</f>
        <v/>
      </c>
      <c r="M5" s="4" t="str">
        <f>IFERROR(VLOOKUP(B5,infoTable__13[],4,FALSE),"")</f>
        <v/>
      </c>
      <c r="N5" s="4" t="str">
        <f>IFERROR(VLOOKUP(B5,infoTable__14[],4,FALSE),"")</f>
        <v/>
      </c>
      <c r="O5" s="4" t="str">
        <f>IFERROR(VLOOKUP(B5,infoTable__15[],4,FALSE),"")</f>
        <v/>
      </c>
      <c r="P5" s="4" t="str">
        <f>IFERROR(VLOOKUP(B5,infoTable__16[],4,FALSE),"")</f>
        <v/>
      </c>
    </row>
    <row r="6" spans="1:16" x14ac:dyDescent="0.55000000000000004">
      <c r="A6" t="s">
        <v>2412</v>
      </c>
      <c r="B6" t="s">
        <v>2413</v>
      </c>
      <c r="C6" s="4" t="str">
        <f>IFERROR(VLOOKUP(B6,infoTable10[],4,FALSE),"")</f>
        <v/>
      </c>
      <c r="D6" s="4" t="str">
        <f>IFERROR(VLOOKUP(B6,infoTable__2[],4,FALSE),"")</f>
        <v/>
      </c>
      <c r="E6" s="4" t="str">
        <f>IFERROR(VLOOKUP(B6,infoTable__3[],4,FALSE),"")</f>
        <v/>
      </c>
      <c r="F6" s="4" t="str">
        <f>IFERROR(VLOOKUP(B6,infoTable__4[],4,FALSE),"")</f>
        <v/>
      </c>
      <c r="G6" s="4" t="str">
        <f>IFERROR(VLOOKUP(B6,infoTable[],4,FALSE),"")</f>
        <v/>
      </c>
      <c r="H6" s="4" t="str">
        <f>IFERROR(VLOOKUP(B6,infoTable__6[],4,FALSE),"")</f>
        <v/>
      </c>
      <c r="I6" s="4" t="str">
        <f>IFERROR(VLOOKUP(B6,infoTable__28[],4,FALSE),"")</f>
        <v/>
      </c>
      <c r="J6" s="4" t="str">
        <f>IFERROR(VLOOKUP(B6,infoTable__10[],4,FALSE),"")</f>
        <v/>
      </c>
      <c r="K6" s="4" t="str">
        <f>IFERROR(VLOOKUP(B6,infoTable__11[],4,FALSE),"")</f>
        <v/>
      </c>
      <c r="L6" s="4" t="str">
        <f>IFERROR(VLOOKUP(B6,infoTable__12[],4,FALSE),"")</f>
        <v/>
      </c>
      <c r="M6" s="4">
        <f>IFERROR(VLOOKUP(B6,infoTable__13[],4,FALSE),"")</f>
        <v>1826670</v>
      </c>
      <c r="N6" s="4">
        <f>IFERROR(VLOOKUP(B6,infoTable__14[],4,FALSE),"")</f>
        <v>343330</v>
      </c>
      <c r="O6" s="4" t="str">
        <f>IFERROR(VLOOKUP(B6,infoTable__15[],4,FALSE),"")</f>
        <v/>
      </c>
      <c r="P6" s="4">
        <f>IFERROR(VLOOKUP(B6,infoTable__16[],4,FALSE),"")</f>
        <v>282234</v>
      </c>
    </row>
    <row r="7" spans="1:16" x14ac:dyDescent="0.55000000000000004">
      <c r="A7" t="s">
        <v>811</v>
      </c>
      <c r="B7" t="s">
        <v>812</v>
      </c>
      <c r="C7" s="4" t="str">
        <f>IFERROR(VLOOKUP(B7,infoTable10[],4,FALSE),"")</f>
        <v/>
      </c>
      <c r="D7" s="4" t="str">
        <f>IFERROR(VLOOKUP(B7,infoTable__2[],4,FALSE),"")</f>
        <v/>
      </c>
      <c r="E7" s="4" t="str">
        <f>IFERROR(VLOOKUP(B7,infoTable__3[],4,FALSE),"")</f>
        <v/>
      </c>
      <c r="F7" s="4">
        <f>IFERROR(VLOOKUP(B7,infoTable__4[],4,FALSE),"")</f>
        <v>956599</v>
      </c>
      <c r="G7" s="4" t="str">
        <f>IFERROR(VLOOKUP(B7,infoTable[],4,FALSE),"")</f>
        <v/>
      </c>
      <c r="H7" s="4" t="str">
        <f>IFERROR(VLOOKUP(B7,infoTable__6[],4,FALSE),"")</f>
        <v/>
      </c>
      <c r="I7" s="4" t="str">
        <f>IFERROR(VLOOKUP(B7,infoTable__28[],4,FALSE),"")</f>
        <v/>
      </c>
      <c r="J7" s="4" t="str">
        <f>IFERROR(VLOOKUP(B7,infoTable__10[],4,FALSE),"")</f>
        <v/>
      </c>
      <c r="K7" s="4" t="str">
        <f>IFERROR(VLOOKUP(B7,infoTable__11[],4,FALSE),"")</f>
        <v/>
      </c>
      <c r="L7" s="4">
        <f>IFERROR(VLOOKUP(B7,infoTable__12[],4,FALSE),"")</f>
        <v>360848</v>
      </c>
      <c r="M7" s="4">
        <f>IFERROR(VLOOKUP(B7,infoTable__13[],4,FALSE),"")</f>
        <v>1637116</v>
      </c>
      <c r="N7" s="4" t="str">
        <f>IFERROR(VLOOKUP(B7,infoTable__14[],4,FALSE),"")</f>
        <v/>
      </c>
      <c r="O7" s="4" t="str">
        <f>IFERROR(VLOOKUP(B7,infoTable__15[],4,FALSE),"")</f>
        <v/>
      </c>
      <c r="P7" s="4" t="str">
        <f>IFERROR(VLOOKUP(B7,infoTable__16[],4,FALSE),"")</f>
        <v/>
      </c>
    </row>
    <row r="8" spans="1:16" x14ac:dyDescent="0.55000000000000004">
      <c r="A8" t="s">
        <v>3220</v>
      </c>
      <c r="B8" t="s">
        <v>3221</v>
      </c>
      <c r="C8" s="4" t="str">
        <f>IFERROR(VLOOKUP(B8,infoTable10[],4,FALSE),"")</f>
        <v/>
      </c>
      <c r="D8" s="4" t="str">
        <f>IFERROR(VLOOKUP(B8,infoTable__2[],4,FALSE),"")</f>
        <v/>
      </c>
      <c r="E8" s="4" t="str">
        <f>IFERROR(VLOOKUP(B8,infoTable__3[],4,FALSE),"")</f>
        <v/>
      </c>
      <c r="F8" s="4" t="str">
        <f>IFERROR(VLOOKUP(B8,infoTable__4[],4,FALSE),"")</f>
        <v/>
      </c>
      <c r="G8" s="4" t="str">
        <f>IFERROR(VLOOKUP(B8,infoTable[],4,FALSE),"")</f>
        <v/>
      </c>
      <c r="H8" s="4" t="str">
        <f>IFERROR(VLOOKUP(B8,infoTable__6[],4,FALSE),"")</f>
        <v/>
      </c>
      <c r="I8" s="4" t="str">
        <f>IFERROR(VLOOKUP(B8,infoTable__28[],4,FALSE),"")</f>
        <v/>
      </c>
      <c r="J8" s="4" t="str">
        <f>IFERROR(VLOOKUP(B8,infoTable__10[],4,FALSE),"")</f>
        <v/>
      </c>
      <c r="K8" s="4" t="str">
        <f>IFERROR(VLOOKUP(B8,infoTable__11[],4,FALSE),"")</f>
        <v/>
      </c>
      <c r="L8" s="4" t="str">
        <f>IFERROR(VLOOKUP(B8,infoTable__12[],4,FALSE),"")</f>
        <v/>
      </c>
      <c r="M8" s="4" t="str">
        <f>IFERROR(VLOOKUP(B8,infoTable__13[],4,FALSE),"")</f>
        <v/>
      </c>
      <c r="N8" s="4" t="str">
        <f>IFERROR(VLOOKUP(B8,infoTable__14[],4,FALSE),"")</f>
        <v/>
      </c>
      <c r="O8" s="4" t="str">
        <f>IFERROR(VLOOKUP(B8,infoTable__15[],4,FALSE),"")</f>
        <v/>
      </c>
      <c r="P8" s="4">
        <f>IFERROR(VLOOKUP(B8,infoTable__16[],4,FALSE),"")</f>
        <v>285862</v>
      </c>
    </row>
    <row r="9" spans="1:16" x14ac:dyDescent="0.55000000000000004">
      <c r="A9" t="s">
        <v>2957</v>
      </c>
      <c r="B9" t="s">
        <v>2958</v>
      </c>
      <c r="C9" s="4" t="str">
        <f>IFERROR(VLOOKUP(B9,infoTable10[],4,FALSE),"")</f>
        <v/>
      </c>
      <c r="D9" s="4" t="str">
        <f>IFERROR(VLOOKUP(B9,infoTable__2[],4,FALSE),"")</f>
        <v/>
      </c>
      <c r="E9" s="4" t="str">
        <f>IFERROR(VLOOKUP(B9,infoTable__3[],4,FALSE),"")</f>
        <v/>
      </c>
      <c r="F9" s="4" t="str">
        <f>IFERROR(VLOOKUP(B9,infoTable__4[],4,FALSE),"")</f>
        <v/>
      </c>
      <c r="G9" s="4" t="str">
        <f>IFERROR(VLOOKUP(B9,infoTable[],4,FALSE),"")</f>
        <v/>
      </c>
      <c r="H9" s="4" t="str">
        <f>IFERROR(VLOOKUP(B9,infoTable__6[],4,FALSE),"")</f>
        <v/>
      </c>
      <c r="I9" s="4" t="str">
        <f>IFERROR(VLOOKUP(B9,infoTable__28[],4,FALSE),"")</f>
        <v/>
      </c>
      <c r="J9" s="4" t="str">
        <f>IFERROR(VLOOKUP(B9,infoTable__10[],4,FALSE),"")</f>
        <v/>
      </c>
      <c r="K9" s="4" t="str">
        <f>IFERROR(VLOOKUP(B9,infoTable__11[],4,FALSE),"")</f>
        <v/>
      </c>
      <c r="L9" s="4" t="str">
        <f>IFERROR(VLOOKUP(B9,infoTable__12[],4,FALSE),"")</f>
        <v/>
      </c>
      <c r="M9" s="4" t="str">
        <f>IFERROR(VLOOKUP(B9,infoTable__13[],4,FALSE),"")</f>
        <v/>
      </c>
      <c r="N9" s="4" t="str">
        <f>IFERROR(VLOOKUP(B9,infoTable__14[],4,FALSE),"")</f>
        <v/>
      </c>
      <c r="O9" s="4">
        <f>IFERROR(VLOOKUP(B9,infoTable__15[],4,FALSE),"")</f>
        <v>1234555</v>
      </c>
      <c r="P9" s="4">
        <f>IFERROR(VLOOKUP(B9,infoTable__16[],4,FALSE),"")</f>
        <v>803892</v>
      </c>
    </row>
    <row r="10" spans="1:16" x14ac:dyDescent="0.55000000000000004">
      <c r="A10" t="s">
        <v>813</v>
      </c>
      <c r="B10" t="s">
        <v>814</v>
      </c>
      <c r="C10" s="4" t="str">
        <f>IFERROR(VLOOKUP(B10,infoTable10[],4,FALSE),"")</f>
        <v/>
      </c>
      <c r="D10" s="4" t="str">
        <f>IFERROR(VLOOKUP(B10,infoTable__2[],4,FALSE),"")</f>
        <v/>
      </c>
      <c r="E10" s="4" t="str">
        <f>IFERROR(VLOOKUP(B10,infoTable__3[],4,FALSE),"")</f>
        <v/>
      </c>
      <c r="F10" s="4">
        <f>IFERROR(VLOOKUP(B10,infoTable__4[],4,FALSE),"")</f>
        <v>508342</v>
      </c>
      <c r="G10" s="4" t="str">
        <f>IFERROR(VLOOKUP(B10,infoTable[],4,FALSE),"")</f>
        <v/>
      </c>
      <c r="H10" s="4" t="str">
        <f>IFERROR(VLOOKUP(B10,infoTable__6[],4,FALSE),"")</f>
        <v/>
      </c>
      <c r="I10" s="4" t="str">
        <f>IFERROR(VLOOKUP(B10,infoTable__28[],4,FALSE),"")</f>
        <v/>
      </c>
      <c r="J10" s="4" t="str">
        <f>IFERROR(VLOOKUP(B10,infoTable__10[],4,FALSE),"")</f>
        <v/>
      </c>
      <c r="K10" s="4" t="str">
        <f>IFERROR(VLOOKUP(B10,infoTable__11[],4,FALSE),"")</f>
        <v/>
      </c>
      <c r="L10" s="4" t="str">
        <f>IFERROR(VLOOKUP(B10,infoTable__12[],4,FALSE),"")</f>
        <v/>
      </c>
      <c r="M10" s="4" t="str">
        <f>IFERROR(VLOOKUP(B10,infoTable__13[],4,FALSE),"")</f>
        <v/>
      </c>
      <c r="N10" s="4" t="str">
        <f>IFERROR(VLOOKUP(B10,infoTable__14[],4,FALSE),"")</f>
        <v/>
      </c>
      <c r="O10" s="4" t="str">
        <f>IFERROR(VLOOKUP(B10,infoTable__15[],4,FALSE),"")</f>
        <v/>
      </c>
      <c r="P10" s="4">
        <f>IFERROR(VLOOKUP(B10,infoTable__16[],4,FALSE),"")</f>
        <v>1370304</v>
      </c>
    </row>
    <row r="11" spans="1:16" x14ac:dyDescent="0.55000000000000004">
      <c r="A11" t="s">
        <v>3222</v>
      </c>
      <c r="B11" t="s">
        <v>3223</v>
      </c>
      <c r="C11" s="4" t="str">
        <f>IFERROR(VLOOKUP(B11,infoTable10[],4,FALSE),"")</f>
        <v/>
      </c>
      <c r="D11" s="4" t="str">
        <f>IFERROR(VLOOKUP(B11,infoTable__2[],4,FALSE),"")</f>
        <v/>
      </c>
      <c r="E11" s="4" t="str">
        <f>IFERROR(VLOOKUP(B11,infoTable__3[],4,FALSE),"")</f>
        <v/>
      </c>
      <c r="F11" s="4" t="str">
        <f>IFERROR(VLOOKUP(B11,infoTable__4[],4,FALSE),"")</f>
        <v/>
      </c>
      <c r="G11" s="4" t="str">
        <f>IFERROR(VLOOKUP(B11,infoTable[],4,FALSE),"")</f>
        <v/>
      </c>
      <c r="H11" s="4" t="str">
        <f>IFERROR(VLOOKUP(B11,infoTable__6[],4,FALSE),"")</f>
        <v/>
      </c>
      <c r="I11" s="4" t="str">
        <f>IFERROR(VLOOKUP(B11,infoTable__28[],4,FALSE),"")</f>
        <v/>
      </c>
      <c r="J11" s="4" t="str">
        <f>IFERROR(VLOOKUP(B11,infoTable__10[],4,FALSE),"")</f>
        <v/>
      </c>
      <c r="K11" s="4" t="str">
        <f>IFERROR(VLOOKUP(B11,infoTable__11[],4,FALSE),"")</f>
        <v/>
      </c>
      <c r="L11" s="4" t="str">
        <f>IFERROR(VLOOKUP(B11,infoTable__12[],4,FALSE),"")</f>
        <v/>
      </c>
      <c r="M11" s="4" t="str">
        <f>IFERROR(VLOOKUP(B11,infoTable__13[],4,FALSE),"")</f>
        <v/>
      </c>
      <c r="N11" s="4" t="str">
        <f>IFERROR(VLOOKUP(B11,infoTable__14[],4,FALSE),"")</f>
        <v/>
      </c>
      <c r="O11" s="4" t="str">
        <f>IFERROR(VLOOKUP(B11,infoTable__15[],4,FALSE),"")</f>
        <v/>
      </c>
      <c r="P11" s="4">
        <f>IFERROR(VLOOKUP(B11,infoTable__16[],4,FALSE),"")</f>
        <v>606695</v>
      </c>
    </row>
    <row r="12" spans="1:16" x14ac:dyDescent="0.55000000000000004">
      <c r="A12" t="s">
        <v>2959</v>
      </c>
      <c r="B12" t="s">
        <v>2960</v>
      </c>
      <c r="C12" s="4" t="str">
        <f>IFERROR(VLOOKUP(B12,infoTable10[],4,FALSE),"")</f>
        <v/>
      </c>
      <c r="D12" s="4" t="str">
        <f>IFERROR(VLOOKUP(B12,infoTable__2[],4,FALSE),"")</f>
        <v/>
      </c>
      <c r="E12" s="4" t="str">
        <f>IFERROR(VLOOKUP(B12,infoTable__3[],4,FALSE),"")</f>
        <v/>
      </c>
      <c r="F12" s="4" t="str">
        <f>IFERROR(VLOOKUP(B12,infoTable__4[],4,FALSE),"")</f>
        <v/>
      </c>
      <c r="G12" s="4" t="str">
        <f>IFERROR(VLOOKUP(B12,infoTable[],4,FALSE),"")</f>
        <v/>
      </c>
      <c r="H12" s="4" t="str">
        <f>IFERROR(VLOOKUP(B12,infoTable__6[],4,FALSE),"")</f>
        <v/>
      </c>
      <c r="I12" s="4" t="str">
        <f>IFERROR(VLOOKUP(B12,infoTable__28[],4,FALSE),"")</f>
        <v/>
      </c>
      <c r="J12" s="4" t="str">
        <f>IFERROR(VLOOKUP(B12,infoTable__10[],4,FALSE),"")</f>
        <v/>
      </c>
      <c r="K12" s="4" t="str">
        <f>IFERROR(VLOOKUP(B12,infoTable__11[],4,FALSE),"")</f>
        <v/>
      </c>
      <c r="L12" s="4" t="str">
        <f>IFERROR(VLOOKUP(B12,infoTable__12[],4,FALSE),"")</f>
        <v/>
      </c>
      <c r="M12" s="4" t="str">
        <f>IFERROR(VLOOKUP(B12,infoTable__13[],4,FALSE),"")</f>
        <v/>
      </c>
      <c r="N12" s="4" t="str">
        <f>IFERROR(VLOOKUP(B12,infoTable__14[],4,FALSE),"")</f>
        <v/>
      </c>
      <c r="O12" s="4">
        <f>IFERROR(VLOOKUP(B12,infoTable__15[],4,FALSE),"")</f>
        <v>394281</v>
      </c>
      <c r="P12" s="4" t="str">
        <f>IFERROR(VLOOKUP(B12,infoTable__16[],4,FALSE),"")</f>
        <v/>
      </c>
    </row>
    <row r="13" spans="1:16" x14ac:dyDescent="0.55000000000000004">
      <c r="A13" t="s">
        <v>2961</v>
      </c>
      <c r="B13" t="s">
        <v>2962</v>
      </c>
      <c r="C13" s="4" t="str">
        <f>IFERROR(VLOOKUP(B13,infoTable10[],4,FALSE),"")</f>
        <v/>
      </c>
      <c r="D13" s="4" t="str">
        <f>IFERROR(VLOOKUP(B13,infoTable__2[],4,FALSE),"")</f>
        <v/>
      </c>
      <c r="E13" s="4" t="str">
        <f>IFERROR(VLOOKUP(B13,infoTable__3[],4,FALSE),"")</f>
        <v/>
      </c>
      <c r="F13" s="4" t="str">
        <f>IFERROR(VLOOKUP(B13,infoTable__4[],4,FALSE),"")</f>
        <v/>
      </c>
      <c r="G13" s="4" t="str">
        <f>IFERROR(VLOOKUP(B13,infoTable[],4,FALSE),"")</f>
        <v/>
      </c>
      <c r="H13" s="4" t="str">
        <f>IFERROR(VLOOKUP(B13,infoTable__6[],4,FALSE),"")</f>
        <v/>
      </c>
      <c r="I13" s="4" t="str">
        <f>IFERROR(VLOOKUP(B13,infoTable__28[],4,FALSE),"")</f>
        <v/>
      </c>
      <c r="J13" s="4" t="str">
        <f>IFERROR(VLOOKUP(B13,infoTable__10[],4,FALSE),"")</f>
        <v/>
      </c>
      <c r="K13" s="4" t="str">
        <f>IFERROR(VLOOKUP(B13,infoTable__11[],4,FALSE),"")</f>
        <v/>
      </c>
      <c r="L13" s="4" t="str">
        <f>IFERROR(VLOOKUP(B13,infoTable__12[],4,FALSE),"")</f>
        <v/>
      </c>
      <c r="M13" s="4" t="str">
        <f>IFERROR(VLOOKUP(B13,infoTable__13[],4,FALSE),"")</f>
        <v/>
      </c>
      <c r="N13" s="4" t="str">
        <f>IFERROR(VLOOKUP(B13,infoTable__14[],4,FALSE),"")</f>
        <v/>
      </c>
      <c r="O13" s="4">
        <f>IFERROR(VLOOKUP(B13,infoTable__15[],4,FALSE),"")</f>
        <v>1077014</v>
      </c>
      <c r="P13" s="4">
        <f>IFERROR(VLOOKUP(B13,infoTable__16[],4,FALSE),"")</f>
        <v>472050</v>
      </c>
    </row>
    <row r="14" spans="1:16" x14ac:dyDescent="0.55000000000000004">
      <c r="A14" t="s">
        <v>815</v>
      </c>
      <c r="B14" t="s">
        <v>816</v>
      </c>
      <c r="C14" s="4" t="str">
        <f>IFERROR(VLOOKUP(B14,infoTable10[],4,FALSE),"")</f>
        <v/>
      </c>
      <c r="D14" s="4" t="str">
        <f>IFERROR(VLOOKUP(B14,infoTable__2[],4,FALSE),"")</f>
        <v/>
      </c>
      <c r="E14" s="4" t="str">
        <f>IFERROR(VLOOKUP(B14,infoTable__3[],4,FALSE),"")</f>
        <v/>
      </c>
      <c r="F14" s="4">
        <f>IFERROR(VLOOKUP(B14,infoTable__4[],4,FALSE),"")</f>
        <v>317916</v>
      </c>
      <c r="G14" s="4" t="str">
        <f>IFERROR(VLOOKUP(B14,infoTable[],4,FALSE),"")</f>
        <v/>
      </c>
      <c r="H14" s="4" t="str">
        <f>IFERROR(VLOOKUP(B14,infoTable__6[],4,FALSE),"")</f>
        <v/>
      </c>
      <c r="I14" s="4" t="str">
        <f>IFERROR(VLOOKUP(B14,infoTable__28[],4,FALSE),"")</f>
        <v/>
      </c>
      <c r="J14" s="4">
        <f>IFERROR(VLOOKUP(B14,infoTable__10[],4,FALSE),"")</f>
        <v>2865018</v>
      </c>
      <c r="K14" s="4">
        <f>IFERROR(VLOOKUP(B14,infoTable__11[],4,FALSE),"")</f>
        <v>964287</v>
      </c>
      <c r="L14" s="4">
        <f>IFERROR(VLOOKUP(B14,infoTable__12[],4,FALSE),"")</f>
        <v>871939</v>
      </c>
      <c r="M14" s="4">
        <f>IFERROR(VLOOKUP(B14,infoTable__13[],4,FALSE),"")</f>
        <v>758441</v>
      </c>
      <c r="N14" s="4">
        <f>IFERROR(VLOOKUP(B14,infoTable__14[],4,FALSE),"")</f>
        <v>814121</v>
      </c>
      <c r="O14" s="4">
        <f>IFERROR(VLOOKUP(B14,infoTable__15[],4,FALSE),"")</f>
        <v>1639633</v>
      </c>
      <c r="P14" s="4">
        <f>IFERROR(VLOOKUP(B14,infoTable__16[],4,FALSE),"")</f>
        <v>1233124</v>
      </c>
    </row>
    <row r="15" spans="1:16" x14ac:dyDescent="0.55000000000000004">
      <c r="A15" t="s">
        <v>940</v>
      </c>
      <c r="B15" t="s">
        <v>941</v>
      </c>
      <c r="C15" s="4" t="str">
        <f>IFERROR(VLOOKUP(B15,infoTable10[],4,FALSE),"")</f>
        <v/>
      </c>
      <c r="D15" s="4" t="str">
        <f>IFERROR(VLOOKUP(B15,infoTable__2[],4,FALSE),"")</f>
        <v/>
      </c>
      <c r="E15" s="4" t="str">
        <f>IFERROR(VLOOKUP(B15,infoTable__3[],4,FALSE),"")</f>
        <v/>
      </c>
      <c r="F15" s="4" t="str">
        <f>IFERROR(VLOOKUP(B15,infoTable__4[],4,FALSE),"")</f>
        <v/>
      </c>
      <c r="G15" s="4" t="str">
        <f>IFERROR(VLOOKUP(B15,infoTable[],4,FALSE),"")</f>
        <v/>
      </c>
      <c r="H15" s="4">
        <f>IFERROR(VLOOKUP(B15,infoTable__6[],4,FALSE),"")</f>
        <v>446261</v>
      </c>
      <c r="I15" s="4" t="str">
        <f>IFERROR(VLOOKUP(B15,infoTable__28[],4,FALSE),"")</f>
        <v/>
      </c>
      <c r="J15" s="4" t="str">
        <f>IFERROR(VLOOKUP(B15,infoTable__10[],4,FALSE),"")</f>
        <v/>
      </c>
      <c r="K15" s="4" t="str">
        <f>IFERROR(VLOOKUP(B15,infoTable__11[],4,FALSE),"")</f>
        <v/>
      </c>
      <c r="L15" s="4" t="str">
        <f>IFERROR(VLOOKUP(B15,infoTable__12[],4,FALSE),"")</f>
        <v/>
      </c>
      <c r="M15" s="4" t="str">
        <f>IFERROR(VLOOKUP(B15,infoTable__13[],4,FALSE),"")</f>
        <v/>
      </c>
      <c r="N15" s="4" t="str">
        <f>IFERROR(VLOOKUP(B15,infoTable__14[],4,FALSE),"")</f>
        <v/>
      </c>
      <c r="O15" s="4" t="str">
        <f>IFERROR(VLOOKUP(B15,infoTable__15[],4,FALSE),"")</f>
        <v/>
      </c>
      <c r="P15" s="4" t="str">
        <f>IFERROR(VLOOKUP(B15,infoTable__16[],4,FALSE),"")</f>
        <v/>
      </c>
    </row>
    <row r="16" spans="1:16" x14ac:dyDescent="0.55000000000000004">
      <c r="A16" t="s">
        <v>1143</v>
      </c>
      <c r="B16" t="s">
        <v>1144</v>
      </c>
      <c r="C16" s="4" t="str">
        <f>IFERROR(VLOOKUP(B16,infoTable10[],4,FALSE),"")</f>
        <v/>
      </c>
      <c r="D16" s="4" t="str">
        <f>IFERROR(VLOOKUP(B16,infoTable__2[],4,FALSE),"")</f>
        <v/>
      </c>
      <c r="E16" s="4" t="str">
        <f>IFERROR(VLOOKUP(B16,infoTable__3[],4,FALSE),"")</f>
        <v/>
      </c>
      <c r="F16" s="4" t="str">
        <f>IFERROR(VLOOKUP(B16,infoTable__4[],4,FALSE),"")</f>
        <v/>
      </c>
      <c r="G16" s="4" t="str">
        <f>IFERROR(VLOOKUP(B16,infoTable[],4,FALSE),"")</f>
        <v/>
      </c>
      <c r="H16" s="4" t="str">
        <f>IFERROR(VLOOKUP(B16,infoTable__6[],4,FALSE),"")</f>
        <v/>
      </c>
      <c r="I16" s="4">
        <f>IFERROR(VLOOKUP(B16,infoTable__28[],4,FALSE),"")</f>
        <v>1756123</v>
      </c>
      <c r="J16" s="4">
        <f>IFERROR(VLOOKUP(B16,infoTable__10[],4,FALSE),"")</f>
        <v>2659619</v>
      </c>
      <c r="K16" s="4">
        <f>IFERROR(VLOOKUP(B16,infoTable__11[],4,FALSE),"")</f>
        <v>1013210</v>
      </c>
      <c r="L16" s="4">
        <f>IFERROR(VLOOKUP(B16,infoTable__12[],4,FALSE),"")</f>
        <v>1225194</v>
      </c>
      <c r="M16" s="4">
        <f>IFERROR(VLOOKUP(B16,infoTable__13[],4,FALSE),"")</f>
        <v>1486076</v>
      </c>
      <c r="N16" s="4" t="str">
        <f>IFERROR(VLOOKUP(B16,infoTable__14[],4,FALSE),"")</f>
        <v/>
      </c>
      <c r="O16" s="4" t="str">
        <f>IFERROR(VLOOKUP(B16,infoTable__15[],4,FALSE),"")</f>
        <v/>
      </c>
      <c r="P16" s="4" t="str">
        <f>IFERROR(VLOOKUP(B16,infoTable__16[],4,FALSE),"")</f>
        <v/>
      </c>
    </row>
    <row r="17" spans="1:16" x14ac:dyDescent="0.55000000000000004">
      <c r="A17" t="s">
        <v>3225</v>
      </c>
      <c r="B17" t="s">
        <v>3226</v>
      </c>
      <c r="C17" s="4" t="str">
        <f>IFERROR(VLOOKUP(B17,infoTable10[],4,FALSE),"")</f>
        <v/>
      </c>
      <c r="D17" s="4" t="str">
        <f>IFERROR(VLOOKUP(B17,infoTable__2[],4,FALSE),"")</f>
        <v/>
      </c>
      <c r="E17" s="4" t="str">
        <f>IFERROR(VLOOKUP(B17,infoTable__3[],4,FALSE),"")</f>
        <v/>
      </c>
      <c r="F17" s="4" t="str">
        <f>IFERROR(VLOOKUP(B17,infoTable__4[],4,FALSE),"")</f>
        <v/>
      </c>
      <c r="G17" s="4" t="str">
        <f>IFERROR(VLOOKUP(B17,infoTable[],4,FALSE),"")</f>
        <v/>
      </c>
      <c r="H17" s="4" t="str">
        <f>IFERROR(VLOOKUP(B17,infoTable__6[],4,FALSE),"")</f>
        <v/>
      </c>
      <c r="I17" s="4" t="str">
        <f>IFERROR(VLOOKUP(B17,infoTable__28[],4,FALSE),"")</f>
        <v/>
      </c>
      <c r="J17" s="4" t="str">
        <f>IFERROR(VLOOKUP(B17,infoTable__10[],4,FALSE),"")</f>
        <v/>
      </c>
      <c r="K17" s="4" t="str">
        <f>IFERROR(VLOOKUP(B17,infoTable__11[],4,FALSE),"")</f>
        <v/>
      </c>
      <c r="L17" s="4" t="str">
        <f>IFERROR(VLOOKUP(B17,infoTable__12[],4,FALSE),"")</f>
        <v/>
      </c>
      <c r="M17" s="4" t="str">
        <f>IFERROR(VLOOKUP(B17,infoTable__13[],4,FALSE),"")</f>
        <v/>
      </c>
      <c r="N17" s="4" t="str">
        <f>IFERROR(VLOOKUP(B17,infoTable__14[],4,FALSE),"")</f>
        <v/>
      </c>
      <c r="O17" s="4" t="str">
        <f>IFERROR(VLOOKUP(B17,infoTable__15[],4,FALSE),"")</f>
        <v/>
      </c>
      <c r="P17" s="4">
        <f>IFERROR(VLOOKUP(B17,infoTable__16[],4,FALSE),"")</f>
        <v>233258</v>
      </c>
    </row>
    <row r="18" spans="1:16" x14ac:dyDescent="0.55000000000000004">
      <c r="A18" t="s">
        <v>501</v>
      </c>
      <c r="B18" t="s">
        <v>502</v>
      </c>
      <c r="C18" s="4" t="str">
        <f>IFERROR(VLOOKUP(B18,infoTable10[],4,FALSE),"")</f>
        <v/>
      </c>
      <c r="D18" s="4">
        <f>IFERROR(VLOOKUP(B18,infoTable__2[],4,FALSE),"")</f>
        <v>539504</v>
      </c>
      <c r="E18" s="4">
        <f>IFERROR(VLOOKUP(B18,infoTable__3[],4,FALSE),"")</f>
        <v>1586059</v>
      </c>
      <c r="F18" s="4" t="str">
        <f>IFERROR(VLOOKUP(B18,infoTable__4[],4,FALSE),"")</f>
        <v/>
      </c>
      <c r="G18" s="4" t="str">
        <f>IFERROR(VLOOKUP(B18,infoTable[],4,FALSE),"")</f>
        <v/>
      </c>
      <c r="H18" s="4" t="str">
        <f>IFERROR(VLOOKUP(B18,infoTable__6[],4,FALSE),"")</f>
        <v/>
      </c>
      <c r="I18" s="4" t="str">
        <f>IFERROR(VLOOKUP(B18,infoTable__28[],4,FALSE),"")</f>
        <v/>
      </c>
      <c r="J18" s="4" t="str">
        <f>IFERROR(VLOOKUP(B18,infoTable__10[],4,FALSE),"")</f>
        <v/>
      </c>
      <c r="K18" s="4" t="str">
        <f>IFERROR(VLOOKUP(B18,infoTable__11[],4,FALSE),"")</f>
        <v/>
      </c>
      <c r="L18" s="4" t="str">
        <f>IFERROR(VLOOKUP(B18,infoTable__12[],4,FALSE),"")</f>
        <v/>
      </c>
      <c r="M18" s="4" t="str">
        <f>IFERROR(VLOOKUP(B18,infoTable__13[],4,FALSE),"")</f>
        <v/>
      </c>
      <c r="N18" s="4" t="str">
        <f>IFERROR(VLOOKUP(B18,infoTable__14[],4,FALSE),"")</f>
        <v/>
      </c>
      <c r="O18" s="4" t="str">
        <f>IFERROR(VLOOKUP(B18,infoTable__15[],4,FALSE),"")</f>
        <v/>
      </c>
      <c r="P18" s="4" t="str">
        <f>IFERROR(VLOOKUP(B18,infoTable__16[],4,FALSE),"")</f>
        <v/>
      </c>
    </row>
    <row r="19" spans="1:16" x14ac:dyDescent="0.55000000000000004">
      <c r="A19" t="s">
        <v>3227</v>
      </c>
      <c r="B19" t="s">
        <v>3228</v>
      </c>
      <c r="C19" s="4" t="str">
        <f>IFERROR(VLOOKUP(B19,infoTable10[],4,FALSE),"")</f>
        <v/>
      </c>
      <c r="D19" s="4" t="str">
        <f>IFERROR(VLOOKUP(B19,infoTable__2[],4,FALSE),"")</f>
        <v/>
      </c>
      <c r="E19" s="4" t="str">
        <f>IFERROR(VLOOKUP(B19,infoTable__3[],4,FALSE),"")</f>
        <v/>
      </c>
      <c r="F19" s="4" t="str">
        <f>IFERROR(VLOOKUP(B19,infoTable__4[],4,FALSE),"")</f>
        <v/>
      </c>
      <c r="G19" s="4" t="str">
        <f>IFERROR(VLOOKUP(B19,infoTable[],4,FALSE),"")</f>
        <v/>
      </c>
      <c r="H19" s="4" t="str">
        <f>IFERROR(VLOOKUP(B19,infoTable__6[],4,FALSE),"")</f>
        <v/>
      </c>
      <c r="I19" s="4" t="str">
        <f>IFERROR(VLOOKUP(B19,infoTable__28[],4,FALSE),"")</f>
        <v/>
      </c>
      <c r="J19" s="4" t="str">
        <f>IFERROR(VLOOKUP(B19,infoTable__10[],4,FALSE),"")</f>
        <v/>
      </c>
      <c r="K19" s="4" t="str">
        <f>IFERROR(VLOOKUP(B19,infoTable__11[],4,FALSE),"")</f>
        <v/>
      </c>
      <c r="L19" s="4" t="str">
        <f>IFERROR(VLOOKUP(B19,infoTable__12[],4,FALSE),"")</f>
        <v/>
      </c>
      <c r="M19" s="4" t="str">
        <f>IFERROR(VLOOKUP(B19,infoTable__13[],4,FALSE),"")</f>
        <v/>
      </c>
      <c r="N19" s="4" t="str">
        <f>IFERROR(VLOOKUP(B19,infoTable__14[],4,FALSE),"")</f>
        <v/>
      </c>
      <c r="O19" s="4" t="str">
        <f>IFERROR(VLOOKUP(B19,infoTable__15[],4,FALSE),"")</f>
        <v/>
      </c>
      <c r="P19" s="4">
        <f>IFERROR(VLOOKUP(B19,infoTable__16[],4,FALSE),"")</f>
        <v>245874</v>
      </c>
    </row>
    <row r="20" spans="1:16" x14ac:dyDescent="0.55000000000000004">
      <c r="A20" t="s">
        <v>12</v>
      </c>
      <c r="B20" t="s">
        <v>14</v>
      </c>
      <c r="C20" s="4" t="str">
        <f>IFERROR(VLOOKUP(B20,infoTable10[],4,FALSE),"")</f>
        <v/>
      </c>
      <c r="D20" s="4" t="str">
        <f>IFERROR(VLOOKUP(B20,infoTable__2[],4,FALSE),"")</f>
        <v/>
      </c>
      <c r="E20" s="4" t="str">
        <f>IFERROR(VLOOKUP(B20,infoTable__3[],4,FALSE),"")</f>
        <v/>
      </c>
      <c r="F20" s="4">
        <f>IFERROR(VLOOKUP(B20,infoTable__4[],4,FALSE),"")</f>
        <v>531657</v>
      </c>
      <c r="G20" s="4">
        <f>IFERROR(VLOOKUP(B20,infoTable[],4,FALSE),"")</f>
        <v>398871</v>
      </c>
      <c r="H20" s="4">
        <f>IFERROR(VLOOKUP(B20,infoTable__6[],4,FALSE),"")</f>
        <v>246773</v>
      </c>
      <c r="I20" s="4" t="str">
        <f>IFERROR(VLOOKUP(B20,infoTable__28[],4,FALSE),"")</f>
        <v/>
      </c>
      <c r="J20" s="4" t="str">
        <f>IFERROR(VLOOKUP(B20,infoTable__10[],4,FALSE),"")</f>
        <v/>
      </c>
      <c r="K20" s="4" t="str">
        <f>IFERROR(VLOOKUP(B20,infoTable__11[],4,FALSE),"")</f>
        <v/>
      </c>
      <c r="L20" s="4" t="str">
        <f>IFERROR(VLOOKUP(B20,infoTable__12[],4,FALSE),"")</f>
        <v/>
      </c>
      <c r="M20" s="4" t="str">
        <f>IFERROR(VLOOKUP(B20,infoTable__13[],4,FALSE),"")</f>
        <v/>
      </c>
      <c r="N20" s="4">
        <f>IFERROR(VLOOKUP(B20,infoTable__14[],4,FALSE),"")</f>
        <v>2658284</v>
      </c>
      <c r="O20" s="4">
        <f>IFERROR(VLOOKUP(B20,infoTable__15[],4,FALSE),"")</f>
        <v>1362157</v>
      </c>
      <c r="P20" s="4">
        <f>IFERROR(VLOOKUP(B20,infoTable__16[],4,FALSE),"")</f>
        <v>2443219</v>
      </c>
    </row>
    <row r="21" spans="1:16" x14ac:dyDescent="0.55000000000000004">
      <c r="A21" t="s">
        <v>2068</v>
      </c>
      <c r="B21" t="s">
        <v>2069</v>
      </c>
      <c r="C21" s="4" t="str">
        <f>IFERROR(VLOOKUP(B21,infoTable10[],4,FALSE),"")</f>
        <v/>
      </c>
      <c r="D21" s="4" t="str">
        <f>IFERROR(VLOOKUP(B21,infoTable__2[],4,FALSE),"")</f>
        <v/>
      </c>
      <c r="E21" s="4" t="str">
        <f>IFERROR(VLOOKUP(B21,infoTable__3[],4,FALSE),"")</f>
        <v/>
      </c>
      <c r="F21" s="4" t="str">
        <f>IFERROR(VLOOKUP(B21,infoTable__4[],4,FALSE),"")</f>
        <v/>
      </c>
      <c r="G21" s="4" t="str">
        <f>IFERROR(VLOOKUP(B21,infoTable[],4,FALSE),"")</f>
        <v/>
      </c>
      <c r="H21" s="4" t="str">
        <f>IFERROR(VLOOKUP(B21,infoTable__6[],4,FALSE),"")</f>
        <v/>
      </c>
      <c r="I21" s="4" t="str">
        <f>IFERROR(VLOOKUP(B21,infoTable__28[],4,FALSE),"")</f>
        <v/>
      </c>
      <c r="J21" s="4" t="str">
        <f>IFERROR(VLOOKUP(B21,infoTable__10[],4,FALSE),"")</f>
        <v/>
      </c>
      <c r="K21" s="4" t="str">
        <f>IFERROR(VLOOKUP(B21,infoTable__11[],4,FALSE),"")</f>
        <v/>
      </c>
      <c r="L21" s="4">
        <f>IFERROR(VLOOKUP(B21,infoTable__12[],4,FALSE),"")</f>
        <v>205401</v>
      </c>
      <c r="M21" s="4" t="str">
        <f>IFERROR(VLOOKUP(B21,infoTable__13[],4,FALSE),"")</f>
        <v/>
      </c>
      <c r="N21" s="4" t="str">
        <f>IFERROR(VLOOKUP(B21,infoTable__14[],4,FALSE),"")</f>
        <v/>
      </c>
      <c r="O21" s="4" t="str">
        <f>IFERROR(VLOOKUP(B21,infoTable__15[],4,FALSE),"")</f>
        <v/>
      </c>
      <c r="P21" s="4" t="str">
        <f>IFERROR(VLOOKUP(B21,infoTable__16[],4,FALSE),"")</f>
        <v/>
      </c>
    </row>
    <row r="22" spans="1:16" x14ac:dyDescent="0.55000000000000004">
      <c r="A22" t="s">
        <v>2070</v>
      </c>
      <c r="B22" t="s">
        <v>2071</v>
      </c>
      <c r="C22" s="4" t="str">
        <f>IFERROR(VLOOKUP(B22,infoTable10[],4,FALSE),"")</f>
        <v/>
      </c>
      <c r="D22" s="4" t="str">
        <f>IFERROR(VLOOKUP(B22,infoTable__2[],4,FALSE),"")</f>
        <v/>
      </c>
      <c r="E22" s="4" t="str">
        <f>IFERROR(VLOOKUP(B22,infoTable__3[],4,FALSE),"")</f>
        <v/>
      </c>
      <c r="F22" s="4" t="str">
        <f>IFERROR(VLOOKUP(B22,infoTable__4[],4,FALSE),"")</f>
        <v/>
      </c>
      <c r="G22" s="4" t="str">
        <f>IFERROR(VLOOKUP(B22,infoTable[],4,FALSE),"")</f>
        <v/>
      </c>
      <c r="H22" s="4" t="str">
        <f>IFERROR(VLOOKUP(B22,infoTable__6[],4,FALSE),"")</f>
        <v/>
      </c>
      <c r="I22" s="4" t="str">
        <f>IFERROR(VLOOKUP(B22,infoTable__28[],4,FALSE),"")</f>
        <v/>
      </c>
      <c r="J22" s="4" t="str">
        <f>IFERROR(VLOOKUP(B22,infoTable__10[],4,FALSE),"")</f>
        <v/>
      </c>
      <c r="K22" s="4" t="str">
        <f>IFERROR(VLOOKUP(B22,infoTable__11[],4,FALSE),"")</f>
        <v/>
      </c>
      <c r="L22" s="4">
        <f>IFERROR(VLOOKUP(B22,infoTable__12[],4,FALSE),"")</f>
        <v>261527</v>
      </c>
      <c r="M22" s="4">
        <f>IFERROR(VLOOKUP(B22,infoTable__13[],4,FALSE),"")</f>
        <v>255818</v>
      </c>
      <c r="N22" s="4">
        <f>IFERROR(VLOOKUP(B22,infoTable__14[],4,FALSE),"")</f>
        <v>208246</v>
      </c>
      <c r="O22" s="4" t="str">
        <f>IFERROR(VLOOKUP(B22,infoTable__15[],4,FALSE),"")</f>
        <v/>
      </c>
      <c r="P22" s="4">
        <f>IFERROR(VLOOKUP(B22,infoTable__16[],4,FALSE),"")</f>
        <v>190047</v>
      </c>
    </row>
    <row r="23" spans="1:16" x14ac:dyDescent="0.55000000000000004">
      <c r="A23" t="s">
        <v>15</v>
      </c>
      <c r="B23" t="s">
        <v>16</v>
      </c>
      <c r="C23" s="4" t="str">
        <f>IFERROR(VLOOKUP(B23,infoTable10[],4,FALSE),"")</f>
        <v/>
      </c>
      <c r="D23" s="4" t="str">
        <f>IFERROR(VLOOKUP(B23,infoTable__2[],4,FALSE),"")</f>
        <v/>
      </c>
      <c r="E23" s="4">
        <f>IFERROR(VLOOKUP(B23,infoTable__3[],4,FALSE),"")</f>
        <v>9118416</v>
      </c>
      <c r="F23" s="4">
        <f>IFERROR(VLOOKUP(B23,infoTable__4[],4,FALSE),"")</f>
        <v>2337267</v>
      </c>
      <c r="G23" s="4">
        <f>IFERROR(VLOOKUP(B23,infoTable[],4,FALSE),"")</f>
        <v>278290</v>
      </c>
      <c r="H23" s="4" t="str">
        <f>IFERROR(VLOOKUP(B23,infoTable__6[],4,FALSE),"")</f>
        <v/>
      </c>
      <c r="I23" s="4">
        <f>IFERROR(VLOOKUP(B23,infoTable__28[],4,FALSE),"")</f>
        <v>1540441</v>
      </c>
      <c r="J23" s="4">
        <f>IFERROR(VLOOKUP(B23,infoTable__10[],4,FALSE),"")</f>
        <v>1608323</v>
      </c>
      <c r="K23" s="4" t="str">
        <f>IFERROR(VLOOKUP(B23,infoTable__11[],4,FALSE),"")</f>
        <v/>
      </c>
      <c r="L23" s="4" t="str">
        <f>IFERROR(VLOOKUP(B23,infoTable__12[],4,FALSE),"")</f>
        <v/>
      </c>
      <c r="M23" s="4" t="str">
        <f>IFERROR(VLOOKUP(B23,infoTable__13[],4,FALSE),"")</f>
        <v/>
      </c>
      <c r="N23" s="4" t="str">
        <f>IFERROR(VLOOKUP(B23,infoTable__14[],4,FALSE),"")</f>
        <v/>
      </c>
      <c r="O23" s="4" t="str">
        <f>IFERROR(VLOOKUP(B23,infoTable__15[],4,FALSE),"")</f>
        <v/>
      </c>
      <c r="P23" s="4" t="str">
        <f>IFERROR(VLOOKUP(B23,infoTable__16[],4,FALSE),"")</f>
        <v/>
      </c>
    </row>
    <row r="24" spans="1:16" x14ac:dyDescent="0.55000000000000004">
      <c r="A24" t="s">
        <v>1478</v>
      </c>
      <c r="B24" t="s">
        <v>1479</v>
      </c>
      <c r="C24" s="4">
        <f>IFERROR(VLOOKUP(B24,infoTable10[],4,FALSE),"")</f>
        <v>1176400</v>
      </c>
      <c r="D24" s="4" t="str">
        <f>IFERROR(VLOOKUP(B24,infoTable__2[],4,FALSE),"")</f>
        <v/>
      </c>
      <c r="E24" s="4" t="str">
        <f>IFERROR(VLOOKUP(B24,infoTable__3[],4,FALSE),"")</f>
        <v/>
      </c>
      <c r="F24" s="4" t="str">
        <f>IFERROR(VLOOKUP(B24,infoTable__4[],4,FALSE),"")</f>
        <v/>
      </c>
      <c r="G24" s="4" t="str">
        <f>IFERROR(VLOOKUP(B24,infoTable[],4,FALSE),"")</f>
        <v/>
      </c>
      <c r="H24" s="4" t="str">
        <f>IFERROR(VLOOKUP(B24,infoTable__6[],4,FALSE),"")</f>
        <v/>
      </c>
      <c r="I24" s="4" t="str">
        <f>IFERROR(VLOOKUP(B24,infoTable__28[],4,FALSE),"")</f>
        <v/>
      </c>
      <c r="J24" s="4" t="str">
        <f>IFERROR(VLOOKUP(B24,infoTable__10[],4,FALSE),"")</f>
        <v/>
      </c>
      <c r="K24" s="4" t="str">
        <f>IFERROR(VLOOKUP(B24,infoTable__11[],4,FALSE),"")</f>
        <v/>
      </c>
      <c r="L24" s="4">
        <f>IFERROR(VLOOKUP(B24,infoTable__12[],4,FALSE),"")</f>
        <v>990492</v>
      </c>
      <c r="M24" s="4" t="str">
        <f>IFERROR(VLOOKUP(B24,infoTable__13[],4,FALSE),"")</f>
        <v/>
      </c>
      <c r="N24" s="4">
        <f>IFERROR(VLOOKUP(B24,infoTable__14[],4,FALSE),"")</f>
        <v>2899093</v>
      </c>
      <c r="O24" s="4">
        <f>IFERROR(VLOOKUP(B24,infoTable__15[],4,FALSE),"")</f>
        <v>855077</v>
      </c>
      <c r="P24" s="4" t="str">
        <f>IFERROR(VLOOKUP(B24,infoTable__16[],4,FALSE),"")</f>
        <v/>
      </c>
    </row>
    <row r="25" spans="1:16" x14ac:dyDescent="0.55000000000000004">
      <c r="A25" t="s">
        <v>964</v>
      </c>
      <c r="B25" t="s">
        <v>965</v>
      </c>
      <c r="C25" s="4" t="str">
        <f>IFERROR(VLOOKUP(B25,infoTable10[],4,FALSE),"")</f>
        <v/>
      </c>
      <c r="D25" s="4" t="str">
        <f>IFERROR(VLOOKUP(B25,infoTable__2[],4,FALSE),"")</f>
        <v/>
      </c>
      <c r="E25" s="4" t="str">
        <f>IFERROR(VLOOKUP(B25,infoTable__3[],4,FALSE),"")</f>
        <v/>
      </c>
      <c r="F25" s="4" t="str">
        <f>IFERROR(VLOOKUP(B25,infoTable__4[],4,FALSE),"")</f>
        <v/>
      </c>
      <c r="G25" s="4" t="str">
        <f>IFERROR(VLOOKUP(B25,infoTable[],4,FALSE),"")</f>
        <v/>
      </c>
      <c r="H25" s="4">
        <f>IFERROR(VLOOKUP(B25,infoTable__6[],4,FALSE),"")</f>
        <v>533277</v>
      </c>
      <c r="I25" s="4">
        <f>IFERROR(VLOOKUP(B25,infoTable__28[],4,FALSE),"")</f>
        <v>542919</v>
      </c>
      <c r="J25" s="4">
        <f>IFERROR(VLOOKUP(B25,infoTable__10[],4,FALSE),"")</f>
        <v>706373</v>
      </c>
      <c r="K25" s="4">
        <f>IFERROR(VLOOKUP(B25,infoTable__11[],4,FALSE),"")</f>
        <v>779919</v>
      </c>
      <c r="L25" s="4">
        <f>IFERROR(VLOOKUP(B25,infoTable__12[],4,FALSE),"")</f>
        <v>860575</v>
      </c>
      <c r="M25" s="4" t="str">
        <f>IFERROR(VLOOKUP(B25,infoTable__13[],4,FALSE),"")</f>
        <v/>
      </c>
      <c r="N25" s="4" t="str">
        <f>IFERROR(VLOOKUP(B25,infoTable__14[],4,FALSE),"")</f>
        <v/>
      </c>
      <c r="O25" s="4">
        <f>IFERROR(VLOOKUP(B25,infoTable__15[],4,FALSE),"")</f>
        <v>533238</v>
      </c>
      <c r="P25" s="4">
        <f>IFERROR(VLOOKUP(B25,infoTable__16[],4,FALSE),"")</f>
        <v>269005</v>
      </c>
    </row>
    <row r="26" spans="1:16" x14ac:dyDescent="0.55000000000000004">
      <c r="A26" t="s">
        <v>507</v>
      </c>
      <c r="B26" t="s">
        <v>508</v>
      </c>
      <c r="C26" s="4">
        <f>IFERROR(VLOOKUP(B26,infoTable10[],4,FALSE),"")</f>
        <v>93966</v>
      </c>
      <c r="D26" s="4">
        <f>IFERROR(VLOOKUP(B26,infoTable__2[],4,FALSE),"")</f>
        <v>349289</v>
      </c>
      <c r="E26" s="4" t="str">
        <f>IFERROR(VLOOKUP(B26,infoTable__3[],4,FALSE),"")</f>
        <v/>
      </c>
      <c r="F26" s="4" t="str">
        <f>IFERROR(VLOOKUP(B26,infoTable__4[],4,FALSE),"")</f>
        <v/>
      </c>
      <c r="G26" s="4" t="str">
        <f>IFERROR(VLOOKUP(B26,infoTable[],4,FALSE),"")</f>
        <v/>
      </c>
      <c r="H26" s="4" t="str">
        <f>IFERROR(VLOOKUP(B26,infoTable__6[],4,FALSE),"")</f>
        <v/>
      </c>
      <c r="I26" s="4" t="str">
        <f>IFERROR(VLOOKUP(B26,infoTable__28[],4,FALSE),"")</f>
        <v/>
      </c>
      <c r="J26" s="4" t="str">
        <f>IFERROR(VLOOKUP(B26,infoTable__10[],4,FALSE),"")</f>
        <v/>
      </c>
      <c r="K26" s="4" t="str">
        <f>IFERROR(VLOOKUP(B26,infoTable__11[],4,FALSE),"")</f>
        <v/>
      </c>
      <c r="L26" s="4" t="str">
        <f>IFERROR(VLOOKUP(B26,infoTable__12[],4,FALSE),"")</f>
        <v/>
      </c>
      <c r="M26" s="4" t="str">
        <f>IFERROR(VLOOKUP(B26,infoTable__13[],4,FALSE),"")</f>
        <v/>
      </c>
      <c r="N26" s="4" t="str">
        <f>IFERROR(VLOOKUP(B26,infoTable__14[],4,FALSE),"")</f>
        <v/>
      </c>
      <c r="O26" s="4" t="str">
        <f>IFERROR(VLOOKUP(B26,infoTable__15[],4,FALSE),"")</f>
        <v/>
      </c>
      <c r="P26" s="4" t="str">
        <f>IFERROR(VLOOKUP(B26,infoTable__16[],4,FALSE),"")</f>
        <v/>
      </c>
    </row>
    <row r="27" spans="1:16" x14ac:dyDescent="0.55000000000000004">
      <c r="A27" t="s">
        <v>2642</v>
      </c>
      <c r="B27" t="s">
        <v>2641</v>
      </c>
      <c r="C27" s="4" t="str">
        <f>IFERROR(VLOOKUP(B27,infoTable10[],4,FALSE),"")</f>
        <v/>
      </c>
      <c r="D27" s="4" t="str">
        <f>IFERROR(VLOOKUP(B27,infoTable__2[],4,FALSE),"")</f>
        <v/>
      </c>
      <c r="E27" s="4" t="str">
        <f>IFERROR(VLOOKUP(B27,infoTable__3[],4,FALSE),"")</f>
        <v/>
      </c>
      <c r="F27" s="4" t="str">
        <f>IFERROR(VLOOKUP(B27,infoTable__4[],4,FALSE),"")</f>
        <v/>
      </c>
      <c r="G27" s="4" t="str">
        <f>IFERROR(VLOOKUP(B27,infoTable[],4,FALSE),"")</f>
        <v/>
      </c>
      <c r="H27" s="4" t="str">
        <f>IFERROR(VLOOKUP(B27,infoTable__6[],4,FALSE),"")</f>
        <v/>
      </c>
      <c r="I27" s="4" t="str">
        <f>IFERROR(VLOOKUP(B27,infoTable__28[],4,FALSE),"")</f>
        <v/>
      </c>
      <c r="J27" s="4" t="str">
        <f>IFERROR(VLOOKUP(B27,infoTable__10[],4,FALSE),"")</f>
        <v/>
      </c>
      <c r="K27" s="4" t="str">
        <f>IFERROR(VLOOKUP(B27,infoTable__11[],4,FALSE),"")</f>
        <v/>
      </c>
      <c r="L27" s="4" t="str">
        <f>IFERROR(VLOOKUP(B27,infoTable__12[],4,FALSE),"")</f>
        <v/>
      </c>
      <c r="M27" s="4" t="str">
        <f>IFERROR(VLOOKUP(B27,infoTable__13[],4,FALSE),"")</f>
        <v/>
      </c>
      <c r="N27" s="4">
        <f>IFERROR(VLOOKUP(B27,infoTable__14[],4,FALSE),"")</f>
        <v>337827</v>
      </c>
      <c r="O27" s="4" t="str">
        <f>IFERROR(VLOOKUP(B27,infoTable__15[],4,FALSE),"")</f>
        <v/>
      </c>
      <c r="P27" s="4" t="str">
        <f>IFERROR(VLOOKUP(B27,infoTable__16[],4,FALSE),"")</f>
        <v/>
      </c>
    </row>
    <row r="28" spans="1:16" x14ac:dyDescent="0.55000000000000004">
      <c r="A28" t="s">
        <v>944</v>
      </c>
      <c r="B28" t="s">
        <v>945</v>
      </c>
      <c r="C28" s="4" t="str">
        <f>IFERROR(VLOOKUP(B28,infoTable10[],4,FALSE),"")</f>
        <v/>
      </c>
      <c r="D28" s="4" t="str">
        <f>IFERROR(VLOOKUP(B28,infoTable__2[],4,FALSE),"")</f>
        <v/>
      </c>
      <c r="E28" s="4" t="str">
        <f>IFERROR(VLOOKUP(B28,infoTable__3[],4,FALSE),"")</f>
        <v/>
      </c>
      <c r="F28" s="4" t="str">
        <f>IFERROR(VLOOKUP(B28,infoTable__4[],4,FALSE),"")</f>
        <v/>
      </c>
      <c r="G28" s="4" t="str">
        <f>IFERROR(VLOOKUP(B28,infoTable[],4,FALSE),"")</f>
        <v/>
      </c>
      <c r="H28" s="4">
        <f>IFERROR(VLOOKUP(B28,infoTable__6[],4,FALSE),"")</f>
        <v>1535214</v>
      </c>
      <c r="I28" s="4" t="str">
        <f>IFERROR(VLOOKUP(B28,infoTable__28[],4,FALSE),"")</f>
        <v/>
      </c>
      <c r="J28" s="4" t="str">
        <f>IFERROR(VLOOKUP(B28,infoTable__10[],4,FALSE),"")</f>
        <v/>
      </c>
      <c r="K28" s="4" t="str">
        <f>IFERROR(VLOOKUP(B28,infoTable__11[],4,FALSE),"")</f>
        <v/>
      </c>
      <c r="L28" s="4" t="str">
        <f>IFERROR(VLOOKUP(B28,infoTable__12[],4,FALSE),"")</f>
        <v/>
      </c>
      <c r="M28" s="4" t="str">
        <f>IFERROR(VLOOKUP(B28,infoTable__13[],4,FALSE),"")</f>
        <v/>
      </c>
      <c r="N28" s="4" t="str">
        <f>IFERROR(VLOOKUP(B28,infoTable__14[],4,FALSE),"")</f>
        <v/>
      </c>
      <c r="O28" s="4">
        <f>IFERROR(VLOOKUP(B28,infoTable__15[],4,FALSE),"")</f>
        <v>1452319</v>
      </c>
      <c r="P28" s="4">
        <f>IFERROR(VLOOKUP(B28,infoTable__16[],4,FALSE),"")</f>
        <v>3052822</v>
      </c>
    </row>
    <row r="29" spans="1:16" x14ac:dyDescent="0.55000000000000004">
      <c r="A29" t="s">
        <v>509</v>
      </c>
      <c r="B29" t="s">
        <v>510</v>
      </c>
      <c r="C29" s="4" t="str">
        <f>IFERROR(VLOOKUP(B29,infoTable10[],4,FALSE),"")</f>
        <v/>
      </c>
      <c r="D29" s="4">
        <f>IFERROR(VLOOKUP(B29,infoTable__2[],4,FALSE),"")</f>
        <v>1690988</v>
      </c>
      <c r="E29" s="4" t="str">
        <f>IFERROR(VLOOKUP(B29,infoTable__3[],4,FALSE),"")</f>
        <v/>
      </c>
      <c r="F29" s="4" t="str">
        <f>IFERROR(VLOOKUP(B29,infoTable__4[],4,FALSE),"")</f>
        <v/>
      </c>
      <c r="G29" s="4" t="str">
        <f>IFERROR(VLOOKUP(B29,infoTable[],4,FALSE),"")</f>
        <v/>
      </c>
      <c r="H29" s="4" t="str">
        <f>IFERROR(VLOOKUP(B29,infoTable__6[],4,FALSE),"")</f>
        <v/>
      </c>
      <c r="I29" s="4" t="str">
        <f>IFERROR(VLOOKUP(B29,infoTable__28[],4,FALSE),"")</f>
        <v/>
      </c>
      <c r="J29" s="4" t="str">
        <f>IFERROR(VLOOKUP(B29,infoTable__10[],4,FALSE),"")</f>
        <v/>
      </c>
      <c r="K29" s="4" t="str">
        <f>IFERROR(VLOOKUP(B29,infoTable__11[],4,FALSE),"")</f>
        <v/>
      </c>
      <c r="L29" s="4" t="str">
        <f>IFERROR(VLOOKUP(B29,infoTable__12[],4,FALSE),"")</f>
        <v/>
      </c>
      <c r="M29" s="4" t="str">
        <f>IFERROR(VLOOKUP(B29,infoTable__13[],4,FALSE),"")</f>
        <v/>
      </c>
      <c r="N29" s="4" t="str">
        <f>IFERROR(VLOOKUP(B29,infoTable__14[],4,FALSE),"")</f>
        <v/>
      </c>
      <c r="O29" s="4" t="str">
        <f>IFERROR(VLOOKUP(B29,infoTable__15[],4,FALSE),"")</f>
        <v/>
      </c>
      <c r="P29" s="4" t="str">
        <f>IFERROR(VLOOKUP(B29,infoTable__16[],4,FALSE),"")</f>
        <v/>
      </c>
    </row>
    <row r="30" spans="1:16" x14ac:dyDescent="0.55000000000000004">
      <c r="A30" t="s">
        <v>2406</v>
      </c>
      <c r="B30" t="s">
        <v>2407</v>
      </c>
      <c r="C30" s="4" t="str">
        <f>IFERROR(VLOOKUP(B30,infoTable10[],4,FALSE),"")</f>
        <v/>
      </c>
      <c r="D30" s="4" t="str">
        <f>IFERROR(VLOOKUP(B30,infoTable__2[],4,FALSE),"")</f>
        <v/>
      </c>
      <c r="E30" s="4" t="str">
        <f>IFERROR(VLOOKUP(B30,infoTable__3[],4,FALSE),"")</f>
        <v/>
      </c>
      <c r="F30" s="4" t="str">
        <f>IFERROR(VLOOKUP(B30,infoTable__4[],4,FALSE),"")</f>
        <v/>
      </c>
      <c r="G30" s="4" t="str">
        <f>IFERROR(VLOOKUP(B30,infoTable[],4,FALSE),"")</f>
        <v/>
      </c>
      <c r="H30" s="4" t="str">
        <f>IFERROR(VLOOKUP(B30,infoTable__6[],4,FALSE),"")</f>
        <v/>
      </c>
      <c r="I30" s="4" t="str">
        <f>IFERROR(VLOOKUP(B30,infoTable__28[],4,FALSE),"")</f>
        <v/>
      </c>
      <c r="J30" s="4" t="str">
        <f>IFERROR(VLOOKUP(B30,infoTable__10[],4,FALSE),"")</f>
        <v/>
      </c>
      <c r="K30" s="4" t="str">
        <f>IFERROR(VLOOKUP(B30,infoTable__11[],4,FALSE),"")</f>
        <v/>
      </c>
      <c r="L30" s="4" t="str">
        <f>IFERROR(VLOOKUP(B30,infoTable__12[],4,FALSE),"")</f>
        <v/>
      </c>
      <c r="M30" s="4">
        <f>IFERROR(VLOOKUP(B30,infoTable__13[],4,FALSE),"")</f>
        <v>555450</v>
      </c>
      <c r="N30" s="4">
        <f>IFERROR(VLOOKUP(B30,infoTable__14[],4,FALSE),"")</f>
        <v>971150</v>
      </c>
      <c r="O30" s="4">
        <f>IFERROR(VLOOKUP(B30,infoTable__15[],4,FALSE),"")</f>
        <v>976671</v>
      </c>
      <c r="P30" s="4">
        <f>IFERROR(VLOOKUP(B30,infoTable__16[],4,FALSE),"")</f>
        <v>1306641</v>
      </c>
    </row>
    <row r="31" spans="1:16" x14ac:dyDescent="0.55000000000000004">
      <c r="A31" t="s">
        <v>1149</v>
      </c>
      <c r="B31" t="s">
        <v>1150</v>
      </c>
      <c r="C31" s="4" t="str">
        <f>IFERROR(VLOOKUP(B31,infoTable10[],4,FALSE),"")</f>
        <v/>
      </c>
      <c r="D31" s="4" t="str">
        <f>IFERROR(VLOOKUP(B31,infoTable__2[],4,FALSE),"")</f>
        <v/>
      </c>
      <c r="E31" s="4" t="str">
        <f>IFERROR(VLOOKUP(B31,infoTable__3[],4,FALSE),"")</f>
        <v/>
      </c>
      <c r="F31" s="4" t="str">
        <f>IFERROR(VLOOKUP(B31,infoTable__4[],4,FALSE),"")</f>
        <v/>
      </c>
      <c r="G31" s="4" t="str">
        <f>IFERROR(VLOOKUP(B31,infoTable[],4,FALSE),"")</f>
        <v/>
      </c>
      <c r="H31" s="4" t="str">
        <f>IFERROR(VLOOKUP(B31,infoTable__6[],4,FALSE),"")</f>
        <v/>
      </c>
      <c r="I31" s="4">
        <f>IFERROR(VLOOKUP(B31,infoTable__28[],4,FALSE),"")</f>
        <v>724024</v>
      </c>
      <c r="J31" s="4" t="str">
        <f>IFERROR(VLOOKUP(B31,infoTable__10[],4,FALSE),"")</f>
        <v/>
      </c>
      <c r="K31" s="4" t="str">
        <f>IFERROR(VLOOKUP(B31,infoTable__11[],4,FALSE),"")</f>
        <v/>
      </c>
      <c r="L31" s="4" t="str">
        <f>IFERROR(VLOOKUP(B31,infoTable__12[],4,FALSE),"")</f>
        <v/>
      </c>
      <c r="M31" s="4" t="str">
        <f>IFERROR(VLOOKUP(B31,infoTable__13[],4,FALSE),"")</f>
        <v/>
      </c>
      <c r="N31" s="4">
        <f>IFERROR(VLOOKUP(B31,infoTable__14[],4,FALSE),"")</f>
        <v>1417831</v>
      </c>
      <c r="O31" s="4">
        <f>IFERROR(VLOOKUP(B31,infoTable__15[],4,FALSE),"")</f>
        <v>3058083</v>
      </c>
      <c r="P31" s="4">
        <f>IFERROR(VLOOKUP(B31,infoTable__16[],4,FALSE),"")</f>
        <v>948183</v>
      </c>
    </row>
    <row r="32" spans="1:16" x14ac:dyDescent="0.55000000000000004">
      <c r="A32" t="s">
        <v>728</v>
      </c>
      <c r="B32" t="s">
        <v>729</v>
      </c>
      <c r="C32" s="4" t="str">
        <f>IFERROR(VLOOKUP(B32,infoTable10[],4,FALSE),"")</f>
        <v/>
      </c>
      <c r="D32" s="4" t="str">
        <f>IFERROR(VLOOKUP(B32,infoTable__2[],4,FALSE),"")</f>
        <v/>
      </c>
      <c r="E32" s="4">
        <f>IFERROR(VLOOKUP(B32,infoTable__3[],4,FALSE),"")</f>
        <v>1456475</v>
      </c>
      <c r="F32" s="4" t="str">
        <f>IFERROR(VLOOKUP(B32,infoTable__4[],4,FALSE),"")</f>
        <v/>
      </c>
      <c r="G32" s="4" t="str">
        <f>IFERROR(VLOOKUP(B32,infoTable[],4,FALSE),"")</f>
        <v/>
      </c>
      <c r="H32" s="4" t="str">
        <f>IFERROR(VLOOKUP(B32,infoTable__6[],4,FALSE),"")</f>
        <v/>
      </c>
      <c r="I32" s="4" t="str">
        <f>IFERROR(VLOOKUP(B32,infoTable__28[],4,FALSE),"")</f>
        <v/>
      </c>
      <c r="J32" s="4" t="str">
        <f>IFERROR(VLOOKUP(B32,infoTable__10[],4,FALSE),"")</f>
        <v/>
      </c>
      <c r="K32" s="4" t="str">
        <f>IFERROR(VLOOKUP(B32,infoTable__11[],4,FALSE),"")</f>
        <v/>
      </c>
      <c r="L32" s="4" t="str">
        <f>IFERROR(VLOOKUP(B32,infoTable__12[],4,FALSE),"")</f>
        <v/>
      </c>
      <c r="M32" s="4" t="str">
        <f>IFERROR(VLOOKUP(B32,infoTable__13[],4,FALSE),"")</f>
        <v/>
      </c>
      <c r="N32" s="4" t="str">
        <f>IFERROR(VLOOKUP(B32,infoTable__14[],4,FALSE),"")</f>
        <v/>
      </c>
      <c r="O32" s="4" t="str">
        <f>IFERROR(VLOOKUP(B32,infoTable__15[],4,FALSE),"")</f>
        <v/>
      </c>
      <c r="P32" s="4" t="str">
        <f>IFERROR(VLOOKUP(B32,infoTable__16[],4,FALSE),"")</f>
        <v/>
      </c>
    </row>
    <row r="33" spans="1:16" x14ac:dyDescent="0.55000000000000004">
      <c r="A33" t="s">
        <v>1602</v>
      </c>
      <c r="B33" t="s">
        <v>1603</v>
      </c>
      <c r="C33" s="4" t="str">
        <f>IFERROR(VLOOKUP(B33,infoTable10[],4,FALSE),"")</f>
        <v/>
      </c>
      <c r="D33" s="4" t="str">
        <f>IFERROR(VLOOKUP(B33,infoTable__2[],4,FALSE),"")</f>
        <v/>
      </c>
      <c r="E33" s="4" t="str">
        <f>IFERROR(VLOOKUP(B33,infoTable__3[],4,FALSE),"")</f>
        <v/>
      </c>
      <c r="F33" s="4" t="str">
        <f>IFERROR(VLOOKUP(B33,infoTable__4[],4,FALSE),"")</f>
        <v/>
      </c>
      <c r="G33" s="4" t="str">
        <f>IFERROR(VLOOKUP(B33,infoTable[],4,FALSE),"")</f>
        <v/>
      </c>
      <c r="H33" s="4" t="str">
        <f>IFERROR(VLOOKUP(B33,infoTable__6[],4,FALSE),"")</f>
        <v/>
      </c>
      <c r="I33" s="4" t="str">
        <f>IFERROR(VLOOKUP(B33,infoTable__28[],4,FALSE),"")</f>
        <v/>
      </c>
      <c r="J33" s="4">
        <f>IFERROR(VLOOKUP(B33,infoTable__10[],4,FALSE),"")</f>
        <v>1021068</v>
      </c>
      <c r="K33" s="4">
        <f>IFERROR(VLOOKUP(B33,infoTable__11[],4,FALSE),"")</f>
        <v>805785</v>
      </c>
      <c r="L33" s="4" t="str">
        <f>IFERROR(VLOOKUP(B33,infoTable__12[],4,FALSE),"")</f>
        <v/>
      </c>
      <c r="M33" s="4" t="str">
        <f>IFERROR(VLOOKUP(B33,infoTable__13[],4,FALSE),"")</f>
        <v/>
      </c>
      <c r="N33" s="4">
        <f>IFERROR(VLOOKUP(B33,infoTable__14[],4,FALSE),"")</f>
        <v>879892</v>
      </c>
      <c r="O33" s="4">
        <f>IFERROR(VLOOKUP(B33,infoTable__15[],4,FALSE),"")</f>
        <v>979998</v>
      </c>
      <c r="P33" s="4">
        <f>IFERROR(VLOOKUP(B33,infoTable__16[],4,FALSE),"")</f>
        <v>5261337</v>
      </c>
    </row>
    <row r="34" spans="1:16" x14ac:dyDescent="0.55000000000000004">
      <c r="A34" t="s">
        <v>2410</v>
      </c>
      <c r="B34" t="s">
        <v>2411</v>
      </c>
      <c r="C34" s="4" t="str">
        <f>IFERROR(VLOOKUP(B34,infoTable10[],4,FALSE),"")</f>
        <v/>
      </c>
      <c r="D34" s="4" t="str">
        <f>IFERROR(VLOOKUP(B34,infoTable__2[],4,FALSE),"")</f>
        <v/>
      </c>
      <c r="E34" s="4" t="str">
        <f>IFERROR(VLOOKUP(B34,infoTable__3[],4,FALSE),"")</f>
        <v/>
      </c>
      <c r="F34" s="4" t="str">
        <f>IFERROR(VLOOKUP(B34,infoTable__4[],4,FALSE),"")</f>
        <v/>
      </c>
      <c r="G34" s="4" t="str">
        <f>IFERROR(VLOOKUP(B34,infoTable[],4,FALSE),"")</f>
        <v/>
      </c>
      <c r="H34" s="4" t="str">
        <f>IFERROR(VLOOKUP(B34,infoTable__6[],4,FALSE),"")</f>
        <v/>
      </c>
      <c r="I34" s="4" t="str">
        <f>IFERROR(VLOOKUP(B34,infoTable__28[],4,FALSE),"")</f>
        <v/>
      </c>
      <c r="J34" s="4" t="str">
        <f>IFERROR(VLOOKUP(B34,infoTable__10[],4,FALSE),"")</f>
        <v/>
      </c>
      <c r="K34" s="4" t="str">
        <f>IFERROR(VLOOKUP(B34,infoTable__11[],4,FALSE),"")</f>
        <v/>
      </c>
      <c r="L34" s="4" t="str">
        <f>IFERROR(VLOOKUP(B34,infoTable__12[],4,FALSE),"")</f>
        <v/>
      </c>
      <c r="M34" s="4">
        <f>IFERROR(VLOOKUP(B34,infoTable__13[],4,FALSE),"")</f>
        <v>2413640</v>
      </c>
      <c r="N34" s="4">
        <f>IFERROR(VLOOKUP(B34,infoTable__14[],4,FALSE),"")</f>
        <v>371440</v>
      </c>
      <c r="O34" s="4" t="str">
        <f>IFERROR(VLOOKUP(B34,infoTable__15[],4,FALSE),"")</f>
        <v/>
      </c>
      <c r="P34" s="4" t="str">
        <f>IFERROR(VLOOKUP(B34,infoTable__16[],4,FALSE),"")</f>
        <v/>
      </c>
    </row>
    <row r="35" spans="1:16" x14ac:dyDescent="0.55000000000000004">
      <c r="A35" t="s">
        <v>28</v>
      </c>
      <c r="B35" t="s">
        <v>29</v>
      </c>
      <c r="C35" s="4" t="str">
        <f>IFERROR(VLOOKUP(B35,infoTable10[],4,FALSE),"")</f>
        <v/>
      </c>
      <c r="D35" s="4" t="str">
        <f>IFERROR(VLOOKUP(B35,infoTable__2[],4,FALSE),"")</f>
        <v/>
      </c>
      <c r="E35" s="4">
        <f>IFERROR(VLOOKUP(B35,infoTable__3[],4,FALSE),"")</f>
        <v>703729</v>
      </c>
      <c r="F35" s="4">
        <f>IFERROR(VLOOKUP(B35,infoTable__4[],4,FALSE),"")</f>
        <v>1376426</v>
      </c>
      <c r="G35" s="4">
        <f>IFERROR(VLOOKUP(B35,infoTable[],4,FALSE),"")</f>
        <v>1545919</v>
      </c>
      <c r="H35" s="4">
        <f>IFERROR(VLOOKUP(B35,infoTable__6[],4,FALSE),"")</f>
        <v>1140180</v>
      </c>
      <c r="I35" s="4">
        <f>IFERROR(VLOOKUP(B35,infoTable__28[],4,FALSE),"")</f>
        <v>826612</v>
      </c>
      <c r="J35" s="4">
        <f>IFERROR(VLOOKUP(B35,infoTable__10[],4,FALSE),"")</f>
        <v>1256503</v>
      </c>
      <c r="K35" s="4">
        <f>IFERROR(VLOOKUP(B35,infoTable__11[],4,FALSE),"")</f>
        <v>578664</v>
      </c>
      <c r="L35" s="4" t="str">
        <f>IFERROR(VLOOKUP(B35,infoTable__12[],4,FALSE),"")</f>
        <v/>
      </c>
      <c r="M35" s="4" t="str">
        <f>IFERROR(VLOOKUP(B35,infoTable__13[],4,FALSE),"")</f>
        <v/>
      </c>
      <c r="N35" s="4" t="str">
        <f>IFERROR(VLOOKUP(B35,infoTable__14[],4,FALSE),"")</f>
        <v/>
      </c>
      <c r="O35" s="4" t="str">
        <f>IFERROR(VLOOKUP(B35,infoTable__15[],4,FALSE),"")</f>
        <v/>
      </c>
      <c r="P35" s="4" t="str">
        <f>IFERROR(VLOOKUP(B35,infoTable__16[],4,FALSE),"")</f>
        <v/>
      </c>
    </row>
    <row r="36" spans="1:16" x14ac:dyDescent="0.55000000000000004">
      <c r="A36" t="s">
        <v>946</v>
      </c>
      <c r="B36" t="s">
        <v>947</v>
      </c>
      <c r="C36" s="4" t="str">
        <f>IFERROR(VLOOKUP(B36,infoTable10[],4,FALSE),"")</f>
        <v/>
      </c>
      <c r="D36" s="4" t="str">
        <f>IFERROR(VLOOKUP(B36,infoTable__2[],4,FALSE),"")</f>
        <v/>
      </c>
      <c r="E36" s="4" t="str">
        <f>IFERROR(VLOOKUP(B36,infoTable__3[],4,FALSE),"")</f>
        <v/>
      </c>
      <c r="F36" s="4" t="str">
        <f>IFERROR(VLOOKUP(B36,infoTable__4[],4,FALSE),"")</f>
        <v/>
      </c>
      <c r="G36" s="4" t="str">
        <f>IFERROR(VLOOKUP(B36,infoTable[],4,FALSE),"")</f>
        <v/>
      </c>
      <c r="H36" s="4">
        <f>IFERROR(VLOOKUP(B36,infoTable__6[],4,FALSE),"")</f>
        <v>870925</v>
      </c>
      <c r="I36" s="4" t="str">
        <f>IFERROR(VLOOKUP(B36,infoTable__28[],4,FALSE),"")</f>
        <v/>
      </c>
      <c r="J36" s="4" t="str">
        <f>IFERROR(VLOOKUP(B36,infoTable__10[],4,FALSE),"")</f>
        <v/>
      </c>
      <c r="K36" s="4" t="str">
        <f>IFERROR(VLOOKUP(B36,infoTable__11[],4,FALSE),"")</f>
        <v/>
      </c>
      <c r="L36" s="4" t="str">
        <f>IFERROR(VLOOKUP(B36,infoTable__12[],4,FALSE),"")</f>
        <v/>
      </c>
      <c r="M36" s="4" t="str">
        <f>IFERROR(VLOOKUP(B36,infoTable__13[],4,FALSE),"")</f>
        <v/>
      </c>
      <c r="N36" s="4" t="str">
        <f>IFERROR(VLOOKUP(B36,infoTable__14[],4,FALSE),"")</f>
        <v/>
      </c>
      <c r="O36" s="4" t="str">
        <f>IFERROR(VLOOKUP(B36,infoTable__15[],4,FALSE),"")</f>
        <v/>
      </c>
      <c r="P36" s="4" t="str">
        <f>IFERROR(VLOOKUP(B36,infoTable__16[],4,FALSE),"")</f>
        <v/>
      </c>
    </row>
    <row r="37" spans="1:16" x14ac:dyDescent="0.55000000000000004">
      <c r="A37" t="s">
        <v>1151</v>
      </c>
      <c r="B37" t="s">
        <v>1152</v>
      </c>
      <c r="C37" s="4" t="str">
        <f>IFERROR(VLOOKUP(B37,infoTable10[],4,FALSE),"")</f>
        <v/>
      </c>
      <c r="D37" s="4" t="str">
        <f>IFERROR(VLOOKUP(B37,infoTable__2[],4,FALSE),"")</f>
        <v/>
      </c>
      <c r="E37" s="4" t="str">
        <f>IFERROR(VLOOKUP(B37,infoTable__3[],4,FALSE),"")</f>
        <v/>
      </c>
      <c r="F37" s="4" t="str">
        <f>IFERROR(VLOOKUP(B37,infoTable__4[],4,FALSE),"")</f>
        <v/>
      </c>
      <c r="G37" s="4" t="str">
        <f>IFERROR(VLOOKUP(B37,infoTable[],4,FALSE),"")</f>
        <v/>
      </c>
      <c r="H37" s="4" t="str">
        <f>IFERROR(VLOOKUP(B37,infoTable__6[],4,FALSE),"")</f>
        <v/>
      </c>
      <c r="I37" s="4">
        <f>IFERROR(VLOOKUP(B37,infoTable__28[],4,FALSE),"")</f>
        <v>354191</v>
      </c>
      <c r="J37" s="4" t="str">
        <f>IFERROR(VLOOKUP(B37,infoTable__10[],4,FALSE),"")</f>
        <v/>
      </c>
      <c r="K37" s="4" t="str">
        <f>IFERROR(VLOOKUP(B37,infoTable__11[],4,FALSE),"")</f>
        <v/>
      </c>
      <c r="L37" s="4" t="str">
        <f>IFERROR(VLOOKUP(B37,infoTable__12[],4,FALSE),"")</f>
        <v/>
      </c>
      <c r="M37" s="4" t="str">
        <f>IFERROR(VLOOKUP(B37,infoTable__13[],4,FALSE),"")</f>
        <v/>
      </c>
      <c r="N37" s="4" t="str">
        <f>IFERROR(VLOOKUP(B37,infoTable__14[],4,FALSE),"")</f>
        <v/>
      </c>
      <c r="O37" s="4" t="str">
        <f>IFERROR(VLOOKUP(B37,infoTable__15[],4,FALSE),"")</f>
        <v/>
      </c>
      <c r="P37" s="4" t="str">
        <f>IFERROR(VLOOKUP(B37,infoTable__16[],4,FALSE),"")</f>
        <v/>
      </c>
    </row>
    <row r="38" spans="1:16" x14ac:dyDescent="0.55000000000000004">
      <c r="A38" t="s">
        <v>1570</v>
      </c>
      <c r="B38" t="s">
        <v>33</v>
      </c>
      <c r="C38" s="4" t="str">
        <f>IFERROR(VLOOKUP(B38,infoTable10[],4,FALSE),"")</f>
        <v/>
      </c>
      <c r="D38" s="4" t="str">
        <f>IFERROR(VLOOKUP(B38,infoTable__2[],4,FALSE),"")</f>
        <v/>
      </c>
      <c r="E38" s="4" t="str">
        <f>IFERROR(VLOOKUP(B38,infoTable__3[],4,FALSE),"")</f>
        <v/>
      </c>
      <c r="F38" s="4" t="str">
        <f>IFERROR(VLOOKUP(B38,infoTable__4[],4,FALSE),"")</f>
        <v/>
      </c>
      <c r="G38" s="4">
        <f>IFERROR(VLOOKUP(B38,infoTable[],4,FALSE),"")</f>
        <v>260680</v>
      </c>
      <c r="H38" s="4">
        <f>IFERROR(VLOOKUP(B38,infoTable__6[],4,FALSE),"")</f>
        <v>1107711</v>
      </c>
      <c r="I38" s="4" t="str">
        <f>IFERROR(VLOOKUP(B38,infoTable__28[],4,FALSE),"")</f>
        <v/>
      </c>
      <c r="J38" s="4" t="str">
        <f>IFERROR(VLOOKUP(B38,infoTable__10[],4,FALSE),"")</f>
        <v/>
      </c>
      <c r="K38" s="4" t="str">
        <f>IFERROR(VLOOKUP(B38,infoTable__11[],4,FALSE),"")</f>
        <v/>
      </c>
      <c r="L38" s="4" t="str">
        <f>IFERROR(VLOOKUP(B38,infoTable__12[],4,FALSE),"")</f>
        <v/>
      </c>
      <c r="M38" s="4" t="str">
        <f>IFERROR(VLOOKUP(B38,infoTable__13[],4,FALSE),"")</f>
        <v/>
      </c>
      <c r="N38" s="4" t="str">
        <f>IFERROR(VLOOKUP(B38,infoTable__14[],4,FALSE),"")</f>
        <v/>
      </c>
      <c r="O38" s="4" t="str">
        <f>IFERROR(VLOOKUP(B38,infoTable__15[],4,FALSE),"")</f>
        <v/>
      </c>
      <c r="P38" s="4" t="str">
        <f>IFERROR(VLOOKUP(B38,infoTable__16[],4,FALSE),"")</f>
        <v/>
      </c>
    </row>
    <row r="39" spans="1:16" x14ac:dyDescent="0.55000000000000004">
      <c r="A39" t="s">
        <v>2080</v>
      </c>
      <c r="B39" t="s">
        <v>2081</v>
      </c>
      <c r="C39" s="4" t="str">
        <f>IFERROR(VLOOKUP(B39,infoTable10[],4,FALSE),"")</f>
        <v/>
      </c>
      <c r="D39" s="4" t="str">
        <f>IFERROR(VLOOKUP(B39,infoTable__2[],4,FALSE),"")</f>
        <v/>
      </c>
      <c r="E39" s="4" t="str">
        <f>IFERROR(VLOOKUP(B39,infoTable__3[],4,FALSE),"")</f>
        <v/>
      </c>
      <c r="F39" s="4" t="str">
        <f>IFERROR(VLOOKUP(B39,infoTable__4[],4,FALSE),"")</f>
        <v/>
      </c>
      <c r="G39" s="4" t="str">
        <f>IFERROR(VLOOKUP(B39,infoTable[],4,FALSE),"")</f>
        <v/>
      </c>
      <c r="H39" s="4" t="str">
        <f>IFERROR(VLOOKUP(B39,infoTable__6[],4,FALSE),"")</f>
        <v/>
      </c>
      <c r="I39" s="4" t="str">
        <f>IFERROR(VLOOKUP(B39,infoTable__28[],4,FALSE),"")</f>
        <v/>
      </c>
      <c r="J39" s="4" t="str">
        <f>IFERROR(VLOOKUP(B39,infoTable__10[],4,FALSE),"")</f>
        <v/>
      </c>
      <c r="K39" s="4" t="str">
        <f>IFERROR(VLOOKUP(B39,infoTable__11[],4,FALSE),"")</f>
        <v/>
      </c>
      <c r="L39" s="4">
        <f>IFERROR(VLOOKUP(B39,infoTable__12[],4,FALSE),"")</f>
        <v>1791609</v>
      </c>
      <c r="M39" s="4">
        <f>IFERROR(VLOOKUP(B39,infoTable__13[],4,FALSE),"")</f>
        <v>3207110</v>
      </c>
      <c r="N39" s="4" t="str">
        <f>IFERROR(VLOOKUP(B39,infoTable__14[],4,FALSE),"")</f>
        <v/>
      </c>
      <c r="O39" s="4" t="str">
        <f>IFERROR(VLOOKUP(B39,infoTable__15[],4,FALSE),"")</f>
        <v/>
      </c>
      <c r="P39" s="4" t="str">
        <f>IFERROR(VLOOKUP(B39,infoTable__16[],4,FALSE),"")</f>
        <v/>
      </c>
    </row>
    <row r="40" spans="1:16" x14ac:dyDescent="0.55000000000000004">
      <c r="A40" t="s">
        <v>36</v>
      </c>
      <c r="B40" t="s">
        <v>37</v>
      </c>
      <c r="C40" s="4" t="str">
        <f>IFERROR(VLOOKUP(B40,infoTable10[],4,FALSE),"")</f>
        <v/>
      </c>
      <c r="D40" s="4" t="str">
        <f>IFERROR(VLOOKUP(B40,infoTable__2[],4,FALSE),"")</f>
        <v/>
      </c>
      <c r="E40" s="4" t="str">
        <f>IFERROR(VLOOKUP(B40,infoTable__3[],4,FALSE),"")</f>
        <v/>
      </c>
      <c r="F40" s="4" t="str">
        <f>IFERROR(VLOOKUP(B40,infoTable__4[],4,FALSE),"")</f>
        <v/>
      </c>
      <c r="G40" s="4">
        <f>IFERROR(VLOOKUP(B40,infoTable[],4,FALSE),"")</f>
        <v>1037158</v>
      </c>
      <c r="H40" s="4" t="str">
        <f>IFERROR(VLOOKUP(B40,infoTable__6[],4,FALSE),"")</f>
        <v/>
      </c>
      <c r="I40" s="4">
        <f>IFERROR(VLOOKUP(B40,infoTable__28[],4,FALSE),"")</f>
        <v>404272</v>
      </c>
      <c r="J40" s="4" t="str">
        <f>IFERROR(VLOOKUP(B40,infoTable__10[],4,FALSE),"")</f>
        <v/>
      </c>
      <c r="K40" s="4">
        <f>IFERROR(VLOOKUP(B40,infoTable__11[],4,FALSE),"")</f>
        <v>220999</v>
      </c>
      <c r="L40" s="4">
        <f>IFERROR(VLOOKUP(B40,infoTable__12[],4,FALSE),"")</f>
        <v>275768</v>
      </c>
      <c r="M40" s="4">
        <f>IFERROR(VLOOKUP(B40,infoTable__13[],4,FALSE),"")</f>
        <v>1471567</v>
      </c>
      <c r="N40" s="4">
        <f>IFERROR(VLOOKUP(B40,infoTable__14[],4,FALSE),"")</f>
        <v>3802488</v>
      </c>
      <c r="O40" s="4">
        <f>IFERROR(VLOOKUP(B40,infoTable__15[],4,FALSE),"")</f>
        <v>334450</v>
      </c>
      <c r="P40" s="4">
        <f>IFERROR(VLOOKUP(B40,infoTable__16[],4,FALSE),"")</f>
        <v>5101554</v>
      </c>
    </row>
    <row r="41" spans="1:16" x14ac:dyDescent="0.55000000000000004">
      <c r="A41" t="s">
        <v>2082</v>
      </c>
      <c r="B41" t="s">
        <v>2083</v>
      </c>
      <c r="C41" s="4" t="str">
        <f>IFERROR(VLOOKUP(B41,infoTable10[],4,FALSE),"")</f>
        <v/>
      </c>
      <c r="D41" s="4" t="str">
        <f>IFERROR(VLOOKUP(B41,infoTable__2[],4,FALSE),"")</f>
        <v/>
      </c>
      <c r="E41" s="4" t="str">
        <f>IFERROR(VLOOKUP(B41,infoTable__3[],4,FALSE),"")</f>
        <v/>
      </c>
      <c r="F41" s="4" t="str">
        <f>IFERROR(VLOOKUP(B41,infoTable__4[],4,FALSE),"")</f>
        <v/>
      </c>
      <c r="G41" s="4" t="str">
        <f>IFERROR(VLOOKUP(B41,infoTable[],4,FALSE),"")</f>
        <v/>
      </c>
      <c r="H41" s="4" t="str">
        <f>IFERROR(VLOOKUP(B41,infoTable__6[],4,FALSE),"")</f>
        <v/>
      </c>
      <c r="I41" s="4" t="str">
        <f>IFERROR(VLOOKUP(B41,infoTable__28[],4,FALSE),"")</f>
        <v/>
      </c>
      <c r="J41" s="4" t="str">
        <f>IFERROR(VLOOKUP(B41,infoTable__10[],4,FALSE),"")</f>
        <v/>
      </c>
      <c r="K41" s="4" t="str">
        <f>IFERROR(VLOOKUP(B41,infoTable__11[],4,FALSE),"")</f>
        <v/>
      </c>
      <c r="L41" s="4">
        <f>IFERROR(VLOOKUP(B41,infoTable__12[],4,FALSE),"")</f>
        <v>342291</v>
      </c>
      <c r="M41" s="4">
        <f>IFERROR(VLOOKUP(B41,infoTable__13[],4,FALSE),"")</f>
        <v>261850</v>
      </c>
      <c r="N41" s="4" t="str">
        <f>IFERROR(VLOOKUP(B41,infoTable__14[],4,FALSE),"")</f>
        <v/>
      </c>
      <c r="O41" s="4" t="str">
        <f>IFERROR(VLOOKUP(B41,infoTable__15[],4,FALSE),"")</f>
        <v/>
      </c>
      <c r="P41" s="4" t="str">
        <f>IFERROR(VLOOKUP(B41,infoTable__16[],4,FALSE),"")</f>
        <v/>
      </c>
    </row>
    <row r="42" spans="1:16" x14ac:dyDescent="0.55000000000000004">
      <c r="A42" t="s">
        <v>2089</v>
      </c>
      <c r="B42" t="s">
        <v>2090</v>
      </c>
      <c r="C42" s="4" t="str">
        <f>IFERROR(VLOOKUP(B42,infoTable10[],4,FALSE),"")</f>
        <v/>
      </c>
      <c r="D42" s="4" t="str">
        <f>IFERROR(VLOOKUP(B42,infoTable__2[],4,FALSE),"")</f>
        <v/>
      </c>
      <c r="E42" s="4" t="str">
        <f>IFERROR(VLOOKUP(B42,infoTable__3[],4,FALSE),"")</f>
        <v/>
      </c>
      <c r="F42" s="4" t="str">
        <f>IFERROR(VLOOKUP(B42,infoTable__4[],4,FALSE),"")</f>
        <v/>
      </c>
      <c r="G42" s="4" t="str">
        <f>IFERROR(VLOOKUP(B42,infoTable[],4,FALSE),"")</f>
        <v/>
      </c>
      <c r="H42" s="4" t="str">
        <f>IFERROR(VLOOKUP(B42,infoTable__6[],4,FALSE),"")</f>
        <v/>
      </c>
      <c r="I42" s="4" t="str">
        <f>IFERROR(VLOOKUP(B42,infoTable__28[],4,FALSE),"")</f>
        <v/>
      </c>
      <c r="J42" s="4" t="str">
        <f>IFERROR(VLOOKUP(B42,infoTable__10[],4,FALSE),"")</f>
        <v/>
      </c>
      <c r="K42" s="4" t="str">
        <f>IFERROR(VLOOKUP(B42,infoTable__11[],4,FALSE),"")</f>
        <v/>
      </c>
      <c r="L42" s="4">
        <f>IFERROR(VLOOKUP(B42,infoTable__12[],4,FALSE),"")</f>
        <v>278103</v>
      </c>
      <c r="M42" s="4" t="str">
        <f>IFERROR(VLOOKUP(B42,infoTable__13[],4,FALSE),"")</f>
        <v/>
      </c>
      <c r="N42" s="4" t="str">
        <f>IFERROR(VLOOKUP(B42,infoTable__14[],4,FALSE),"")</f>
        <v/>
      </c>
      <c r="O42" s="4" t="str">
        <f>IFERROR(VLOOKUP(B42,infoTable__15[],4,FALSE),"")</f>
        <v/>
      </c>
      <c r="P42" s="4" t="str">
        <f>IFERROR(VLOOKUP(B42,infoTable__16[],4,FALSE),"")</f>
        <v/>
      </c>
    </row>
    <row r="43" spans="1:16" x14ac:dyDescent="0.55000000000000004">
      <c r="A43" t="s">
        <v>2091</v>
      </c>
      <c r="B43" t="s">
        <v>2092</v>
      </c>
      <c r="C43" s="4" t="str">
        <f>IFERROR(VLOOKUP(B43,infoTable10[],4,FALSE),"")</f>
        <v/>
      </c>
      <c r="D43" s="4" t="str">
        <f>IFERROR(VLOOKUP(B43,infoTable__2[],4,FALSE),"")</f>
        <v/>
      </c>
      <c r="E43" s="4" t="str">
        <f>IFERROR(VLOOKUP(B43,infoTable__3[],4,FALSE),"")</f>
        <v/>
      </c>
      <c r="F43" s="4" t="str">
        <f>IFERROR(VLOOKUP(B43,infoTable__4[],4,FALSE),"")</f>
        <v/>
      </c>
      <c r="G43" s="4" t="str">
        <f>IFERROR(VLOOKUP(B43,infoTable[],4,FALSE),"")</f>
        <v/>
      </c>
      <c r="H43" s="4" t="str">
        <f>IFERROR(VLOOKUP(B43,infoTable__6[],4,FALSE),"")</f>
        <v/>
      </c>
      <c r="I43" s="4" t="str">
        <f>IFERROR(VLOOKUP(B43,infoTable__28[],4,FALSE),"")</f>
        <v/>
      </c>
      <c r="J43" s="4" t="str">
        <f>IFERROR(VLOOKUP(B43,infoTable__10[],4,FALSE),"")</f>
        <v/>
      </c>
      <c r="K43" s="4" t="str">
        <f>IFERROR(VLOOKUP(B43,infoTable__11[],4,FALSE),"")</f>
        <v/>
      </c>
      <c r="L43" s="4">
        <f>IFERROR(VLOOKUP(B43,infoTable__12[],4,FALSE),"")</f>
        <v>413802</v>
      </c>
      <c r="M43" s="4" t="str">
        <f>IFERROR(VLOOKUP(B43,infoTable__13[],4,FALSE),"")</f>
        <v/>
      </c>
      <c r="N43" s="4" t="str">
        <f>IFERROR(VLOOKUP(B43,infoTable__14[],4,FALSE),"")</f>
        <v/>
      </c>
      <c r="O43" s="4" t="str">
        <f>IFERROR(VLOOKUP(B43,infoTable__15[],4,FALSE),"")</f>
        <v/>
      </c>
      <c r="P43" s="4" t="str">
        <f>IFERROR(VLOOKUP(B43,infoTable__16[],4,FALSE),"")</f>
        <v/>
      </c>
    </row>
    <row r="44" spans="1:16" x14ac:dyDescent="0.55000000000000004">
      <c r="A44" t="s">
        <v>1883</v>
      </c>
      <c r="B44" t="s">
        <v>1884</v>
      </c>
      <c r="C44" s="4" t="str">
        <f>IFERROR(VLOOKUP(B44,infoTable10[],4,FALSE),"")</f>
        <v/>
      </c>
      <c r="D44" s="4" t="str">
        <f>IFERROR(VLOOKUP(B44,infoTable__2[],4,FALSE),"")</f>
        <v/>
      </c>
      <c r="E44" s="4" t="str">
        <f>IFERROR(VLOOKUP(B44,infoTable__3[],4,FALSE),"")</f>
        <v/>
      </c>
      <c r="F44" s="4" t="str">
        <f>IFERROR(VLOOKUP(B44,infoTable__4[],4,FALSE),"")</f>
        <v/>
      </c>
      <c r="G44" s="4" t="str">
        <f>IFERROR(VLOOKUP(B44,infoTable[],4,FALSE),"")</f>
        <v/>
      </c>
      <c r="H44" s="4" t="str">
        <f>IFERROR(VLOOKUP(B44,infoTable__6[],4,FALSE),"")</f>
        <v/>
      </c>
      <c r="I44" s="4" t="str">
        <f>IFERROR(VLOOKUP(B44,infoTable__28[],4,FALSE),"")</f>
        <v/>
      </c>
      <c r="J44" s="4" t="str">
        <f>IFERROR(VLOOKUP(B44,infoTable__10[],4,FALSE),"")</f>
        <v/>
      </c>
      <c r="K44" s="4">
        <f>IFERROR(VLOOKUP(B44,infoTable__11[],4,FALSE),"")</f>
        <v>766574</v>
      </c>
      <c r="L44" s="4" t="str">
        <f>IFERROR(VLOOKUP(B44,infoTable__12[],4,FALSE),"")</f>
        <v/>
      </c>
      <c r="M44" s="4" t="str">
        <f>IFERROR(VLOOKUP(B44,infoTable__13[],4,FALSE),"")</f>
        <v/>
      </c>
      <c r="N44" s="4">
        <f>IFERROR(VLOOKUP(B44,infoTable__14[],4,FALSE),"")</f>
        <v>734129</v>
      </c>
      <c r="O44" s="4" t="str">
        <f>IFERROR(VLOOKUP(B44,infoTable__15[],4,FALSE),"")</f>
        <v/>
      </c>
      <c r="P44" s="4" t="str">
        <f>IFERROR(VLOOKUP(B44,infoTable__16[],4,FALSE),"")</f>
        <v/>
      </c>
    </row>
    <row r="45" spans="1:16" x14ac:dyDescent="0.55000000000000004">
      <c r="A45" t="s">
        <v>1157</v>
      </c>
      <c r="B45" t="s">
        <v>1158</v>
      </c>
      <c r="C45" s="4" t="str">
        <f>IFERROR(VLOOKUP(B45,infoTable10[],4,FALSE),"")</f>
        <v/>
      </c>
      <c r="D45" s="4" t="str">
        <f>IFERROR(VLOOKUP(B45,infoTable__2[],4,FALSE),"")</f>
        <v/>
      </c>
      <c r="E45" s="4" t="str">
        <f>IFERROR(VLOOKUP(B45,infoTable__3[],4,FALSE),"")</f>
        <v/>
      </c>
      <c r="F45" s="4" t="str">
        <f>IFERROR(VLOOKUP(B45,infoTable__4[],4,FALSE),"")</f>
        <v/>
      </c>
      <c r="G45" s="4" t="str">
        <f>IFERROR(VLOOKUP(B45,infoTable[],4,FALSE),"")</f>
        <v/>
      </c>
      <c r="H45" s="4" t="str">
        <f>IFERROR(VLOOKUP(B45,infoTable__6[],4,FALSE),"")</f>
        <v/>
      </c>
      <c r="I45" s="4">
        <f>IFERROR(VLOOKUP(B45,infoTable__28[],4,FALSE),"")</f>
        <v>738374</v>
      </c>
      <c r="J45" s="4" t="str">
        <f>IFERROR(VLOOKUP(B45,infoTable__10[],4,FALSE),"")</f>
        <v/>
      </c>
      <c r="K45" s="4" t="str">
        <f>IFERROR(VLOOKUP(B45,infoTable__11[],4,FALSE),"")</f>
        <v/>
      </c>
      <c r="L45" s="4">
        <f>IFERROR(VLOOKUP(B45,infoTable__12[],4,FALSE),"")</f>
        <v>4996459</v>
      </c>
      <c r="M45" s="4">
        <f>IFERROR(VLOOKUP(B45,infoTable__13[],4,FALSE),"")</f>
        <v>7159079</v>
      </c>
      <c r="N45" s="4" t="str">
        <f>IFERROR(VLOOKUP(B45,infoTable__14[],4,FALSE),"")</f>
        <v/>
      </c>
      <c r="O45" s="4">
        <f>IFERROR(VLOOKUP(B45,infoTable__15[],4,FALSE),"")</f>
        <v>393374</v>
      </c>
      <c r="P45" s="4">
        <f>IFERROR(VLOOKUP(B45,infoTable__16[],4,FALSE),"")</f>
        <v>2699970</v>
      </c>
    </row>
    <row r="46" spans="1:16" x14ac:dyDescent="0.55000000000000004">
      <c r="A46" t="s">
        <v>2969</v>
      </c>
      <c r="B46" t="s">
        <v>2970</v>
      </c>
      <c r="C46" s="4" t="str">
        <f>IFERROR(VLOOKUP(B46,infoTable10[],4,FALSE),"")</f>
        <v/>
      </c>
      <c r="D46" s="4" t="str">
        <f>IFERROR(VLOOKUP(B46,infoTable__2[],4,FALSE),"")</f>
        <v/>
      </c>
      <c r="E46" s="4" t="str">
        <f>IFERROR(VLOOKUP(B46,infoTable__3[],4,FALSE),"")</f>
        <v/>
      </c>
      <c r="F46" s="4" t="str">
        <f>IFERROR(VLOOKUP(B46,infoTable__4[],4,FALSE),"")</f>
        <v/>
      </c>
      <c r="G46" s="4" t="str">
        <f>IFERROR(VLOOKUP(B46,infoTable[],4,FALSE),"")</f>
        <v/>
      </c>
      <c r="H46" s="4" t="str">
        <f>IFERROR(VLOOKUP(B46,infoTable__6[],4,FALSE),"")</f>
        <v/>
      </c>
      <c r="I46" s="4" t="str">
        <f>IFERROR(VLOOKUP(B46,infoTable__28[],4,FALSE),"")</f>
        <v/>
      </c>
      <c r="J46" s="4" t="str">
        <f>IFERROR(VLOOKUP(B46,infoTable__10[],4,FALSE),"")</f>
        <v/>
      </c>
      <c r="K46" s="4" t="str">
        <f>IFERROR(VLOOKUP(B46,infoTable__11[],4,FALSE),"")</f>
        <v/>
      </c>
      <c r="L46" s="4" t="str">
        <f>IFERROR(VLOOKUP(B46,infoTable__12[],4,FALSE),"")</f>
        <v/>
      </c>
      <c r="M46" s="4" t="str">
        <f>IFERROR(VLOOKUP(B46,infoTable__13[],4,FALSE),"")</f>
        <v/>
      </c>
      <c r="N46" s="4" t="str">
        <f>IFERROR(VLOOKUP(B46,infoTable__14[],4,FALSE),"")</f>
        <v/>
      </c>
      <c r="O46" s="4">
        <f>IFERROR(VLOOKUP(B46,infoTable__15[],4,FALSE),"")</f>
        <v>1773615</v>
      </c>
      <c r="P46" s="4">
        <f>IFERROR(VLOOKUP(B46,infoTable__16[],4,FALSE),"")</f>
        <v>2582059</v>
      </c>
    </row>
    <row r="47" spans="1:16" x14ac:dyDescent="0.55000000000000004">
      <c r="A47" t="s">
        <v>40</v>
      </c>
      <c r="B47" t="s">
        <v>42</v>
      </c>
      <c r="C47" s="4" t="str">
        <f>IFERROR(VLOOKUP(B47,infoTable10[],4,FALSE),"")</f>
        <v/>
      </c>
      <c r="D47" s="4" t="str">
        <f>IFERROR(VLOOKUP(B47,infoTable__2[],4,FALSE),"")</f>
        <v/>
      </c>
      <c r="E47" s="4">
        <f>IFERROR(VLOOKUP(B47,infoTable__3[],4,FALSE),"")</f>
        <v>1110135</v>
      </c>
      <c r="F47" s="4">
        <f>IFERROR(VLOOKUP(B47,infoTable__4[],4,FALSE),"")</f>
        <v>3484728</v>
      </c>
      <c r="G47" s="4">
        <f>IFERROR(VLOOKUP(B47,infoTable[],4,FALSE),"")</f>
        <v>319907</v>
      </c>
      <c r="H47" s="4">
        <f>IFERROR(VLOOKUP(B47,infoTable__6[],4,FALSE),"")</f>
        <v>203146</v>
      </c>
      <c r="I47" s="4" t="str">
        <f>IFERROR(VLOOKUP(B47,infoTable__28[],4,FALSE),"")</f>
        <v/>
      </c>
      <c r="J47" s="4" t="str">
        <f>IFERROR(VLOOKUP(B47,infoTable__10[],4,FALSE),"")</f>
        <v/>
      </c>
      <c r="K47" s="4">
        <f>IFERROR(VLOOKUP(B47,infoTable__11[],4,FALSE),"")</f>
        <v>789716</v>
      </c>
      <c r="L47" s="4">
        <f>IFERROR(VLOOKUP(B47,infoTable__12[],4,FALSE),"")</f>
        <v>126956</v>
      </c>
      <c r="M47" s="4" t="str">
        <f>IFERROR(VLOOKUP(B47,infoTable__13[],4,FALSE),"")</f>
        <v/>
      </c>
      <c r="N47" s="4" t="str">
        <f>IFERROR(VLOOKUP(B47,infoTable__14[],4,FALSE),"")</f>
        <v/>
      </c>
      <c r="O47" s="4" t="str">
        <f>IFERROR(VLOOKUP(B47,infoTable__15[],4,FALSE),"")</f>
        <v/>
      </c>
      <c r="P47" s="4" t="str">
        <f>IFERROR(VLOOKUP(B47,infoTable__16[],4,FALSE),"")</f>
        <v/>
      </c>
    </row>
    <row r="48" spans="1:16" x14ac:dyDescent="0.55000000000000004">
      <c r="A48" t="s">
        <v>2093</v>
      </c>
      <c r="B48" t="s">
        <v>2094</v>
      </c>
      <c r="C48" s="4" t="str">
        <f>IFERROR(VLOOKUP(B48,infoTable10[],4,FALSE),"")</f>
        <v/>
      </c>
      <c r="D48" s="4" t="str">
        <f>IFERROR(VLOOKUP(B48,infoTable__2[],4,FALSE),"")</f>
        <v/>
      </c>
      <c r="E48" s="4" t="str">
        <f>IFERROR(VLOOKUP(B48,infoTable__3[],4,FALSE),"")</f>
        <v/>
      </c>
      <c r="F48" s="4" t="str">
        <f>IFERROR(VLOOKUP(B48,infoTable__4[],4,FALSE),"")</f>
        <v/>
      </c>
      <c r="G48" s="4" t="str">
        <f>IFERROR(VLOOKUP(B48,infoTable[],4,FALSE),"")</f>
        <v/>
      </c>
      <c r="H48" s="4" t="str">
        <f>IFERROR(VLOOKUP(B48,infoTable__6[],4,FALSE),"")</f>
        <v/>
      </c>
      <c r="I48" s="4" t="str">
        <f>IFERROR(VLOOKUP(B48,infoTable__28[],4,FALSE),"")</f>
        <v/>
      </c>
      <c r="J48" s="4" t="str">
        <f>IFERROR(VLOOKUP(B48,infoTable__10[],4,FALSE),"")</f>
        <v/>
      </c>
      <c r="K48" s="4" t="str">
        <f>IFERROR(VLOOKUP(B48,infoTable__11[],4,FALSE),"")</f>
        <v/>
      </c>
      <c r="L48" s="4">
        <f>IFERROR(VLOOKUP(B48,infoTable__12[],4,FALSE),"")</f>
        <v>323468</v>
      </c>
      <c r="M48" s="4" t="str">
        <f>IFERROR(VLOOKUP(B48,infoTable__13[],4,FALSE),"")</f>
        <v/>
      </c>
      <c r="N48" s="4" t="str">
        <f>IFERROR(VLOOKUP(B48,infoTable__14[],4,FALSE),"")</f>
        <v/>
      </c>
      <c r="O48" s="4" t="str">
        <f>IFERROR(VLOOKUP(B48,infoTable__15[],4,FALSE),"")</f>
        <v/>
      </c>
      <c r="P48" s="4" t="str">
        <f>IFERROR(VLOOKUP(B48,infoTable__16[],4,FALSE),"")</f>
        <v/>
      </c>
    </row>
    <row r="49" spans="1:16" x14ac:dyDescent="0.55000000000000004">
      <c r="A49" t="s">
        <v>45</v>
      </c>
      <c r="B49" t="s">
        <v>46</v>
      </c>
      <c r="C49" s="4" t="str">
        <f>IFERROR(VLOOKUP(B49,infoTable10[],4,FALSE),"")</f>
        <v/>
      </c>
      <c r="D49" s="4" t="str">
        <f>IFERROR(VLOOKUP(B49,infoTable__2[],4,FALSE),"")</f>
        <v/>
      </c>
      <c r="E49" s="4" t="str">
        <f>IFERROR(VLOOKUP(B49,infoTable__3[],4,FALSE),"")</f>
        <v/>
      </c>
      <c r="F49" s="4" t="str">
        <f>IFERROR(VLOOKUP(B49,infoTable__4[],4,FALSE),"")</f>
        <v/>
      </c>
      <c r="G49" s="4">
        <f>IFERROR(VLOOKUP(B49,infoTable[],4,FALSE),"")</f>
        <v>1535325</v>
      </c>
      <c r="H49" s="4" t="str">
        <f>IFERROR(VLOOKUP(B49,infoTable__6[],4,FALSE),"")</f>
        <v/>
      </c>
      <c r="I49" s="4" t="str">
        <f>IFERROR(VLOOKUP(B49,infoTable__28[],4,FALSE),"")</f>
        <v/>
      </c>
      <c r="J49" s="4" t="str">
        <f>IFERROR(VLOOKUP(B49,infoTable__10[],4,FALSE),"")</f>
        <v/>
      </c>
      <c r="K49" s="4" t="str">
        <f>IFERROR(VLOOKUP(B49,infoTable__11[],4,FALSE),"")</f>
        <v/>
      </c>
      <c r="L49" s="4" t="str">
        <f>IFERROR(VLOOKUP(B49,infoTable__12[],4,FALSE),"")</f>
        <v/>
      </c>
      <c r="M49" s="4" t="str">
        <f>IFERROR(VLOOKUP(B49,infoTable__13[],4,FALSE),"")</f>
        <v/>
      </c>
      <c r="N49" s="4" t="str">
        <f>IFERROR(VLOOKUP(B49,infoTable__14[],4,FALSE),"")</f>
        <v/>
      </c>
      <c r="O49" s="4" t="str">
        <f>IFERROR(VLOOKUP(B49,infoTable__15[],4,FALSE),"")</f>
        <v/>
      </c>
      <c r="P49" s="4" t="str">
        <f>IFERROR(VLOOKUP(B49,infoTable__16[],4,FALSE),"")</f>
        <v/>
      </c>
    </row>
    <row r="50" spans="1:16" x14ac:dyDescent="0.55000000000000004">
      <c r="A50" t="s">
        <v>3237</v>
      </c>
      <c r="B50" t="s">
        <v>3238</v>
      </c>
      <c r="C50" s="4" t="str">
        <f>IFERROR(VLOOKUP(B50,infoTable10[],4,FALSE),"")</f>
        <v/>
      </c>
      <c r="D50" s="4" t="str">
        <f>IFERROR(VLOOKUP(B50,infoTable__2[],4,FALSE),"")</f>
        <v/>
      </c>
      <c r="E50" s="4" t="str">
        <f>IFERROR(VLOOKUP(B50,infoTable__3[],4,FALSE),"")</f>
        <v/>
      </c>
      <c r="F50" s="4" t="str">
        <f>IFERROR(VLOOKUP(B50,infoTable__4[],4,FALSE),"")</f>
        <v/>
      </c>
      <c r="G50" s="4" t="str">
        <f>IFERROR(VLOOKUP(B50,infoTable[],4,FALSE),"")</f>
        <v/>
      </c>
      <c r="H50" s="4" t="str">
        <f>IFERROR(VLOOKUP(B50,infoTable__6[],4,FALSE),"")</f>
        <v/>
      </c>
      <c r="I50" s="4" t="str">
        <f>IFERROR(VLOOKUP(B50,infoTable__28[],4,FALSE),"")</f>
        <v/>
      </c>
      <c r="J50" s="4" t="str">
        <f>IFERROR(VLOOKUP(B50,infoTable__10[],4,FALSE),"")</f>
        <v/>
      </c>
      <c r="K50" s="4" t="str">
        <f>IFERROR(VLOOKUP(B50,infoTable__11[],4,FALSE),"")</f>
        <v/>
      </c>
      <c r="L50" s="4" t="str">
        <f>IFERROR(VLOOKUP(B50,infoTable__12[],4,FALSE),"")</f>
        <v/>
      </c>
      <c r="M50" s="4" t="str">
        <f>IFERROR(VLOOKUP(B50,infoTable__13[],4,FALSE),"")</f>
        <v/>
      </c>
      <c r="N50" s="4" t="str">
        <f>IFERROR(VLOOKUP(B50,infoTable__14[],4,FALSE),"")</f>
        <v/>
      </c>
      <c r="O50" s="4" t="str">
        <f>IFERROR(VLOOKUP(B50,infoTable__15[],4,FALSE),"")</f>
        <v/>
      </c>
      <c r="P50" s="4">
        <f>IFERROR(VLOOKUP(B50,infoTable__16[],4,FALSE),"")</f>
        <v>789363</v>
      </c>
    </row>
    <row r="51" spans="1:16" x14ac:dyDescent="0.55000000000000004">
      <c r="A51" t="s">
        <v>47</v>
      </c>
      <c r="B51" t="s">
        <v>48</v>
      </c>
      <c r="C51" s="4" t="str">
        <f>IFERROR(VLOOKUP(B51,infoTable10[],4,FALSE),"")</f>
        <v/>
      </c>
      <c r="D51" s="4" t="str">
        <f>IFERROR(VLOOKUP(B51,infoTable__2[],4,FALSE),"")</f>
        <v/>
      </c>
      <c r="E51" s="4" t="str">
        <f>IFERROR(VLOOKUP(B51,infoTable__3[],4,FALSE),"")</f>
        <v/>
      </c>
      <c r="F51" s="4" t="str">
        <f>IFERROR(VLOOKUP(B51,infoTable__4[],4,FALSE),"")</f>
        <v/>
      </c>
      <c r="G51" s="4">
        <f>IFERROR(VLOOKUP(B51,infoTable[],4,FALSE),"")</f>
        <v>519064</v>
      </c>
      <c r="H51" s="4">
        <f>IFERROR(VLOOKUP(B51,infoTable__6[],4,FALSE),"")</f>
        <v>1344637</v>
      </c>
      <c r="I51" s="4">
        <f>IFERROR(VLOOKUP(B51,infoTable__28[],4,FALSE),"")</f>
        <v>1441524</v>
      </c>
      <c r="J51" s="4">
        <f>IFERROR(VLOOKUP(B51,infoTable__10[],4,FALSE),"")</f>
        <v>5321280</v>
      </c>
      <c r="K51" s="4" t="str">
        <f>IFERROR(VLOOKUP(B51,infoTable__11[],4,FALSE),"")</f>
        <v/>
      </c>
      <c r="L51" s="4" t="str">
        <f>IFERROR(VLOOKUP(B51,infoTable__12[],4,FALSE),"")</f>
        <v/>
      </c>
      <c r="M51" s="4" t="str">
        <f>IFERROR(VLOOKUP(B51,infoTable__13[],4,FALSE),"")</f>
        <v/>
      </c>
      <c r="N51" s="4" t="str">
        <f>IFERROR(VLOOKUP(B51,infoTable__14[],4,FALSE),"")</f>
        <v/>
      </c>
      <c r="O51" s="4" t="str">
        <f>IFERROR(VLOOKUP(B51,infoTable__15[],4,FALSE),"")</f>
        <v/>
      </c>
      <c r="P51" s="4" t="str">
        <f>IFERROR(VLOOKUP(B51,infoTable__16[],4,FALSE),"")</f>
        <v/>
      </c>
    </row>
    <row r="52" spans="1:16" x14ac:dyDescent="0.55000000000000004">
      <c r="A52" t="s">
        <v>47</v>
      </c>
      <c r="B52" t="s">
        <v>1826</v>
      </c>
      <c r="C52" s="4" t="str">
        <f>IFERROR(VLOOKUP(B52,infoTable10[],4,FALSE),"")</f>
        <v/>
      </c>
      <c r="D52" s="4" t="str">
        <f>IFERROR(VLOOKUP(B52,infoTable__2[],4,FALSE),"")</f>
        <v/>
      </c>
      <c r="E52" s="4" t="str">
        <f>IFERROR(VLOOKUP(B52,infoTable__3[],4,FALSE),"")</f>
        <v/>
      </c>
      <c r="F52" s="4" t="str">
        <f>IFERROR(VLOOKUP(B52,infoTable__4[],4,FALSE),"")</f>
        <v/>
      </c>
      <c r="G52" s="4" t="str">
        <f>IFERROR(VLOOKUP(B52,infoTable[],4,FALSE),"")</f>
        <v/>
      </c>
      <c r="H52" s="4" t="str">
        <f>IFERROR(VLOOKUP(B52,infoTable__6[],4,FALSE),"")</f>
        <v/>
      </c>
      <c r="I52" s="4" t="str">
        <f>IFERROR(VLOOKUP(B52,infoTable__28[],4,FALSE),"")</f>
        <v/>
      </c>
      <c r="J52" s="4" t="str">
        <f>IFERROR(VLOOKUP(B52,infoTable__10[],4,FALSE),"")</f>
        <v/>
      </c>
      <c r="K52" s="4">
        <f>IFERROR(VLOOKUP(B52,infoTable__11[],4,FALSE),"")</f>
        <v>4944670</v>
      </c>
      <c r="L52" s="4">
        <f>IFERROR(VLOOKUP(B52,infoTable__12[],4,FALSE),"")</f>
        <v>2328042</v>
      </c>
      <c r="M52" s="4">
        <f>IFERROR(VLOOKUP(B52,infoTable__13[],4,FALSE),"")</f>
        <v>2732291</v>
      </c>
      <c r="N52" s="4">
        <f>IFERROR(VLOOKUP(B52,infoTable__14[],4,FALSE),"")</f>
        <v>2075348</v>
      </c>
      <c r="O52" s="4">
        <f>IFERROR(VLOOKUP(B52,infoTable__15[],4,FALSE),"")</f>
        <v>1068288</v>
      </c>
      <c r="P52" s="4">
        <f>IFERROR(VLOOKUP(B52,infoTable__16[],4,FALSE),"")</f>
        <v>1011830</v>
      </c>
    </row>
    <row r="53" spans="1:16" x14ac:dyDescent="0.55000000000000004">
      <c r="A53" t="s">
        <v>2645</v>
      </c>
      <c r="B53" t="s">
        <v>2644</v>
      </c>
      <c r="C53" s="4" t="str">
        <f>IFERROR(VLOOKUP(B53,infoTable10[],4,FALSE),"")</f>
        <v/>
      </c>
      <c r="D53" s="4" t="str">
        <f>IFERROR(VLOOKUP(B53,infoTable__2[],4,FALSE),"")</f>
        <v/>
      </c>
      <c r="E53" s="4" t="str">
        <f>IFERROR(VLOOKUP(B53,infoTable__3[],4,FALSE),"")</f>
        <v/>
      </c>
      <c r="F53" s="4" t="str">
        <f>IFERROR(VLOOKUP(B53,infoTable__4[],4,FALSE),"")</f>
        <v/>
      </c>
      <c r="G53" s="4" t="str">
        <f>IFERROR(VLOOKUP(B53,infoTable[],4,FALSE),"")</f>
        <v/>
      </c>
      <c r="H53" s="4" t="str">
        <f>IFERROR(VLOOKUP(B53,infoTable__6[],4,FALSE),"")</f>
        <v/>
      </c>
      <c r="I53" s="4" t="str">
        <f>IFERROR(VLOOKUP(B53,infoTable__28[],4,FALSE),"")</f>
        <v/>
      </c>
      <c r="J53" s="4" t="str">
        <f>IFERROR(VLOOKUP(B53,infoTable__10[],4,FALSE),"")</f>
        <v/>
      </c>
      <c r="K53" s="4" t="str">
        <f>IFERROR(VLOOKUP(B53,infoTable__11[],4,FALSE),"")</f>
        <v/>
      </c>
      <c r="L53" s="4" t="str">
        <f>IFERROR(VLOOKUP(B53,infoTable__12[],4,FALSE),"")</f>
        <v/>
      </c>
      <c r="M53" s="4" t="str">
        <f>IFERROR(VLOOKUP(B53,infoTable__13[],4,FALSE),"")</f>
        <v/>
      </c>
      <c r="N53" s="4">
        <f>IFERROR(VLOOKUP(B53,infoTable__14[],4,FALSE),"")</f>
        <v>75231</v>
      </c>
      <c r="O53" s="4">
        <f>IFERROR(VLOOKUP(B53,infoTable__15[],4,FALSE),"")</f>
        <v>573211</v>
      </c>
      <c r="P53" s="4">
        <f>IFERROR(VLOOKUP(B53,infoTable__16[],4,FALSE),"")</f>
        <v>556339</v>
      </c>
    </row>
    <row r="54" spans="1:16" x14ac:dyDescent="0.55000000000000004">
      <c r="A54" t="s">
        <v>1827</v>
      </c>
      <c r="B54" t="s">
        <v>1828</v>
      </c>
      <c r="C54" s="4" t="str">
        <f>IFERROR(VLOOKUP(B54,infoTable10[],4,FALSE),"")</f>
        <v/>
      </c>
      <c r="D54" s="4" t="str">
        <f>IFERROR(VLOOKUP(B54,infoTable__2[],4,FALSE),"")</f>
        <v/>
      </c>
      <c r="E54" s="4" t="str">
        <f>IFERROR(VLOOKUP(B54,infoTable__3[],4,FALSE),"")</f>
        <v/>
      </c>
      <c r="F54" s="4" t="str">
        <f>IFERROR(VLOOKUP(B54,infoTable__4[],4,FALSE),"")</f>
        <v/>
      </c>
      <c r="G54" s="4" t="str">
        <f>IFERROR(VLOOKUP(B54,infoTable[],4,FALSE),"")</f>
        <v/>
      </c>
      <c r="H54" s="4" t="str">
        <f>IFERROR(VLOOKUP(B54,infoTable__6[],4,FALSE),"")</f>
        <v/>
      </c>
      <c r="I54" s="4" t="str">
        <f>IFERROR(VLOOKUP(B54,infoTable__28[],4,FALSE),"")</f>
        <v/>
      </c>
      <c r="J54" s="4" t="str">
        <f>IFERROR(VLOOKUP(B54,infoTable__10[],4,FALSE),"")</f>
        <v/>
      </c>
      <c r="K54" s="4">
        <f>IFERROR(VLOOKUP(B54,infoTable__11[],4,FALSE),"")</f>
        <v>213289</v>
      </c>
      <c r="L54" s="4">
        <f>IFERROR(VLOOKUP(B54,infoTable__12[],4,FALSE),"")</f>
        <v>602082</v>
      </c>
      <c r="M54" s="4" t="str">
        <f>IFERROR(VLOOKUP(B54,infoTable__13[],4,FALSE),"")</f>
        <v/>
      </c>
      <c r="N54" s="4" t="str">
        <f>IFERROR(VLOOKUP(B54,infoTable__14[],4,FALSE),"")</f>
        <v/>
      </c>
      <c r="O54" s="4" t="str">
        <f>IFERROR(VLOOKUP(B54,infoTable__15[],4,FALSE),"")</f>
        <v/>
      </c>
      <c r="P54" s="4" t="str">
        <f>IFERROR(VLOOKUP(B54,infoTable__16[],4,FALSE),"")</f>
        <v/>
      </c>
    </row>
    <row r="55" spans="1:16" x14ac:dyDescent="0.55000000000000004">
      <c r="A55" t="s">
        <v>950</v>
      </c>
      <c r="B55" t="s">
        <v>951</v>
      </c>
      <c r="C55" s="4" t="str">
        <f>IFERROR(VLOOKUP(B55,infoTable10[],4,FALSE),"")</f>
        <v/>
      </c>
      <c r="D55" s="4" t="str">
        <f>IFERROR(VLOOKUP(B55,infoTable__2[],4,FALSE),"")</f>
        <v/>
      </c>
      <c r="E55" s="4" t="str">
        <f>IFERROR(VLOOKUP(B55,infoTable__3[],4,FALSE),"")</f>
        <v/>
      </c>
      <c r="F55" s="4" t="str">
        <f>IFERROR(VLOOKUP(B55,infoTable__4[],4,FALSE),"")</f>
        <v/>
      </c>
      <c r="G55" s="4" t="str">
        <f>IFERROR(VLOOKUP(B55,infoTable[],4,FALSE),"")</f>
        <v/>
      </c>
      <c r="H55" s="4">
        <f>IFERROR(VLOOKUP(B55,infoTable__6[],4,FALSE),"")</f>
        <v>231345</v>
      </c>
      <c r="I55" s="4">
        <f>IFERROR(VLOOKUP(B55,infoTable__28[],4,FALSE),"")</f>
        <v>240554</v>
      </c>
      <c r="J55" s="4" t="str">
        <f>IFERROR(VLOOKUP(B55,infoTable__10[],4,FALSE),"")</f>
        <v/>
      </c>
      <c r="K55" s="4" t="str">
        <f>IFERROR(VLOOKUP(B55,infoTable__11[],4,FALSE),"")</f>
        <v/>
      </c>
      <c r="L55" s="4" t="str">
        <f>IFERROR(VLOOKUP(B55,infoTable__12[],4,FALSE),"")</f>
        <v/>
      </c>
      <c r="M55" s="4" t="str">
        <f>IFERROR(VLOOKUP(B55,infoTable__13[],4,FALSE),"")</f>
        <v/>
      </c>
      <c r="N55" s="4" t="str">
        <f>IFERROR(VLOOKUP(B55,infoTable__14[],4,FALSE),"")</f>
        <v/>
      </c>
      <c r="O55" s="4" t="str">
        <f>IFERROR(VLOOKUP(B55,infoTable__15[],4,FALSE),"")</f>
        <v/>
      </c>
      <c r="P55" s="4" t="str">
        <f>IFERROR(VLOOKUP(B55,infoTable__16[],4,FALSE),"")</f>
        <v/>
      </c>
    </row>
    <row r="56" spans="1:16" x14ac:dyDescent="0.55000000000000004">
      <c r="A56" t="s">
        <v>518</v>
      </c>
      <c r="B56" t="s">
        <v>519</v>
      </c>
      <c r="C56" s="4" t="str">
        <f>IFERROR(VLOOKUP(B56,infoTable10[],4,FALSE),"")</f>
        <v/>
      </c>
      <c r="D56" s="4">
        <f>IFERROR(VLOOKUP(B56,infoTable__2[],4,FALSE),"")</f>
        <v>972510</v>
      </c>
      <c r="E56" s="4" t="str">
        <f>IFERROR(VLOOKUP(B56,infoTable__3[],4,FALSE),"")</f>
        <v/>
      </c>
      <c r="F56" s="4" t="str">
        <f>IFERROR(VLOOKUP(B56,infoTable__4[],4,FALSE),"")</f>
        <v/>
      </c>
      <c r="G56" s="4" t="str">
        <f>IFERROR(VLOOKUP(B56,infoTable[],4,FALSE),"")</f>
        <v/>
      </c>
      <c r="H56" s="4" t="str">
        <f>IFERROR(VLOOKUP(B56,infoTable__6[],4,FALSE),"")</f>
        <v/>
      </c>
      <c r="I56" s="4" t="str">
        <f>IFERROR(VLOOKUP(B56,infoTable__28[],4,FALSE),"")</f>
        <v/>
      </c>
      <c r="J56" s="4" t="str">
        <f>IFERROR(VLOOKUP(B56,infoTable__10[],4,FALSE),"")</f>
        <v/>
      </c>
      <c r="K56" s="4" t="str">
        <f>IFERROR(VLOOKUP(B56,infoTable__11[],4,FALSE),"")</f>
        <v/>
      </c>
      <c r="L56" s="4" t="str">
        <f>IFERROR(VLOOKUP(B56,infoTable__12[],4,FALSE),"")</f>
        <v/>
      </c>
      <c r="M56" s="4" t="str">
        <f>IFERROR(VLOOKUP(B56,infoTable__13[],4,FALSE),"")</f>
        <v/>
      </c>
      <c r="N56" s="4" t="str">
        <f>IFERROR(VLOOKUP(B56,infoTable__14[],4,FALSE),"")</f>
        <v/>
      </c>
      <c r="O56" s="4" t="str">
        <f>IFERROR(VLOOKUP(B56,infoTable__15[],4,FALSE),"")</f>
        <v/>
      </c>
      <c r="P56" s="4" t="str">
        <f>IFERROR(VLOOKUP(B56,infoTable__16[],4,FALSE),"")</f>
        <v/>
      </c>
    </row>
    <row r="57" spans="1:16" x14ac:dyDescent="0.55000000000000004">
      <c r="A57" t="s">
        <v>2097</v>
      </c>
      <c r="B57" t="s">
        <v>2098</v>
      </c>
      <c r="C57" s="4" t="str">
        <f>IFERROR(VLOOKUP(B57,infoTable10[],4,FALSE),"")</f>
        <v/>
      </c>
      <c r="D57" s="4" t="str">
        <f>IFERROR(VLOOKUP(B57,infoTable__2[],4,FALSE),"")</f>
        <v/>
      </c>
      <c r="E57" s="4" t="str">
        <f>IFERROR(VLOOKUP(B57,infoTable__3[],4,FALSE),"")</f>
        <v/>
      </c>
      <c r="F57" s="4" t="str">
        <f>IFERROR(VLOOKUP(B57,infoTable__4[],4,FALSE),"")</f>
        <v/>
      </c>
      <c r="G57" s="4" t="str">
        <f>IFERROR(VLOOKUP(B57,infoTable[],4,FALSE),"")</f>
        <v/>
      </c>
      <c r="H57" s="4" t="str">
        <f>IFERROR(VLOOKUP(B57,infoTable__6[],4,FALSE),"")</f>
        <v/>
      </c>
      <c r="I57" s="4" t="str">
        <f>IFERROR(VLOOKUP(B57,infoTable__28[],4,FALSE),"")</f>
        <v/>
      </c>
      <c r="J57" s="4" t="str">
        <f>IFERROR(VLOOKUP(B57,infoTable__10[],4,FALSE),"")</f>
        <v/>
      </c>
      <c r="K57" s="4" t="str">
        <f>IFERROR(VLOOKUP(B57,infoTable__11[],4,FALSE),"")</f>
        <v/>
      </c>
      <c r="L57" s="4">
        <f>IFERROR(VLOOKUP(B57,infoTable__12[],4,FALSE),"")</f>
        <v>952079</v>
      </c>
      <c r="M57" s="4">
        <f>IFERROR(VLOOKUP(B57,infoTable__13[],4,FALSE),"")</f>
        <v>4256051</v>
      </c>
      <c r="N57" s="4">
        <f>IFERROR(VLOOKUP(B57,infoTable__14[],4,FALSE),"")</f>
        <v>2342943</v>
      </c>
      <c r="O57" s="4">
        <f>IFERROR(VLOOKUP(B57,infoTable__15[],4,FALSE),"")</f>
        <v>1935641</v>
      </c>
      <c r="P57" s="4">
        <f>IFERROR(VLOOKUP(B57,infoTable__16[],4,FALSE),"")</f>
        <v>238289</v>
      </c>
    </row>
    <row r="58" spans="1:16" x14ac:dyDescent="0.55000000000000004">
      <c r="A58" t="s">
        <v>3242</v>
      </c>
      <c r="B58" t="s">
        <v>3243</v>
      </c>
      <c r="C58" s="4" t="str">
        <f>IFERROR(VLOOKUP(B58,infoTable10[],4,FALSE),"")</f>
        <v/>
      </c>
      <c r="D58" s="4" t="str">
        <f>IFERROR(VLOOKUP(B58,infoTable__2[],4,FALSE),"")</f>
        <v/>
      </c>
      <c r="E58" s="4" t="str">
        <f>IFERROR(VLOOKUP(B58,infoTable__3[],4,FALSE),"")</f>
        <v/>
      </c>
      <c r="F58" s="4" t="str">
        <f>IFERROR(VLOOKUP(B58,infoTable__4[],4,FALSE),"")</f>
        <v/>
      </c>
      <c r="G58" s="4" t="str">
        <f>IFERROR(VLOOKUP(B58,infoTable[],4,FALSE),"")</f>
        <v/>
      </c>
      <c r="H58" s="4" t="str">
        <f>IFERROR(VLOOKUP(B58,infoTable__6[],4,FALSE),"")</f>
        <v/>
      </c>
      <c r="I58" s="4" t="str">
        <f>IFERROR(VLOOKUP(B58,infoTable__28[],4,FALSE),"")</f>
        <v/>
      </c>
      <c r="J58" s="4" t="str">
        <f>IFERROR(VLOOKUP(B58,infoTable__10[],4,FALSE),"")</f>
        <v/>
      </c>
      <c r="K58" s="4" t="str">
        <f>IFERROR(VLOOKUP(B58,infoTable__11[],4,FALSE),"")</f>
        <v/>
      </c>
      <c r="L58" s="4" t="str">
        <f>IFERROR(VLOOKUP(B58,infoTable__12[],4,FALSE),"")</f>
        <v/>
      </c>
      <c r="M58" s="4" t="str">
        <f>IFERROR(VLOOKUP(B58,infoTable__13[],4,FALSE),"")</f>
        <v/>
      </c>
      <c r="N58" s="4" t="str">
        <f>IFERROR(VLOOKUP(B58,infoTable__14[],4,FALSE),"")</f>
        <v/>
      </c>
      <c r="O58" s="4" t="str">
        <f>IFERROR(VLOOKUP(B58,infoTable__15[],4,FALSE),"")</f>
        <v/>
      </c>
      <c r="P58" s="4">
        <f>IFERROR(VLOOKUP(B58,infoTable__16[],4,FALSE),"")</f>
        <v>418182</v>
      </c>
    </row>
    <row r="59" spans="1:16" x14ac:dyDescent="0.55000000000000004">
      <c r="A59" t="s">
        <v>51</v>
      </c>
      <c r="B59" t="s">
        <v>52</v>
      </c>
      <c r="C59" s="4" t="str">
        <f>IFERROR(VLOOKUP(B59,infoTable10[],4,FALSE),"")</f>
        <v/>
      </c>
      <c r="D59" s="4" t="str">
        <f>IFERROR(VLOOKUP(B59,infoTable__2[],4,FALSE),"")</f>
        <v/>
      </c>
      <c r="E59" s="4" t="str">
        <f>IFERROR(VLOOKUP(B59,infoTable__3[],4,FALSE),"")</f>
        <v/>
      </c>
      <c r="F59" s="4" t="str">
        <f>IFERROR(VLOOKUP(B59,infoTable__4[],4,FALSE),"")</f>
        <v/>
      </c>
      <c r="G59" s="4">
        <f>IFERROR(VLOOKUP(B59,infoTable[],4,FALSE),"")</f>
        <v>923118</v>
      </c>
      <c r="H59" s="4">
        <f>IFERROR(VLOOKUP(B59,infoTable__6[],4,FALSE),"")</f>
        <v>499474</v>
      </c>
      <c r="I59" s="4">
        <f>IFERROR(VLOOKUP(B59,infoTable__28[],4,FALSE),"")</f>
        <v>879300</v>
      </c>
      <c r="J59" s="4">
        <f>IFERROR(VLOOKUP(B59,infoTable__10[],4,FALSE),"")</f>
        <v>2564271</v>
      </c>
      <c r="K59" s="4">
        <f>IFERROR(VLOOKUP(B59,infoTable__11[],4,FALSE),"")</f>
        <v>1537939</v>
      </c>
      <c r="L59" s="4">
        <f>IFERROR(VLOOKUP(B59,infoTable__12[],4,FALSE),"")</f>
        <v>991678</v>
      </c>
      <c r="M59" s="4" t="str">
        <f>IFERROR(VLOOKUP(B59,infoTable__13[],4,FALSE),"")</f>
        <v/>
      </c>
      <c r="N59" s="4" t="str">
        <f>IFERROR(VLOOKUP(B59,infoTable__14[],4,FALSE),"")</f>
        <v/>
      </c>
      <c r="O59" s="4" t="str">
        <f>IFERROR(VLOOKUP(B59,infoTable__15[],4,FALSE),"")</f>
        <v/>
      </c>
      <c r="P59" s="4" t="str">
        <f>IFERROR(VLOOKUP(B59,infoTable__16[],4,FALSE),"")</f>
        <v/>
      </c>
    </row>
    <row r="60" spans="1:16" x14ac:dyDescent="0.55000000000000004">
      <c r="A60" t="s">
        <v>1171</v>
      </c>
      <c r="B60" t="s">
        <v>1172</v>
      </c>
      <c r="C60" s="4" t="str">
        <f>IFERROR(VLOOKUP(B60,infoTable10[],4,FALSE),"")</f>
        <v/>
      </c>
      <c r="D60" s="4" t="str">
        <f>IFERROR(VLOOKUP(B60,infoTable__2[],4,FALSE),"")</f>
        <v/>
      </c>
      <c r="E60" s="4" t="str">
        <f>IFERROR(VLOOKUP(B60,infoTable__3[],4,FALSE),"")</f>
        <v/>
      </c>
      <c r="F60" s="4" t="str">
        <f>IFERROR(VLOOKUP(B60,infoTable__4[],4,FALSE),"")</f>
        <v/>
      </c>
      <c r="G60" s="4" t="str">
        <f>IFERROR(VLOOKUP(B60,infoTable[],4,FALSE),"")</f>
        <v/>
      </c>
      <c r="H60" s="4" t="str">
        <f>IFERROR(VLOOKUP(B60,infoTable__6[],4,FALSE),"")</f>
        <v/>
      </c>
      <c r="I60" s="4">
        <f>IFERROR(VLOOKUP(B60,infoTable__28[],4,FALSE),"")</f>
        <v>501371</v>
      </c>
      <c r="J60" s="4">
        <f>IFERROR(VLOOKUP(B60,infoTable__10[],4,FALSE),"")</f>
        <v>300966</v>
      </c>
      <c r="K60" s="4" t="str">
        <f>IFERROR(VLOOKUP(B60,infoTable__11[],4,FALSE),"")</f>
        <v/>
      </c>
      <c r="L60" s="4" t="str">
        <f>IFERROR(VLOOKUP(B60,infoTable__12[],4,FALSE),"")</f>
        <v/>
      </c>
      <c r="M60" s="4">
        <f>IFERROR(VLOOKUP(B60,infoTable__13[],4,FALSE),"")</f>
        <v>860670</v>
      </c>
      <c r="N60" s="4">
        <f>IFERROR(VLOOKUP(B60,infoTable__14[],4,FALSE),"")</f>
        <v>483557</v>
      </c>
      <c r="O60" s="4" t="str">
        <f>IFERROR(VLOOKUP(B60,infoTable__15[],4,FALSE),"")</f>
        <v/>
      </c>
      <c r="P60" s="4">
        <f>IFERROR(VLOOKUP(B60,infoTable__16[],4,FALSE),"")</f>
        <v>475985</v>
      </c>
    </row>
    <row r="61" spans="1:16" x14ac:dyDescent="0.55000000000000004">
      <c r="A61" t="s">
        <v>1606</v>
      </c>
      <c r="B61" t="s">
        <v>1607</v>
      </c>
      <c r="C61" s="4" t="str">
        <f>IFERROR(VLOOKUP(B61,infoTable10[],4,FALSE),"")</f>
        <v/>
      </c>
      <c r="D61" s="4" t="str">
        <f>IFERROR(VLOOKUP(B61,infoTable__2[],4,FALSE),"")</f>
        <v/>
      </c>
      <c r="E61" s="4" t="str">
        <f>IFERROR(VLOOKUP(B61,infoTable__3[],4,FALSE),"")</f>
        <v/>
      </c>
      <c r="F61" s="4" t="str">
        <f>IFERROR(VLOOKUP(B61,infoTable__4[],4,FALSE),"")</f>
        <v/>
      </c>
      <c r="G61" s="4" t="str">
        <f>IFERROR(VLOOKUP(B61,infoTable[],4,FALSE),"")</f>
        <v/>
      </c>
      <c r="H61" s="4" t="str">
        <f>IFERROR(VLOOKUP(B61,infoTable__6[],4,FALSE),"")</f>
        <v/>
      </c>
      <c r="I61" s="4" t="str">
        <f>IFERROR(VLOOKUP(B61,infoTable__28[],4,FALSE),"")</f>
        <v/>
      </c>
      <c r="J61" s="4">
        <f>IFERROR(VLOOKUP(B61,infoTable__10[],4,FALSE),"")</f>
        <v>729866</v>
      </c>
      <c r="K61" s="4">
        <f>IFERROR(VLOOKUP(B61,infoTable__11[],4,FALSE),"")</f>
        <v>640562</v>
      </c>
      <c r="L61" s="4">
        <f>IFERROR(VLOOKUP(B61,infoTable__12[],4,FALSE),"")</f>
        <v>241400</v>
      </c>
      <c r="M61" s="4" t="str">
        <f>IFERROR(VLOOKUP(B61,infoTable__13[],4,FALSE),"")</f>
        <v/>
      </c>
      <c r="N61" s="4" t="str">
        <f>IFERROR(VLOOKUP(B61,infoTable__14[],4,FALSE),"")</f>
        <v/>
      </c>
      <c r="O61" s="4" t="str">
        <f>IFERROR(VLOOKUP(B61,infoTable__15[],4,FALSE),"")</f>
        <v/>
      </c>
      <c r="P61" s="4" t="str">
        <f>IFERROR(VLOOKUP(B61,infoTable__16[],4,FALSE),"")</f>
        <v/>
      </c>
    </row>
    <row r="62" spans="1:16" x14ac:dyDescent="0.55000000000000004">
      <c r="A62" t="s">
        <v>1173</v>
      </c>
      <c r="B62" t="s">
        <v>1175</v>
      </c>
      <c r="C62" s="4" t="str">
        <f>IFERROR(VLOOKUP(B62,infoTable10[],4,FALSE),"")</f>
        <v/>
      </c>
      <c r="D62" s="4" t="str">
        <f>IFERROR(VLOOKUP(B62,infoTable__2[],4,FALSE),"")</f>
        <v/>
      </c>
      <c r="E62" s="4" t="str">
        <f>IFERROR(VLOOKUP(B62,infoTable__3[],4,FALSE),"")</f>
        <v/>
      </c>
      <c r="F62" s="4" t="str">
        <f>IFERROR(VLOOKUP(B62,infoTable__4[],4,FALSE),"")</f>
        <v/>
      </c>
      <c r="G62" s="4" t="str">
        <f>IFERROR(VLOOKUP(B62,infoTable[],4,FALSE),"")</f>
        <v/>
      </c>
      <c r="H62" s="4" t="str">
        <f>IFERROR(VLOOKUP(B62,infoTable__6[],4,FALSE),"")</f>
        <v/>
      </c>
      <c r="I62" s="4">
        <f>IFERROR(VLOOKUP(B62,infoTable__28[],4,FALSE),"")</f>
        <v>553698</v>
      </c>
      <c r="J62" s="4" t="str">
        <f>IFERROR(VLOOKUP(B62,infoTable__10[],4,FALSE),"")</f>
        <v/>
      </c>
      <c r="K62" s="4" t="str">
        <f>IFERROR(VLOOKUP(B62,infoTable__11[],4,FALSE),"")</f>
        <v/>
      </c>
      <c r="L62" s="4" t="str">
        <f>IFERROR(VLOOKUP(B62,infoTable__12[],4,FALSE),"")</f>
        <v/>
      </c>
      <c r="M62" s="4" t="str">
        <f>IFERROR(VLOOKUP(B62,infoTable__13[],4,FALSE),"")</f>
        <v/>
      </c>
      <c r="N62" s="4" t="str">
        <f>IFERROR(VLOOKUP(B62,infoTable__14[],4,FALSE),"")</f>
        <v/>
      </c>
      <c r="O62" s="4" t="str">
        <f>IFERROR(VLOOKUP(B62,infoTable__15[],4,FALSE),"")</f>
        <v/>
      </c>
      <c r="P62" s="4" t="str">
        <f>IFERROR(VLOOKUP(B62,infoTable__16[],4,FALSE),"")</f>
        <v/>
      </c>
    </row>
    <row r="63" spans="1:16" x14ac:dyDescent="0.55000000000000004">
      <c r="A63" t="s">
        <v>2416</v>
      </c>
      <c r="B63" t="s">
        <v>2417</v>
      </c>
      <c r="C63" s="4" t="str">
        <f>IFERROR(VLOOKUP(B63,infoTable10[],4,FALSE),"")</f>
        <v/>
      </c>
      <c r="D63" s="4" t="str">
        <f>IFERROR(VLOOKUP(B63,infoTable__2[],4,FALSE),"")</f>
        <v/>
      </c>
      <c r="E63" s="4" t="str">
        <f>IFERROR(VLOOKUP(B63,infoTable__3[],4,FALSE),"")</f>
        <v/>
      </c>
      <c r="F63" s="4" t="str">
        <f>IFERROR(VLOOKUP(B63,infoTable__4[],4,FALSE),"")</f>
        <v/>
      </c>
      <c r="G63" s="4" t="str">
        <f>IFERROR(VLOOKUP(B63,infoTable[],4,FALSE),"")</f>
        <v/>
      </c>
      <c r="H63" s="4" t="str">
        <f>IFERROR(VLOOKUP(B63,infoTable__6[],4,FALSE),"")</f>
        <v/>
      </c>
      <c r="I63" s="4" t="str">
        <f>IFERROR(VLOOKUP(B63,infoTable__28[],4,FALSE),"")</f>
        <v/>
      </c>
      <c r="J63" s="4" t="str">
        <f>IFERROR(VLOOKUP(B63,infoTable__10[],4,FALSE),"")</f>
        <v/>
      </c>
      <c r="K63" s="4" t="str">
        <f>IFERROR(VLOOKUP(B63,infoTable__11[],4,FALSE),"")</f>
        <v/>
      </c>
      <c r="L63" s="4" t="str">
        <f>IFERROR(VLOOKUP(B63,infoTable__12[],4,FALSE),"")</f>
        <v/>
      </c>
      <c r="M63" s="4">
        <f>IFERROR(VLOOKUP(B63,infoTable__13[],4,FALSE),"")</f>
        <v>310118</v>
      </c>
      <c r="N63" s="4" t="str">
        <f>IFERROR(VLOOKUP(B63,infoTable__14[],4,FALSE),"")</f>
        <v/>
      </c>
      <c r="O63" s="4" t="str">
        <f>IFERROR(VLOOKUP(B63,infoTable__15[],4,FALSE),"")</f>
        <v/>
      </c>
      <c r="P63" s="4" t="str">
        <f>IFERROR(VLOOKUP(B63,infoTable__16[],4,FALSE),"")</f>
        <v/>
      </c>
    </row>
    <row r="64" spans="1:16" x14ac:dyDescent="0.55000000000000004">
      <c r="A64" t="s">
        <v>2099</v>
      </c>
      <c r="B64" t="s">
        <v>2100</v>
      </c>
      <c r="C64" s="4" t="str">
        <f>IFERROR(VLOOKUP(B64,infoTable10[],4,FALSE),"")</f>
        <v/>
      </c>
      <c r="D64" s="4" t="str">
        <f>IFERROR(VLOOKUP(B64,infoTable__2[],4,FALSE),"")</f>
        <v/>
      </c>
      <c r="E64" s="4" t="str">
        <f>IFERROR(VLOOKUP(B64,infoTable__3[],4,FALSE),"")</f>
        <v/>
      </c>
      <c r="F64" s="4" t="str">
        <f>IFERROR(VLOOKUP(B64,infoTable__4[],4,FALSE),"")</f>
        <v/>
      </c>
      <c r="G64" s="4" t="str">
        <f>IFERROR(VLOOKUP(B64,infoTable[],4,FALSE),"")</f>
        <v/>
      </c>
      <c r="H64" s="4" t="str">
        <f>IFERROR(VLOOKUP(B64,infoTable__6[],4,FALSE),"")</f>
        <v/>
      </c>
      <c r="I64" s="4" t="str">
        <f>IFERROR(VLOOKUP(B64,infoTable__28[],4,FALSE),"")</f>
        <v/>
      </c>
      <c r="J64" s="4" t="str">
        <f>IFERROR(VLOOKUP(B64,infoTable__10[],4,FALSE),"")</f>
        <v/>
      </c>
      <c r="K64" s="4" t="str">
        <f>IFERROR(VLOOKUP(B64,infoTable__11[],4,FALSE),"")</f>
        <v/>
      </c>
      <c r="L64" s="4">
        <f>IFERROR(VLOOKUP(B64,infoTable__12[],4,FALSE),"")</f>
        <v>561561</v>
      </c>
      <c r="M64" s="4">
        <f>IFERROR(VLOOKUP(B64,infoTable__13[],4,FALSE),"")</f>
        <v>761852</v>
      </c>
      <c r="N64" s="4" t="str">
        <f>IFERROR(VLOOKUP(B64,infoTable__14[],4,FALSE),"")</f>
        <v/>
      </c>
      <c r="O64" s="4" t="str">
        <f>IFERROR(VLOOKUP(B64,infoTable__15[],4,FALSE),"")</f>
        <v/>
      </c>
      <c r="P64" s="4">
        <f>IFERROR(VLOOKUP(B64,infoTable__16[],4,FALSE),"")</f>
        <v>1456510</v>
      </c>
    </row>
    <row r="65" spans="1:16" x14ac:dyDescent="0.55000000000000004">
      <c r="A65" t="s">
        <v>53</v>
      </c>
      <c r="B65" t="s">
        <v>54</v>
      </c>
      <c r="C65" s="4" t="str">
        <f>IFERROR(VLOOKUP(B65,infoTable10[],4,FALSE),"")</f>
        <v/>
      </c>
      <c r="D65" s="4" t="str">
        <f>IFERROR(VLOOKUP(B65,infoTable__2[],4,FALSE),"")</f>
        <v/>
      </c>
      <c r="E65" s="4" t="str">
        <f>IFERROR(VLOOKUP(B65,infoTable__3[],4,FALSE),"")</f>
        <v/>
      </c>
      <c r="F65" s="4" t="str">
        <f>IFERROR(VLOOKUP(B65,infoTable__4[],4,FALSE),"")</f>
        <v/>
      </c>
      <c r="G65" s="4">
        <f>IFERROR(VLOOKUP(B65,infoTable[],4,FALSE),"")</f>
        <v>633212</v>
      </c>
      <c r="H65" s="4" t="str">
        <f>IFERROR(VLOOKUP(B65,infoTable__6[],4,FALSE),"")</f>
        <v/>
      </c>
      <c r="I65" s="4" t="str">
        <f>IFERROR(VLOOKUP(B65,infoTable__28[],4,FALSE),"")</f>
        <v/>
      </c>
      <c r="J65" s="4" t="str">
        <f>IFERROR(VLOOKUP(B65,infoTable__10[],4,FALSE),"")</f>
        <v/>
      </c>
      <c r="K65" s="4" t="str">
        <f>IFERROR(VLOOKUP(B65,infoTable__11[],4,FALSE),"")</f>
        <v/>
      </c>
      <c r="L65" s="4" t="str">
        <f>IFERROR(VLOOKUP(B65,infoTable__12[],4,FALSE),"")</f>
        <v/>
      </c>
      <c r="M65" s="4" t="str">
        <f>IFERROR(VLOOKUP(B65,infoTable__13[],4,FALSE),"")</f>
        <v/>
      </c>
      <c r="N65" s="4" t="str">
        <f>IFERROR(VLOOKUP(B65,infoTable__14[],4,FALSE),"")</f>
        <v/>
      </c>
      <c r="O65" s="4" t="str">
        <f>IFERROR(VLOOKUP(B65,infoTable__15[],4,FALSE),"")</f>
        <v/>
      </c>
      <c r="P65" s="4">
        <f>IFERROR(VLOOKUP(B65,infoTable__16[],4,FALSE),"")</f>
        <v>433180</v>
      </c>
    </row>
    <row r="66" spans="1:16" x14ac:dyDescent="0.55000000000000004">
      <c r="A66" t="s">
        <v>57</v>
      </c>
      <c r="B66" t="s">
        <v>58</v>
      </c>
      <c r="C66" s="4" t="str">
        <f>IFERROR(VLOOKUP(B66,infoTable10[],4,FALSE),"")</f>
        <v/>
      </c>
      <c r="D66" s="4" t="str">
        <f>IFERROR(VLOOKUP(B66,infoTable__2[],4,FALSE),"")</f>
        <v/>
      </c>
      <c r="E66" s="4" t="str">
        <f>IFERROR(VLOOKUP(B66,infoTable__3[],4,FALSE),"")</f>
        <v/>
      </c>
      <c r="F66" s="4" t="str">
        <f>IFERROR(VLOOKUP(B66,infoTable__4[],4,FALSE),"")</f>
        <v/>
      </c>
      <c r="G66" s="4">
        <f>IFERROR(VLOOKUP(B66,infoTable[],4,FALSE),"")</f>
        <v>1367788</v>
      </c>
      <c r="H66" s="4" t="str">
        <f>IFERROR(VLOOKUP(B66,infoTable__6[],4,FALSE),"")</f>
        <v/>
      </c>
      <c r="I66" s="4" t="str">
        <f>IFERROR(VLOOKUP(B66,infoTable__28[],4,FALSE),"")</f>
        <v/>
      </c>
      <c r="J66" s="4">
        <f>IFERROR(VLOOKUP(B66,infoTable__10[],4,FALSE),"")</f>
        <v>3723347</v>
      </c>
      <c r="K66" s="4">
        <f>IFERROR(VLOOKUP(B66,infoTable__11[],4,FALSE),"")</f>
        <v>2532782</v>
      </c>
      <c r="L66" s="4">
        <f>IFERROR(VLOOKUP(B66,infoTable__12[],4,FALSE),"")</f>
        <v>838812</v>
      </c>
      <c r="M66" s="4">
        <f>IFERROR(VLOOKUP(B66,infoTable__13[],4,FALSE),"")</f>
        <v>501151</v>
      </c>
      <c r="N66" s="4">
        <f>IFERROR(VLOOKUP(B66,infoTable__14[],4,FALSE),"")</f>
        <v>7525081</v>
      </c>
      <c r="O66" s="4">
        <f>IFERROR(VLOOKUP(B66,infoTable__15[],4,FALSE),"")</f>
        <v>725781</v>
      </c>
      <c r="P66" s="4" t="str">
        <f>IFERROR(VLOOKUP(B66,infoTable__16[],4,FALSE),"")</f>
        <v/>
      </c>
    </row>
    <row r="67" spans="1:16" x14ac:dyDescent="0.55000000000000004">
      <c r="A67" t="s">
        <v>61</v>
      </c>
      <c r="B67" t="s">
        <v>62</v>
      </c>
      <c r="C67" s="4" t="str">
        <f>IFERROR(VLOOKUP(B67,infoTable10[],4,FALSE),"")</f>
        <v/>
      </c>
      <c r="D67" s="4" t="str">
        <f>IFERROR(VLOOKUP(B67,infoTable__2[],4,FALSE),"")</f>
        <v/>
      </c>
      <c r="E67" s="4" t="str">
        <f>IFERROR(VLOOKUP(B67,infoTable__3[],4,FALSE),"")</f>
        <v/>
      </c>
      <c r="F67" s="4">
        <f>IFERROR(VLOOKUP(B67,infoTable__4[],4,FALSE),"")</f>
        <v>558781</v>
      </c>
      <c r="G67" s="4">
        <f>IFERROR(VLOOKUP(B67,infoTable[],4,FALSE),"")</f>
        <v>1806372</v>
      </c>
      <c r="H67" s="4">
        <f>IFERROR(VLOOKUP(B67,infoTable__6[],4,FALSE),"")</f>
        <v>2664605</v>
      </c>
      <c r="I67" s="4">
        <f>IFERROR(VLOOKUP(B67,infoTable__28[],4,FALSE),"")</f>
        <v>1455695</v>
      </c>
      <c r="J67" s="4">
        <f>IFERROR(VLOOKUP(B67,infoTable__10[],4,FALSE),"")</f>
        <v>1996957</v>
      </c>
      <c r="K67" s="4">
        <f>IFERROR(VLOOKUP(B67,infoTable__11[],4,FALSE),"")</f>
        <v>1188291</v>
      </c>
      <c r="L67" s="4">
        <f>IFERROR(VLOOKUP(B67,infoTable__12[],4,FALSE),"")</f>
        <v>1485558</v>
      </c>
      <c r="M67" s="4">
        <f>IFERROR(VLOOKUP(B67,infoTable__13[],4,FALSE),"")</f>
        <v>5162335</v>
      </c>
      <c r="N67" s="4" t="str">
        <f>IFERROR(VLOOKUP(B67,infoTable__14[],4,FALSE),"")</f>
        <v/>
      </c>
      <c r="O67" s="4" t="str">
        <f>IFERROR(VLOOKUP(B67,infoTable__15[],4,FALSE),"")</f>
        <v/>
      </c>
      <c r="P67" s="4">
        <f>IFERROR(VLOOKUP(B67,infoTable__16[],4,FALSE),"")</f>
        <v>122546</v>
      </c>
    </row>
    <row r="68" spans="1:16" x14ac:dyDescent="0.55000000000000004">
      <c r="A68" t="s">
        <v>956</v>
      </c>
      <c r="B68" t="s">
        <v>957</v>
      </c>
      <c r="C68" s="4" t="str">
        <f>IFERROR(VLOOKUP(B68,infoTable10[],4,FALSE),"")</f>
        <v/>
      </c>
      <c r="D68" s="4" t="str">
        <f>IFERROR(VLOOKUP(B68,infoTable__2[],4,FALSE),"")</f>
        <v/>
      </c>
      <c r="E68" s="4" t="str">
        <f>IFERROR(VLOOKUP(B68,infoTable__3[],4,FALSE),"")</f>
        <v/>
      </c>
      <c r="F68" s="4" t="str">
        <f>IFERROR(VLOOKUP(B68,infoTable__4[],4,FALSE),"")</f>
        <v/>
      </c>
      <c r="G68" s="4" t="str">
        <f>IFERROR(VLOOKUP(B68,infoTable[],4,FALSE),"")</f>
        <v/>
      </c>
      <c r="H68" s="4">
        <f>IFERROR(VLOOKUP(B68,infoTable__6[],4,FALSE),"")</f>
        <v>327030</v>
      </c>
      <c r="I68" s="4" t="str">
        <f>IFERROR(VLOOKUP(B68,infoTable__28[],4,FALSE),"")</f>
        <v/>
      </c>
      <c r="J68" s="4" t="str">
        <f>IFERROR(VLOOKUP(B68,infoTable__10[],4,FALSE),"")</f>
        <v/>
      </c>
      <c r="K68" s="4" t="str">
        <f>IFERROR(VLOOKUP(B68,infoTable__11[],4,FALSE),"")</f>
        <v/>
      </c>
      <c r="L68" s="4" t="str">
        <f>IFERROR(VLOOKUP(B68,infoTable__12[],4,FALSE),"")</f>
        <v/>
      </c>
      <c r="M68" s="4" t="str">
        <f>IFERROR(VLOOKUP(B68,infoTable__13[],4,FALSE),"")</f>
        <v/>
      </c>
      <c r="N68" s="4" t="str">
        <f>IFERROR(VLOOKUP(B68,infoTable__14[],4,FALSE),"")</f>
        <v/>
      </c>
      <c r="O68" s="4" t="str">
        <f>IFERROR(VLOOKUP(B68,infoTable__15[],4,FALSE),"")</f>
        <v/>
      </c>
      <c r="P68" s="4" t="str">
        <f>IFERROR(VLOOKUP(B68,infoTable__16[],4,FALSE),"")</f>
        <v/>
      </c>
    </row>
    <row r="69" spans="1:16" x14ac:dyDescent="0.55000000000000004">
      <c r="A69" t="s">
        <v>1831</v>
      </c>
      <c r="B69" t="s">
        <v>1832</v>
      </c>
      <c r="C69" s="4" t="str">
        <f>IFERROR(VLOOKUP(B69,infoTable10[],4,FALSE),"")</f>
        <v/>
      </c>
      <c r="D69" s="4" t="str">
        <f>IFERROR(VLOOKUP(B69,infoTable__2[],4,FALSE),"")</f>
        <v/>
      </c>
      <c r="E69" s="4" t="str">
        <f>IFERROR(VLOOKUP(B69,infoTable__3[],4,FALSE),"")</f>
        <v/>
      </c>
      <c r="F69" s="4" t="str">
        <f>IFERROR(VLOOKUP(B69,infoTable__4[],4,FALSE),"")</f>
        <v/>
      </c>
      <c r="G69" s="4" t="str">
        <f>IFERROR(VLOOKUP(B69,infoTable[],4,FALSE),"")</f>
        <v/>
      </c>
      <c r="H69" s="4" t="str">
        <f>IFERROR(VLOOKUP(B69,infoTable__6[],4,FALSE),"")</f>
        <v/>
      </c>
      <c r="I69" s="4" t="str">
        <f>IFERROR(VLOOKUP(B69,infoTable__28[],4,FALSE),"")</f>
        <v/>
      </c>
      <c r="J69" s="4" t="str">
        <f>IFERROR(VLOOKUP(B69,infoTable__10[],4,FALSE),"")</f>
        <v/>
      </c>
      <c r="K69" s="4">
        <f>IFERROR(VLOOKUP(B69,infoTable__11[],4,FALSE),"")</f>
        <v>1660461</v>
      </c>
      <c r="L69" s="4">
        <f>IFERROR(VLOOKUP(B69,infoTable__12[],4,FALSE),"")</f>
        <v>3017701</v>
      </c>
      <c r="M69" s="4">
        <f>IFERROR(VLOOKUP(B69,infoTable__13[],4,FALSE),"")</f>
        <v>731048</v>
      </c>
      <c r="N69" s="4" t="str">
        <f>IFERROR(VLOOKUP(B69,infoTable__14[],4,FALSE),"")</f>
        <v/>
      </c>
      <c r="O69" s="4" t="str">
        <f>IFERROR(VLOOKUP(B69,infoTable__15[],4,FALSE),"")</f>
        <v/>
      </c>
      <c r="P69" s="4">
        <f>IFERROR(VLOOKUP(B69,infoTable__16[],4,FALSE),"")</f>
        <v>338625</v>
      </c>
    </row>
    <row r="70" spans="1:16" x14ac:dyDescent="0.55000000000000004">
      <c r="A70" t="s">
        <v>1612</v>
      </c>
      <c r="B70" t="s">
        <v>1613</v>
      </c>
      <c r="C70" s="4" t="str">
        <f>IFERROR(VLOOKUP(B70,infoTable10[],4,FALSE),"")</f>
        <v/>
      </c>
      <c r="D70" s="4" t="str">
        <f>IFERROR(VLOOKUP(B70,infoTable__2[],4,FALSE),"")</f>
        <v/>
      </c>
      <c r="E70" s="4" t="str">
        <f>IFERROR(VLOOKUP(B70,infoTable__3[],4,FALSE),"")</f>
        <v/>
      </c>
      <c r="F70" s="4" t="str">
        <f>IFERROR(VLOOKUP(B70,infoTable__4[],4,FALSE),"")</f>
        <v/>
      </c>
      <c r="G70" s="4" t="str">
        <f>IFERROR(VLOOKUP(B70,infoTable[],4,FALSE),"")</f>
        <v/>
      </c>
      <c r="H70" s="4" t="str">
        <f>IFERROR(VLOOKUP(B70,infoTable__6[],4,FALSE),"")</f>
        <v/>
      </c>
      <c r="I70" s="4" t="str">
        <f>IFERROR(VLOOKUP(B70,infoTable__28[],4,FALSE),"")</f>
        <v/>
      </c>
      <c r="J70" s="4">
        <f>IFERROR(VLOOKUP(B70,infoTable__10[],4,FALSE),"")</f>
        <v>220813</v>
      </c>
      <c r="K70" s="4">
        <f>IFERROR(VLOOKUP(B70,infoTable__11[],4,FALSE),"")</f>
        <v>410028</v>
      </c>
      <c r="L70" s="4">
        <f>IFERROR(VLOOKUP(B70,infoTable__12[],4,FALSE),"")</f>
        <v>800192</v>
      </c>
      <c r="M70" s="4">
        <f>IFERROR(VLOOKUP(B70,infoTable__13[],4,FALSE),"")</f>
        <v>979065</v>
      </c>
      <c r="N70" s="4">
        <f>IFERROR(VLOOKUP(B70,infoTable__14[],4,FALSE),"")</f>
        <v>2706916</v>
      </c>
      <c r="O70" s="4">
        <f>IFERROR(VLOOKUP(B70,infoTable__15[],4,FALSE),"")</f>
        <v>1912754</v>
      </c>
      <c r="P70" s="4">
        <f>IFERROR(VLOOKUP(B70,infoTable__16[],4,FALSE),"")</f>
        <v>1734352</v>
      </c>
    </row>
    <row r="71" spans="1:16" x14ac:dyDescent="0.55000000000000004">
      <c r="A71" t="s">
        <v>2101</v>
      </c>
      <c r="B71" t="s">
        <v>2102</v>
      </c>
      <c r="C71" s="4" t="str">
        <f>IFERROR(VLOOKUP(B71,infoTable10[],4,FALSE),"")</f>
        <v/>
      </c>
      <c r="D71" s="4" t="str">
        <f>IFERROR(VLOOKUP(B71,infoTable__2[],4,FALSE),"")</f>
        <v/>
      </c>
      <c r="E71" s="4" t="str">
        <f>IFERROR(VLOOKUP(B71,infoTable__3[],4,FALSE),"")</f>
        <v/>
      </c>
      <c r="F71" s="4" t="str">
        <f>IFERROR(VLOOKUP(B71,infoTable__4[],4,FALSE),"")</f>
        <v/>
      </c>
      <c r="G71" s="4" t="str">
        <f>IFERROR(VLOOKUP(B71,infoTable[],4,FALSE),"")</f>
        <v/>
      </c>
      <c r="H71" s="4" t="str">
        <f>IFERROR(VLOOKUP(B71,infoTable__6[],4,FALSE),"")</f>
        <v/>
      </c>
      <c r="I71" s="4" t="str">
        <f>IFERROR(VLOOKUP(B71,infoTable__28[],4,FALSE),"")</f>
        <v/>
      </c>
      <c r="J71" s="4" t="str">
        <f>IFERROR(VLOOKUP(B71,infoTable__10[],4,FALSE),"")</f>
        <v/>
      </c>
      <c r="K71" s="4" t="str">
        <f>IFERROR(VLOOKUP(B71,infoTable__11[],4,FALSE),"")</f>
        <v/>
      </c>
      <c r="L71" s="4">
        <f>IFERROR(VLOOKUP(B71,infoTable__12[],4,FALSE),"")</f>
        <v>857224</v>
      </c>
      <c r="M71" s="4">
        <f>IFERROR(VLOOKUP(B71,infoTable__13[],4,FALSE),"")</f>
        <v>2290410</v>
      </c>
      <c r="N71" s="4">
        <f>IFERROR(VLOOKUP(B71,infoTable__14[],4,FALSE),"")</f>
        <v>4544117</v>
      </c>
      <c r="O71" s="4">
        <f>IFERROR(VLOOKUP(B71,infoTable__15[],4,FALSE),"")</f>
        <v>2925189</v>
      </c>
      <c r="P71" s="4">
        <f>IFERROR(VLOOKUP(B71,infoTable__16[],4,FALSE),"")</f>
        <v>3747711</v>
      </c>
    </row>
    <row r="72" spans="1:16" x14ac:dyDescent="0.55000000000000004">
      <c r="A72" t="s">
        <v>2103</v>
      </c>
      <c r="B72" t="s">
        <v>2104</v>
      </c>
      <c r="C72" s="4" t="str">
        <f>IFERROR(VLOOKUP(B72,infoTable10[],4,FALSE),"")</f>
        <v/>
      </c>
      <c r="D72" s="4" t="str">
        <f>IFERROR(VLOOKUP(B72,infoTable__2[],4,FALSE),"")</f>
        <v/>
      </c>
      <c r="E72" s="4" t="str">
        <f>IFERROR(VLOOKUP(B72,infoTable__3[],4,FALSE),"")</f>
        <v/>
      </c>
      <c r="F72" s="4" t="str">
        <f>IFERROR(VLOOKUP(B72,infoTable__4[],4,FALSE),"")</f>
        <v/>
      </c>
      <c r="G72" s="4" t="str">
        <f>IFERROR(VLOOKUP(B72,infoTable[],4,FALSE),"")</f>
        <v/>
      </c>
      <c r="H72" s="4" t="str">
        <f>IFERROR(VLOOKUP(B72,infoTable__6[],4,FALSE),"")</f>
        <v/>
      </c>
      <c r="I72" s="4" t="str">
        <f>IFERROR(VLOOKUP(B72,infoTable__28[],4,FALSE),"")</f>
        <v/>
      </c>
      <c r="J72" s="4" t="str">
        <f>IFERROR(VLOOKUP(B72,infoTable__10[],4,FALSE),"")</f>
        <v/>
      </c>
      <c r="K72" s="4" t="str">
        <f>IFERROR(VLOOKUP(B72,infoTable__11[],4,FALSE),"")</f>
        <v/>
      </c>
      <c r="L72" s="4">
        <f>IFERROR(VLOOKUP(B72,infoTable__12[],4,FALSE),"")</f>
        <v>862748</v>
      </c>
      <c r="M72" s="4" t="str">
        <f>IFERROR(VLOOKUP(B72,infoTable__13[],4,FALSE),"")</f>
        <v/>
      </c>
      <c r="N72" s="4" t="str">
        <f>IFERROR(VLOOKUP(B72,infoTable__14[],4,FALSE),"")</f>
        <v/>
      </c>
      <c r="O72" s="4" t="str">
        <f>IFERROR(VLOOKUP(B72,infoTable__15[],4,FALSE),"")</f>
        <v/>
      </c>
      <c r="P72" s="4" t="str">
        <f>IFERROR(VLOOKUP(B72,infoTable__16[],4,FALSE),"")</f>
        <v/>
      </c>
    </row>
    <row r="73" spans="1:16" x14ac:dyDescent="0.55000000000000004">
      <c r="A73" t="s">
        <v>2647</v>
      </c>
      <c r="B73" t="s">
        <v>2646</v>
      </c>
      <c r="C73" s="4" t="str">
        <f>IFERROR(VLOOKUP(B73,infoTable10[],4,FALSE),"")</f>
        <v/>
      </c>
      <c r="D73" s="4" t="str">
        <f>IFERROR(VLOOKUP(B73,infoTable__2[],4,FALSE),"")</f>
        <v/>
      </c>
      <c r="E73" s="4" t="str">
        <f>IFERROR(VLOOKUP(B73,infoTable__3[],4,FALSE),"")</f>
        <v/>
      </c>
      <c r="F73" s="4" t="str">
        <f>IFERROR(VLOOKUP(B73,infoTable__4[],4,FALSE),"")</f>
        <v/>
      </c>
      <c r="G73" s="4" t="str">
        <f>IFERROR(VLOOKUP(B73,infoTable[],4,FALSE),"")</f>
        <v/>
      </c>
      <c r="H73" s="4" t="str">
        <f>IFERROR(VLOOKUP(B73,infoTable__6[],4,FALSE),"")</f>
        <v/>
      </c>
      <c r="I73" s="4" t="str">
        <f>IFERROR(VLOOKUP(B73,infoTable__28[],4,FALSE),"")</f>
        <v/>
      </c>
      <c r="J73" s="4" t="str">
        <f>IFERROR(VLOOKUP(B73,infoTable__10[],4,FALSE),"")</f>
        <v/>
      </c>
      <c r="K73" s="4" t="str">
        <f>IFERROR(VLOOKUP(B73,infoTable__11[],4,FALSE),"")</f>
        <v/>
      </c>
      <c r="L73" s="4" t="str">
        <f>IFERROR(VLOOKUP(B73,infoTable__12[],4,FALSE),"")</f>
        <v/>
      </c>
      <c r="M73" s="4" t="str">
        <f>IFERROR(VLOOKUP(B73,infoTable__13[],4,FALSE),"")</f>
        <v/>
      </c>
      <c r="N73" s="4">
        <f>IFERROR(VLOOKUP(B73,infoTable__14[],4,FALSE),"")</f>
        <v>374543</v>
      </c>
      <c r="O73" s="4" t="str">
        <f>IFERROR(VLOOKUP(B73,infoTable__15[],4,FALSE),"")</f>
        <v/>
      </c>
      <c r="P73" s="4">
        <f>IFERROR(VLOOKUP(B73,infoTable__16[],4,FALSE),"")</f>
        <v>1167660</v>
      </c>
    </row>
    <row r="74" spans="1:16" x14ac:dyDescent="0.55000000000000004">
      <c r="A74" t="s">
        <v>2649</v>
      </c>
      <c r="B74" t="s">
        <v>2648</v>
      </c>
      <c r="C74" s="4" t="str">
        <f>IFERROR(VLOOKUP(B74,infoTable10[],4,FALSE),"")</f>
        <v/>
      </c>
      <c r="D74" s="4" t="str">
        <f>IFERROR(VLOOKUP(B74,infoTable__2[],4,FALSE),"")</f>
        <v/>
      </c>
      <c r="E74" s="4" t="str">
        <f>IFERROR(VLOOKUP(B74,infoTable__3[],4,FALSE),"")</f>
        <v/>
      </c>
      <c r="F74" s="4" t="str">
        <f>IFERROR(VLOOKUP(B74,infoTable__4[],4,FALSE),"")</f>
        <v/>
      </c>
      <c r="G74" s="4" t="str">
        <f>IFERROR(VLOOKUP(B74,infoTable[],4,FALSE),"")</f>
        <v/>
      </c>
      <c r="H74" s="4" t="str">
        <f>IFERROR(VLOOKUP(B74,infoTable__6[],4,FALSE),"")</f>
        <v/>
      </c>
      <c r="I74" s="4" t="str">
        <f>IFERROR(VLOOKUP(B74,infoTable__28[],4,FALSE),"")</f>
        <v/>
      </c>
      <c r="J74" s="4" t="str">
        <f>IFERROR(VLOOKUP(B74,infoTable__10[],4,FALSE),"")</f>
        <v/>
      </c>
      <c r="K74" s="4" t="str">
        <f>IFERROR(VLOOKUP(B74,infoTable__11[],4,FALSE),"")</f>
        <v/>
      </c>
      <c r="L74" s="4" t="str">
        <f>IFERROR(VLOOKUP(B74,infoTable__12[],4,FALSE),"")</f>
        <v/>
      </c>
      <c r="M74" s="4" t="str">
        <f>IFERROR(VLOOKUP(B74,infoTable__13[],4,FALSE),"")</f>
        <v/>
      </c>
      <c r="N74" s="4">
        <f>IFERROR(VLOOKUP(B74,infoTable__14[],4,FALSE),"")</f>
        <v>5892700</v>
      </c>
      <c r="O74" s="4">
        <f>IFERROR(VLOOKUP(B74,infoTable__15[],4,FALSE),"")</f>
        <v>1004834</v>
      </c>
      <c r="P74" s="4" t="str">
        <f>IFERROR(VLOOKUP(B74,infoTable__16[],4,FALSE),"")</f>
        <v/>
      </c>
    </row>
    <row r="75" spans="1:16" x14ac:dyDescent="0.55000000000000004">
      <c r="A75" t="s">
        <v>2422</v>
      </c>
      <c r="B75" t="s">
        <v>2423</v>
      </c>
      <c r="C75" s="4" t="str">
        <f>IFERROR(VLOOKUP(B75,infoTable10[],4,FALSE),"")</f>
        <v/>
      </c>
      <c r="D75" s="4" t="str">
        <f>IFERROR(VLOOKUP(B75,infoTable__2[],4,FALSE),"")</f>
        <v/>
      </c>
      <c r="E75" s="4" t="str">
        <f>IFERROR(VLOOKUP(B75,infoTable__3[],4,FALSE),"")</f>
        <v/>
      </c>
      <c r="F75" s="4" t="str">
        <f>IFERROR(VLOOKUP(B75,infoTable__4[],4,FALSE),"")</f>
        <v/>
      </c>
      <c r="G75" s="4" t="str">
        <f>IFERROR(VLOOKUP(B75,infoTable[],4,FALSE),"")</f>
        <v/>
      </c>
      <c r="H75" s="4" t="str">
        <f>IFERROR(VLOOKUP(B75,infoTable__6[],4,FALSE),"")</f>
        <v/>
      </c>
      <c r="I75" s="4" t="str">
        <f>IFERROR(VLOOKUP(B75,infoTable__28[],4,FALSE),"")</f>
        <v/>
      </c>
      <c r="J75" s="4" t="str">
        <f>IFERROR(VLOOKUP(B75,infoTable__10[],4,FALSE),"")</f>
        <v/>
      </c>
      <c r="K75" s="4" t="str">
        <f>IFERROR(VLOOKUP(B75,infoTable__11[],4,FALSE),"")</f>
        <v/>
      </c>
      <c r="L75" s="4" t="str">
        <f>IFERROR(VLOOKUP(B75,infoTable__12[],4,FALSE),"")</f>
        <v/>
      </c>
      <c r="M75" s="4">
        <f>IFERROR(VLOOKUP(B75,infoTable__13[],4,FALSE),"")</f>
        <v>587650</v>
      </c>
      <c r="N75" s="4">
        <f>IFERROR(VLOOKUP(B75,infoTable__14[],4,FALSE),"")</f>
        <v>565530</v>
      </c>
      <c r="O75" s="4" t="str">
        <f>IFERROR(VLOOKUP(B75,infoTable__15[],4,FALSE),"")</f>
        <v/>
      </c>
      <c r="P75" s="4" t="str">
        <f>IFERROR(VLOOKUP(B75,infoTable__16[],4,FALSE),"")</f>
        <v/>
      </c>
    </row>
    <row r="76" spans="1:16" x14ac:dyDescent="0.55000000000000004">
      <c r="A76" t="s">
        <v>1614</v>
      </c>
      <c r="B76" t="s">
        <v>1615</v>
      </c>
      <c r="C76" s="4" t="str">
        <f>IFERROR(VLOOKUP(B76,infoTable10[],4,FALSE),"")</f>
        <v/>
      </c>
      <c r="D76" s="4" t="str">
        <f>IFERROR(VLOOKUP(B76,infoTable__2[],4,FALSE),"")</f>
        <v/>
      </c>
      <c r="E76" s="4" t="str">
        <f>IFERROR(VLOOKUP(B76,infoTable__3[],4,FALSE),"")</f>
        <v/>
      </c>
      <c r="F76" s="4" t="str">
        <f>IFERROR(VLOOKUP(B76,infoTable__4[],4,FALSE),"")</f>
        <v/>
      </c>
      <c r="G76" s="4" t="str">
        <f>IFERROR(VLOOKUP(B76,infoTable[],4,FALSE),"")</f>
        <v/>
      </c>
      <c r="H76" s="4" t="str">
        <f>IFERROR(VLOOKUP(B76,infoTable__6[],4,FALSE),"")</f>
        <v/>
      </c>
      <c r="I76" s="4" t="str">
        <f>IFERROR(VLOOKUP(B76,infoTable__28[],4,FALSE),"")</f>
        <v/>
      </c>
      <c r="J76" s="4">
        <f>IFERROR(VLOOKUP(B76,infoTable__10[],4,FALSE),"")</f>
        <v>905698</v>
      </c>
      <c r="K76" s="4" t="str">
        <f>IFERROR(VLOOKUP(B76,infoTable__11[],4,FALSE),"")</f>
        <v/>
      </c>
      <c r="L76" s="4" t="str">
        <f>IFERROR(VLOOKUP(B76,infoTable__12[],4,FALSE),"")</f>
        <v/>
      </c>
      <c r="M76" s="4" t="str">
        <f>IFERROR(VLOOKUP(B76,infoTable__13[],4,FALSE),"")</f>
        <v/>
      </c>
      <c r="N76" s="4" t="str">
        <f>IFERROR(VLOOKUP(B76,infoTable__14[],4,FALSE),"")</f>
        <v/>
      </c>
      <c r="O76" s="4" t="str">
        <f>IFERROR(VLOOKUP(B76,infoTable__15[],4,FALSE),"")</f>
        <v/>
      </c>
      <c r="P76" s="4">
        <f>IFERROR(VLOOKUP(B76,infoTable__16[],4,FALSE),"")</f>
        <v>2684063</v>
      </c>
    </row>
    <row r="77" spans="1:16" x14ac:dyDescent="0.55000000000000004">
      <c r="A77" t="s">
        <v>1616</v>
      </c>
      <c r="B77" t="s">
        <v>1617</v>
      </c>
      <c r="C77" s="4" t="str">
        <f>IFERROR(VLOOKUP(B77,infoTable10[],4,FALSE),"")</f>
        <v/>
      </c>
      <c r="D77" s="4" t="str">
        <f>IFERROR(VLOOKUP(B77,infoTable__2[],4,FALSE),"")</f>
        <v/>
      </c>
      <c r="E77" s="4" t="str">
        <f>IFERROR(VLOOKUP(B77,infoTable__3[],4,FALSE),"")</f>
        <v/>
      </c>
      <c r="F77" s="4" t="str">
        <f>IFERROR(VLOOKUP(B77,infoTable__4[],4,FALSE),"")</f>
        <v/>
      </c>
      <c r="G77" s="4" t="str">
        <f>IFERROR(VLOOKUP(B77,infoTable[],4,FALSE),"")</f>
        <v/>
      </c>
      <c r="H77" s="4" t="str">
        <f>IFERROR(VLOOKUP(B77,infoTable__6[],4,FALSE),"")</f>
        <v/>
      </c>
      <c r="I77" s="4" t="str">
        <f>IFERROR(VLOOKUP(B77,infoTable__28[],4,FALSE),"")</f>
        <v/>
      </c>
      <c r="J77" s="4">
        <f>IFERROR(VLOOKUP(B77,infoTable__10[],4,FALSE),"")</f>
        <v>294409</v>
      </c>
      <c r="K77" s="4" t="str">
        <f>IFERROR(VLOOKUP(B77,infoTable__11[],4,FALSE),"")</f>
        <v/>
      </c>
      <c r="L77" s="4" t="str">
        <f>IFERROR(VLOOKUP(B77,infoTable__12[],4,FALSE),"")</f>
        <v/>
      </c>
      <c r="M77" s="4">
        <f>IFERROR(VLOOKUP(B77,infoTable__13[],4,FALSE),"")</f>
        <v>329354</v>
      </c>
      <c r="N77" s="4" t="str">
        <f>IFERROR(VLOOKUP(B77,infoTable__14[],4,FALSE),"")</f>
        <v/>
      </c>
      <c r="O77" s="4" t="str">
        <f>IFERROR(VLOOKUP(B77,infoTable__15[],4,FALSE),"")</f>
        <v/>
      </c>
      <c r="P77" s="4">
        <f>IFERROR(VLOOKUP(B77,infoTable__16[],4,FALSE),"")</f>
        <v>5507858</v>
      </c>
    </row>
    <row r="78" spans="1:16" x14ac:dyDescent="0.55000000000000004">
      <c r="A78" t="s">
        <v>2105</v>
      </c>
      <c r="B78" t="s">
        <v>2106</v>
      </c>
      <c r="C78" s="4" t="str">
        <f>IFERROR(VLOOKUP(B78,infoTable10[],4,FALSE),"")</f>
        <v/>
      </c>
      <c r="D78" s="4" t="str">
        <f>IFERROR(VLOOKUP(B78,infoTable__2[],4,FALSE),"")</f>
        <v/>
      </c>
      <c r="E78" s="4" t="str">
        <f>IFERROR(VLOOKUP(B78,infoTable__3[],4,FALSE),"")</f>
        <v/>
      </c>
      <c r="F78" s="4" t="str">
        <f>IFERROR(VLOOKUP(B78,infoTable__4[],4,FALSE),"")</f>
        <v/>
      </c>
      <c r="G78" s="4" t="str">
        <f>IFERROR(VLOOKUP(B78,infoTable[],4,FALSE),"")</f>
        <v/>
      </c>
      <c r="H78" s="4" t="str">
        <f>IFERROR(VLOOKUP(B78,infoTable__6[],4,FALSE),"")</f>
        <v/>
      </c>
      <c r="I78" s="4" t="str">
        <f>IFERROR(VLOOKUP(B78,infoTable__28[],4,FALSE),"")</f>
        <v/>
      </c>
      <c r="J78" s="4" t="str">
        <f>IFERROR(VLOOKUP(B78,infoTable__10[],4,FALSE),"")</f>
        <v/>
      </c>
      <c r="K78" s="4" t="str">
        <f>IFERROR(VLOOKUP(B78,infoTable__11[],4,FALSE),"")</f>
        <v/>
      </c>
      <c r="L78" s="4">
        <f>IFERROR(VLOOKUP(B78,infoTable__12[],4,FALSE),"")</f>
        <v>532248</v>
      </c>
      <c r="M78" s="4" t="str">
        <f>IFERROR(VLOOKUP(B78,infoTable__13[],4,FALSE),"")</f>
        <v/>
      </c>
      <c r="N78" s="4" t="str">
        <f>IFERROR(VLOOKUP(B78,infoTable__14[],4,FALSE),"")</f>
        <v/>
      </c>
      <c r="O78" s="4" t="str">
        <f>IFERROR(VLOOKUP(B78,infoTable__15[],4,FALSE),"")</f>
        <v/>
      </c>
      <c r="P78" s="4" t="str">
        <f>IFERROR(VLOOKUP(B78,infoTable__16[],4,FALSE),"")</f>
        <v/>
      </c>
    </row>
    <row r="79" spans="1:16" x14ac:dyDescent="0.55000000000000004">
      <c r="A79" t="s">
        <v>3253</v>
      </c>
      <c r="B79" t="s">
        <v>3254</v>
      </c>
      <c r="C79" s="4" t="str">
        <f>IFERROR(VLOOKUP(B79,infoTable10[],4,FALSE),"")</f>
        <v/>
      </c>
      <c r="D79" s="4" t="str">
        <f>IFERROR(VLOOKUP(B79,infoTable__2[],4,FALSE),"")</f>
        <v/>
      </c>
      <c r="E79" s="4" t="str">
        <f>IFERROR(VLOOKUP(B79,infoTable__3[],4,FALSE),"")</f>
        <v/>
      </c>
      <c r="F79" s="4" t="str">
        <f>IFERROR(VLOOKUP(B79,infoTable__4[],4,FALSE),"")</f>
        <v/>
      </c>
      <c r="G79" s="4" t="str">
        <f>IFERROR(VLOOKUP(B79,infoTable[],4,FALSE),"")</f>
        <v/>
      </c>
      <c r="H79" s="4" t="str">
        <f>IFERROR(VLOOKUP(B79,infoTable__6[],4,FALSE),"")</f>
        <v/>
      </c>
      <c r="I79" s="4" t="str">
        <f>IFERROR(VLOOKUP(B79,infoTable__28[],4,FALSE),"")</f>
        <v/>
      </c>
      <c r="J79" s="4" t="str">
        <f>IFERROR(VLOOKUP(B79,infoTable__10[],4,FALSE),"")</f>
        <v/>
      </c>
      <c r="K79" s="4" t="str">
        <f>IFERROR(VLOOKUP(B79,infoTable__11[],4,FALSE),"")</f>
        <v/>
      </c>
      <c r="L79" s="4" t="str">
        <f>IFERROR(VLOOKUP(B79,infoTable__12[],4,FALSE),"")</f>
        <v/>
      </c>
      <c r="M79" s="4" t="str">
        <f>IFERROR(VLOOKUP(B79,infoTable__13[],4,FALSE),"")</f>
        <v/>
      </c>
      <c r="N79" s="4" t="str">
        <f>IFERROR(VLOOKUP(B79,infoTable__14[],4,FALSE),"")</f>
        <v/>
      </c>
      <c r="O79" s="4" t="str">
        <f>IFERROR(VLOOKUP(B79,infoTable__15[],4,FALSE),"")</f>
        <v/>
      </c>
      <c r="P79" s="4">
        <f>IFERROR(VLOOKUP(B79,infoTable__16[],4,FALSE),"")</f>
        <v>240268</v>
      </c>
    </row>
    <row r="80" spans="1:16" x14ac:dyDescent="0.55000000000000004">
      <c r="A80" t="s">
        <v>2985</v>
      </c>
      <c r="B80" t="s">
        <v>2986</v>
      </c>
      <c r="C80" s="4" t="str">
        <f>IFERROR(VLOOKUP(B80,infoTable10[],4,FALSE),"")</f>
        <v/>
      </c>
      <c r="D80" s="4" t="str">
        <f>IFERROR(VLOOKUP(B80,infoTable__2[],4,FALSE),"")</f>
        <v/>
      </c>
      <c r="E80" s="4" t="str">
        <f>IFERROR(VLOOKUP(B80,infoTable__3[],4,FALSE),"")</f>
        <v/>
      </c>
      <c r="F80" s="4" t="str">
        <f>IFERROR(VLOOKUP(B80,infoTable__4[],4,FALSE),"")</f>
        <v/>
      </c>
      <c r="G80" s="4" t="str">
        <f>IFERROR(VLOOKUP(B80,infoTable[],4,FALSE),"")</f>
        <v/>
      </c>
      <c r="H80" s="4" t="str">
        <f>IFERROR(VLOOKUP(B80,infoTable__6[],4,FALSE),"")</f>
        <v/>
      </c>
      <c r="I80" s="4" t="str">
        <f>IFERROR(VLOOKUP(B80,infoTable__28[],4,FALSE),"")</f>
        <v/>
      </c>
      <c r="J80" s="4" t="str">
        <f>IFERROR(VLOOKUP(B80,infoTable__10[],4,FALSE),"")</f>
        <v/>
      </c>
      <c r="K80" s="4" t="str">
        <f>IFERROR(VLOOKUP(B80,infoTable__11[],4,FALSE),"")</f>
        <v/>
      </c>
      <c r="L80" s="4" t="str">
        <f>IFERROR(VLOOKUP(B80,infoTable__12[],4,FALSE),"")</f>
        <v/>
      </c>
      <c r="M80" s="4" t="str">
        <f>IFERROR(VLOOKUP(B80,infoTable__13[],4,FALSE),"")</f>
        <v/>
      </c>
      <c r="N80" s="4" t="str">
        <f>IFERROR(VLOOKUP(B80,infoTable__14[],4,FALSE),"")</f>
        <v/>
      </c>
      <c r="O80" s="4">
        <f>IFERROR(VLOOKUP(B80,infoTable__15[],4,FALSE),"")</f>
        <v>441941</v>
      </c>
      <c r="P80" s="4" t="str">
        <f>IFERROR(VLOOKUP(B80,infoTable__16[],4,FALSE),"")</f>
        <v/>
      </c>
    </row>
    <row r="81" spans="1:16" x14ac:dyDescent="0.55000000000000004">
      <c r="A81" t="s">
        <v>73</v>
      </c>
      <c r="B81" t="s">
        <v>74</v>
      </c>
      <c r="C81" s="4" t="str">
        <f>IFERROR(VLOOKUP(B81,infoTable10[],4,FALSE),"")</f>
        <v/>
      </c>
      <c r="D81" s="4" t="str">
        <f>IFERROR(VLOOKUP(B81,infoTable__2[],4,FALSE),"")</f>
        <v/>
      </c>
      <c r="E81" s="4" t="str">
        <f>IFERROR(VLOOKUP(B81,infoTable__3[],4,FALSE),"")</f>
        <v/>
      </c>
      <c r="F81" s="4" t="str">
        <f>IFERROR(VLOOKUP(B81,infoTable__4[],4,FALSE),"")</f>
        <v/>
      </c>
      <c r="G81" s="4">
        <f>IFERROR(VLOOKUP(B81,infoTable[],4,FALSE),"")</f>
        <v>98020</v>
      </c>
      <c r="H81" s="4">
        <f>IFERROR(VLOOKUP(B81,infoTable__6[],4,FALSE),"")</f>
        <v>129675</v>
      </c>
      <c r="I81" s="4" t="str">
        <f>IFERROR(VLOOKUP(B81,infoTable__28[],4,FALSE),"")</f>
        <v/>
      </c>
      <c r="J81" s="4" t="str">
        <f>IFERROR(VLOOKUP(B81,infoTable__10[],4,FALSE),"")</f>
        <v/>
      </c>
      <c r="K81" s="4" t="str">
        <f>IFERROR(VLOOKUP(B81,infoTable__11[],4,FALSE),"")</f>
        <v/>
      </c>
      <c r="L81" s="4" t="str">
        <f>IFERROR(VLOOKUP(B81,infoTable__12[],4,FALSE),"")</f>
        <v/>
      </c>
      <c r="M81" s="4" t="str">
        <f>IFERROR(VLOOKUP(B81,infoTable__13[],4,FALSE),"")</f>
        <v/>
      </c>
      <c r="N81" s="4" t="str">
        <f>IFERROR(VLOOKUP(B81,infoTable__14[],4,FALSE),"")</f>
        <v/>
      </c>
      <c r="O81" s="4" t="str">
        <f>IFERROR(VLOOKUP(B81,infoTable__15[],4,FALSE),"")</f>
        <v/>
      </c>
      <c r="P81" s="4" t="str">
        <f>IFERROR(VLOOKUP(B81,infoTable__16[],4,FALSE),"")</f>
        <v/>
      </c>
    </row>
    <row r="82" spans="1:16" x14ac:dyDescent="0.55000000000000004">
      <c r="A82" t="s">
        <v>528</v>
      </c>
      <c r="B82" t="s">
        <v>529</v>
      </c>
      <c r="C82" s="4" t="str">
        <f>IFERROR(VLOOKUP(B82,infoTable10[],4,FALSE),"")</f>
        <v/>
      </c>
      <c r="D82" s="4">
        <f>IFERROR(VLOOKUP(B82,infoTable__2[],4,FALSE),"")</f>
        <v>9380514</v>
      </c>
      <c r="E82" s="4" t="str">
        <f>IFERROR(VLOOKUP(B82,infoTable__3[],4,FALSE),"")</f>
        <v/>
      </c>
      <c r="F82" s="4" t="str">
        <f>IFERROR(VLOOKUP(B82,infoTable__4[],4,FALSE),"")</f>
        <v/>
      </c>
      <c r="G82" s="4" t="str">
        <f>IFERROR(VLOOKUP(B82,infoTable[],4,FALSE),"")</f>
        <v/>
      </c>
      <c r="H82" s="4" t="str">
        <f>IFERROR(VLOOKUP(B82,infoTable__6[],4,FALSE),"")</f>
        <v/>
      </c>
      <c r="I82" s="4" t="str">
        <f>IFERROR(VLOOKUP(B82,infoTable__28[],4,FALSE),"")</f>
        <v/>
      </c>
      <c r="J82" s="4" t="str">
        <f>IFERROR(VLOOKUP(B82,infoTable__10[],4,FALSE),"")</f>
        <v/>
      </c>
      <c r="K82" s="4" t="str">
        <f>IFERROR(VLOOKUP(B82,infoTable__11[],4,FALSE),"")</f>
        <v/>
      </c>
      <c r="L82" s="4" t="str">
        <f>IFERROR(VLOOKUP(B82,infoTable__12[],4,FALSE),"")</f>
        <v/>
      </c>
      <c r="M82" s="4" t="str">
        <f>IFERROR(VLOOKUP(B82,infoTable__13[],4,FALSE),"")</f>
        <v/>
      </c>
      <c r="N82" s="4" t="str">
        <f>IFERROR(VLOOKUP(B82,infoTable__14[],4,FALSE),"")</f>
        <v/>
      </c>
      <c r="O82" s="4" t="str">
        <f>IFERROR(VLOOKUP(B82,infoTable__15[],4,FALSE),"")</f>
        <v/>
      </c>
      <c r="P82" s="4">
        <f>IFERROR(VLOOKUP(B82,infoTable__16[],4,FALSE),"")</f>
        <v>377412</v>
      </c>
    </row>
    <row r="83" spans="1:16" x14ac:dyDescent="0.55000000000000004">
      <c r="A83" t="s">
        <v>1837</v>
      </c>
      <c r="B83" t="s">
        <v>1838</v>
      </c>
      <c r="C83" s="4" t="str">
        <f>IFERROR(VLOOKUP(B83,infoTable10[],4,FALSE),"")</f>
        <v/>
      </c>
      <c r="D83" s="4" t="str">
        <f>IFERROR(VLOOKUP(B83,infoTable__2[],4,FALSE),"")</f>
        <v/>
      </c>
      <c r="E83" s="4" t="str">
        <f>IFERROR(VLOOKUP(B83,infoTable__3[],4,FALSE),"")</f>
        <v/>
      </c>
      <c r="F83" s="4" t="str">
        <f>IFERROR(VLOOKUP(B83,infoTable__4[],4,FALSE),"")</f>
        <v/>
      </c>
      <c r="G83" s="4" t="str">
        <f>IFERROR(VLOOKUP(B83,infoTable[],4,FALSE),"")</f>
        <v/>
      </c>
      <c r="H83" s="4" t="str">
        <f>IFERROR(VLOOKUP(B83,infoTable__6[],4,FALSE),"")</f>
        <v/>
      </c>
      <c r="I83" s="4" t="str">
        <f>IFERROR(VLOOKUP(B83,infoTable__28[],4,FALSE),"")</f>
        <v/>
      </c>
      <c r="J83" s="4" t="str">
        <f>IFERROR(VLOOKUP(B83,infoTable__10[],4,FALSE),"")</f>
        <v/>
      </c>
      <c r="K83" s="4">
        <f>IFERROR(VLOOKUP(B83,infoTable__11[],4,FALSE),"")</f>
        <v>471436</v>
      </c>
      <c r="L83" s="4" t="str">
        <f>IFERROR(VLOOKUP(B83,infoTable__12[],4,FALSE),"")</f>
        <v/>
      </c>
      <c r="M83" s="4">
        <f>IFERROR(VLOOKUP(B83,infoTable__13[],4,FALSE),"")</f>
        <v>207389</v>
      </c>
      <c r="N83" s="4" t="str">
        <f>IFERROR(VLOOKUP(B83,infoTable__14[],4,FALSE),"")</f>
        <v/>
      </c>
      <c r="O83" s="4" t="str">
        <f>IFERROR(VLOOKUP(B83,infoTable__15[],4,FALSE),"")</f>
        <v/>
      </c>
      <c r="P83" s="4" t="str">
        <f>IFERROR(VLOOKUP(B83,infoTable__16[],4,FALSE),"")</f>
        <v/>
      </c>
    </row>
    <row r="84" spans="1:16" x14ac:dyDescent="0.55000000000000004">
      <c r="A84" t="s">
        <v>2424</v>
      </c>
      <c r="B84" t="s">
        <v>2425</v>
      </c>
      <c r="C84" s="4" t="str">
        <f>IFERROR(VLOOKUP(B84,infoTable10[],4,FALSE),"")</f>
        <v/>
      </c>
      <c r="D84" s="4" t="str">
        <f>IFERROR(VLOOKUP(B84,infoTable__2[],4,FALSE),"")</f>
        <v/>
      </c>
      <c r="E84" s="4" t="str">
        <f>IFERROR(VLOOKUP(B84,infoTable__3[],4,FALSE),"")</f>
        <v/>
      </c>
      <c r="F84" s="4" t="str">
        <f>IFERROR(VLOOKUP(B84,infoTable__4[],4,FALSE),"")</f>
        <v/>
      </c>
      <c r="G84" s="4" t="str">
        <f>IFERROR(VLOOKUP(B84,infoTable[],4,FALSE),"")</f>
        <v/>
      </c>
      <c r="H84" s="4" t="str">
        <f>IFERROR(VLOOKUP(B84,infoTable__6[],4,FALSE),"")</f>
        <v/>
      </c>
      <c r="I84" s="4" t="str">
        <f>IFERROR(VLOOKUP(B84,infoTable__28[],4,FALSE),"")</f>
        <v/>
      </c>
      <c r="J84" s="4" t="str">
        <f>IFERROR(VLOOKUP(B84,infoTable__10[],4,FALSE),"")</f>
        <v/>
      </c>
      <c r="K84" s="4" t="str">
        <f>IFERROR(VLOOKUP(B84,infoTable__11[],4,FALSE),"")</f>
        <v/>
      </c>
      <c r="L84" s="4" t="str">
        <f>IFERROR(VLOOKUP(B84,infoTable__12[],4,FALSE),"")</f>
        <v/>
      </c>
      <c r="M84" s="4">
        <f>IFERROR(VLOOKUP(B84,infoTable__13[],4,FALSE),"")</f>
        <v>378842</v>
      </c>
      <c r="N84" s="4">
        <f>IFERROR(VLOOKUP(B84,infoTable__14[],4,FALSE),"")</f>
        <v>552234</v>
      </c>
      <c r="O84" s="4">
        <f>IFERROR(VLOOKUP(B84,infoTable__15[],4,FALSE),"")</f>
        <v>369285</v>
      </c>
      <c r="P84" s="4" t="str">
        <f>IFERROR(VLOOKUP(B84,infoTable__16[],4,FALSE),"")</f>
        <v/>
      </c>
    </row>
    <row r="85" spans="1:16" x14ac:dyDescent="0.55000000000000004">
      <c r="A85" t="s">
        <v>732</v>
      </c>
      <c r="B85" t="s">
        <v>733</v>
      </c>
      <c r="C85" s="4" t="str">
        <f>IFERROR(VLOOKUP(B85,infoTable10[],4,FALSE),"")</f>
        <v/>
      </c>
      <c r="D85" s="4" t="str">
        <f>IFERROR(VLOOKUP(B85,infoTable__2[],4,FALSE),"")</f>
        <v/>
      </c>
      <c r="E85" s="4">
        <f>IFERROR(VLOOKUP(B85,infoTable__3[],4,FALSE),"")</f>
        <v>5905791</v>
      </c>
      <c r="F85" s="4">
        <f>IFERROR(VLOOKUP(B85,infoTable__4[],4,FALSE),"")</f>
        <v>237834</v>
      </c>
      <c r="G85" s="4" t="str">
        <f>IFERROR(VLOOKUP(B85,infoTable[],4,FALSE),"")</f>
        <v/>
      </c>
      <c r="H85" s="4" t="str">
        <f>IFERROR(VLOOKUP(B85,infoTable__6[],4,FALSE),"")</f>
        <v/>
      </c>
      <c r="I85" s="4" t="str">
        <f>IFERROR(VLOOKUP(B85,infoTable__28[],4,FALSE),"")</f>
        <v/>
      </c>
      <c r="J85" s="4" t="str">
        <f>IFERROR(VLOOKUP(B85,infoTable__10[],4,FALSE),"")</f>
        <v/>
      </c>
      <c r="K85" s="4" t="str">
        <f>IFERROR(VLOOKUP(B85,infoTable__11[],4,FALSE),"")</f>
        <v/>
      </c>
      <c r="L85" s="4" t="str">
        <f>IFERROR(VLOOKUP(B85,infoTable__12[],4,FALSE),"")</f>
        <v/>
      </c>
      <c r="M85" s="4" t="str">
        <f>IFERROR(VLOOKUP(B85,infoTable__13[],4,FALSE),"")</f>
        <v/>
      </c>
      <c r="N85" s="4" t="str">
        <f>IFERROR(VLOOKUP(B85,infoTable__14[],4,FALSE),"")</f>
        <v/>
      </c>
      <c r="O85" s="4" t="str">
        <f>IFERROR(VLOOKUP(B85,infoTable__15[],4,FALSE),"")</f>
        <v/>
      </c>
      <c r="P85" s="4" t="str">
        <f>IFERROR(VLOOKUP(B85,infoTable__16[],4,FALSE),"")</f>
        <v/>
      </c>
    </row>
    <row r="86" spans="1:16" x14ac:dyDescent="0.55000000000000004">
      <c r="A86" t="s">
        <v>3257</v>
      </c>
      <c r="B86" t="s">
        <v>3259</v>
      </c>
      <c r="C86" s="4" t="str">
        <f>IFERROR(VLOOKUP(B86,infoTable10[],4,FALSE),"")</f>
        <v/>
      </c>
      <c r="D86" s="4" t="str">
        <f>IFERROR(VLOOKUP(B86,infoTable__2[],4,FALSE),"")</f>
        <v/>
      </c>
      <c r="E86" s="4" t="str">
        <f>IFERROR(VLOOKUP(B86,infoTable__3[],4,FALSE),"")</f>
        <v/>
      </c>
      <c r="F86" s="4" t="str">
        <f>IFERROR(VLOOKUP(B86,infoTable__4[],4,FALSE),"")</f>
        <v/>
      </c>
      <c r="G86" s="4" t="str">
        <f>IFERROR(VLOOKUP(B86,infoTable[],4,FALSE),"")</f>
        <v/>
      </c>
      <c r="H86" s="4" t="str">
        <f>IFERROR(VLOOKUP(B86,infoTable__6[],4,FALSE),"")</f>
        <v/>
      </c>
      <c r="I86" s="4" t="str">
        <f>IFERROR(VLOOKUP(B86,infoTable__28[],4,FALSE),"")</f>
        <v/>
      </c>
      <c r="J86" s="4" t="str">
        <f>IFERROR(VLOOKUP(B86,infoTable__10[],4,FALSE),"")</f>
        <v/>
      </c>
      <c r="K86" s="4" t="str">
        <f>IFERROR(VLOOKUP(B86,infoTable__11[],4,FALSE),"")</f>
        <v/>
      </c>
      <c r="L86" s="4" t="str">
        <f>IFERROR(VLOOKUP(B86,infoTable__12[],4,FALSE),"")</f>
        <v/>
      </c>
      <c r="M86" s="4" t="str">
        <f>IFERROR(VLOOKUP(B86,infoTable__13[],4,FALSE),"")</f>
        <v/>
      </c>
      <c r="N86" s="4" t="str">
        <f>IFERROR(VLOOKUP(B86,infoTable__14[],4,FALSE),"")</f>
        <v/>
      </c>
      <c r="O86" s="4" t="str">
        <f>IFERROR(VLOOKUP(B86,infoTable__15[],4,FALSE),"")</f>
        <v/>
      </c>
      <c r="P86" s="4">
        <f>IFERROR(VLOOKUP(B86,infoTable__16[],4,FALSE),"")</f>
        <v>935878</v>
      </c>
    </row>
    <row r="87" spans="1:16" x14ac:dyDescent="0.55000000000000004">
      <c r="A87" t="s">
        <v>2107</v>
      </c>
      <c r="B87" t="s">
        <v>2108</v>
      </c>
      <c r="C87" s="4" t="str">
        <f>IFERROR(VLOOKUP(B87,infoTable10[],4,FALSE),"")</f>
        <v/>
      </c>
      <c r="D87" s="4" t="str">
        <f>IFERROR(VLOOKUP(B87,infoTable__2[],4,FALSE),"")</f>
        <v/>
      </c>
      <c r="E87" s="4" t="str">
        <f>IFERROR(VLOOKUP(B87,infoTable__3[],4,FALSE),"")</f>
        <v/>
      </c>
      <c r="F87" s="4" t="str">
        <f>IFERROR(VLOOKUP(B87,infoTable__4[],4,FALSE),"")</f>
        <v/>
      </c>
      <c r="G87" s="4" t="str">
        <f>IFERROR(VLOOKUP(B87,infoTable[],4,FALSE),"")</f>
        <v/>
      </c>
      <c r="H87" s="4" t="str">
        <f>IFERROR(VLOOKUP(B87,infoTable__6[],4,FALSE),"")</f>
        <v/>
      </c>
      <c r="I87" s="4" t="str">
        <f>IFERROR(VLOOKUP(B87,infoTable__28[],4,FALSE),"")</f>
        <v/>
      </c>
      <c r="J87" s="4" t="str">
        <f>IFERROR(VLOOKUP(B87,infoTable__10[],4,FALSE),"")</f>
        <v/>
      </c>
      <c r="K87" s="4" t="str">
        <f>IFERROR(VLOOKUP(B87,infoTable__11[],4,FALSE),"")</f>
        <v/>
      </c>
      <c r="L87" s="4">
        <f>IFERROR(VLOOKUP(B87,infoTable__12[],4,FALSE),"")</f>
        <v>2504718</v>
      </c>
      <c r="M87" s="4" t="str">
        <f>IFERROR(VLOOKUP(B87,infoTable__13[],4,FALSE),"")</f>
        <v/>
      </c>
      <c r="N87" s="4" t="str">
        <f>IFERROR(VLOOKUP(B87,infoTable__14[],4,FALSE),"")</f>
        <v/>
      </c>
      <c r="O87" s="4" t="str">
        <f>IFERROR(VLOOKUP(B87,infoTable__15[],4,FALSE),"")</f>
        <v/>
      </c>
      <c r="P87" s="4" t="str">
        <f>IFERROR(VLOOKUP(B87,infoTable__16[],4,FALSE),"")</f>
        <v/>
      </c>
    </row>
    <row r="88" spans="1:16" x14ac:dyDescent="0.55000000000000004">
      <c r="A88" t="s">
        <v>1839</v>
      </c>
      <c r="B88" t="s">
        <v>1840</v>
      </c>
      <c r="C88" s="4" t="str">
        <f>IFERROR(VLOOKUP(B88,infoTable10[],4,FALSE),"")</f>
        <v/>
      </c>
      <c r="D88" s="4" t="str">
        <f>IFERROR(VLOOKUP(B88,infoTable__2[],4,FALSE),"")</f>
        <v/>
      </c>
      <c r="E88" s="4" t="str">
        <f>IFERROR(VLOOKUP(B88,infoTable__3[],4,FALSE),"")</f>
        <v/>
      </c>
      <c r="F88" s="4" t="str">
        <f>IFERROR(VLOOKUP(B88,infoTable__4[],4,FALSE),"")</f>
        <v/>
      </c>
      <c r="G88" s="4" t="str">
        <f>IFERROR(VLOOKUP(B88,infoTable[],4,FALSE),"")</f>
        <v/>
      </c>
      <c r="H88" s="4" t="str">
        <f>IFERROR(VLOOKUP(B88,infoTable__6[],4,FALSE),"")</f>
        <v/>
      </c>
      <c r="I88" s="4" t="str">
        <f>IFERROR(VLOOKUP(B88,infoTable__28[],4,FALSE),"")</f>
        <v/>
      </c>
      <c r="J88" s="4" t="str">
        <f>IFERROR(VLOOKUP(B88,infoTable__10[],4,FALSE),"")</f>
        <v/>
      </c>
      <c r="K88" s="4">
        <f>IFERROR(VLOOKUP(B88,infoTable__11[],4,FALSE),"")</f>
        <v>2278076</v>
      </c>
      <c r="L88" s="4">
        <f>IFERROR(VLOOKUP(B88,infoTable__12[],4,FALSE),"")</f>
        <v>2189382</v>
      </c>
      <c r="M88" s="4" t="str">
        <f>IFERROR(VLOOKUP(B88,infoTable__13[],4,FALSE),"")</f>
        <v/>
      </c>
      <c r="N88" s="4" t="str">
        <f>IFERROR(VLOOKUP(B88,infoTable__14[],4,FALSE),"")</f>
        <v/>
      </c>
      <c r="O88" s="4" t="str">
        <f>IFERROR(VLOOKUP(B88,infoTable__15[],4,FALSE),"")</f>
        <v/>
      </c>
      <c r="P88" s="4">
        <f>IFERROR(VLOOKUP(B88,infoTable__16[],4,FALSE),"")</f>
        <v>1207088</v>
      </c>
    </row>
    <row r="89" spans="1:16" x14ac:dyDescent="0.55000000000000004">
      <c r="A89" t="s">
        <v>78</v>
      </c>
      <c r="B89" t="s">
        <v>79</v>
      </c>
      <c r="C89" s="4" t="str">
        <f>IFERROR(VLOOKUP(B89,infoTable10[],4,FALSE),"")</f>
        <v/>
      </c>
      <c r="D89" s="4" t="str">
        <f>IFERROR(VLOOKUP(B89,infoTable__2[],4,FALSE),"")</f>
        <v/>
      </c>
      <c r="E89" s="4" t="str">
        <f>IFERROR(VLOOKUP(B89,infoTable__3[],4,FALSE),"")</f>
        <v/>
      </c>
      <c r="F89" s="4" t="str">
        <f>IFERROR(VLOOKUP(B89,infoTable__4[],4,FALSE),"")</f>
        <v/>
      </c>
      <c r="G89" s="4">
        <f>IFERROR(VLOOKUP(B89,infoTable[],4,FALSE),"")</f>
        <v>261218</v>
      </c>
      <c r="H89" s="4">
        <f>IFERROR(VLOOKUP(B89,infoTable__6[],4,FALSE),"")</f>
        <v>427841</v>
      </c>
      <c r="I89" s="4">
        <f>IFERROR(VLOOKUP(B89,infoTable__28[],4,FALSE),"")</f>
        <v>348215</v>
      </c>
      <c r="J89" s="4" t="str">
        <f>IFERROR(VLOOKUP(B89,infoTable__10[],4,FALSE),"")</f>
        <v/>
      </c>
      <c r="K89" s="4" t="str">
        <f>IFERROR(VLOOKUP(B89,infoTable__11[],4,FALSE),"")</f>
        <v/>
      </c>
      <c r="L89" s="4" t="str">
        <f>IFERROR(VLOOKUP(B89,infoTable__12[],4,FALSE),"")</f>
        <v/>
      </c>
      <c r="M89" s="4" t="str">
        <f>IFERROR(VLOOKUP(B89,infoTable__13[],4,FALSE),"")</f>
        <v/>
      </c>
      <c r="N89" s="4" t="str">
        <f>IFERROR(VLOOKUP(B89,infoTable__14[],4,FALSE),"")</f>
        <v/>
      </c>
      <c r="O89" s="4" t="str">
        <f>IFERROR(VLOOKUP(B89,infoTable__15[],4,FALSE),"")</f>
        <v/>
      </c>
      <c r="P89" s="4" t="str">
        <f>IFERROR(VLOOKUP(B89,infoTable__16[],4,FALSE),"")</f>
        <v/>
      </c>
    </row>
    <row r="90" spans="1:16" x14ac:dyDescent="0.55000000000000004">
      <c r="A90" t="s">
        <v>80</v>
      </c>
      <c r="B90" t="s">
        <v>81</v>
      </c>
      <c r="C90" s="4" t="str">
        <f>IFERROR(VLOOKUP(B90,infoTable10[],4,FALSE),"")</f>
        <v/>
      </c>
      <c r="D90" s="4" t="str">
        <f>IFERROR(VLOOKUP(B90,infoTable__2[],4,FALSE),"")</f>
        <v/>
      </c>
      <c r="E90" s="4" t="str">
        <f>IFERROR(VLOOKUP(B90,infoTable__3[],4,FALSE),"")</f>
        <v/>
      </c>
      <c r="F90" s="4" t="str">
        <f>IFERROR(VLOOKUP(B90,infoTable__4[],4,FALSE),"")</f>
        <v/>
      </c>
      <c r="G90" s="4">
        <f>IFERROR(VLOOKUP(B90,infoTable[],4,FALSE),"")</f>
        <v>977952</v>
      </c>
      <c r="H90" s="4">
        <f>IFERROR(VLOOKUP(B90,infoTable__6[],4,FALSE),"")</f>
        <v>961451</v>
      </c>
      <c r="I90" s="4" t="str">
        <f>IFERROR(VLOOKUP(B90,infoTable__28[],4,FALSE),"")</f>
        <v/>
      </c>
      <c r="J90" s="4" t="str">
        <f>IFERROR(VLOOKUP(B90,infoTable__10[],4,FALSE),"")</f>
        <v/>
      </c>
      <c r="K90" s="4" t="str">
        <f>IFERROR(VLOOKUP(B90,infoTable__11[],4,FALSE),"")</f>
        <v/>
      </c>
      <c r="L90" s="4" t="str">
        <f>IFERROR(VLOOKUP(B90,infoTable__12[],4,FALSE),"")</f>
        <v/>
      </c>
      <c r="M90" s="4" t="str">
        <f>IFERROR(VLOOKUP(B90,infoTable__13[],4,FALSE),"")</f>
        <v/>
      </c>
      <c r="N90" s="4" t="str">
        <f>IFERROR(VLOOKUP(B90,infoTable__14[],4,FALSE),"")</f>
        <v/>
      </c>
      <c r="O90" s="4" t="str">
        <f>IFERROR(VLOOKUP(B90,infoTable__15[],4,FALSE),"")</f>
        <v/>
      </c>
      <c r="P90" s="4" t="str">
        <f>IFERROR(VLOOKUP(B90,infoTable__16[],4,FALSE),"")</f>
        <v/>
      </c>
    </row>
    <row r="91" spans="1:16" x14ac:dyDescent="0.55000000000000004">
      <c r="A91" t="s">
        <v>2113</v>
      </c>
      <c r="B91" t="s">
        <v>2114</v>
      </c>
      <c r="C91" s="4" t="str">
        <f>IFERROR(VLOOKUP(B91,infoTable10[],4,FALSE),"")</f>
        <v/>
      </c>
      <c r="D91" s="4" t="str">
        <f>IFERROR(VLOOKUP(B91,infoTable__2[],4,FALSE),"")</f>
        <v/>
      </c>
      <c r="E91" s="4" t="str">
        <f>IFERROR(VLOOKUP(B91,infoTable__3[],4,FALSE),"")</f>
        <v/>
      </c>
      <c r="F91" s="4" t="str">
        <f>IFERROR(VLOOKUP(B91,infoTable__4[],4,FALSE),"")</f>
        <v/>
      </c>
      <c r="G91" s="4" t="str">
        <f>IFERROR(VLOOKUP(B91,infoTable[],4,FALSE),"")</f>
        <v/>
      </c>
      <c r="H91" s="4" t="str">
        <f>IFERROR(VLOOKUP(B91,infoTable__6[],4,FALSE),"")</f>
        <v/>
      </c>
      <c r="I91" s="4" t="str">
        <f>IFERROR(VLOOKUP(B91,infoTable__28[],4,FALSE),"")</f>
        <v/>
      </c>
      <c r="J91" s="4" t="str">
        <f>IFERROR(VLOOKUP(B91,infoTable__10[],4,FALSE),"")</f>
        <v/>
      </c>
      <c r="K91" s="4" t="str">
        <f>IFERROR(VLOOKUP(B91,infoTable__11[],4,FALSE),"")</f>
        <v/>
      </c>
      <c r="L91" s="4">
        <f>IFERROR(VLOOKUP(B91,infoTable__12[],4,FALSE),"")</f>
        <v>1657397</v>
      </c>
      <c r="M91" s="4">
        <f>IFERROR(VLOOKUP(B91,infoTable__13[],4,FALSE),"")</f>
        <v>975266</v>
      </c>
      <c r="N91" s="4">
        <f>IFERROR(VLOOKUP(B91,infoTable__14[],4,FALSE),"")</f>
        <v>1129432</v>
      </c>
      <c r="O91" s="4">
        <f>IFERROR(VLOOKUP(B91,infoTable__15[],4,FALSE),"")</f>
        <v>350427</v>
      </c>
      <c r="P91" s="4">
        <f>IFERROR(VLOOKUP(B91,infoTable__16[],4,FALSE),"")</f>
        <v>1156678</v>
      </c>
    </row>
    <row r="92" spans="1:16" x14ac:dyDescent="0.55000000000000004">
      <c r="A92" t="s">
        <v>530</v>
      </c>
      <c r="B92" t="s">
        <v>531</v>
      </c>
      <c r="C92" s="4" t="str">
        <f>IFERROR(VLOOKUP(B92,infoTable10[],4,FALSE),"")</f>
        <v/>
      </c>
      <c r="D92" s="4">
        <f>IFERROR(VLOOKUP(B92,infoTable__2[],4,FALSE),"")</f>
        <v>376709</v>
      </c>
      <c r="E92" s="4">
        <f>IFERROR(VLOOKUP(B92,infoTable__3[],4,FALSE),"")</f>
        <v>639713</v>
      </c>
      <c r="F92" s="4" t="str">
        <f>IFERROR(VLOOKUP(B92,infoTable__4[],4,FALSE),"")</f>
        <v/>
      </c>
      <c r="G92" s="4" t="str">
        <f>IFERROR(VLOOKUP(B92,infoTable[],4,FALSE),"")</f>
        <v/>
      </c>
      <c r="H92" s="4" t="str">
        <f>IFERROR(VLOOKUP(B92,infoTable__6[],4,FALSE),"")</f>
        <v/>
      </c>
      <c r="I92" s="4" t="str">
        <f>IFERROR(VLOOKUP(B92,infoTable__28[],4,FALSE),"")</f>
        <v/>
      </c>
      <c r="J92" s="4" t="str">
        <f>IFERROR(VLOOKUP(B92,infoTable__10[],4,FALSE),"")</f>
        <v/>
      </c>
      <c r="K92" s="4" t="str">
        <f>IFERROR(VLOOKUP(B92,infoTable__11[],4,FALSE),"")</f>
        <v/>
      </c>
      <c r="L92" s="4" t="str">
        <f>IFERROR(VLOOKUP(B92,infoTable__12[],4,FALSE),"")</f>
        <v/>
      </c>
      <c r="M92" s="4" t="str">
        <f>IFERROR(VLOOKUP(B92,infoTable__13[],4,FALSE),"")</f>
        <v/>
      </c>
      <c r="N92" s="4" t="str">
        <f>IFERROR(VLOOKUP(B92,infoTable__14[],4,FALSE),"")</f>
        <v/>
      </c>
      <c r="O92" s="4" t="str">
        <f>IFERROR(VLOOKUP(B92,infoTable__15[],4,FALSE),"")</f>
        <v/>
      </c>
      <c r="P92" s="4" t="str">
        <f>IFERROR(VLOOKUP(B92,infoTable__16[],4,FALSE),"")</f>
        <v/>
      </c>
    </row>
    <row r="93" spans="1:16" x14ac:dyDescent="0.55000000000000004">
      <c r="A93" t="s">
        <v>2119</v>
      </c>
      <c r="B93" t="s">
        <v>2120</v>
      </c>
      <c r="C93" s="4" t="str">
        <f>IFERROR(VLOOKUP(B93,infoTable10[],4,FALSE),"")</f>
        <v/>
      </c>
      <c r="D93" s="4" t="str">
        <f>IFERROR(VLOOKUP(B93,infoTable__2[],4,FALSE),"")</f>
        <v/>
      </c>
      <c r="E93" s="4" t="str">
        <f>IFERROR(VLOOKUP(B93,infoTable__3[],4,FALSE),"")</f>
        <v/>
      </c>
      <c r="F93" s="4" t="str">
        <f>IFERROR(VLOOKUP(B93,infoTable__4[],4,FALSE),"")</f>
        <v/>
      </c>
      <c r="G93" s="4" t="str">
        <f>IFERROR(VLOOKUP(B93,infoTable[],4,FALSE),"")</f>
        <v/>
      </c>
      <c r="H93" s="4" t="str">
        <f>IFERROR(VLOOKUP(B93,infoTable__6[],4,FALSE),"")</f>
        <v/>
      </c>
      <c r="I93" s="4" t="str">
        <f>IFERROR(VLOOKUP(B93,infoTable__28[],4,FALSE),"")</f>
        <v/>
      </c>
      <c r="J93" s="4" t="str">
        <f>IFERROR(VLOOKUP(B93,infoTable__10[],4,FALSE),"")</f>
        <v/>
      </c>
      <c r="K93" s="4" t="str">
        <f>IFERROR(VLOOKUP(B93,infoTable__11[],4,FALSE),"")</f>
        <v/>
      </c>
      <c r="L93" s="4">
        <f>IFERROR(VLOOKUP(B93,infoTable__12[],4,FALSE),"")</f>
        <v>1066925</v>
      </c>
      <c r="M93" s="4">
        <f>IFERROR(VLOOKUP(B93,infoTable__13[],4,FALSE),"")</f>
        <v>3053612</v>
      </c>
      <c r="N93" s="4">
        <f>IFERROR(VLOOKUP(B93,infoTable__14[],4,FALSE),"")</f>
        <v>870465</v>
      </c>
      <c r="O93" s="4" t="str">
        <f>IFERROR(VLOOKUP(B93,infoTable__15[],4,FALSE),"")</f>
        <v/>
      </c>
      <c r="P93" s="4" t="str">
        <f>IFERROR(VLOOKUP(B93,infoTable__16[],4,FALSE),"")</f>
        <v/>
      </c>
    </row>
    <row r="94" spans="1:16" x14ac:dyDescent="0.55000000000000004">
      <c r="A94" t="s">
        <v>2428</v>
      </c>
      <c r="B94" t="s">
        <v>2429</v>
      </c>
      <c r="C94" s="4" t="str">
        <f>IFERROR(VLOOKUP(B94,infoTable10[],4,FALSE),"")</f>
        <v/>
      </c>
      <c r="D94" s="4" t="str">
        <f>IFERROR(VLOOKUP(B94,infoTable__2[],4,FALSE),"")</f>
        <v/>
      </c>
      <c r="E94" s="4" t="str">
        <f>IFERROR(VLOOKUP(B94,infoTable__3[],4,FALSE),"")</f>
        <v/>
      </c>
      <c r="F94" s="4" t="str">
        <f>IFERROR(VLOOKUP(B94,infoTable__4[],4,FALSE),"")</f>
        <v/>
      </c>
      <c r="G94" s="4" t="str">
        <f>IFERROR(VLOOKUP(B94,infoTable[],4,FALSE),"")</f>
        <v/>
      </c>
      <c r="H94" s="4" t="str">
        <f>IFERROR(VLOOKUP(B94,infoTable__6[],4,FALSE),"")</f>
        <v/>
      </c>
      <c r="I94" s="4" t="str">
        <f>IFERROR(VLOOKUP(B94,infoTable__28[],4,FALSE),"")</f>
        <v/>
      </c>
      <c r="J94" s="4" t="str">
        <f>IFERROR(VLOOKUP(B94,infoTable__10[],4,FALSE),"")</f>
        <v/>
      </c>
      <c r="K94" s="4" t="str">
        <f>IFERROR(VLOOKUP(B94,infoTable__11[],4,FALSE),"")</f>
        <v/>
      </c>
      <c r="L94" s="4" t="str">
        <f>IFERROR(VLOOKUP(B94,infoTable__12[],4,FALSE),"")</f>
        <v/>
      </c>
      <c r="M94" s="4">
        <f>IFERROR(VLOOKUP(B94,infoTable__13[],4,FALSE),"")</f>
        <v>605249</v>
      </c>
      <c r="N94" s="4">
        <f>IFERROR(VLOOKUP(B94,infoTable__14[],4,FALSE),"")</f>
        <v>318821</v>
      </c>
      <c r="O94" s="4" t="str">
        <f>IFERROR(VLOOKUP(B94,infoTable__15[],4,FALSE),"")</f>
        <v/>
      </c>
      <c r="P94" s="4">
        <f>IFERROR(VLOOKUP(B94,infoTable__16[],4,FALSE),"")</f>
        <v>283392</v>
      </c>
    </row>
    <row r="95" spans="1:16" x14ac:dyDescent="0.55000000000000004">
      <c r="A95" t="s">
        <v>2651</v>
      </c>
      <c r="B95" t="s">
        <v>2650</v>
      </c>
      <c r="C95" s="4" t="str">
        <f>IFERROR(VLOOKUP(B95,infoTable10[],4,FALSE),"")</f>
        <v/>
      </c>
      <c r="D95" s="4" t="str">
        <f>IFERROR(VLOOKUP(B95,infoTable__2[],4,FALSE),"")</f>
        <v/>
      </c>
      <c r="E95" s="4" t="str">
        <f>IFERROR(VLOOKUP(B95,infoTable__3[],4,FALSE),"")</f>
        <v/>
      </c>
      <c r="F95" s="4" t="str">
        <f>IFERROR(VLOOKUP(B95,infoTable__4[],4,FALSE),"")</f>
        <v/>
      </c>
      <c r="G95" s="4" t="str">
        <f>IFERROR(VLOOKUP(B95,infoTable[],4,FALSE),"")</f>
        <v/>
      </c>
      <c r="H95" s="4" t="str">
        <f>IFERROR(VLOOKUP(B95,infoTable__6[],4,FALSE),"")</f>
        <v/>
      </c>
      <c r="I95" s="4" t="str">
        <f>IFERROR(VLOOKUP(B95,infoTable__28[],4,FALSE),"")</f>
        <v/>
      </c>
      <c r="J95" s="4" t="str">
        <f>IFERROR(VLOOKUP(B95,infoTable__10[],4,FALSE),"")</f>
        <v/>
      </c>
      <c r="K95" s="4" t="str">
        <f>IFERROR(VLOOKUP(B95,infoTable__11[],4,FALSE),"")</f>
        <v/>
      </c>
      <c r="L95" s="4" t="str">
        <f>IFERROR(VLOOKUP(B95,infoTable__12[],4,FALSE),"")</f>
        <v/>
      </c>
      <c r="M95" s="4" t="str">
        <f>IFERROR(VLOOKUP(B95,infoTable__13[],4,FALSE),"")</f>
        <v/>
      </c>
      <c r="N95" s="4">
        <f>IFERROR(VLOOKUP(B95,infoTable__14[],4,FALSE),"")</f>
        <v>1367992</v>
      </c>
      <c r="O95" s="4">
        <f>IFERROR(VLOOKUP(B95,infoTable__15[],4,FALSE),"")</f>
        <v>7978316</v>
      </c>
      <c r="P95" s="4">
        <f>IFERROR(VLOOKUP(B95,infoTable__16[],4,FALSE),"")</f>
        <v>2905827</v>
      </c>
    </row>
    <row r="96" spans="1:16" x14ac:dyDescent="0.55000000000000004">
      <c r="A96" t="s">
        <v>3268</v>
      </c>
      <c r="B96" t="s">
        <v>3269</v>
      </c>
      <c r="C96" s="4" t="str">
        <f>IFERROR(VLOOKUP(B96,infoTable10[],4,FALSE),"")</f>
        <v/>
      </c>
      <c r="D96" s="4" t="str">
        <f>IFERROR(VLOOKUP(B96,infoTable__2[],4,FALSE),"")</f>
        <v/>
      </c>
      <c r="E96" s="4" t="str">
        <f>IFERROR(VLOOKUP(B96,infoTable__3[],4,FALSE),"")</f>
        <v/>
      </c>
      <c r="F96" s="4" t="str">
        <f>IFERROR(VLOOKUP(B96,infoTable__4[],4,FALSE),"")</f>
        <v/>
      </c>
      <c r="G96" s="4" t="str">
        <f>IFERROR(VLOOKUP(B96,infoTable[],4,FALSE),"")</f>
        <v/>
      </c>
      <c r="H96" s="4" t="str">
        <f>IFERROR(VLOOKUP(B96,infoTable__6[],4,FALSE),"")</f>
        <v/>
      </c>
      <c r="I96" s="4" t="str">
        <f>IFERROR(VLOOKUP(B96,infoTable__28[],4,FALSE),"")</f>
        <v/>
      </c>
      <c r="J96" s="4" t="str">
        <f>IFERROR(VLOOKUP(B96,infoTable__10[],4,FALSE),"")</f>
        <v/>
      </c>
      <c r="K96" s="4" t="str">
        <f>IFERROR(VLOOKUP(B96,infoTable__11[],4,FALSE),"")</f>
        <v/>
      </c>
      <c r="L96" s="4" t="str">
        <f>IFERROR(VLOOKUP(B96,infoTable__12[],4,FALSE),"")</f>
        <v/>
      </c>
      <c r="M96" s="4" t="str">
        <f>IFERROR(VLOOKUP(B96,infoTable__13[],4,FALSE),"")</f>
        <v/>
      </c>
      <c r="N96" s="4" t="str">
        <f>IFERROR(VLOOKUP(B96,infoTable__14[],4,FALSE),"")</f>
        <v/>
      </c>
      <c r="O96" s="4" t="str">
        <f>IFERROR(VLOOKUP(B96,infoTable__15[],4,FALSE),"")</f>
        <v/>
      </c>
      <c r="P96" s="4">
        <f>IFERROR(VLOOKUP(B96,infoTable__16[],4,FALSE),"")</f>
        <v>709685</v>
      </c>
    </row>
    <row r="97" spans="1:16" x14ac:dyDescent="0.55000000000000004">
      <c r="A97" t="s">
        <v>86</v>
      </c>
      <c r="B97" t="s">
        <v>87</v>
      </c>
      <c r="C97" s="4" t="str">
        <f>IFERROR(VLOOKUP(B97,infoTable10[],4,FALSE),"")</f>
        <v/>
      </c>
      <c r="D97" s="4" t="str">
        <f>IFERROR(VLOOKUP(B97,infoTable__2[],4,FALSE),"")</f>
        <v/>
      </c>
      <c r="E97" s="4" t="str">
        <f>IFERROR(VLOOKUP(B97,infoTable__3[],4,FALSE),"")</f>
        <v/>
      </c>
      <c r="F97" s="4" t="str">
        <f>IFERROR(VLOOKUP(B97,infoTable__4[],4,FALSE),"")</f>
        <v/>
      </c>
      <c r="G97" s="4">
        <f>IFERROR(VLOOKUP(B97,infoTable[],4,FALSE),"")</f>
        <v>2666667</v>
      </c>
      <c r="H97" s="4" t="str">
        <f>IFERROR(VLOOKUP(B97,infoTable__6[],4,FALSE),"")</f>
        <v/>
      </c>
      <c r="I97" s="4" t="str">
        <f>IFERROR(VLOOKUP(B97,infoTable__28[],4,FALSE),"")</f>
        <v/>
      </c>
      <c r="J97" s="4" t="str">
        <f>IFERROR(VLOOKUP(B97,infoTable__10[],4,FALSE),"")</f>
        <v/>
      </c>
      <c r="K97" s="4" t="str">
        <f>IFERROR(VLOOKUP(B97,infoTable__11[],4,FALSE),"")</f>
        <v/>
      </c>
      <c r="L97" s="4" t="str">
        <f>IFERROR(VLOOKUP(B97,infoTable__12[],4,FALSE),"")</f>
        <v/>
      </c>
      <c r="M97" s="4" t="str">
        <f>IFERROR(VLOOKUP(B97,infoTable__13[],4,FALSE),"")</f>
        <v/>
      </c>
      <c r="N97" s="4" t="str">
        <f>IFERROR(VLOOKUP(B97,infoTable__14[],4,FALSE),"")</f>
        <v/>
      </c>
      <c r="O97" s="4" t="str">
        <f>IFERROR(VLOOKUP(B97,infoTable__15[],4,FALSE),"")</f>
        <v/>
      </c>
      <c r="P97" s="4" t="str">
        <f>IFERROR(VLOOKUP(B97,infoTable__16[],4,FALSE),"")</f>
        <v/>
      </c>
    </row>
    <row r="98" spans="1:16" x14ac:dyDescent="0.55000000000000004">
      <c r="A98" t="s">
        <v>88</v>
      </c>
      <c r="B98" t="s">
        <v>89</v>
      </c>
      <c r="C98" s="4" t="str">
        <f>IFERROR(VLOOKUP(B98,infoTable10[],4,FALSE),"")</f>
        <v/>
      </c>
      <c r="D98" s="4" t="str">
        <f>IFERROR(VLOOKUP(B98,infoTable__2[],4,FALSE),"")</f>
        <v/>
      </c>
      <c r="E98" s="4" t="str">
        <f>IFERROR(VLOOKUP(B98,infoTable__3[],4,FALSE),"")</f>
        <v/>
      </c>
      <c r="F98" s="4" t="str">
        <f>IFERROR(VLOOKUP(B98,infoTable__4[],4,FALSE),"")</f>
        <v/>
      </c>
      <c r="G98" s="4">
        <f>IFERROR(VLOOKUP(B98,infoTable[],4,FALSE),"")</f>
        <v>746253</v>
      </c>
      <c r="H98" s="4" t="str">
        <f>IFERROR(VLOOKUP(B98,infoTable__6[],4,FALSE),"")</f>
        <v/>
      </c>
      <c r="I98" s="4">
        <f>IFERROR(VLOOKUP(B98,infoTable__28[],4,FALSE),"")</f>
        <v>777275</v>
      </c>
      <c r="J98" s="4">
        <f>IFERROR(VLOOKUP(B98,infoTable__10[],4,FALSE),"")</f>
        <v>770098</v>
      </c>
      <c r="K98" s="4" t="str">
        <f>IFERROR(VLOOKUP(B98,infoTable__11[],4,FALSE),"")</f>
        <v/>
      </c>
      <c r="L98" s="4" t="str">
        <f>IFERROR(VLOOKUP(B98,infoTable__12[],4,FALSE),"")</f>
        <v/>
      </c>
      <c r="M98" s="4" t="str">
        <f>IFERROR(VLOOKUP(B98,infoTable__13[],4,FALSE),"")</f>
        <v/>
      </c>
      <c r="N98" s="4" t="str">
        <f>IFERROR(VLOOKUP(B98,infoTable__14[],4,FALSE),"")</f>
        <v/>
      </c>
      <c r="O98" s="4" t="str">
        <f>IFERROR(VLOOKUP(B98,infoTable__15[],4,FALSE),"")</f>
        <v/>
      </c>
      <c r="P98" s="4" t="str">
        <f>IFERROR(VLOOKUP(B98,infoTable__16[],4,FALSE),"")</f>
        <v/>
      </c>
    </row>
    <row r="99" spans="1:16" x14ac:dyDescent="0.55000000000000004">
      <c r="A99" t="s">
        <v>536</v>
      </c>
      <c r="B99" t="s">
        <v>537</v>
      </c>
      <c r="C99" s="4" t="str">
        <f>IFERROR(VLOOKUP(B99,infoTable10[],4,FALSE),"")</f>
        <v/>
      </c>
      <c r="D99" s="4">
        <f>IFERROR(VLOOKUP(B99,infoTable__2[],4,FALSE),"")</f>
        <v>104156</v>
      </c>
      <c r="E99" s="4">
        <f>IFERROR(VLOOKUP(B99,infoTable__3[],4,FALSE),"")</f>
        <v>228851</v>
      </c>
      <c r="F99" s="4" t="str">
        <f>IFERROR(VLOOKUP(B99,infoTable__4[],4,FALSE),"")</f>
        <v/>
      </c>
      <c r="G99" s="4" t="str">
        <f>IFERROR(VLOOKUP(B99,infoTable[],4,FALSE),"")</f>
        <v/>
      </c>
      <c r="H99" s="4" t="str">
        <f>IFERROR(VLOOKUP(B99,infoTable__6[],4,FALSE),"")</f>
        <v/>
      </c>
      <c r="I99" s="4" t="str">
        <f>IFERROR(VLOOKUP(B99,infoTable__28[],4,FALSE),"")</f>
        <v/>
      </c>
      <c r="J99" s="4" t="str">
        <f>IFERROR(VLOOKUP(B99,infoTable__10[],4,FALSE),"")</f>
        <v/>
      </c>
      <c r="K99" s="4" t="str">
        <f>IFERROR(VLOOKUP(B99,infoTable__11[],4,FALSE),"")</f>
        <v/>
      </c>
      <c r="L99" s="4" t="str">
        <f>IFERROR(VLOOKUP(B99,infoTable__12[],4,FALSE),"")</f>
        <v/>
      </c>
      <c r="M99" s="4" t="str">
        <f>IFERROR(VLOOKUP(B99,infoTable__13[],4,FALSE),"")</f>
        <v/>
      </c>
      <c r="N99" s="4" t="str">
        <f>IFERROR(VLOOKUP(B99,infoTable__14[],4,FALSE),"")</f>
        <v/>
      </c>
      <c r="O99" s="4" t="str">
        <f>IFERROR(VLOOKUP(B99,infoTable__15[],4,FALSE),"")</f>
        <v/>
      </c>
      <c r="P99" s="4">
        <f>IFERROR(VLOOKUP(B99,infoTable__16[],4,FALSE),"")</f>
        <v>348252</v>
      </c>
    </row>
    <row r="100" spans="1:16" x14ac:dyDescent="0.55000000000000004">
      <c r="A100" t="s">
        <v>526</v>
      </c>
      <c r="B100" t="s">
        <v>527</v>
      </c>
      <c r="C100" s="4" t="str">
        <f>IFERROR(VLOOKUP(B100,infoTable10[],4,FALSE),"")</f>
        <v/>
      </c>
      <c r="D100" s="4">
        <f>IFERROR(VLOOKUP(B100,infoTable__2[],4,FALSE),"")</f>
        <v>4692596</v>
      </c>
      <c r="E100" s="4" t="str">
        <f>IFERROR(VLOOKUP(B100,infoTable__3[],4,FALSE),"")</f>
        <v/>
      </c>
      <c r="F100" s="4" t="str">
        <f>IFERROR(VLOOKUP(B100,infoTable__4[],4,FALSE),"")</f>
        <v/>
      </c>
      <c r="G100" s="4" t="str">
        <f>IFERROR(VLOOKUP(B100,infoTable[],4,FALSE),"")</f>
        <v/>
      </c>
      <c r="H100" s="4" t="str">
        <f>IFERROR(VLOOKUP(B100,infoTable__6[],4,FALSE),"")</f>
        <v/>
      </c>
      <c r="I100" s="4" t="str">
        <f>IFERROR(VLOOKUP(B100,infoTable__28[],4,FALSE),"")</f>
        <v/>
      </c>
      <c r="J100" s="4" t="str">
        <f>IFERROR(VLOOKUP(B100,infoTable__10[],4,FALSE),"")</f>
        <v/>
      </c>
      <c r="K100" s="4" t="str">
        <f>IFERROR(VLOOKUP(B100,infoTable__11[],4,FALSE),"")</f>
        <v/>
      </c>
      <c r="L100" s="4" t="str">
        <f>IFERROR(VLOOKUP(B100,infoTable__12[],4,FALSE),"")</f>
        <v/>
      </c>
      <c r="M100" s="4">
        <f>IFERROR(VLOOKUP(B100,infoTable__13[],4,FALSE),"")</f>
        <v>989423</v>
      </c>
      <c r="N100" s="4" t="str">
        <f>IFERROR(VLOOKUP(B100,infoTable__14[],4,FALSE),"")</f>
        <v/>
      </c>
      <c r="O100" s="4" t="str">
        <f>IFERROR(VLOOKUP(B100,infoTable__15[],4,FALSE),"")</f>
        <v/>
      </c>
      <c r="P100" s="4">
        <f>IFERROR(VLOOKUP(B100,infoTable__16[],4,FALSE),"")</f>
        <v>466233</v>
      </c>
    </row>
    <row r="101" spans="1:16" x14ac:dyDescent="0.55000000000000004">
      <c r="A101" t="s">
        <v>538</v>
      </c>
      <c r="B101" t="s">
        <v>539</v>
      </c>
      <c r="C101" s="4" t="str">
        <f>IFERROR(VLOOKUP(B101,infoTable10[],4,FALSE),"")</f>
        <v/>
      </c>
      <c r="D101" s="4">
        <f>IFERROR(VLOOKUP(B101,infoTable__2[],4,FALSE),"")</f>
        <v>374206</v>
      </c>
      <c r="E101" s="4" t="str">
        <f>IFERROR(VLOOKUP(B101,infoTable__3[],4,FALSE),"")</f>
        <v/>
      </c>
      <c r="F101" s="4" t="str">
        <f>IFERROR(VLOOKUP(B101,infoTable__4[],4,FALSE),"")</f>
        <v/>
      </c>
      <c r="G101" s="4" t="str">
        <f>IFERROR(VLOOKUP(B101,infoTable[],4,FALSE),"")</f>
        <v/>
      </c>
      <c r="H101" s="4" t="str">
        <f>IFERROR(VLOOKUP(B101,infoTable__6[],4,FALSE),"")</f>
        <v/>
      </c>
      <c r="I101" s="4" t="str">
        <f>IFERROR(VLOOKUP(B101,infoTable__28[],4,FALSE),"")</f>
        <v/>
      </c>
      <c r="J101" s="4" t="str">
        <f>IFERROR(VLOOKUP(B101,infoTable__10[],4,FALSE),"")</f>
        <v/>
      </c>
      <c r="K101" s="4">
        <f>IFERROR(VLOOKUP(B101,infoTable__11[],4,FALSE),"")</f>
        <v>583860</v>
      </c>
      <c r="L101" s="4">
        <f>IFERROR(VLOOKUP(B101,infoTable__12[],4,FALSE),"")</f>
        <v>3847816</v>
      </c>
      <c r="M101" s="4">
        <f>IFERROR(VLOOKUP(B101,infoTable__13[],4,FALSE),"")</f>
        <v>3373885</v>
      </c>
      <c r="N101" s="4">
        <f>IFERROR(VLOOKUP(B101,infoTable__14[],4,FALSE),"")</f>
        <v>2012358</v>
      </c>
      <c r="O101" s="4">
        <f>IFERROR(VLOOKUP(B101,infoTable__15[],4,FALSE),"")</f>
        <v>358411</v>
      </c>
      <c r="P101" s="4">
        <f>IFERROR(VLOOKUP(B101,infoTable__16[],4,FALSE),"")</f>
        <v>668011</v>
      </c>
    </row>
    <row r="102" spans="1:16" x14ac:dyDescent="0.55000000000000004">
      <c r="A102" t="s">
        <v>1193</v>
      </c>
      <c r="B102" t="s">
        <v>1194</v>
      </c>
      <c r="C102" s="4" t="str">
        <f>IFERROR(VLOOKUP(B102,infoTable10[],4,FALSE),"")</f>
        <v/>
      </c>
      <c r="D102" s="4" t="str">
        <f>IFERROR(VLOOKUP(B102,infoTable__2[],4,FALSE),"")</f>
        <v/>
      </c>
      <c r="E102" s="4" t="str">
        <f>IFERROR(VLOOKUP(B102,infoTable__3[],4,FALSE),"")</f>
        <v/>
      </c>
      <c r="F102" s="4" t="str">
        <f>IFERROR(VLOOKUP(B102,infoTable__4[],4,FALSE),"")</f>
        <v/>
      </c>
      <c r="G102" s="4" t="str">
        <f>IFERROR(VLOOKUP(B102,infoTable[],4,FALSE),"")</f>
        <v/>
      </c>
      <c r="H102" s="4" t="str">
        <f>IFERROR(VLOOKUP(B102,infoTable__6[],4,FALSE),"")</f>
        <v/>
      </c>
      <c r="I102" s="4">
        <f>IFERROR(VLOOKUP(B102,infoTable__28[],4,FALSE),"")</f>
        <v>381152</v>
      </c>
      <c r="J102" s="4" t="str">
        <f>IFERROR(VLOOKUP(B102,infoTable__10[],4,FALSE),"")</f>
        <v/>
      </c>
      <c r="K102" s="4" t="str">
        <f>IFERROR(VLOOKUP(B102,infoTable__11[],4,FALSE),"")</f>
        <v/>
      </c>
      <c r="L102" s="4" t="str">
        <f>IFERROR(VLOOKUP(B102,infoTable__12[],4,FALSE),"")</f>
        <v/>
      </c>
      <c r="M102" s="4">
        <f>IFERROR(VLOOKUP(B102,infoTable__13[],4,FALSE),"")</f>
        <v>1240982</v>
      </c>
      <c r="N102" s="4">
        <f>IFERROR(VLOOKUP(B102,infoTable__14[],4,FALSE),"")</f>
        <v>1899689</v>
      </c>
      <c r="O102" s="4">
        <f>IFERROR(VLOOKUP(B102,infoTable__15[],4,FALSE),"")</f>
        <v>2034139</v>
      </c>
      <c r="P102" s="4" t="str">
        <f>IFERROR(VLOOKUP(B102,infoTable__16[],4,FALSE),"")</f>
        <v/>
      </c>
    </row>
    <row r="103" spans="1:16" x14ac:dyDescent="0.55000000000000004">
      <c r="A103" t="s">
        <v>823</v>
      </c>
      <c r="B103" t="s">
        <v>824</v>
      </c>
      <c r="C103" s="4" t="str">
        <f>IFERROR(VLOOKUP(B103,infoTable10[],4,FALSE),"")</f>
        <v/>
      </c>
      <c r="D103" s="4" t="str">
        <f>IFERROR(VLOOKUP(B103,infoTable__2[],4,FALSE),"")</f>
        <v/>
      </c>
      <c r="E103" s="4" t="str">
        <f>IFERROR(VLOOKUP(B103,infoTable__3[],4,FALSE),"")</f>
        <v/>
      </c>
      <c r="F103" s="4">
        <f>IFERROR(VLOOKUP(B103,infoTable__4[],4,FALSE),"")</f>
        <v>446442</v>
      </c>
      <c r="G103" s="4" t="str">
        <f>IFERROR(VLOOKUP(B103,infoTable[],4,FALSE),"")</f>
        <v/>
      </c>
      <c r="H103" s="4" t="str">
        <f>IFERROR(VLOOKUP(B103,infoTable__6[],4,FALSE),"")</f>
        <v/>
      </c>
      <c r="I103" s="4" t="str">
        <f>IFERROR(VLOOKUP(B103,infoTable__28[],4,FALSE),"")</f>
        <v/>
      </c>
      <c r="J103" s="4">
        <f>IFERROR(VLOOKUP(B103,infoTable__10[],4,FALSE),"")</f>
        <v>2132573</v>
      </c>
      <c r="K103" s="4">
        <f>IFERROR(VLOOKUP(B103,infoTable__11[],4,FALSE),"")</f>
        <v>1414442</v>
      </c>
      <c r="L103" s="4">
        <f>IFERROR(VLOOKUP(B103,infoTable__12[],4,FALSE),"")</f>
        <v>1502640</v>
      </c>
      <c r="M103" s="4">
        <f>IFERROR(VLOOKUP(B103,infoTable__13[],4,FALSE),"")</f>
        <v>555788</v>
      </c>
      <c r="N103" s="4" t="str">
        <f>IFERROR(VLOOKUP(B103,infoTable__14[],4,FALSE),"")</f>
        <v/>
      </c>
      <c r="O103" s="4" t="str">
        <f>IFERROR(VLOOKUP(B103,infoTable__15[],4,FALSE),"")</f>
        <v/>
      </c>
      <c r="P103" s="4" t="str">
        <f>IFERROR(VLOOKUP(B103,infoTable__16[],4,FALSE),"")</f>
        <v/>
      </c>
    </row>
    <row r="104" spans="1:16" x14ac:dyDescent="0.55000000000000004">
      <c r="A104" t="s">
        <v>2432</v>
      </c>
      <c r="B104" t="s">
        <v>2433</v>
      </c>
      <c r="C104" s="4" t="str">
        <f>IFERROR(VLOOKUP(B104,infoTable10[],4,FALSE),"")</f>
        <v/>
      </c>
      <c r="D104" s="4" t="str">
        <f>IFERROR(VLOOKUP(B104,infoTable__2[],4,FALSE),"")</f>
        <v/>
      </c>
      <c r="E104" s="4" t="str">
        <f>IFERROR(VLOOKUP(B104,infoTable__3[],4,FALSE),"")</f>
        <v/>
      </c>
      <c r="F104" s="4" t="str">
        <f>IFERROR(VLOOKUP(B104,infoTable__4[],4,FALSE),"")</f>
        <v/>
      </c>
      <c r="G104" s="4" t="str">
        <f>IFERROR(VLOOKUP(B104,infoTable[],4,FALSE),"")</f>
        <v/>
      </c>
      <c r="H104" s="4" t="str">
        <f>IFERROR(VLOOKUP(B104,infoTable__6[],4,FALSE),"")</f>
        <v/>
      </c>
      <c r="I104" s="4" t="str">
        <f>IFERROR(VLOOKUP(B104,infoTable__28[],4,FALSE),"")</f>
        <v/>
      </c>
      <c r="J104" s="4" t="str">
        <f>IFERROR(VLOOKUP(B104,infoTable__10[],4,FALSE),"")</f>
        <v/>
      </c>
      <c r="K104" s="4" t="str">
        <f>IFERROR(VLOOKUP(B104,infoTable__11[],4,FALSE),"")</f>
        <v/>
      </c>
      <c r="L104" s="4" t="str">
        <f>IFERROR(VLOOKUP(B104,infoTable__12[],4,FALSE),"")</f>
        <v/>
      </c>
      <c r="M104" s="4">
        <f>IFERROR(VLOOKUP(B104,infoTable__13[],4,FALSE),"")</f>
        <v>7990987</v>
      </c>
      <c r="N104" s="4">
        <f>IFERROR(VLOOKUP(B104,infoTable__14[],4,FALSE),"")</f>
        <v>1786901</v>
      </c>
      <c r="O104" s="4">
        <f>IFERROR(VLOOKUP(B104,infoTable__15[],4,FALSE),"")</f>
        <v>295359</v>
      </c>
      <c r="P104" s="4" t="str">
        <f>IFERROR(VLOOKUP(B104,infoTable__16[],4,FALSE),"")</f>
        <v/>
      </c>
    </row>
    <row r="105" spans="1:16" x14ac:dyDescent="0.55000000000000004">
      <c r="A105" t="s">
        <v>1195</v>
      </c>
      <c r="B105" t="s">
        <v>1196</v>
      </c>
      <c r="C105" s="4" t="str">
        <f>IFERROR(VLOOKUP(B105,infoTable10[],4,FALSE),"")</f>
        <v/>
      </c>
      <c r="D105" s="4" t="str">
        <f>IFERROR(VLOOKUP(B105,infoTable__2[],4,FALSE),"")</f>
        <v/>
      </c>
      <c r="E105" s="4" t="str">
        <f>IFERROR(VLOOKUP(B105,infoTable__3[],4,FALSE),"")</f>
        <v/>
      </c>
      <c r="F105" s="4" t="str">
        <f>IFERROR(VLOOKUP(B105,infoTable__4[],4,FALSE),"")</f>
        <v/>
      </c>
      <c r="G105" s="4" t="str">
        <f>IFERROR(VLOOKUP(B105,infoTable[],4,FALSE),"")</f>
        <v/>
      </c>
      <c r="H105" s="4" t="str">
        <f>IFERROR(VLOOKUP(B105,infoTable__6[],4,FALSE),"")</f>
        <v/>
      </c>
      <c r="I105" s="4">
        <f>IFERROR(VLOOKUP(B105,infoTable__28[],4,FALSE),"")</f>
        <v>989280</v>
      </c>
      <c r="J105" s="4">
        <f>IFERROR(VLOOKUP(B105,infoTable__10[],4,FALSE),"")</f>
        <v>1257854</v>
      </c>
      <c r="K105" s="4">
        <f>IFERROR(VLOOKUP(B105,infoTable__11[],4,FALSE),"")</f>
        <v>663905</v>
      </c>
      <c r="L105" s="4" t="str">
        <f>IFERROR(VLOOKUP(B105,infoTable__12[],4,FALSE),"")</f>
        <v/>
      </c>
      <c r="M105" s="4" t="str">
        <f>IFERROR(VLOOKUP(B105,infoTable__13[],4,FALSE),"")</f>
        <v/>
      </c>
      <c r="N105" s="4" t="str">
        <f>IFERROR(VLOOKUP(B105,infoTable__14[],4,FALSE),"")</f>
        <v/>
      </c>
      <c r="O105" s="4">
        <f>IFERROR(VLOOKUP(B105,infoTable__15[],4,FALSE),"")</f>
        <v>323223</v>
      </c>
      <c r="P105" s="4">
        <f>IFERROR(VLOOKUP(B105,infoTable__16[],4,FALSE),"")</f>
        <v>1097832</v>
      </c>
    </row>
    <row r="106" spans="1:16" x14ac:dyDescent="0.55000000000000004">
      <c r="A106" t="s">
        <v>2653</v>
      </c>
      <c r="B106" t="s">
        <v>2652</v>
      </c>
      <c r="C106" s="4" t="str">
        <f>IFERROR(VLOOKUP(B106,infoTable10[],4,FALSE),"")</f>
        <v/>
      </c>
      <c r="D106" s="4" t="str">
        <f>IFERROR(VLOOKUP(B106,infoTable__2[],4,FALSE),"")</f>
        <v/>
      </c>
      <c r="E106" s="4" t="str">
        <f>IFERROR(VLOOKUP(B106,infoTable__3[],4,FALSE),"")</f>
        <v/>
      </c>
      <c r="F106" s="4" t="str">
        <f>IFERROR(VLOOKUP(B106,infoTable__4[],4,FALSE),"")</f>
        <v/>
      </c>
      <c r="G106" s="4" t="str">
        <f>IFERROR(VLOOKUP(B106,infoTable[],4,FALSE),"")</f>
        <v/>
      </c>
      <c r="H106" s="4" t="str">
        <f>IFERROR(VLOOKUP(B106,infoTable__6[],4,FALSE),"")</f>
        <v/>
      </c>
      <c r="I106" s="4" t="str">
        <f>IFERROR(VLOOKUP(B106,infoTable__28[],4,FALSE),"")</f>
        <v/>
      </c>
      <c r="J106" s="4" t="str">
        <f>IFERROR(VLOOKUP(B106,infoTable__10[],4,FALSE),"")</f>
        <v/>
      </c>
      <c r="K106" s="4" t="str">
        <f>IFERROR(VLOOKUP(B106,infoTable__11[],4,FALSE),"")</f>
        <v/>
      </c>
      <c r="L106" s="4" t="str">
        <f>IFERROR(VLOOKUP(B106,infoTable__12[],4,FALSE),"")</f>
        <v/>
      </c>
      <c r="M106" s="4" t="str">
        <f>IFERROR(VLOOKUP(B106,infoTable__13[],4,FALSE),"")</f>
        <v/>
      </c>
      <c r="N106" s="4">
        <f>IFERROR(VLOOKUP(B106,infoTable__14[],4,FALSE),"")</f>
        <v>288808</v>
      </c>
      <c r="O106" s="4" t="str">
        <f>IFERROR(VLOOKUP(B106,infoTable__15[],4,FALSE),"")</f>
        <v/>
      </c>
      <c r="P106" s="4" t="str">
        <f>IFERROR(VLOOKUP(B106,infoTable__16[],4,FALSE),"")</f>
        <v/>
      </c>
    </row>
    <row r="107" spans="1:16" x14ac:dyDescent="0.55000000000000004">
      <c r="A107" t="s">
        <v>969</v>
      </c>
      <c r="B107" t="s">
        <v>970</v>
      </c>
      <c r="C107" s="4" t="str">
        <f>IFERROR(VLOOKUP(B107,infoTable10[],4,FALSE),"")</f>
        <v/>
      </c>
      <c r="D107" s="4" t="str">
        <f>IFERROR(VLOOKUP(B107,infoTable__2[],4,FALSE),"")</f>
        <v/>
      </c>
      <c r="E107" s="4" t="str">
        <f>IFERROR(VLOOKUP(B107,infoTable__3[],4,FALSE),"")</f>
        <v/>
      </c>
      <c r="F107" s="4" t="str">
        <f>IFERROR(VLOOKUP(B107,infoTable__4[],4,FALSE),"")</f>
        <v/>
      </c>
      <c r="G107" s="4" t="str">
        <f>IFERROR(VLOOKUP(B107,infoTable[],4,FALSE),"")</f>
        <v/>
      </c>
      <c r="H107" s="4">
        <f>IFERROR(VLOOKUP(B107,infoTable__6[],4,FALSE),"")</f>
        <v>385968</v>
      </c>
      <c r="I107" s="4" t="str">
        <f>IFERROR(VLOOKUP(B107,infoTable__28[],4,FALSE),"")</f>
        <v/>
      </c>
      <c r="J107" s="4" t="str">
        <f>IFERROR(VLOOKUP(B107,infoTable__10[],4,FALSE),"")</f>
        <v/>
      </c>
      <c r="K107" s="4" t="str">
        <f>IFERROR(VLOOKUP(B107,infoTable__11[],4,FALSE),"")</f>
        <v/>
      </c>
      <c r="L107" s="4" t="str">
        <f>IFERROR(VLOOKUP(B107,infoTable__12[],4,FALSE),"")</f>
        <v/>
      </c>
      <c r="M107" s="4" t="str">
        <f>IFERROR(VLOOKUP(B107,infoTable__13[],4,FALSE),"")</f>
        <v/>
      </c>
      <c r="N107" s="4">
        <f>IFERROR(VLOOKUP(B107,infoTable__14[],4,FALSE),"")</f>
        <v>741919</v>
      </c>
      <c r="O107" s="4" t="str">
        <f>IFERROR(VLOOKUP(B107,infoTable__15[],4,FALSE),"")</f>
        <v/>
      </c>
      <c r="P107" s="4">
        <f>IFERROR(VLOOKUP(B107,infoTable__16[],4,FALSE),"")</f>
        <v>476194</v>
      </c>
    </row>
    <row r="108" spans="1:16" x14ac:dyDescent="0.55000000000000004">
      <c r="A108" t="s">
        <v>1847</v>
      </c>
      <c r="B108" t="s">
        <v>1848</v>
      </c>
      <c r="C108" s="4" t="str">
        <f>IFERROR(VLOOKUP(B108,infoTable10[],4,FALSE),"")</f>
        <v/>
      </c>
      <c r="D108" s="4" t="str">
        <f>IFERROR(VLOOKUP(B108,infoTable__2[],4,FALSE),"")</f>
        <v/>
      </c>
      <c r="E108" s="4" t="str">
        <f>IFERROR(VLOOKUP(B108,infoTable__3[],4,FALSE),"")</f>
        <v/>
      </c>
      <c r="F108" s="4" t="str">
        <f>IFERROR(VLOOKUP(B108,infoTable__4[],4,FALSE),"")</f>
        <v/>
      </c>
      <c r="G108" s="4" t="str">
        <f>IFERROR(VLOOKUP(B108,infoTable[],4,FALSE),"")</f>
        <v/>
      </c>
      <c r="H108" s="4" t="str">
        <f>IFERROR(VLOOKUP(B108,infoTable__6[],4,FALSE),"")</f>
        <v/>
      </c>
      <c r="I108" s="4" t="str">
        <f>IFERROR(VLOOKUP(B108,infoTable__28[],4,FALSE),"")</f>
        <v/>
      </c>
      <c r="J108" s="4" t="str">
        <f>IFERROR(VLOOKUP(B108,infoTable__10[],4,FALSE),"")</f>
        <v/>
      </c>
      <c r="K108" s="4">
        <f>IFERROR(VLOOKUP(B108,infoTable__11[],4,FALSE),"")</f>
        <v>1001190</v>
      </c>
      <c r="L108" s="4" t="str">
        <f>IFERROR(VLOOKUP(B108,infoTable__12[],4,FALSE),"")</f>
        <v/>
      </c>
      <c r="M108" s="4" t="str">
        <f>IFERROR(VLOOKUP(B108,infoTable__13[],4,FALSE),"")</f>
        <v/>
      </c>
      <c r="N108" s="4" t="str">
        <f>IFERROR(VLOOKUP(B108,infoTable__14[],4,FALSE),"")</f>
        <v/>
      </c>
      <c r="O108" s="4">
        <f>IFERROR(VLOOKUP(B108,infoTable__15[],4,FALSE),"")</f>
        <v>1445241</v>
      </c>
      <c r="P108" s="4">
        <f>IFERROR(VLOOKUP(B108,infoTable__16[],4,FALSE),"")</f>
        <v>769360</v>
      </c>
    </row>
    <row r="109" spans="1:16" x14ac:dyDescent="0.55000000000000004">
      <c r="A109" t="s">
        <v>3540</v>
      </c>
      <c r="B109" t="s">
        <v>3541</v>
      </c>
      <c r="C109" s="4" t="str">
        <f>IFERROR(VLOOKUP(B109,infoTable10[],4,FALSE),"")</f>
        <v/>
      </c>
      <c r="D109" s="4" t="str">
        <f>IFERROR(VLOOKUP(B109,infoTable__2[],4,FALSE),"")</f>
        <v/>
      </c>
      <c r="E109" s="4" t="str">
        <f>IFERROR(VLOOKUP(B109,infoTable__3[],4,FALSE),"")</f>
        <v/>
      </c>
      <c r="F109" s="4" t="str">
        <f>IFERROR(VLOOKUP(B109,infoTable__4[],4,FALSE),"")</f>
        <v/>
      </c>
      <c r="G109" s="4" t="str">
        <f>IFERROR(VLOOKUP(B109,infoTable[],4,FALSE),"")</f>
        <v/>
      </c>
      <c r="H109" s="4" t="str">
        <f>IFERROR(VLOOKUP(B109,infoTable__6[],4,FALSE),"")</f>
        <v/>
      </c>
      <c r="I109" s="4" t="str">
        <f>IFERROR(VLOOKUP(B109,infoTable__28[],4,FALSE),"")</f>
        <v/>
      </c>
      <c r="J109" s="4" t="str">
        <f>IFERROR(VLOOKUP(B109,infoTable__10[],4,FALSE),"")</f>
        <v/>
      </c>
      <c r="K109" s="4" t="str">
        <f>IFERROR(VLOOKUP(B109,infoTable__11[],4,FALSE),"")</f>
        <v/>
      </c>
      <c r="L109" s="4" t="str">
        <f>IFERROR(VLOOKUP(B109,infoTable__12[],4,FALSE),"")</f>
        <v/>
      </c>
      <c r="M109" s="4" t="str">
        <f>IFERROR(VLOOKUP(B109,infoTable__13[],4,FALSE),"")</f>
        <v/>
      </c>
      <c r="N109" s="4" t="str">
        <f>IFERROR(VLOOKUP(B109,infoTable__14[],4,FALSE),"")</f>
        <v/>
      </c>
      <c r="O109" s="4" t="str">
        <f>IFERROR(VLOOKUP(B109,infoTable__15[],4,FALSE),"")</f>
        <v/>
      </c>
      <c r="P109" s="4">
        <f>IFERROR(VLOOKUP(B109,infoTable__16[],4,FALSE),"")</f>
        <v>899748</v>
      </c>
    </row>
    <row r="110" spans="1:16" x14ac:dyDescent="0.55000000000000004">
      <c r="A110" t="s">
        <v>2141</v>
      </c>
      <c r="B110" t="s">
        <v>2142</v>
      </c>
      <c r="C110" s="4" t="str">
        <f>IFERROR(VLOOKUP(B110,infoTable10[],4,FALSE),"")</f>
        <v/>
      </c>
      <c r="D110" s="4" t="str">
        <f>IFERROR(VLOOKUP(B110,infoTable__2[],4,FALSE),"")</f>
        <v/>
      </c>
      <c r="E110" s="4" t="str">
        <f>IFERROR(VLOOKUP(B110,infoTable__3[],4,FALSE),"")</f>
        <v/>
      </c>
      <c r="F110" s="4" t="str">
        <f>IFERROR(VLOOKUP(B110,infoTable__4[],4,FALSE),"")</f>
        <v/>
      </c>
      <c r="G110" s="4" t="str">
        <f>IFERROR(VLOOKUP(B110,infoTable[],4,FALSE),"")</f>
        <v/>
      </c>
      <c r="H110" s="4" t="str">
        <f>IFERROR(VLOOKUP(B110,infoTable__6[],4,FALSE),"")</f>
        <v/>
      </c>
      <c r="I110" s="4" t="str">
        <f>IFERROR(VLOOKUP(B110,infoTable__28[],4,FALSE),"")</f>
        <v/>
      </c>
      <c r="J110" s="4" t="str">
        <f>IFERROR(VLOOKUP(B110,infoTable__10[],4,FALSE),"")</f>
        <v/>
      </c>
      <c r="K110" s="4" t="str">
        <f>IFERROR(VLOOKUP(B110,infoTable__11[],4,FALSE),"")</f>
        <v/>
      </c>
      <c r="L110" s="4">
        <f>IFERROR(VLOOKUP(B110,infoTable__12[],4,FALSE),"")</f>
        <v>222867</v>
      </c>
      <c r="M110" s="4" t="str">
        <f>IFERROR(VLOOKUP(B110,infoTable__13[],4,FALSE),"")</f>
        <v/>
      </c>
      <c r="N110" s="4" t="str">
        <f>IFERROR(VLOOKUP(B110,infoTable__14[],4,FALSE),"")</f>
        <v/>
      </c>
      <c r="O110" s="4" t="str">
        <f>IFERROR(VLOOKUP(B110,infoTable__15[],4,FALSE),"")</f>
        <v/>
      </c>
      <c r="P110" s="4" t="str">
        <f>IFERROR(VLOOKUP(B110,infoTable__16[],4,FALSE),"")</f>
        <v/>
      </c>
    </row>
    <row r="111" spans="1:16" x14ac:dyDescent="0.55000000000000004">
      <c r="A111" t="s">
        <v>1496</v>
      </c>
      <c r="B111" t="s">
        <v>1497</v>
      </c>
      <c r="C111" s="4">
        <f>IFERROR(VLOOKUP(B111,infoTable10[],4,FALSE),"")</f>
        <v>188627</v>
      </c>
      <c r="D111" s="4" t="str">
        <f>IFERROR(VLOOKUP(B111,infoTable__2[],4,FALSE),"")</f>
        <v/>
      </c>
      <c r="E111" s="4" t="str">
        <f>IFERROR(VLOOKUP(B111,infoTable__3[],4,FALSE),"")</f>
        <v/>
      </c>
      <c r="F111" s="4" t="str">
        <f>IFERROR(VLOOKUP(B111,infoTable__4[],4,FALSE),"")</f>
        <v/>
      </c>
      <c r="G111" s="4" t="str">
        <f>IFERROR(VLOOKUP(B111,infoTable[],4,FALSE),"")</f>
        <v/>
      </c>
      <c r="H111" s="4" t="str">
        <f>IFERROR(VLOOKUP(B111,infoTable__6[],4,FALSE),"")</f>
        <v/>
      </c>
      <c r="I111" s="4" t="str">
        <f>IFERROR(VLOOKUP(B111,infoTable__28[],4,FALSE),"")</f>
        <v/>
      </c>
      <c r="J111" s="4" t="str">
        <f>IFERROR(VLOOKUP(B111,infoTable__10[],4,FALSE),"")</f>
        <v/>
      </c>
      <c r="K111" s="4" t="str">
        <f>IFERROR(VLOOKUP(B111,infoTable__11[],4,FALSE),"")</f>
        <v/>
      </c>
      <c r="L111" s="4" t="str">
        <f>IFERROR(VLOOKUP(B111,infoTable__12[],4,FALSE),"")</f>
        <v/>
      </c>
      <c r="M111" s="4" t="str">
        <f>IFERROR(VLOOKUP(B111,infoTable__13[],4,FALSE),"")</f>
        <v/>
      </c>
      <c r="N111" s="4" t="str">
        <f>IFERROR(VLOOKUP(B111,infoTable__14[],4,FALSE),"")</f>
        <v/>
      </c>
      <c r="O111" s="4" t="str">
        <f>IFERROR(VLOOKUP(B111,infoTable__15[],4,FALSE),"")</f>
        <v/>
      </c>
      <c r="P111" s="4" t="str">
        <f>IFERROR(VLOOKUP(B111,infoTable__16[],4,FALSE),"")</f>
        <v/>
      </c>
    </row>
    <row r="112" spans="1:16" x14ac:dyDescent="0.55000000000000004">
      <c r="A112" t="s">
        <v>1220</v>
      </c>
      <c r="B112" t="s">
        <v>1221</v>
      </c>
      <c r="C112" s="4" t="str">
        <f>IFERROR(VLOOKUP(B112,infoTable10[],4,FALSE),"")</f>
        <v/>
      </c>
      <c r="D112" s="4" t="str">
        <f>IFERROR(VLOOKUP(B112,infoTable__2[],4,FALSE),"")</f>
        <v/>
      </c>
      <c r="E112" s="4" t="str">
        <f>IFERROR(VLOOKUP(B112,infoTable__3[],4,FALSE),"")</f>
        <v/>
      </c>
      <c r="F112" s="4" t="str">
        <f>IFERROR(VLOOKUP(B112,infoTable__4[],4,FALSE),"")</f>
        <v/>
      </c>
      <c r="G112" s="4" t="str">
        <f>IFERROR(VLOOKUP(B112,infoTable[],4,FALSE),"")</f>
        <v/>
      </c>
      <c r="H112" s="4" t="str">
        <f>IFERROR(VLOOKUP(B112,infoTable__6[],4,FALSE),"")</f>
        <v/>
      </c>
      <c r="I112" s="4">
        <f>IFERROR(VLOOKUP(B112,infoTable__28[],4,FALSE),"")</f>
        <v>386957</v>
      </c>
      <c r="J112" s="4" t="str">
        <f>IFERROR(VLOOKUP(B112,infoTable__10[],4,FALSE),"")</f>
        <v/>
      </c>
      <c r="K112" s="4" t="str">
        <f>IFERROR(VLOOKUP(B112,infoTable__11[],4,FALSE),"")</f>
        <v/>
      </c>
      <c r="L112" s="4" t="str">
        <f>IFERROR(VLOOKUP(B112,infoTable__12[],4,FALSE),"")</f>
        <v/>
      </c>
      <c r="M112" s="4" t="str">
        <f>IFERROR(VLOOKUP(B112,infoTable__13[],4,FALSE),"")</f>
        <v/>
      </c>
      <c r="N112" s="4" t="str">
        <f>IFERROR(VLOOKUP(B112,infoTable__14[],4,FALSE),"")</f>
        <v/>
      </c>
      <c r="O112" s="4" t="str">
        <f>IFERROR(VLOOKUP(B112,infoTable__15[],4,FALSE),"")</f>
        <v/>
      </c>
      <c r="P112" s="4" t="str">
        <f>IFERROR(VLOOKUP(B112,infoTable__16[],4,FALSE),"")</f>
        <v/>
      </c>
    </row>
    <row r="113" spans="1:16" x14ac:dyDescent="0.55000000000000004">
      <c r="A113" t="s">
        <v>1873</v>
      </c>
      <c r="B113" t="s">
        <v>1874</v>
      </c>
      <c r="C113" s="4" t="str">
        <f>IFERROR(VLOOKUP(B113,infoTable10[],4,FALSE),"")</f>
        <v/>
      </c>
      <c r="D113" s="4" t="str">
        <f>IFERROR(VLOOKUP(B113,infoTable__2[],4,FALSE),"")</f>
        <v/>
      </c>
      <c r="E113" s="4" t="str">
        <f>IFERROR(VLOOKUP(B113,infoTable__3[],4,FALSE),"")</f>
        <v/>
      </c>
      <c r="F113" s="4" t="str">
        <f>IFERROR(VLOOKUP(B113,infoTable__4[],4,FALSE),"")</f>
        <v/>
      </c>
      <c r="G113" s="4" t="str">
        <f>IFERROR(VLOOKUP(B113,infoTable[],4,FALSE),"")</f>
        <v/>
      </c>
      <c r="H113" s="4" t="str">
        <f>IFERROR(VLOOKUP(B113,infoTable__6[],4,FALSE),"")</f>
        <v/>
      </c>
      <c r="I113" s="4" t="str">
        <f>IFERROR(VLOOKUP(B113,infoTable__28[],4,FALSE),"")</f>
        <v/>
      </c>
      <c r="J113" s="4" t="str">
        <f>IFERROR(VLOOKUP(B113,infoTable__10[],4,FALSE),"")</f>
        <v/>
      </c>
      <c r="K113" s="4">
        <f>IFERROR(VLOOKUP(B113,infoTable__11[],4,FALSE),"")</f>
        <v>1419314</v>
      </c>
      <c r="L113" s="4">
        <f>IFERROR(VLOOKUP(B113,infoTable__12[],4,FALSE),"")</f>
        <v>922369</v>
      </c>
      <c r="M113" s="4" t="str">
        <f>IFERROR(VLOOKUP(B113,infoTable__13[],4,FALSE),"")</f>
        <v/>
      </c>
      <c r="N113" s="4">
        <f>IFERROR(VLOOKUP(B113,infoTable__14[],4,FALSE),"")</f>
        <v>3133660</v>
      </c>
      <c r="O113" s="4" t="str">
        <f>IFERROR(VLOOKUP(B113,infoTable__15[],4,FALSE),"")</f>
        <v/>
      </c>
      <c r="P113" s="4" t="str">
        <f>IFERROR(VLOOKUP(B113,infoTable__16[],4,FALSE),"")</f>
        <v/>
      </c>
    </row>
    <row r="114" spans="1:16" x14ac:dyDescent="0.55000000000000004">
      <c r="A114" t="s">
        <v>3028</v>
      </c>
      <c r="B114" t="s">
        <v>3029</v>
      </c>
      <c r="C114" s="4" t="str">
        <f>IFERROR(VLOOKUP(B114,infoTable10[],4,FALSE),"")</f>
        <v/>
      </c>
      <c r="D114" s="4" t="str">
        <f>IFERROR(VLOOKUP(B114,infoTable__2[],4,FALSE),"")</f>
        <v/>
      </c>
      <c r="E114" s="4" t="str">
        <f>IFERROR(VLOOKUP(B114,infoTable__3[],4,FALSE),"")</f>
        <v/>
      </c>
      <c r="F114" s="4" t="str">
        <f>IFERROR(VLOOKUP(B114,infoTable__4[],4,FALSE),"")</f>
        <v/>
      </c>
      <c r="G114" s="4" t="str">
        <f>IFERROR(VLOOKUP(B114,infoTable[],4,FALSE),"")</f>
        <v/>
      </c>
      <c r="H114" s="4" t="str">
        <f>IFERROR(VLOOKUP(B114,infoTable__6[],4,FALSE),"")</f>
        <v/>
      </c>
      <c r="I114" s="4" t="str">
        <f>IFERROR(VLOOKUP(B114,infoTable__28[],4,FALSE),"")</f>
        <v/>
      </c>
      <c r="J114" s="4" t="str">
        <f>IFERROR(VLOOKUP(B114,infoTable__10[],4,FALSE),"")</f>
        <v/>
      </c>
      <c r="K114" s="4" t="str">
        <f>IFERROR(VLOOKUP(B114,infoTable__11[],4,FALSE),"")</f>
        <v/>
      </c>
      <c r="L114" s="4" t="str">
        <f>IFERROR(VLOOKUP(B114,infoTable__12[],4,FALSE),"")</f>
        <v/>
      </c>
      <c r="M114" s="4" t="str">
        <f>IFERROR(VLOOKUP(B114,infoTable__13[],4,FALSE),"")</f>
        <v/>
      </c>
      <c r="N114" s="4" t="str">
        <f>IFERROR(VLOOKUP(B114,infoTable__14[],4,FALSE),"")</f>
        <v/>
      </c>
      <c r="O114" s="4">
        <f>IFERROR(VLOOKUP(B114,infoTable__15[],4,FALSE),"")</f>
        <v>273125</v>
      </c>
      <c r="P114" s="4">
        <f>IFERROR(VLOOKUP(B114,infoTable__16[],4,FALSE),"")</f>
        <v>285032</v>
      </c>
    </row>
    <row r="115" spans="1:16" x14ac:dyDescent="0.55000000000000004">
      <c r="A115" t="s">
        <v>738</v>
      </c>
      <c r="B115" t="s">
        <v>739</v>
      </c>
      <c r="C115" s="4" t="str">
        <f>IFERROR(VLOOKUP(B115,infoTable10[],4,FALSE),"")</f>
        <v/>
      </c>
      <c r="D115" s="4" t="str">
        <f>IFERROR(VLOOKUP(B115,infoTable__2[],4,FALSE),"")</f>
        <v/>
      </c>
      <c r="E115" s="4">
        <f>IFERROR(VLOOKUP(B115,infoTable__3[],4,FALSE),"")</f>
        <v>8634204</v>
      </c>
      <c r="F115" s="4" t="str">
        <f>IFERROR(VLOOKUP(B115,infoTable__4[],4,FALSE),"")</f>
        <v/>
      </c>
      <c r="G115" s="4" t="str">
        <f>IFERROR(VLOOKUP(B115,infoTable[],4,FALSE),"")</f>
        <v/>
      </c>
      <c r="H115" s="4" t="str">
        <f>IFERROR(VLOOKUP(B115,infoTable__6[],4,FALSE),"")</f>
        <v/>
      </c>
      <c r="I115" s="4" t="str">
        <f>IFERROR(VLOOKUP(B115,infoTable__28[],4,FALSE),"")</f>
        <v/>
      </c>
      <c r="J115" s="4" t="str">
        <f>IFERROR(VLOOKUP(B115,infoTable__10[],4,FALSE),"")</f>
        <v/>
      </c>
      <c r="K115" s="4" t="str">
        <f>IFERROR(VLOOKUP(B115,infoTable__11[],4,FALSE),"")</f>
        <v/>
      </c>
      <c r="L115" s="4" t="str">
        <f>IFERROR(VLOOKUP(B115,infoTable__12[],4,FALSE),"")</f>
        <v/>
      </c>
      <c r="M115" s="4" t="str">
        <f>IFERROR(VLOOKUP(B115,infoTable__13[],4,FALSE),"")</f>
        <v/>
      </c>
      <c r="N115" s="4">
        <f>IFERROR(VLOOKUP(B115,infoTable__14[],4,FALSE),"")</f>
        <v>307987</v>
      </c>
      <c r="O115" s="4" t="str">
        <f>IFERROR(VLOOKUP(B115,infoTable__15[],4,FALSE),"")</f>
        <v/>
      </c>
      <c r="P115" s="4">
        <f>IFERROR(VLOOKUP(B115,infoTable__16[],4,FALSE),"")</f>
        <v>1277413</v>
      </c>
    </row>
    <row r="116" spans="1:16" x14ac:dyDescent="0.55000000000000004">
      <c r="A116" t="s">
        <v>553</v>
      </c>
      <c r="B116" t="s">
        <v>554</v>
      </c>
      <c r="C116" s="4" t="str">
        <f>IFERROR(VLOOKUP(B116,infoTable10[],4,FALSE),"")</f>
        <v/>
      </c>
      <c r="D116" s="4">
        <f>IFERROR(VLOOKUP(B116,infoTable__2[],4,FALSE),"")</f>
        <v>2184194</v>
      </c>
      <c r="E116" s="4">
        <f>IFERROR(VLOOKUP(B116,infoTable__3[],4,FALSE),"")</f>
        <v>9175694</v>
      </c>
      <c r="F116" s="4" t="str">
        <f>IFERROR(VLOOKUP(B116,infoTable__4[],4,FALSE),"")</f>
        <v/>
      </c>
      <c r="G116" s="4" t="str">
        <f>IFERROR(VLOOKUP(B116,infoTable[],4,FALSE),"")</f>
        <v/>
      </c>
      <c r="H116" s="4" t="str">
        <f>IFERROR(VLOOKUP(B116,infoTable__6[],4,FALSE),"")</f>
        <v/>
      </c>
      <c r="I116" s="4" t="str">
        <f>IFERROR(VLOOKUP(B116,infoTable__28[],4,FALSE),"")</f>
        <v/>
      </c>
      <c r="J116" s="4" t="str">
        <f>IFERROR(VLOOKUP(B116,infoTable__10[],4,FALSE),"")</f>
        <v/>
      </c>
      <c r="K116" s="4" t="str">
        <f>IFERROR(VLOOKUP(B116,infoTable__11[],4,FALSE),"")</f>
        <v/>
      </c>
      <c r="L116" s="4" t="str">
        <f>IFERROR(VLOOKUP(B116,infoTable__12[],4,FALSE),"")</f>
        <v/>
      </c>
      <c r="M116" s="4" t="str">
        <f>IFERROR(VLOOKUP(B116,infoTable__13[],4,FALSE),"")</f>
        <v/>
      </c>
      <c r="N116" s="4" t="str">
        <f>IFERROR(VLOOKUP(B116,infoTable__14[],4,FALSE),"")</f>
        <v/>
      </c>
      <c r="O116" s="4" t="str">
        <f>IFERROR(VLOOKUP(B116,infoTable__15[],4,FALSE),"")</f>
        <v/>
      </c>
      <c r="P116" s="4" t="str">
        <f>IFERROR(VLOOKUP(B116,infoTable__16[],4,FALSE),"")</f>
        <v/>
      </c>
    </row>
    <row r="117" spans="1:16" x14ac:dyDescent="0.55000000000000004">
      <c r="A117" t="s">
        <v>2655</v>
      </c>
      <c r="B117" t="s">
        <v>2654</v>
      </c>
      <c r="C117" s="4" t="str">
        <f>IFERROR(VLOOKUP(B117,infoTable10[],4,FALSE),"")</f>
        <v/>
      </c>
      <c r="D117" s="4" t="str">
        <f>IFERROR(VLOOKUP(B117,infoTable__2[],4,FALSE),"")</f>
        <v/>
      </c>
      <c r="E117" s="4" t="str">
        <f>IFERROR(VLOOKUP(B117,infoTable__3[],4,FALSE),"")</f>
        <v/>
      </c>
      <c r="F117" s="4" t="str">
        <f>IFERROR(VLOOKUP(B117,infoTable__4[],4,FALSE),"")</f>
        <v/>
      </c>
      <c r="G117" s="4" t="str">
        <f>IFERROR(VLOOKUP(B117,infoTable[],4,FALSE),"")</f>
        <v/>
      </c>
      <c r="H117" s="4" t="str">
        <f>IFERROR(VLOOKUP(B117,infoTable__6[],4,FALSE),"")</f>
        <v/>
      </c>
      <c r="I117" s="4" t="str">
        <f>IFERROR(VLOOKUP(B117,infoTable__28[],4,FALSE),"")</f>
        <v/>
      </c>
      <c r="J117" s="4" t="str">
        <f>IFERROR(VLOOKUP(B117,infoTable__10[],4,FALSE),"")</f>
        <v/>
      </c>
      <c r="K117" s="4" t="str">
        <f>IFERROR(VLOOKUP(B117,infoTable__11[],4,FALSE),"")</f>
        <v/>
      </c>
      <c r="L117" s="4" t="str">
        <f>IFERROR(VLOOKUP(B117,infoTable__12[],4,FALSE),"")</f>
        <v/>
      </c>
      <c r="M117" s="4" t="str">
        <f>IFERROR(VLOOKUP(B117,infoTable__13[],4,FALSE),"")</f>
        <v/>
      </c>
      <c r="N117" s="4">
        <f>IFERROR(VLOOKUP(B117,infoTable__14[],4,FALSE),"")</f>
        <v>585568</v>
      </c>
      <c r="O117" s="4" t="str">
        <f>IFERROR(VLOOKUP(B117,infoTable__15[],4,FALSE),"")</f>
        <v/>
      </c>
      <c r="P117" s="4" t="str">
        <f>IFERROR(VLOOKUP(B117,infoTable__16[],4,FALSE),"")</f>
        <v/>
      </c>
    </row>
    <row r="118" spans="1:16" x14ac:dyDescent="0.55000000000000004">
      <c r="A118" t="s">
        <v>2127</v>
      </c>
      <c r="B118" t="s">
        <v>2128</v>
      </c>
      <c r="C118" s="4" t="str">
        <f>IFERROR(VLOOKUP(B118,infoTable10[],4,FALSE),"")</f>
        <v/>
      </c>
      <c r="D118" s="4" t="str">
        <f>IFERROR(VLOOKUP(B118,infoTable__2[],4,FALSE),"")</f>
        <v/>
      </c>
      <c r="E118" s="4" t="str">
        <f>IFERROR(VLOOKUP(B118,infoTable__3[],4,FALSE),"")</f>
        <v/>
      </c>
      <c r="F118" s="4" t="str">
        <f>IFERROR(VLOOKUP(B118,infoTable__4[],4,FALSE),"")</f>
        <v/>
      </c>
      <c r="G118" s="4" t="str">
        <f>IFERROR(VLOOKUP(B118,infoTable[],4,FALSE),"")</f>
        <v/>
      </c>
      <c r="H118" s="4" t="str">
        <f>IFERROR(VLOOKUP(B118,infoTable__6[],4,FALSE),"")</f>
        <v/>
      </c>
      <c r="I118" s="4" t="str">
        <f>IFERROR(VLOOKUP(B118,infoTable__28[],4,FALSE),"")</f>
        <v/>
      </c>
      <c r="J118" s="4" t="str">
        <f>IFERROR(VLOOKUP(B118,infoTable__10[],4,FALSE),"")</f>
        <v/>
      </c>
      <c r="K118" s="4" t="str">
        <f>IFERROR(VLOOKUP(B118,infoTable__11[],4,FALSE),"")</f>
        <v/>
      </c>
      <c r="L118" s="4">
        <f>IFERROR(VLOOKUP(B118,infoTable__12[],4,FALSE),"")</f>
        <v>1147791</v>
      </c>
      <c r="M118" s="4">
        <f>IFERROR(VLOOKUP(B118,infoTable__13[],4,FALSE),"")</f>
        <v>761747</v>
      </c>
      <c r="N118" s="4" t="str">
        <f>IFERROR(VLOOKUP(B118,infoTable__14[],4,FALSE),"")</f>
        <v/>
      </c>
      <c r="O118" s="4" t="str">
        <f>IFERROR(VLOOKUP(B118,infoTable__15[],4,FALSE),"")</f>
        <v/>
      </c>
      <c r="P118" s="4" t="str">
        <f>IFERROR(VLOOKUP(B118,infoTable__16[],4,FALSE),"")</f>
        <v/>
      </c>
    </row>
    <row r="119" spans="1:16" x14ac:dyDescent="0.55000000000000004">
      <c r="A119" t="s">
        <v>542</v>
      </c>
      <c r="B119" t="s">
        <v>543</v>
      </c>
      <c r="C119" s="4" t="str">
        <f>IFERROR(VLOOKUP(B119,infoTable10[],4,FALSE),"")</f>
        <v/>
      </c>
      <c r="D119" s="4">
        <f>IFERROR(VLOOKUP(B119,infoTable__2[],4,FALSE),"")</f>
        <v>246732</v>
      </c>
      <c r="E119" s="4" t="str">
        <f>IFERROR(VLOOKUP(B119,infoTable__3[],4,FALSE),"")</f>
        <v/>
      </c>
      <c r="F119" s="4" t="str">
        <f>IFERROR(VLOOKUP(B119,infoTable__4[],4,FALSE),"")</f>
        <v/>
      </c>
      <c r="G119" s="4" t="str">
        <f>IFERROR(VLOOKUP(B119,infoTable[],4,FALSE),"")</f>
        <v/>
      </c>
      <c r="H119" s="4" t="str">
        <f>IFERROR(VLOOKUP(B119,infoTable__6[],4,FALSE),"")</f>
        <v/>
      </c>
      <c r="I119" s="4">
        <f>IFERROR(VLOOKUP(B119,infoTable__28[],4,FALSE),"")</f>
        <v>639913</v>
      </c>
      <c r="J119" s="4">
        <f>IFERROR(VLOOKUP(B119,infoTable__10[],4,FALSE),"")</f>
        <v>1003800</v>
      </c>
      <c r="K119" s="4">
        <f>IFERROR(VLOOKUP(B119,infoTable__11[],4,FALSE),"")</f>
        <v>722134</v>
      </c>
      <c r="L119" s="4">
        <f>IFERROR(VLOOKUP(B119,infoTable__12[],4,FALSE),"")</f>
        <v>825232</v>
      </c>
      <c r="M119" s="4" t="str">
        <f>IFERROR(VLOOKUP(B119,infoTable__13[],4,FALSE),"")</f>
        <v/>
      </c>
      <c r="N119" s="4" t="str">
        <f>IFERROR(VLOOKUP(B119,infoTable__14[],4,FALSE),"")</f>
        <v/>
      </c>
      <c r="O119" s="4">
        <f>IFERROR(VLOOKUP(B119,infoTable__15[],4,FALSE),"")</f>
        <v>997216</v>
      </c>
      <c r="P119" s="4" t="str">
        <f>IFERROR(VLOOKUP(B119,infoTable__16[],4,FALSE),"")</f>
        <v/>
      </c>
    </row>
    <row r="120" spans="1:16" x14ac:dyDescent="0.55000000000000004">
      <c r="A120" t="s">
        <v>3277</v>
      </c>
      <c r="B120" t="s">
        <v>3278</v>
      </c>
      <c r="C120" s="4" t="str">
        <f>IFERROR(VLOOKUP(B120,infoTable10[],4,FALSE),"")</f>
        <v/>
      </c>
      <c r="D120" s="4" t="str">
        <f>IFERROR(VLOOKUP(B120,infoTable__2[],4,FALSE),"")</f>
        <v/>
      </c>
      <c r="E120" s="4" t="str">
        <f>IFERROR(VLOOKUP(B120,infoTable__3[],4,FALSE),"")</f>
        <v/>
      </c>
      <c r="F120" s="4" t="str">
        <f>IFERROR(VLOOKUP(B120,infoTable__4[],4,FALSE),"")</f>
        <v/>
      </c>
      <c r="G120" s="4" t="str">
        <f>IFERROR(VLOOKUP(B120,infoTable[],4,FALSE),"")</f>
        <v/>
      </c>
      <c r="H120" s="4" t="str">
        <f>IFERROR(VLOOKUP(B120,infoTable__6[],4,FALSE),"")</f>
        <v/>
      </c>
      <c r="I120" s="4" t="str">
        <f>IFERROR(VLOOKUP(B120,infoTable__28[],4,FALSE),"")</f>
        <v/>
      </c>
      <c r="J120" s="4" t="str">
        <f>IFERROR(VLOOKUP(B120,infoTable__10[],4,FALSE),"")</f>
        <v/>
      </c>
      <c r="K120" s="4" t="str">
        <f>IFERROR(VLOOKUP(B120,infoTable__11[],4,FALSE),"")</f>
        <v/>
      </c>
      <c r="L120" s="4" t="str">
        <f>IFERROR(VLOOKUP(B120,infoTable__12[],4,FALSE),"")</f>
        <v/>
      </c>
      <c r="M120" s="4" t="str">
        <f>IFERROR(VLOOKUP(B120,infoTable__13[],4,FALSE),"")</f>
        <v/>
      </c>
      <c r="N120" s="4" t="str">
        <f>IFERROR(VLOOKUP(B120,infoTable__14[],4,FALSE),"")</f>
        <v/>
      </c>
      <c r="O120" s="4" t="str">
        <f>IFERROR(VLOOKUP(B120,infoTable__15[],4,FALSE),"")</f>
        <v/>
      </c>
      <c r="P120" s="4">
        <f>IFERROR(VLOOKUP(B120,infoTable__16[],4,FALSE),"")</f>
        <v>1089435</v>
      </c>
    </row>
    <row r="121" spans="1:16" x14ac:dyDescent="0.55000000000000004">
      <c r="A121" t="s">
        <v>2657</v>
      </c>
      <c r="B121" t="s">
        <v>2656</v>
      </c>
      <c r="C121" s="4" t="str">
        <f>IFERROR(VLOOKUP(B121,infoTable10[],4,FALSE),"")</f>
        <v/>
      </c>
      <c r="D121" s="4" t="str">
        <f>IFERROR(VLOOKUP(B121,infoTable__2[],4,FALSE),"")</f>
        <v/>
      </c>
      <c r="E121" s="4" t="str">
        <f>IFERROR(VLOOKUP(B121,infoTable__3[],4,FALSE),"")</f>
        <v/>
      </c>
      <c r="F121" s="4" t="str">
        <f>IFERROR(VLOOKUP(B121,infoTable__4[],4,FALSE),"")</f>
        <v/>
      </c>
      <c r="G121" s="4" t="str">
        <f>IFERROR(VLOOKUP(B121,infoTable[],4,FALSE),"")</f>
        <v/>
      </c>
      <c r="H121" s="4" t="str">
        <f>IFERROR(VLOOKUP(B121,infoTable__6[],4,FALSE),"")</f>
        <v/>
      </c>
      <c r="I121" s="4" t="str">
        <f>IFERROR(VLOOKUP(B121,infoTable__28[],4,FALSE),"")</f>
        <v/>
      </c>
      <c r="J121" s="4" t="str">
        <f>IFERROR(VLOOKUP(B121,infoTable__10[],4,FALSE),"")</f>
        <v/>
      </c>
      <c r="K121" s="4" t="str">
        <f>IFERROR(VLOOKUP(B121,infoTable__11[],4,FALSE),"")</f>
        <v/>
      </c>
      <c r="L121" s="4" t="str">
        <f>IFERROR(VLOOKUP(B121,infoTable__12[],4,FALSE),"")</f>
        <v/>
      </c>
      <c r="M121" s="4" t="str">
        <f>IFERROR(VLOOKUP(B121,infoTable__13[],4,FALSE),"")</f>
        <v/>
      </c>
      <c r="N121" s="4">
        <f>IFERROR(VLOOKUP(B121,infoTable__14[],4,FALSE),"")</f>
        <v>130160</v>
      </c>
      <c r="O121" s="4" t="str">
        <f>IFERROR(VLOOKUP(B121,infoTable__15[],4,FALSE),"")</f>
        <v/>
      </c>
      <c r="P121" s="4" t="str">
        <f>IFERROR(VLOOKUP(B121,infoTable__16[],4,FALSE),"")</f>
        <v/>
      </c>
    </row>
    <row r="122" spans="1:16" x14ac:dyDescent="0.55000000000000004">
      <c r="A122" t="s">
        <v>2998</v>
      </c>
      <c r="B122" t="s">
        <v>2999</v>
      </c>
      <c r="C122" s="4" t="str">
        <f>IFERROR(VLOOKUP(B122,infoTable10[],4,FALSE),"")</f>
        <v/>
      </c>
      <c r="D122" s="4" t="str">
        <f>IFERROR(VLOOKUP(B122,infoTable__2[],4,FALSE),"")</f>
        <v/>
      </c>
      <c r="E122" s="4" t="str">
        <f>IFERROR(VLOOKUP(B122,infoTable__3[],4,FALSE),"")</f>
        <v/>
      </c>
      <c r="F122" s="4" t="str">
        <f>IFERROR(VLOOKUP(B122,infoTable__4[],4,FALSE),"")</f>
        <v/>
      </c>
      <c r="G122" s="4" t="str">
        <f>IFERROR(VLOOKUP(B122,infoTable[],4,FALSE),"")</f>
        <v/>
      </c>
      <c r="H122" s="4" t="str">
        <f>IFERROR(VLOOKUP(B122,infoTable__6[],4,FALSE),"")</f>
        <v/>
      </c>
      <c r="I122" s="4" t="str">
        <f>IFERROR(VLOOKUP(B122,infoTable__28[],4,FALSE),"")</f>
        <v/>
      </c>
      <c r="J122" s="4" t="str">
        <f>IFERROR(VLOOKUP(B122,infoTable__10[],4,FALSE),"")</f>
        <v/>
      </c>
      <c r="K122" s="4" t="str">
        <f>IFERROR(VLOOKUP(B122,infoTable__11[],4,FALSE),"")</f>
        <v/>
      </c>
      <c r="L122" s="4" t="str">
        <f>IFERROR(VLOOKUP(B122,infoTable__12[],4,FALSE),"")</f>
        <v/>
      </c>
      <c r="M122" s="4" t="str">
        <f>IFERROR(VLOOKUP(B122,infoTable__13[],4,FALSE),"")</f>
        <v/>
      </c>
      <c r="N122" s="4" t="str">
        <f>IFERROR(VLOOKUP(B122,infoTable__14[],4,FALSE),"")</f>
        <v/>
      </c>
      <c r="O122" s="4">
        <f>IFERROR(VLOOKUP(B122,infoTable__15[],4,FALSE),"")</f>
        <v>619706</v>
      </c>
      <c r="P122" s="4" t="str">
        <f>IFERROR(VLOOKUP(B122,infoTable__16[],4,FALSE),"")</f>
        <v/>
      </c>
    </row>
    <row r="123" spans="1:16" x14ac:dyDescent="0.55000000000000004">
      <c r="A123" t="s">
        <v>544</v>
      </c>
      <c r="B123" t="s">
        <v>546</v>
      </c>
      <c r="C123" s="4" t="str">
        <f>IFERROR(VLOOKUP(B123,infoTable10[],4,FALSE),"")</f>
        <v/>
      </c>
      <c r="D123" s="4">
        <f>IFERROR(VLOOKUP(B123,infoTable__2[],4,FALSE),"")</f>
        <v>371763</v>
      </c>
      <c r="E123" s="4" t="str">
        <f>IFERROR(VLOOKUP(B123,infoTable__3[],4,FALSE),"")</f>
        <v/>
      </c>
      <c r="F123" s="4" t="str">
        <f>IFERROR(VLOOKUP(B123,infoTable__4[],4,FALSE),"")</f>
        <v/>
      </c>
      <c r="G123" s="4" t="str">
        <f>IFERROR(VLOOKUP(B123,infoTable[],4,FALSE),"")</f>
        <v/>
      </c>
      <c r="H123" s="4" t="str">
        <f>IFERROR(VLOOKUP(B123,infoTable__6[],4,FALSE),"")</f>
        <v/>
      </c>
      <c r="I123" s="4" t="str">
        <f>IFERROR(VLOOKUP(B123,infoTable__28[],4,FALSE),"")</f>
        <v/>
      </c>
      <c r="J123" s="4" t="str">
        <f>IFERROR(VLOOKUP(B123,infoTable__10[],4,FALSE),"")</f>
        <v/>
      </c>
      <c r="K123" s="4" t="str">
        <f>IFERROR(VLOOKUP(B123,infoTable__11[],4,FALSE),"")</f>
        <v/>
      </c>
      <c r="L123" s="4" t="str">
        <f>IFERROR(VLOOKUP(B123,infoTable__12[],4,FALSE),"")</f>
        <v/>
      </c>
      <c r="M123" s="4" t="str">
        <f>IFERROR(VLOOKUP(B123,infoTable__13[],4,FALSE),"")</f>
        <v/>
      </c>
      <c r="N123" s="4" t="str">
        <f>IFERROR(VLOOKUP(B123,infoTable__14[],4,FALSE),"")</f>
        <v/>
      </c>
      <c r="O123" s="4" t="str">
        <f>IFERROR(VLOOKUP(B123,infoTable__15[],4,FALSE),"")</f>
        <v/>
      </c>
      <c r="P123" s="4" t="str">
        <f>IFERROR(VLOOKUP(B123,infoTable__16[],4,FALSE),"")</f>
        <v/>
      </c>
    </row>
    <row r="124" spans="1:16" x14ac:dyDescent="0.55000000000000004">
      <c r="A124" t="s">
        <v>2131</v>
      </c>
      <c r="B124" t="s">
        <v>2132</v>
      </c>
      <c r="C124" s="4" t="str">
        <f>IFERROR(VLOOKUP(B124,infoTable10[],4,FALSE),"")</f>
        <v/>
      </c>
      <c r="D124" s="4" t="str">
        <f>IFERROR(VLOOKUP(B124,infoTable__2[],4,FALSE),"")</f>
        <v/>
      </c>
      <c r="E124" s="4" t="str">
        <f>IFERROR(VLOOKUP(B124,infoTable__3[],4,FALSE),"")</f>
        <v/>
      </c>
      <c r="F124" s="4" t="str">
        <f>IFERROR(VLOOKUP(B124,infoTable__4[],4,FALSE),"")</f>
        <v/>
      </c>
      <c r="G124" s="4" t="str">
        <f>IFERROR(VLOOKUP(B124,infoTable[],4,FALSE),"")</f>
        <v/>
      </c>
      <c r="H124" s="4" t="str">
        <f>IFERROR(VLOOKUP(B124,infoTable__6[],4,FALSE),"")</f>
        <v/>
      </c>
      <c r="I124" s="4" t="str">
        <f>IFERROR(VLOOKUP(B124,infoTable__28[],4,FALSE),"")</f>
        <v/>
      </c>
      <c r="J124" s="4" t="str">
        <f>IFERROR(VLOOKUP(B124,infoTable__10[],4,FALSE),"")</f>
        <v/>
      </c>
      <c r="K124" s="4" t="str">
        <f>IFERROR(VLOOKUP(B124,infoTable__11[],4,FALSE),"")</f>
        <v/>
      </c>
      <c r="L124" s="4">
        <f>IFERROR(VLOOKUP(B124,infoTable__12[],4,FALSE),"")</f>
        <v>510472</v>
      </c>
      <c r="M124" s="4" t="str">
        <f>IFERROR(VLOOKUP(B124,infoTable__13[],4,FALSE),"")</f>
        <v/>
      </c>
      <c r="N124" s="4" t="str">
        <f>IFERROR(VLOOKUP(B124,infoTable__14[],4,FALSE),"")</f>
        <v/>
      </c>
      <c r="O124" s="4" t="str">
        <f>IFERROR(VLOOKUP(B124,infoTable__15[],4,FALSE),"")</f>
        <v/>
      </c>
      <c r="P124" s="4" t="str">
        <f>IFERROR(VLOOKUP(B124,infoTable__16[],4,FALSE),"")</f>
        <v/>
      </c>
    </row>
    <row r="125" spans="1:16" x14ac:dyDescent="0.55000000000000004">
      <c r="A125" t="s">
        <v>825</v>
      </c>
      <c r="B125" t="s">
        <v>826</v>
      </c>
      <c r="C125" s="4" t="str">
        <f>IFERROR(VLOOKUP(B125,infoTable10[],4,FALSE),"")</f>
        <v/>
      </c>
      <c r="D125" s="4" t="str">
        <f>IFERROR(VLOOKUP(B125,infoTable__2[],4,FALSE),"")</f>
        <v/>
      </c>
      <c r="E125" s="4" t="str">
        <f>IFERROR(VLOOKUP(B125,infoTable__3[],4,FALSE),"")</f>
        <v/>
      </c>
      <c r="F125" s="4">
        <f>IFERROR(VLOOKUP(B125,infoTable__4[],4,FALSE),"")</f>
        <v>574691</v>
      </c>
      <c r="G125" s="4" t="str">
        <f>IFERROR(VLOOKUP(B125,infoTable[],4,FALSE),"")</f>
        <v/>
      </c>
      <c r="H125" s="4" t="str">
        <f>IFERROR(VLOOKUP(B125,infoTable__6[],4,FALSE),"")</f>
        <v/>
      </c>
      <c r="I125" s="4" t="str">
        <f>IFERROR(VLOOKUP(B125,infoTable__28[],4,FALSE),"")</f>
        <v/>
      </c>
      <c r="J125" s="4">
        <f>IFERROR(VLOOKUP(B125,infoTable__10[],4,FALSE),"")</f>
        <v>1096407</v>
      </c>
      <c r="K125" s="4">
        <f>IFERROR(VLOOKUP(B125,infoTable__11[],4,FALSE),"")</f>
        <v>1595433</v>
      </c>
      <c r="L125" s="4">
        <f>IFERROR(VLOOKUP(B125,infoTable__12[],4,FALSE),"")</f>
        <v>2487374</v>
      </c>
      <c r="M125" s="4">
        <f>IFERROR(VLOOKUP(B125,infoTable__13[],4,FALSE),"")</f>
        <v>1268560</v>
      </c>
      <c r="N125" s="4">
        <f>IFERROR(VLOOKUP(B125,infoTable__14[],4,FALSE),"")</f>
        <v>1624695</v>
      </c>
      <c r="O125" s="4">
        <f>IFERROR(VLOOKUP(B125,infoTable__15[],4,FALSE),"")</f>
        <v>7408808</v>
      </c>
      <c r="P125" s="4">
        <f>IFERROR(VLOOKUP(B125,infoTable__16[],4,FALSE),"")</f>
        <v>2500908</v>
      </c>
    </row>
    <row r="126" spans="1:16" x14ac:dyDescent="0.55000000000000004">
      <c r="A126" t="s">
        <v>971</v>
      </c>
      <c r="B126" t="s">
        <v>972</v>
      </c>
      <c r="C126" s="4" t="str">
        <f>IFERROR(VLOOKUP(B126,infoTable10[],4,FALSE),"")</f>
        <v/>
      </c>
      <c r="D126" s="4" t="str">
        <f>IFERROR(VLOOKUP(B126,infoTable__2[],4,FALSE),"")</f>
        <v/>
      </c>
      <c r="E126" s="4" t="str">
        <f>IFERROR(VLOOKUP(B126,infoTable__3[],4,FALSE),"")</f>
        <v/>
      </c>
      <c r="F126" s="4" t="str">
        <f>IFERROR(VLOOKUP(B126,infoTable__4[],4,FALSE),"")</f>
        <v/>
      </c>
      <c r="G126" s="4" t="str">
        <f>IFERROR(VLOOKUP(B126,infoTable[],4,FALSE),"")</f>
        <v/>
      </c>
      <c r="H126" s="4">
        <f>IFERROR(VLOOKUP(B126,infoTable__6[],4,FALSE),"")</f>
        <v>335655</v>
      </c>
      <c r="I126" s="4" t="str">
        <f>IFERROR(VLOOKUP(B126,infoTable__28[],4,FALSE),"")</f>
        <v/>
      </c>
      <c r="J126" s="4" t="str">
        <f>IFERROR(VLOOKUP(B126,infoTable__10[],4,FALSE),"")</f>
        <v/>
      </c>
      <c r="K126" s="4">
        <f>IFERROR(VLOOKUP(B126,infoTable__11[],4,FALSE),"")</f>
        <v>584493</v>
      </c>
      <c r="L126" s="4">
        <f>IFERROR(VLOOKUP(B126,infoTable__12[],4,FALSE),"")</f>
        <v>1173942</v>
      </c>
      <c r="M126" s="4">
        <f>IFERROR(VLOOKUP(B126,infoTable__13[],4,FALSE),"")</f>
        <v>1196811</v>
      </c>
      <c r="N126" s="4">
        <f>IFERROR(VLOOKUP(B126,infoTable__14[],4,FALSE),"")</f>
        <v>2466161</v>
      </c>
      <c r="O126" s="4">
        <f>IFERROR(VLOOKUP(B126,infoTable__15[],4,FALSE),"")</f>
        <v>1411545</v>
      </c>
      <c r="P126" s="4">
        <f>IFERROR(VLOOKUP(B126,infoTable__16[],4,FALSE),"")</f>
        <v>1235598</v>
      </c>
    </row>
    <row r="127" spans="1:16" x14ac:dyDescent="0.55000000000000004">
      <c r="A127" t="s">
        <v>3280</v>
      </c>
      <c r="B127" t="s">
        <v>3281</v>
      </c>
      <c r="C127" s="4" t="str">
        <f>IFERROR(VLOOKUP(B127,infoTable10[],4,FALSE),"")</f>
        <v/>
      </c>
      <c r="D127" s="4" t="str">
        <f>IFERROR(VLOOKUP(B127,infoTable__2[],4,FALSE),"")</f>
        <v/>
      </c>
      <c r="E127" s="4" t="str">
        <f>IFERROR(VLOOKUP(B127,infoTable__3[],4,FALSE),"")</f>
        <v/>
      </c>
      <c r="F127" s="4" t="str">
        <f>IFERROR(VLOOKUP(B127,infoTable__4[],4,FALSE),"")</f>
        <v/>
      </c>
      <c r="G127" s="4" t="str">
        <f>IFERROR(VLOOKUP(B127,infoTable[],4,FALSE),"")</f>
        <v/>
      </c>
      <c r="H127" s="4" t="str">
        <f>IFERROR(VLOOKUP(B127,infoTable__6[],4,FALSE),"")</f>
        <v/>
      </c>
      <c r="I127" s="4" t="str">
        <f>IFERROR(VLOOKUP(B127,infoTable__28[],4,FALSE),"")</f>
        <v/>
      </c>
      <c r="J127" s="4" t="str">
        <f>IFERROR(VLOOKUP(B127,infoTable__10[],4,FALSE),"")</f>
        <v/>
      </c>
      <c r="K127" s="4" t="str">
        <f>IFERROR(VLOOKUP(B127,infoTable__11[],4,FALSE),"")</f>
        <v/>
      </c>
      <c r="L127" s="4" t="str">
        <f>IFERROR(VLOOKUP(B127,infoTable__12[],4,FALSE),"")</f>
        <v/>
      </c>
      <c r="M127" s="4" t="str">
        <f>IFERROR(VLOOKUP(B127,infoTable__13[],4,FALSE),"")</f>
        <v/>
      </c>
      <c r="N127" s="4" t="str">
        <f>IFERROR(VLOOKUP(B127,infoTable__14[],4,FALSE),"")</f>
        <v/>
      </c>
      <c r="O127" s="4" t="str">
        <f>IFERROR(VLOOKUP(B127,infoTable__15[],4,FALSE),"")</f>
        <v/>
      </c>
      <c r="P127" s="4">
        <f>IFERROR(VLOOKUP(B127,infoTable__16[],4,FALSE),"")</f>
        <v>836344</v>
      </c>
    </row>
    <row r="128" spans="1:16" x14ac:dyDescent="0.55000000000000004">
      <c r="A128" t="s">
        <v>2133</v>
      </c>
      <c r="B128" t="s">
        <v>2134</v>
      </c>
      <c r="C128" s="4" t="str">
        <f>IFERROR(VLOOKUP(B128,infoTable10[],4,FALSE),"")</f>
        <v/>
      </c>
      <c r="D128" s="4" t="str">
        <f>IFERROR(VLOOKUP(B128,infoTable__2[],4,FALSE),"")</f>
        <v/>
      </c>
      <c r="E128" s="4" t="str">
        <f>IFERROR(VLOOKUP(B128,infoTable__3[],4,FALSE),"")</f>
        <v/>
      </c>
      <c r="F128" s="4" t="str">
        <f>IFERROR(VLOOKUP(B128,infoTable__4[],4,FALSE),"")</f>
        <v/>
      </c>
      <c r="G128" s="4" t="str">
        <f>IFERROR(VLOOKUP(B128,infoTable[],4,FALSE),"")</f>
        <v/>
      </c>
      <c r="H128" s="4" t="str">
        <f>IFERROR(VLOOKUP(B128,infoTable__6[],4,FALSE),"")</f>
        <v/>
      </c>
      <c r="I128" s="4" t="str">
        <f>IFERROR(VLOOKUP(B128,infoTable__28[],4,FALSE),"")</f>
        <v/>
      </c>
      <c r="J128" s="4" t="str">
        <f>IFERROR(VLOOKUP(B128,infoTable__10[],4,FALSE),"")</f>
        <v/>
      </c>
      <c r="K128" s="4" t="str">
        <f>IFERROR(VLOOKUP(B128,infoTable__11[],4,FALSE),"")</f>
        <v/>
      </c>
      <c r="L128" s="4">
        <f>IFERROR(VLOOKUP(B128,infoTable__12[],4,FALSE),"")</f>
        <v>416338</v>
      </c>
      <c r="M128" s="4" t="str">
        <f>IFERROR(VLOOKUP(B128,infoTable__13[],4,FALSE),"")</f>
        <v/>
      </c>
      <c r="N128" s="4" t="str">
        <f>IFERROR(VLOOKUP(B128,infoTable__14[],4,FALSE),"")</f>
        <v/>
      </c>
      <c r="O128" s="4" t="str">
        <f>IFERROR(VLOOKUP(B128,infoTable__15[],4,FALSE),"")</f>
        <v/>
      </c>
      <c r="P128" s="4" t="str">
        <f>IFERROR(VLOOKUP(B128,infoTable__16[],4,FALSE),"")</f>
        <v/>
      </c>
    </row>
    <row r="129" spans="1:16" x14ac:dyDescent="0.55000000000000004">
      <c r="A129" t="s">
        <v>1490</v>
      </c>
      <c r="B129" t="s">
        <v>1491</v>
      </c>
      <c r="C129" s="4">
        <f>IFERROR(VLOOKUP(B129,infoTable10[],4,FALSE),"")</f>
        <v>371199</v>
      </c>
      <c r="D129" s="4" t="str">
        <f>IFERROR(VLOOKUP(B129,infoTable__2[],4,FALSE),"")</f>
        <v/>
      </c>
      <c r="E129" s="4" t="str">
        <f>IFERROR(VLOOKUP(B129,infoTable__3[],4,FALSE),"")</f>
        <v/>
      </c>
      <c r="F129" s="4" t="str">
        <f>IFERROR(VLOOKUP(B129,infoTable__4[],4,FALSE),"")</f>
        <v/>
      </c>
      <c r="G129" s="4" t="str">
        <f>IFERROR(VLOOKUP(B129,infoTable[],4,FALSE),"")</f>
        <v/>
      </c>
      <c r="H129" s="4" t="str">
        <f>IFERROR(VLOOKUP(B129,infoTable__6[],4,FALSE),"")</f>
        <v/>
      </c>
      <c r="I129" s="4" t="str">
        <f>IFERROR(VLOOKUP(B129,infoTable__28[],4,FALSE),"")</f>
        <v/>
      </c>
      <c r="J129" s="4" t="str">
        <f>IFERROR(VLOOKUP(B129,infoTable__10[],4,FALSE),"")</f>
        <v/>
      </c>
      <c r="K129" s="4" t="str">
        <f>IFERROR(VLOOKUP(B129,infoTable__11[],4,FALSE),"")</f>
        <v/>
      </c>
      <c r="L129" s="4" t="str">
        <f>IFERROR(VLOOKUP(B129,infoTable__12[],4,FALSE),"")</f>
        <v/>
      </c>
      <c r="M129" s="4" t="str">
        <f>IFERROR(VLOOKUP(B129,infoTable__13[],4,FALSE),"")</f>
        <v/>
      </c>
      <c r="N129" s="4" t="str">
        <f>IFERROR(VLOOKUP(B129,infoTable__14[],4,FALSE),"")</f>
        <v/>
      </c>
      <c r="O129" s="4" t="str">
        <f>IFERROR(VLOOKUP(B129,infoTable__15[],4,FALSE),"")</f>
        <v/>
      </c>
      <c r="P129" s="4" t="str">
        <f>IFERROR(VLOOKUP(B129,infoTable__16[],4,FALSE),"")</f>
        <v/>
      </c>
    </row>
    <row r="130" spans="1:16" x14ac:dyDescent="0.55000000000000004">
      <c r="A130" t="s">
        <v>1492</v>
      </c>
      <c r="B130" t="s">
        <v>1493</v>
      </c>
      <c r="C130" s="4">
        <f>IFERROR(VLOOKUP(B130,infoTable10[],4,FALSE),"")</f>
        <v>4642228</v>
      </c>
      <c r="D130" s="4" t="str">
        <f>IFERROR(VLOOKUP(B130,infoTable__2[],4,FALSE),"")</f>
        <v/>
      </c>
      <c r="E130" s="4" t="str">
        <f>IFERROR(VLOOKUP(B130,infoTable__3[],4,FALSE),"")</f>
        <v/>
      </c>
      <c r="F130" s="4" t="str">
        <f>IFERROR(VLOOKUP(B130,infoTable__4[],4,FALSE),"")</f>
        <v/>
      </c>
      <c r="G130" s="4" t="str">
        <f>IFERROR(VLOOKUP(B130,infoTable[],4,FALSE),"")</f>
        <v/>
      </c>
      <c r="H130" s="4" t="str">
        <f>IFERROR(VLOOKUP(B130,infoTable__6[],4,FALSE),"")</f>
        <v/>
      </c>
      <c r="I130" s="4" t="str">
        <f>IFERROR(VLOOKUP(B130,infoTable__28[],4,FALSE),"")</f>
        <v/>
      </c>
      <c r="J130" s="4" t="str">
        <f>IFERROR(VLOOKUP(B130,infoTable__10[],4,FALSE),"")</f>
        <v/>
      </c>
      <c r="K130" s="4" t="str">
        <f>IFERROR(VLOOKUP(B130,infoTable__11[],4,FALSE),"")</f>
        <v/>
      </c>
      <c r="L130" s="4" t="str">
        <f>IFERROR(VLOOKUP(B130,infoTable__12[],4,FALSE),"")</f>
        <v/>
      </c>
      <c r="M130" s="4" t="str">
        <f>IFERROR(VLOOKUP(B130,infoTable__13[],4,FALSE),"")</f>
        <v/>
      </c>
      <c r="N130" s="4" t="str">
        <f>IFERROR(VLOOKUP(B130,infoTable__14[],4,FALSE),"")</f>
        <v/>
      </c>
      <c r="O130" s="4" t="str">
        <f>IFERROR(VLOOKUP(B130,infoTable__15[],4,FALSE),"")</f>
        <v/>
      </c>
      <c r="P130" s="4" t="str">
        <f>IFERROR(VLOOKUP(B130,infoTable__16[],4,FALSE),"")</f>
        <v/>
      </c>
    </row>
    <row r="131" spans="1:16" x14ac:dyDescent="0.55000000000000004">
      <c r="A131" t="s">
        <v>973</v>
      </c>
      <c r="B131" t="s">
        <v>974</v>
      </c>
      <c r="C131" s="4" t="str">
        <f>IFERROR(VLOOKUP(B131,infoTable10[],4,FALSE),"")</f>
        <v/>
      </c>
      <c r="D131" s="4" t="str">
        <f>IFERROR(VLOOKUP(B131,infoTable__2[],4,FALSE),"")</f>
        <v/>
      </c>
      <c r="E131" s="4" t="str">
        <f>IFERROR(VLOOKUP(B131,infoTable__3[],4,FALSE),"")</f>
        <v/>
      </c>
      <c r="F131" s="4" t="str">
        <f>IFERROR(VLOOKUP(B131,infoTable__4[],4,FALSE),"")</f>
        <v/>
      </c>
      <c r="G131" s="4" t="str">
        <f>IFERROR(VLOOKUP(B131,infoTable[],4,FALSE),"")</f>
        <v/>
      </c>
      <c r="H131" s="4">
        <f>IFERROR(VLOOKUP(B131,infoTable__6[],4,FALSE),"")</f>
        <v>250392</v>
      </c>
      <c r="I131" s="4" t="str">
        <f>IFERROR(VLOOKUP(B131,infoTable__28[],4,FALSE),"")</f>
        <v/>
      </c>
      <c r="J131" s="4" t="str">
        <f>IFERROR(VLOOKUP(B131,infoTable__10[],4,FALSE),"")</f>
        <v/>
      </c>
      <c r="K131" s="4">
        <f>IFERROR(VLOOKUP(B131,infoTable__11[],4,FALSE),"")</f>
        <v>261876</v>
      </c>
      <c r="L131" s="4">
        <f>IFERROR(VLOOKUP(B131,infoTable__12[],4,FALSE),"")</f>
        <v>327561</v>
      </c>
      <c r="M131" s="4" t="str">
        <f>IFERROR(VLOOKUP(B131,infoTable__13[],4,FALSE),"")</f>
        <v/>
      </c>
      <c r="N131" s="4">
        <f>IFERROR(VLOOKUP(B131,infoTable__14[],4,FALSE),"")</f>
        <v>1852374</v>
      </c>
      <c r="O131" s="4">
        <f>IFERROR(VLOOKUP(B131,infoTable__15[],4,FALSE),"")</f>
        <v>2453966</v>
      </c>
      <c r="P131" s="4">
        <f>IFERROR(VLOOKUP(B131,infoTable__16[],4,FALSE),"")</f>
        <v>727625</v>
      </c>
    </row>
    <row r="132" spans="1:16" x14ac:dyDescent="0.55000000000000004">
      <c r="A132" t="s">
        <v>94</v>
      </c>
      <c r="B132" t="s">
        <v>95</v>
      </c>
      <c r="C132" s="4" t="str">
        <f>IFERROR(VLOOKUP(B132,infoTable10[],4,FALSE),"")</f>
        <v/>
      </c>
      <c r="D132" s="4" t="str">
        <f>IFERROR(VLOOKUP(B132,infoTable__2[],4,FALSE),"")</f>
        <v/>
      </c>
      <c r="E132" s="4" t="str">
        <f>IFERROR(VLOOKUP(B132,infoTable__3[],4,FALSE),"")</f>
        <v/>
      </c>
      <c r="F132" s="4" t="str">
        <f>IFERROR(VLOOKUP(B132,infoTable__4[],4,FALSE),"")</f>
        <v/>
      </c>
      <c r="G132" s="4">
        <f>IFERROR(VLOOKUP(B132,infoTable[],4,FALSE),"")</f>
        <v>983577</v>
      </c>
      <c r="H132" s="4">
        <f>IFERROR(VLOOKUP(B132,infoTable__6[],4,FALSE),"")</f>
        <v>334938</v>
      </c>
      <c r="I132" s="4">
        <f>IFERROR(VLOOKUP(B132,infoTable__28[],4,FALSE),"")</f>
        <v>853091</v>
      </c>
      <c r="J132" s="4">
        <f>IFERROR(VLOOKUP(B132,infoTable__10[],4,FALSE),"")</f>
        <v>695646</v>
      </c>
      <c r="K132" s="4">
        <f>IFERROR(VLOOKUP(B132,infoTable__11[],4,FALSE),"")</f>
        <v>499472</v>
      </c>
      <c r="L132" s="4">
        <f>IFERROR(VLOOKUP(B132,infoTable__12[],4,FALSE),"")</f>
        <v>696839</v>
      </c>
      <c r="M132" s="4">
        <f>IFERROR(VLOOKUP(B132,infoTable__13[],4,FALSE),"")</f>
        <v>353189</v>
      </c>
      <c r="N132" s="4">
        <f>IFERROR(VLOOKUP(B132,infoTable__14[],4,FALSE),"")</f>
        <v>2073084</v>
      </c>
      <c r="O132" s="4">
        <f>IFERROR(VLOOKUP(B132,infoTable__15[],4,FALSE),"")</f>
        <v>1451821</v>
      </c>
      <c r="P132" s="4">
        <f>IFERROR(VLOOKUP(B132,infoTable__16[],4,FALSE),"")</f>
        <v>1394926</v>
      </c>
    </row>
    <row r="133" spans="1:16" x14ac:dyDescent="0.55000000000000004">
      <c r="A133" t="s">
        <v>96</v>
      </c>
      <c r="B133" t="s">
        <v>98</v>
      </c>
      <c r="C133" s="4" t="str">
        <f>IFERROR(VLOOKUP(B133,infoTable10[],4,FALSE),"")</f>
        <v/>
      </c>
      <c r="D133" s="4" t="str">
        <f>IFERROR(VLOOKUP(B133,infoTable__2[],4,FALSE),"")</f>
        <v/>
      </c>
      <c r="E133" s="4">
        <f>IFERROR(VLOOKUP(B133,infoTable__3[],4,FALSE),"")</f>
        <v>487998</v>
      </c>
      <c r="F133" s="4">
        <f>IFERROR(VLOOKUP(B133,infoTable__4[],4,FALSE),"")</f>
        <v>1018587</v>
      </c>
      <c r="G133" s="4">
        <f>IFERROR(VLOOKUP(B133,infoTable[],4,FALSE),"")</f>
        <v>1945625</v>
      </c>
      <c r="H133" s="4">
        <f>IFERROR(VLOOKUP(B133,infoTable__6[],4,FALSE),"")</f>
        <v>629646</v>
      </c>
      <c r="I133" s="4" t="str">
        <f>IFERROR(VLOOKUP(B133,infoTable__28[],4,FALSE),"")</f>
        <v/>
      </c>
      <c r="J133" s="4" t="str">
        <f>IFERROR(VLOOKUP(B133,infoTable__10[],4,FALSE),"")</f>
        <v/>
      </c>
      <c r="K133" s="4">
        <f>IFERROR(VLOOKUP(B133,infoTable__11[],4,FALSE),"")</f>
        <v>781715</v>
      </c>
      <c r="L133" s="4">
        <f>IFERROR(VLOOKUP(B133,infoTable__12[],4,FALSE),"")</f>
        <v>471220</v>
      </c>
      <c r="M133" s="4">
        <f>IFERROR(VLOOKUP(B133,infoTable__13[],4,FALSE),"")</f>
        <v>945282</v>
      </c>
      <c r="N133" s="4">
        <f>IFERROR(VLOOKUP(B133,infoTable__14[],4,FALSE),"")</f>
        <v>1669119</v>
      </c>
      <c r="O133" s="4">
        <f>IFERROR(VLOOKUP(B133,infoTable__15[],4,FALSE),"")</f>
        <v>3356590</v>
      </c>
      <c r="P133" s="4">
        <f>IFERROR(VLOOKUP(B133,infoTable__16[],4,FALSE),"")</f>
        <v>1071096</v>
      </c>
    </row>
    <row r="134" spans="1:16" x14ac:dyDescent="0.55000000000000004">
      <c r="A134" t="s">
        <v>1197</v>
      </c>
      <c r="B134" t="s">
        <v>1198</v>
      </c>
      <c r="C134" s="4" t="str">
        <f>IFERROR(VLOOKUP(B134,infoTable10[],4,FALSE),"")</f>
        <v/>
      </c>
      <c r="D134" s="4" t="str">
        <f>IFERROR(VLOOKUP(B134,infoTable__2[],4,FALSE),"")</f>
        <v/>
      </c>
      <c r="E134" s="4" t="str">
        <f>IFERROR(VLOOKUP(B134,infoTable__3[],4,FALSE),"")</f>
        <v/>
      </c>
      <c r="F134" s="4" t="str">
        <f>IFERROR(VLOOKUP(B134,infoTable__4[],4,FALSE),"")</f>
        <v/>
      </c>
      <c r="G134" s="4" t="str">
        <f>IFERROR(VLOOKUP(B134,infoTable[],4,FALSE),"")</f>
        <v/>
      </c>
      <c r="H134" s="4" t="str">
        <f>IFERROR(VLOOKUP(B134,infoTable__6[],4,FALSE),"")</f>
        <v/>
      </c>
      <c r="I134" s="4">
        <f>IFERROR(VLOOKUP(B134,infoTable__28[],4,FALSE),"")</f>
        <v>642828</v>
      </c>
      <c r="J134" s="4">
        <f>IFERROR(VLOOKUP(B134,infoTable__10[],4,FALSE),"")</f>
        <v>655872</v>
      </c>
      <c r="K134" s="4">
        <f>IFERROR(VLOOKUP(B134,infoTable__11[],4,FALSE),"")</f>
        <v>695288</v>
      </c>
      <c r="L134" s="4">
        <f>IFERROR(VLOOKUP(B134,infoTable__12[],4,FALSE),"")</f>
        <v>1345430</v>
      </c>
      <c r="M134" s="4">
        <f>IFERROR(VLOOKUP(B134,infoTable__13[],4,FALSE),"")</f>
        <v>2766105</v>
      </c>
      <c r="N134" s="4">
        <f>IFERROR(VLOOKUP(B134,infoTable__14[],4,FALSE),"")</f>
        <v>1908834</v>
      </c>
      <c r="O134" s="4">
        <f>IFERROR(VLOOKUP(B134,infoTable__15[],4,FALSE),"")</f>
        <v>633874</v>
      </c>
      <c r="P134" s="4" t="str">
        <f>IFERROR(VLOOKUP(B134,infoTable__16[],4,FALSE),"")</f>
        <v/>
      </c>
    </row>
    <row r="135" spans="1:16" x14ac:dyDescent="0.55000000000000004">
      <c r="A135" t="s">
        <v>734</v>
      </c>
      <c r="B135" t="s">
        <v>735</v>
      </c>
      <c r="C135" s="4" t="str">
        <f>IFERROR(VLOOKUP(B135,infoTable10[],4,FALSE),"")</f>
        <v/>
      </c>
      <c r="D135" s="4" t="str">
        <f>IFERROR(VLOOKUP(B135,infoTable__2[],4,FALSE),"")</f>
        <v/>
      </c>
      <c r="E135" s="4">
        <f>IFERROR(VLOOKUP(B135,infoTable__3[],4,FALSE),"")</f>
        <v>272888</v>
      </c>
      <c r="F135" s="4" t="str">
        <f>IFERROR(VLOOKUP(B135,infoTable__4[],4,FALSE),"")</f>
        <v/>
      </c>
      <c r="G135" s="4" t="str">
        <f>IFERROR(VLOOKUP(B135,infoTable[],4,FALSE),"")</f>
        <v/>
      </c>
      <c r="H135" s="4" t="str">
        <f>IFERROR(VLOOKUP(B135,infoTable__6[],4,FALSE),"")</f>
        <v/>
      </c>
      <c r="I135" s="4" t="str">
        <f>IFERROR(VLOOKUP(B135,infoTable__28[],4,FALSE),"")</f>
        <v/>
      </c>
      <c r="J135" s="4" t="str">
        <f>IFERROR(VLOOKUP(B135,infoTable__10[],4,FALSE),"")</f>
        <v/>
      </c>
      <c r="K135" s="4" t="str">
        <f>IFERROR(VLOOKUP(B135,infoTable__11[],4,FALSE),"")</f>
        <v/>
      </c>
      <c r="L135" s="4">
        <f>IFERROR(VLOOKUP(B135,infoTable__12[],4,FALSE),"")</f>
        <v>420393</v>
      </c>
      <c r="M135" s="4">
        <f>IFERROR(VLOOKUP(B135,infoTable__13[],4,FALSE),"")</f>
        <v>765892</v>
      </c>
      <c r="N135" s="4">
        <f>IFERROR(VLOOKUP(B135,infoTable__14[],4,FALSE),"")</f>
        <v>404948</v>
      </c>
      <c r="O135" s="4" t="str">
        <f>IFERROR(VLOOKUP(B135,infoTable__15[],4,FALSE),"")</f>
        <v/>
      </c>
      <c r="P135" s="4" t="str">
        <f>IFERROR(VLOOKUP(B135,infoTable__16[],4,FALSE),"")</f>
        <v/>
      </c>
    </row>
    <row r="136" spans="1:16" x14ac:dyDescent="0.55000000000000004">
      <c r="A136" t="s">
        <v>3002</v>
      </c>
      <c r="B136" t="s">
        <v>3003</v>
      </c>
      <c r="C136" s="4" t="str">
        <f>IFERROR(VLOOKUP(B136,infoTable10[],4,FALSE),"")</f>
        <v/>
      </c>
      <c r="D136" s="4" t="str">
        <f>IFERROR(VLOOKUP(B136,infoTable__2[],4,FALSE),"")</f>
        <v/>
      </c>
      <c r="E136" s="4" t="str">
        <f>IFERROR(VLOOKUP(B136,infoTable__3[],4,FALSE),"")</f>
        <v/>
      </c>
      <c r="F136" s="4" t="str">
        <f>IFERROR(VLOOKUP(B136,infoTable__4[],4,FALSE),"")</f>
        <v/>
      </c>
      <c r="G136" s="4" t="str">
        <f>IFERROR(VLOOKUP(B136,infoTable[],4,FALSE),"")</f>
        <v/>
      </c>
      <c r="H136" s="4" t="str">
        <f>IFERROR(VLOOKUP(B136,infoTable__6[],4,FALSE),"")</f>
        <v/>
      </c>
      <c r="I136" s="4" t="str">
        <f>IFERROR(VLOOKUP(B136,infoTable__28[],4,FALSE),"")</f>
        <v/>
      </c>
      <c r="J136" s="4" t="str">
        <f>IFERROR(VLOOKUP(B136,infoTable__10[],4,FALSE),"")</f>
        <v/>
      </c>
      <c r="K136" s="4" t="str">
        <f>IFERROR(VLOOKUP(B136,infoTable__11[],4,FALSE),"")</f>
        <v/>
      </c>
      <c r="L136" s="4" t="str">
        <f>IFERROR(VLOOKUP(B136,infoTable__12[],4,FALSE),"")</f>
        <v/>
      </c>
      <c r="M136" s="4" t="str">
        <f>IFERROR(VLOOKUP(B136,infoTable__13[],4,FALSE),"")</f>
        <v/>
      </c>
      <c r="N136" s="4" t="str">
        <f>IFERROR(VLOOKUP(B136,infoTable__14[],4,FALSE),"")</f>
        <v/>
      </c>
      <c r="O136" s="4">
        <f>IFERROR(VLOOKUP(B136,infoTable__15[],4,FALSE),"")</f>
        <v>750027</v>
      </c>
      <c r="P136" s="4">
        <f>IFERROR(VLOOKUP(B136,infoTable__16[],4,FALSE),"")</f>
        <v>498584</v>
      </c>
    </row>
    <row r="137" spans="1:16" x14ac:dyDescent="0.55000000000000004">
      <c r="A137" t="s">
        <v>1494</v>
      </c>
      <c r="B137" t="s">
        <v>1495</v>
      </c>
      <c r="C137" s="4">
        <f>IFERROR(VLOOKUP(B137,infoTable10[],4,FALSE),"")</f>
        <v>1119984</v>
      </c>
      <c r="D137" s="4" t="str">
        <f>IFERROR(VLOOKUP(B137,infoTable__2[],4,FALSE),"")</f>
        <v/>
      </c>
      <c r="E137" s="4" t="str">
        <f>IFERROR(VLOOKUP(B137,infoTable__3[],4,FALSE),"")</f>
        <v/>
      </c>
      <c r="F137" s="4" t="str">
        <f>IFERROR(VLOOKUP(B137,infoTable__4[],4,FALSE),"")</f>
        <v/>
      </c>
      <c r="G137" s="4" t="str">
        <f>IFERROR(VLOOKUP(B137,infoTable[],4,FALSE),"")</f>
        <v/>
      </c>
      <c r="H137" s="4" t="str">
        <f>IFERROR(VLOOKUP(B137,infoTable__6[],4,FALSE),"")</f>
        <v/>
      </c>
      <c r="I137" s="4" t="str">
        <f>IFERROR(VLOOKUP(B137,infoTable__28[],4,FALSE),"")</f>
        <v/>
      </c>
      <c r="J137" s="4" t="str">
        <f>IFERROR(VLOOKUP(B137,infoTable__10[],4,FALSE),"")</f>
        <v/>
      </c>
      <c r="K137" s="4" t="str">
        <f>IFERROR(VLOOKUP(B137,infoTable__11[],4,FALSE),"")</f>
        <v/>
      </c>
      <c r="L137" s="4" t="str">
        <f>IFERROR(VLOOKUP(B137,infoTable__12[],4,FALSE),"")</f>
        <v/>
      </c>
      <c r="M137" s="4" t="str">
        <f>IFERROR(VLOOKUP(B137,infoTable__13[],4,FALSE),"")</f>
        <v/>
      </c>
      <c r="N137" s="4" t="str">
        <f>IFERROR(VLOOKUP(B137,infoTable__14[],4,FALSE),"")</f>
        <v/>
      </c>
      <c r="O137" s="4" t="str">
        <f>IFERROR(VLOOKUP(B137,infoTable__15[],4,FALSE),"")</f>
        <v/>
      </c>
      <c r="P137" s="4" t="str">
        <f>IFERROR(VLOOKUP(B137,infoTable__16[],4,FALSE),"")</f>
        <v/>
      </c>
    </row>
    <row r="138" spans="1:16" x14ac:dyDescent="0.55000000000000004">
      <c r="A138" t="s">
        <v>977</v>
      </c>
      <c r="B138" t="s">
        <v>978</v>
      </c>
      <c r="C138" s="4" t="str">
        <f>IFERROR(VLOOKUP(B138,infoTable10[],4,FALSE),"")</f>
        <v/>
      </c>
      <c r="D138" s="4" t="str">
        <f>IFERROR(VLOOKUP(B138,infoTable__2[],4,FALSE),"")</f>
        <v/>
      </c>
      <c r="E138" s="4" t="str">
        <f>IFERROR(VLOOKUP(B138,infoTable__3[],4,FALSE),"")</f>
        <v/>
      </c>
      <c r="F138" s="4" t="str">
        <f>IFERROR(VLOOKUP(B138,infoTable__4[],4,FALSE),"")</f>
        <v/>
      </c>
      <c r="G138" s="4" t="str">
        <f>IFERROR(VLOOKUP(B138,infoTable[],4,FALSE),"")</f>
        <v/>
      </c>
      <c r="H138" s="4">
        <f>IFERROR(VLOOKUP(B138,infoTable__6[],4,FALSE),"")</f>
        <v>1379214</v>
      </c>
      <c r="I138" s="4">
        <f>IFERROR(VLOOKUP(B138,infoTable__28[],4,FALSE),"")</f>
        <v>1590570</v>
      </c>
      <c r="J138" s="4">
        <f>IFERROR(VLOOKUP(B138,infoTable__10[],4,FALSE),"")</f>
        <v>2125266</v>
      </c>
      <c r="K138" s="4">
        <f>IFERROR(VLOOKUP(B138,infoTable__11[],4,FALSE),"")</f>
        <v>2064917</v>
      </c>
      <c r="L138" s="4" t="str">
        <f>IFERROR(VLOOKUP(B138,infoTable__12[],4,FALSE),"")</f>
        <v/>
      </c>
      <c r="M138" s="4" t="str">
        <f>IFERROR(VLOOKUP(B138,infoTable__13[],4,FALSE),"")</f>
        <v/>
      </c>
      <c r="N138" s="4" t="str">
        <f>IFERROR(VLOOKUP(B138,infoTable__14[],4,FALSE),"")</f>
        <v/>
      </c>
      <c r="O138" s="4" t="str">
        <f>IFERROR(VLOOKUP(B138,infoTable__15[],4,FALSE),"")</f>
        <v/>
      </c>
      <c r="P138" s="4" t="str">
        <f>IFERROR(VLOOKUP(B138,infoTable__16[],4,FALSE),"")</f>
        <v/>
      </c>
    </row>
    <row r="139" spans="1:16" x14ac:dyDescent="0.55000000000000004">
      <c r="A139" t="s">
        <v>3284</v>
      </c>
      <c r="B139" t="s">
        <v>3285</v>
      </c>
      <c r="C139" s="4" t="str">
        <f>IFERROR(VLOOKUP(B139,infoTable10[],4,FALSE),"")</f>
        <v/>
      </c>
      <c r="D139" s="4" t="str">
        <f>IFERROR(VLOOKUP(B139,infoTable__2[],4,FALSE),"")</f>
        <v/>
      </c>
      <c r="E139" s="4" t="str">
        <f>IFERROR(VLOOKUP(B139,infoTable__3[],4,FALSE),"")</f>
        <v/>
      </c>
      <c r="F139" s="4" t="str">
        <f>IFERROR(VLOOKUP(B139,infoTable__4[],4,FALSE),"")</f>
        <v/>
      </c>
      <c r="G139" s="4" t="str">
        <f>IFERROR(VLOOKUP(B139,infoTable[],4,FALSE),"")</f>
        <v/>
      </c>
      <c r="H139" s="4" t="str">
        <f>IFERROR(VLOOKUP(B139,infoTable__6[],4,FALSE),"")</f>
        <v/>
      </c>
      <c r="I139" s="4" t="str">
        <f>IFERROR(VLOOKUP(B139,infoTable__28[],4,FALSE),"")</f>
        <v/>
      </c>
      <c r="J139" s="4" t="str">
        <f>IFERROR(VLOOKUP(B139,infoTable__10[],4,FALSE),"")</f>
        <v/>
      </c>
      <c r="K139" s="4" t="str">
        <f>IFERROR(VLOOKUP(B139,infoTable__11[],4,FALSE),"")</f>
        <v/>
      </c>
      <c r="L139" s="4" t="str">
        <f>IFERROR(VLOOKUP(B139,infoTable__12[],4,FALSE),"")</f>
        <v/>
      </c>
      <c r="M139" s="4" t="str">
        <f>IFERROR(VLOOKUP(B139,infoTable__13[],4,FALSE),"")</f>
        <v/>
      </c>
      <c r="N139" s="4" t="str">
        <f>IFERROR(VLOOKUP(B139,infoTable__14[],4,FALSE),"")</f>
        <v/>
      </c>
      <c r="O139" s="4" t="str">
        <f>IFERROR(VLOOKUP(B139,infoTable__15[],4,FALSE),"")</f>
        <v/>
      </c>
      <c r="P139" s="4">
        <f>IFERROR(VLOOKUP(B139,infoTable__16[],4,FALSE),"")</f>
        <v>1764753</v>
      </c>
    </row>
    <row r="140" spans="1:16" x14ac:dyDescent="0.55000000000000004">
      <c r="A140" t="s">
        <v>3288</v>
      </c>
      <c r="B140" t="s">
        <v>3289</v>
      </c>
      <c r="C140" s="4" t="str">
        <f>IFERROR(VLOOKUP(B140,infoTable10[],4,FALSE),"")</f>
        <v/>
      </c>
      <c r="D140" s="4" t="str">
        <f>IFERROR(VLOOKUP(B140,infoTable__2[],4,FALSE),"")</f>
        <v/>
      </c>
      <c r="E140" s="4" t="str">
        <f>IFERROR(VLOOKUP(B140,infoTable__3[],4,FALSE),"")</f>
        <v/>
      </c>
      <c r="F140" s="4" t="str">
        <f>IFERROR(VLOOKUP(B140,infoTable__4[],4,FALSE),"")</f>
        <v/>
      </c>
      <c r="G140" s="4" t="str">
        <f>IFERROR(VLOOKUP(B140,infoTable[],4,FALSE),"")</f>
        <v/>
      </c>
      <c r="H140" s="4" t="str">
        <f>IFERROR(VLOOKUP(B140,infoTable__6[],4,FALSE),"")</f>
        <v/>
      </c>
      <c r="I140" s="4" t="str">
        <f>IFERROR(VLOOKUP(B140,infoTable__28[],4,FALSE),"")</f>
        <v/>
      </c>
      <c r="J140" s="4" t="str">
        <f>IFERROR(VLOOKUP(B140,infoTable__10[],4,FALSE),"")</f>
        <v/>
      </c>
      <c r="K140" s="4" t="str">
        <f>IFERROR(VLOOKUP(B140,infoTable__11[],4,FALSE),"")</f>
        <v/>
      </c>
      <c r="L140" s="4" t="str">
        <f>IFERROR(VLOOKUP(B140,infoTable__12[],4,FALSE),"")</f>
        <v/>
      </c>
      <c r="M140" s="4" t="str">
        <f>IFERROR(VLOOKUP(B140,infoTable__13[],4,FALSE),"")</f>
        <v/>
      </c>
      <c r="N140" s="4" t="str">
        <f>IFERROR(VLOOKUP(B140,infoTable__14[],4,FALSE),"")</f>
        <v/>
      </c>
      <c r="O140" s="4" t="str">
        <f>IFERROR(VLOOKUP(B140,infoTable__15[],4,FALSE),"")</f>
        <v/>
      </c>
      <c r="P140" s="4">
        <f>IFERROR(VLOOKUP(B140,infoTable__16[],4,FALSE),"")</f>
        <v>358775</v>
      </c>
    </row>
    <row r="141" spans="1:16" x14ac:dyDescent="0.55000000000000004">
      <c r="A141" t="s">
        <v>105</v>
      </c>
      <c r="B141" t="s">
        <v>106</v>
      </c>
      <c r="C141" s="4" t="str">
        <f>IFERROR(VLOOKUP(B141,infoTable10[],4,FALSE),"")</f>
        <v/>
      </c>
      <c r="D141" s="4" t="str">
        <f>IFERROR(VLOOKUP(B141,infoTable__2[],4,FALSE),"")</f>
        <v/>
      </c>
      <c r="E141" s="4" t="str">
        <f>IFERROR(VLOOKUP(B141,infoTable__3[],4,FALSE),"")</f>
        <v/>
      </c>
      <c r="F141" s="4">
        <f>IFERROR(VLOOKUP(B141,infoTable__4[],4,FALSE),"")</f>
        <v>405255</v>
      </c>
      <c r="G141" s="4">
        <f>IFERROR(VLOOKUP(B141,infoTable[],4,FALSE),"")</f>
        <v>1427199</v>
      </c>
      <c r="H141" s="4">
        <f>IFERROR(VLOOKUP(B141,infoTable__6[],4,FALSE),"")</f>
        <v>1141652</v>
      </c>
      <c r="I141" s="4">
        <f>IFERROR(VLOOKUP(B141,infoTable__28[],4,FALSE),"")</f>
        <v>1126138</v>
      </c>
      <c r="J141" s="4">
        <f>IFERROR(VLOOKUP(B141,infoTable__10[],4,FALSE),"")</f>
        <v>359181</v>
      </c>
      <c r="K141" s="4" t="str">
        <f>IFERROR(VLOOKUP(B141,infoTable__11[],4,FALSE),"")</f>
        <v/>
      </c>
      <c r="L141" s="4" t="str">
        <f>IFERROR(VLOOKUP(B141,infoTable__12[],4,FALSE),"")</f>
        <v/>
      </c>
      <c r="M141" s="4" t="str">
        <f>IFERROR(VLOOKUP(B141,infoTable__13[],4,FALSE),"")</f>
        <v/>
      </c>
      <c r="N141" s="4">
        <f>IFERROR(VLOOKUP(B141,infoTable__14[],4,FALSE),"")</f>
        <v>108105</v>
      </c>
      <c r="O141" s="4">
        <f>IFERROR(VLOOKUP(B141,infoTable__15[],4,FALSE),"")</f>
        <v>337638</v>
      </c>
      <c r="P141" s="4" t="str">
        <f>IFERROR(VLOOKUP(B141,infoTable__16[],4,FALSE),"")</f>
        <v/>
      </c>
    </row>
    <row r="142" spans="1:16" x14ac:dyDescent="0.55000000000000004">
      <c r="A142" t="s">
        <v>1853</v>
      </c>
      <c r="B142" t="s">
        <v>1855</v>
      </c>
      <c r="C142" s="4" t="str">
        <f>IFERROR(VLOOKUP(B142,infoTable10[],4,FALSE),"")</f>
        <v/>
      </c>
      <c r="D142" s="4" t="str">
        <f>IFERROR(VLOOKUP(B142,infoTable__2[],4,FALSE),"")</f>
        <v/>
      </c>
      <c r="E142" s="4" t="str">
        <f>IFERROR(VLOOKUP(B142,infoTable__3[],4,FALSE),"")</f>
        <v/>
      </c>
      <c r="F142" s="4" t="str">
        <f>IFERROR(VLOOKUP(B142,infoTable__4[],4,FALSE),"")</f>
        <v/>
      </c>
      <c r="G142" s="4" t="str">
        <f>IFERROR(VLOOKUP(B142,infoTable[],4,FALSE),"")</f>
        <v/>
      </c>
      <c r="H142" s="4" t="str">
        <f>IFERROR(VLOOKUP(B142,infoTable__6[],4,FALSE),"")</f>
        <v/>
      </c>
      <c r="I142" s="4" t="str">
        <f>IFERROR(VLOOKUP(B142,infoTable__28[],4,FALSE),"")</f>
        <v/>
      </c>
      <c r="J142" s="4" t="str">
        <f>IFERROR(VLOOKUP(B142,infoTable__10[],4,FALSE),"")</f>
        <v/>
      </c>
      <c r="K142" s="4">
        <f>IFERROR(VLOOKUP(B142,infoTable__11[],4,FALSE),"")</f>
        <v>236935</v>
      </c>
      <c r="L142" s="4" t="str">
        <f>IFERROR(VLOOKUP(B142,infoTable__12[],4,FALSE),"")</f>
        <v/>
      </c>
      <c r="M142" s="4" t="str">
        <f>IFERROR(VLOOKUP(B142,infoTable__13[],4,FALSE),"")</f>
        <v/>
      </c>
      <c r="N142" s="4" t="str">
        <f>IFERROR(VLOOKUP(B142,infoTable__14[],4,FALSE),"")</f>
        <v/>
      </c>
      <c r="O142" s="4" t="str">
        <f>IFERROR(VLOOKUP(B142,infoTable__15[],4,FALSE),"")</f>
        <v/>
      </c>
      <c r="P142" s="4" t="str">
        <f>IFERROR(VLOOKUP(B142,infoTable__16[],4,FALSE),"")</f>
        <v/>
      </c>
    </row>
    <row r="143" spans="1:16" x14ac:dyDescent="0.55000000000000004">
      <c r="A143" t="s">
        <v>3006</v>
      </c>
      <c r="B143" t="s">
        <v>3007</v>
      </c>
      <c r="C143" s="4" t="str">
        <f>IFERROR(VLOOKUP(B143,infoTable10[],4,FALSE),"")</f>
        <v/>
      </c>
      <c r="D143" s="4" t="str">
        <f>IFERROR(VLOOKUP(B143,infoTable__2[],4,FALSE),"")</f>
        <v/>
      </c>
      <c r="E143" s="4" t="str">
        <f>IFERROR(VLOOKUP(B143,infoTable__3[],4,FALSE),"")</f>
        <v/>
      </c>
      <c r="F143" s="4" t="str">
        <f>IFERROR(VLOOKUP(B143,infoTable__4[],4,FALSE),"")</f>
        <v/>
      </c>
      <c r="G143" s="4" t="str">
        <f>IFERROR(VLOOKUP(B143,infoTable[],4,FALSE),"")</f>
        <v/>
      </c>
      <c r="H143" s="4" t="str">
        <f>IFERROR(VLOOKUP(B143,infoTable__6[],4,FALSE),"")</f>
        <v/>
      </c>
      <c r="I143" s="4" t="str">
        <f>IFERROR(VLOOKUP(B143,infoTable__28[],4,FALSE),"")</f>
        <v/>
      </c>
      <c r="J143" s="4" t="str">
        <f>IFERROR(VLOOKUP(B143,infoTable__10[],4,FALSE),"")</f>
        <v/>
      </c>
      <c r="K143" s="4" t="str">
        <f>IFERROR(VLOOKUP(B143,infoTable__11[],4,FALSE),"")</f>
        <v/>
      </c>
      <c r="L143" s="4" t="str">
        <f>IFERROR(VLOOKUP(B143,infoTable__12[],4,FALSE),"")</f>
        <v/>
      </c>
      <c r="M143" s="4" t="str">
        <f>IFERROR(VLOOKUP(B143,infoTable__13[],4,FALSE),"")</f>
        <v/>
      </c>
      <c r="N143" s="4" t="str">
        <f>IFERROR(VLOOKUP(B143,infoTable__14[],4,FALSE),"")</f>
        <v/>
      </c>
      <c r="O143" s="4">
        <f>IFERROR(VLOOKUP(B143,infoTable__15[],4,FALSE),"")</f>
        <v>315713</v>
      </c>
      <c r="P143" s="4" t="str">
        <f>IFERROR(VLOOKUP(B143,infoTable__16[],4,FALSE),"")</f>
        <v/>
      </c>
    </row>
    <row r="144" spans="1:16" x14ac:dyDescent="0.55000000000000004">
      <c r="A144" t="s">
        <v>2135</v>
      </c>
      <c r="B144" t="s">
        <v>2136</v>
      </c>
      <c r="C144" s="4" t="str">
        <f>IFERROR(VLOOKUP(B144,infoTable10[],4,FALSE),"")</f>
        <v/>
      </c>
      <c r="D144" s="4" t="str">
        <f>IFERROR(VLOOKUP(B144,infoTable__2[],4,FALSE),"")</f>
        <v/>
      </c>
      <c r="E144" s="4" t="str">
        <f>IFERROR(VLOOKUP(B144,infoTable__3[],4,FALSE),"")</f>
        <v/>
      </c>
      <c r="F144" s="4" t="str">
        <f>IFERROR(VLOOKUP(B144,infoTable__4[],4,FALSE),"")</f>
        <v/>
      </c>
      <c r="G144" s="4" t="str">
        <f>IFERROR(VLOOKUP(B144,infoTable[],4,FALSE),"")</f>
        <v/>
      </c>
      <c r="H144" s="4" t="str">
        <f>IFERROR(VLOOKUP(B144,infoTable__6[],4,FALSE),"")</f>
        <v/>
      </c>
      <c r="I144" s="4" t="str">
        <f>IFERROR(VLOOKUP(B144,infoTable__28[],4,FALSE),"")</f>
        <v/>
      </c>
      <c r="J144" s="4" t="str">
        <f>IFERROR(VLOOKUP(B144,infoTable__10[],4,FALSE),"")</f>
        <v/>
      </c>
      <c r="K144" s="4" t="str">
        <f>IFERROR(VLOOKUP(B144,infoTable__11[],4,FALSE),"")</f>
        <v/>
      </c>
      <c r="L144" s="4">
        <f>IFERROR(VLOOKUP(B144,infoTable__12[],4,FALSE),"")</f>
        <v>166588</v>
      </c>
      <c r="M144" s="4">
        <f>IFERROR(VLOOKUP(B144,infoTable__13[],4,FALSE),"")</f>
        <v>237572</v>
      </c>
      <c r="N144" s="4">
        <f>IFERROR(VLOOKUP(B144,infoTable__14[],4,FALSE),"")</f>
        <v>398927</v>
      </c>
      <c r="O144" s="4">
        <f>IFERROR(VLOOKUP(B144,infoTable__15[],4,FALSE),"")</f>
        <v>625064</v>
      </c>
      <c r="P144" s="4">
        <f>IFERROR(VLOOKUP(B144,infoTable__16[],4,FALSE),"")</f>
        <v>1514334</v>
      </c>
    </row>
    <row r="145" spans="1:16" x14ac:dyDescent="0.55000000000000004">
      <c r="A145" t="s">
        <v>979</v>
      </c>
      <c r="B145" t="s">
        <v>980</v>
      </c>
      <c r="C145" s="4" t="str">
        <f>IFERROR(VLOOKUP(B145,infoTable10[],4,FALSE),"")</f>
        <v/>
      </c>
      <c r="D145" s="4" t="str">
        <f>IFERROR(VLOOKUP(B145,infoTable__2[],4,FALSE),"")</f>
        <v/>
      </c>
      <c r="E145" s="4" t="str">
        <f>IFERROR(VLOOKUP(B145,infoTable__3[],4,FALSE),"")</f>
        <v/>
      </c>
      <c r="F145" s="4" t="str">
        <f>IFERROR(VLOOKUP(B145,infoTable__4[],4,FALSE),"")</f>
        <v/>
      </c>
      <c r="G145" s="4" t="str">
        <f>IFERROR(VLOOKUP(B145,infoTable[],4,FALSE),"")</f>
        <v/>
      </c>
      <c r="H145" s="4">
        <f>IFERROR(VLOOKUP(B145,infoTable__6[],4,FALSE),"")</f>
        <v>811422</v>
      </c>
      <c r="I145" s="4">
        <f>IFERROR(VLOOKUP(B145,infoTable__28[],4,FALSE),"")</f>
        <v>484276</v>
      </c>
      <c r="J145" s="4" t="str">
        <f>IFERROR(VLOOKUP(B145,infoTable__10[],4,FALSE),"")</f>
        <v/>
      </c>
      <c r="K145" s="4" t="str">
        <f>IFERROR(VLOOKUP(B145,infoTable__11[],4,FALSE),"")</f>
        <v/>
      </c>
      <c r="L145" s="4" t="str">
        <f>IFERROR(VLOOKUP(B145,infoTable__12[],4,FALSE),"")</f>
        <v/>
      </c>
      <c r="M145" s="4">
        <f>IFERROR(VLOOKUP(B145,infoTable__13[],4,FALSE),"")</f>
        <v>387880</v>
      </c>
      <c r="N145" s="4">
        <f>IFERROR(VLOOKUP(B145,infoTable__14[],4,FALSE),"")</f>
        <v>998152</v>
      </c>
      <c r="O145" s="4">
        <f>IFERROR(VLOOKUP(B145,infoTable__15[],4,FALSE),"")</f>
        <v>444027</v>
      </c>
      <c r="P145" s="4">
        <f>IFERROR(VLOOKUP(B145,infoTable__16[],4,FALSE),"")</f>
        <v>416699</v>
      </c>
    </row>
    <row r="146" spans="1:16" x14ac:dyDescent="0.55000000000000004">
      <c r="A146" t="s">
        <v>2443</v>
      </c>
      <c r="B146" t="s">
        <v>2444</v>
      </c>
      <c r="C146" s="4" t="str">
        <f>IFERROR(VLOOKUP(B146,infoTable10[],4,FALSE),"")</f>
        <v/>
      </c>
      <c r="D146" s="4" t="str">
        <f>IFERROR(VLOOKUP(B146,infoTable__2[],4,FALSE),"")</f>
        <v/>
      </c>
      <c r="E146" s="4" t="str">
        <f>IFERROR(VLOOKUP(B146,infoTable__3[],4,FALSE),"")</f>
        <v/>
      </c>
      <c r="F146" s="4" t="str">
        <f>IFERROR(VLOOKUP(B146,infoTable__4[],4,FALSE),"")</f>
        <v/>
      </c>
      <c r="G146" s="4" t="str">
        <f>IFERROR(VLOOKUP(B146,infoTable[],4,FALSE),"")</f>
        <v/>
      </c>
      <c r="H146" s="4" t="str">
        <f>IFERROR(VLOOKUP(B146,infoTable__6[],4,FALSE),"")</f>
        <v/>
      </c>
      <c r="I146" s="4" t="str">
        <f>IFERROR(VLOOKUP(B146,infoTable__28[],4,FALSE),"")</f>
        <v/>
      </c>
      <c r="J146" s="4" t="str">
        <f>IFERROR(VLOOKUP(B146,infoTable__10[],4,FALSE),"")</f>
        <v/>
      </c>
      <c r="K146" s="4" t="str">
        <f>IFERROR(VLOOKUP(B146,infoTable__11[],4,FALSE),"")</f>
        <v/>
      </c>
      <c r="L146" s="4" t="str">
        <f>IFERROR(VLOOKUP(B146,infoTable__12[],4,FALSE),"")</f>
        <v/>
      </c>
      <c r="M146" s="4">
        <f>IFERROR(VLOOKUP(B146,infoTable__13[],4,FALSE),"")</f>
        <v>364165</v>
      </c>
      <c r="N146" s="4">
        <f>IFERROR(VLOOKUP(B146,infoTable__14[],4,FALSE),"")</f>
        <v>395999</v>
      </c>
      <c r="O146" s="4">
        <f>IFERROR(VLOOKUP(B146,infoTable__15[],4,FALSE),"")</f>
        <v>401325</v>
      </c>
      <c r="P146" s="4">
        <f>IFERROR(VLOOKUP(B146,infoTable__16[],4,FALSE),"")</f>
        <v>1564294</v>
      </c>
    </row>
    <row r="147" spans="1:16" x14ac:dyDescent="0.55000000000000004">
      <c r="A147" t="s">
        <v>2659</v>
      </c>
      <c r="B147" t="s">
        <v>2658</v>
      </c>
      <c r="C147" s="4" t="str">
        <f>IFERROR(VLOOKUP(B147,infoTable10[],4,FALSE),"")</f>
        <v/>
      </c>
      <c r="D147" s="4" t="str">
        <f>IFERROR(VLOOKUP(B147,infoTable__2[],4,FALSE),"")</f>
        <v/>
      </c>
      <c r="E147" s="4" t="str">
        <f>IFERROR(VLOOKUP(B147,infoTable__3[],4,FALSE),"")</f>
        <v/>
      </c>
      <c r="F147" s="4" t="str">
        <f>IFERROR(VLOOKUP(B147,infoTable__4[],4,FALSE),"")</f>
        <v/>
      </c>
      <c r="G147" s="4" t="str">
        <f>IFERROR(VLOOKUP(B147,infoTable[],4,FALSE),"")</f>
        <v/>
      </c>
      <c r="H147" s="4" t="str">
        <f>IFERROR(VLOOKUP(B147,infoTable__6[],4,FALSE),"")</f>
        <v/>
      </c>
      <c r="I147" s="4" t="str">
        <f>IFERROR(VLOOKUP(B147,infoTable__28[],4,FALSE),"")</f>
        <v/>
      </c>
      <c r="J147" s="4" t="str">
        <f>IFERROR(VLOOKUP(B147,infoTable__10[],4,FALSE),"")</f>
        <v/>
      </c>
      <c r="K147" s="4" t="str">
        <f>IFERROR(VLOOKUP(B147,infoTable__11[],4,FALSE),"")</f>
        <v/>
      </c>
      <c r="L147" s="4" t="str">
        <f>IFERROR(VLOOKUP(B147,infoTable__12[],4,FALSE),"")</f>
        <v/>
      </c>
      <c r="M147" s="4" t="str">
        <f>IFERROR(VLOOKUP(B147,infoTable__13[],4,FALSE),"")</f>
        <v/>
      </c>
      <c r="N147" s="4">
        <f>IFERROR(VLOOKUP(B147,infoTable__14[],4,FALSE),"")</f>
        <v>203534</v>
      </c>
      <c r="O147" s="4">
        <f>IFERROR(VLOOKUP(B147,infoTable__15[],4,FALSE),"")</f>
        <v>370793</v>
      </c>
      <c r="P147" s="4">
        <f>IFERROR(VLOOKUP(B147,infoTable__16[],4,FALSE),"")</f>
        <v>106942</v>
      </c>
    </row>
    <row r="148" spans="1:16" x14ac:dyDescent="0.55000000000000004">
      <c r="A148" t="s">
        <v>107</v>
      </c>
      <c r="B148" t="s">
        <v>108</v>
      </c>
      <c r="C148" s="4" t="str">
        <f>IFERROR(VLOOKUP(B148,infoTable10[],4,FALSE),"")</f>
        <v/>
      </c>
      <c r="D148" s="4" t="str">
        <f>IFERROR(VLOOKUP(B148,infoTable__2[],4,FALSE),"")</f>
        <v/>
      </c>
      <c r="E148" s="4" t="str">
        <f>IFERROR(VLOOKUP(B148,infoTable__3[],4,FALSE),"")</f>
        <v/>
      </c>
      <c r="F148" s="4">
        <f>IFERROR(VLOOKUP(B148,infoTable__4[],4,FALSE),"")</f>
        <v>201113</v>
      </c>
      <c r="G148" s="4">
        <f>IFERROR(VLOOKUP(B148,infoTable[],4,FALSE),"")</f>
        <v>1381608</v>
      </c>
      <c r="H148" s="4" t="str">
        <f>IFERROR(VLOOKUP(B148,infoTable__6[],4,FALSE),"")</f>
        <v/>
      </c>
      <c r="I148" s="4">
        <f>IFERROR(VLOOKUP(B148,infoTable__28[],4,FALSE),"")</f>
        <v>282097</v>
      </c>
      <c r="J148" s="4" t="str">
        <f>IFERROR(VLOOKUP(B148,infoTable__10[],4,FALSE),"")</f>
        <v/>
      </c>
      <c r="K148" s="4" t="str">
        <f>IFERROR(VLOOKUP(B148,infoTable__11[],4,FALSE),"")</f>
        <v/>
      </c>
      <c r="L148" s="4" t="str">
        <f>IFERROR(VLOOKUP(B148,infoTable__12[],4,FALSE),"")</f>
        <v/>
      </c>
      <c r="M148" s="4" t="str">
        <f>IFERROR(VLOOKUP(B148,infoTable__13[],4,FALSE),"")</f>
        <v/>
      </c>
      <c r="N148" s="4" t="str">
        <f>IFERROR(VLOOKUP(B148,infoTable__14[],4,FALSE),"")</f>
        <v/>
      </c>
      <c r="O148" s="4">
        <f>IFERROR(VLOOKUP(B148,infoTable__15[],4,FALSE),"")</f>
        <v>1042020</v>
      </c>
      <c r="P148" s="4">
        <f>IFERROR(VLOOKUP(B148,infoTable__16[],4,FALSE),"")</f>
        <v>340406</v>
      </c>
    </row>
    <row r="149" spans="1:16" x14ac:dyDescent="0.55000000000000004">
      <c r="A149" t="s">
        <v>1856</v>
      </c>
      <c r="B149" t="s">
        <v>1857</v>
      </c>
      <c r="C149" s="4" t="str">
        <f>IFERROR(VLOOKUP(B149,infoTable10[],4,FALSE),"")</f>
        <v/>
      </c>
      <c r="D149" s="4" t="str">
        <f>IFERROR(VLOOKUP(B149,infoTable__2[],4,FALSE),"")</f>
        <v/>
      </c>
      <c r="E149" s="4" t="str">
        <f>IFERROR(VLOOKUP(B149,infoTable__3[],4,FALSE),"")</f>
        <v/>
      </c>
      <c r="F149" s="4" t="str">
        <f>IFERROR(VLOOKUP(B149,infoTable__4[],4,FALSE),"")</f>
        <v/>
      </c>
      <c r="G149" s="4" t="str">
        <f>IFERROR(VLOOKUP(B149,infoTable[],4,FALSE),"")</f>
        <v/>
      </c>
      <c r="H149" s="4" t="str">
        <f>IFERROR(VLOOKUP(B149,infoTable__6[],4,FALSE),"")</f>
        <v/>
      </c>
      <c r="I149" s="4" t="str">
        <f>IFERROR(VLOOKUP(B149,infoTable__28[],4,FALSE),"")</f>
        <v/>
      </c>
      <c r="J149" s="4" t="str">
        <f>IFERROR(VLOOKUP(B149,infoTable__10[],4,FALSE),"")</f>
        <v/>
      </c>
      <c r="K149" s="4">
        <f>IFERROR(VLOOKUP(B149,infoTable__11[],4,FALSE),"")</f>
        <v>1589775</v>
      </c>
      <c r="L149" s="4">
        <f>IFERROR(VLOOKUP(B149,infoTable__12[],4,FALSE),"")</f>
        <v>1899111</v>
      </c>
      <c r="M149" s="4" t="str">
        <f>IFERROR(VLOOKUP(B149,infoTable__13[],4,FALSE),"")</f>
        <v/>
      </c>
      <c r="N149" s="4" t="str">
        <f>IFERROR(VLOOKUP(B149,infoTable__14[],4,FALSE),"")</f>
        <v/>
      </c>
      <c r="O149" s="4" t="str">
        <f>IFERROR(VLOOKUP(B149,infoTable__15[],4,FALSE),"")</f>
        <v/>
      </c>
      <c r="P149" s="4" t="str">
        <f>IFERROR(VLOOKUP(B149,infoTable__16[],4,FALSE),"")</f>
        <v/>
      </c>
    </row>
    <row r="150" spans="1:16" x14ac:dyDescent="0.55000000000000004">
      <c r="A150" t="s">
        <v>3008</v>
      </c>
      <c r="B150" t="s">
        <v>3009</v>
      </c>
      <c r="C150" s="4" t="str">
        <f>IFERROR(VLOOKUP(B150,infoTable10[],4,FALSE),"")</f>
        <v/>
      </c>
      <c r="D150" s="4" t="str">
        <f>IFERROR(VLOOKUP(B150,infoTable__2[],4,FALSE),"")</f>
        <v/>
      </c>
      <c r="E150" s="4" t="str">
        <f>IFERROR(VLOOKUP(B150,infoTable__3[],4,FALSE),"")</f>
        <v/>
      </c>
      <c r="F150" s="4" t="str">
        <f>IFERROR(VLOOKUP(B150,infoTable__4[],4,FALSE),"")</f>
        <v/>
      </c>
      <c r="G150" s="4" t="str">
        <f>IFERROR(VLOOKUP(B150,infoTable[],4,FALSE),"")</f>
        <v/>
      </c>
      <c r="H150" s="4" t="str">
        <f>IFERROR(VLOOKUP(B150,infoTable__6[],4,FALSE),"")</f>
        <v/>
      </c>
      <c r="I150" s="4" t="str">
        <f>IFERROR(VLOOKUP(B150,infoTable__28[],4,FALSE),"")</f>
        <v/>
      </c>
      <c r="J150" s="4" t="str">
        <f>IFERROR(VLOOKUP(B150,infoTable__10[],4,FALSE),"")</f>
        <v/>
      </c>
      <c r="K150" s="4" t="str">
        <f>IFERROR(VLOOKUP(B150,infoTable__11[],4,FALSE),"")</f>
        <v/>
      </c>
      <c r="L150" s="4" t="str">
        <f>IFERROR(VLOOKUP(B150,infoTable__12[],4,FALSE),"")</f>
        <v/>
      </c>
      <c r="M150" s="4" t="str">
        <f>IFERROR(VLOOKUP(B150,infoTable__13[],4,FALSE),"")</f>
        <v/>
      </c>
      <c r="N150" s="4" t="str">
        <f>IFERROR(VLOOKUP(B150,infoTable__14[],4,FALSE),"")</f>
        <v/>
      </c>
      <c r="O150" s="4">
        <f>IFERROR(VLOOKUP(B150,infoTable__15[],4,FALSE),"")</f>
        <v>2026671</v>
      </c>
      <c r="P150" s="4">
        <f>IFERROR(VLOOKUP(B150,infoTable__16[],4,FALSE),"")</f>
        <v>3002818</v>
      </c>
    </row>
    <row r="151" spans="1:16" x14ac:dyDescent="0.55000000000000004">
      <c r="A151" t="s">
        <v>1629</v>
      </c>
      <c r="B151" t="s">
        <v>1630</v>
      </c>
      <c r="C151" s="4" t="str">
        <f>IFERROR(VLOOKUP(B151,infoTable10[],4,FALSE),"")</f>
        <v/>
      </c>
      <c r="D151" s="4" t="str">
        <f>IFERROR(VLOOKUP(B151,infoTable__2[],4,FALSE),"")</f>
        <v/>
      </c>
      <c r="E151" s="4" t="str">
        <f>IFERROR(VLOOKUP(B151,infoTable__3[],4,FALSE),"")</f>
        <v/>
      </c>
      <c r="F151" s="4" t="str">
        <f>IFERROR(VLOOKUP(B151,infoTable__4[],4,FALSE),"")</f>
        <v/>
      </c>
      <c r="G151" s="4" t="str">
        <f>IFERROR(VLOOKUP(B151,infoTable[],4,FALSE),"")</f>
        <v/>
      </c>
      <c r="H151" s="4" t="str">
        <f>IFERROR(VLOOKUP(B151,infoTable__6[],4,FALSE),"")</f>
        <v/>
      </c>
      <c r="I151" s="4" t="str">
        <f>IFERROR(VLOOKUP(B151,infoTable__28[],4,FALSE),"")</f>
        <v/>
      </c>
      <c r="J151" s="4">
        <f>IFERROR(VLOOKUP(B151,infoTable__10[],4,FALSE),"")</f>
        <v>281383</v>
      </c>
      <c r="K151" s="4" t="str">
        <f>IFERROR(VLOOKUP(B151,infoTable__11[],4,FALSE),"")</f>
        <v/>
      </c>
      <c r="L151" s="4" t="str">
        <f>IFERROR(VLOOKUP(B151,infoTable__12[],4,FALSE),"")</f>
        <v/>
      </c>
      <c r="M151" s="4">
        <f>IFERROR(VLOOKUP(B151,infoTable__13[],4,FALSE),"")</f>
        <v>561719</v>
      </c>
      <c r="N151" s="4">
        <f>IFERROR(VLOOKUP(B151,infoTable__14[],4,FALSE),"")</f>
        <v>590708</v>
      </c>
      <c r="O151" s="4">
        <f>IFERROR(VLOOKUP(B151,infoTable__15[],4,FALSE),"")</f>
        <v>477198</v>
      </c>
      <c r="P151" s="4">
        <f>IFERROR(VLOOKUP(B151,infoTable__16[],4,FALSE),"")</f>
        <v>368174</v>
      </c>
    </row>
    <row r="152" spans="1:16" x14ac:dyDescent="0.55000000000000004">
      <c r="A152" t="s">
        <v>981</v>
      </c>
      <c r="B152" t="s">
        <v>982</v>
      </c>
      <c r="C152" s="4" t="str">
        <f>IFERROR(VLOOKUP(B152,infoTable10[],4,FALSE),"")</f>
        <v/>
      </c>
      <c r="D152" s="4" t="str">
        <f>IFERROR(VLOOKUP(B152,infoTable__2[],4,FALSE),"")</f>
        <v/>
      </c>
      <c r="E152" s="4" t="str">
        <f>IFERROR(VLOOKUP(B152,infoTable__3[],4,FALSE),"")</f>
        <v/>
      </c>
      <c r="F152" s="4" t="str">
        <f>IFERROR(VLOOKUP(B152,infoTable__4[],4,FALSE),"")</f>
        <v/>
      </c>
      <c r="G152" s="4" t="str">
        <f>IFERROR(VLOOKUP(B152,infoTable[],4,FALSE),"")</f>
        <v/>
      </c>
      <c r="H152" s="4">
        <f>IFERROR(VLOOKUP(B152,infoTable__6[],4,FALSE),"")</f>
        <v>113913</v>
      </c>
      <c r="I152" s="4" t="str">
        <f>IFERROR(VLOOKUP(B152,infoTable__28[],4,FALSE),"")</f>
        <v/>
      </c>
      <c r="J152" s="4" t="str">
        <f>IFERROR(VLOOKUP(B152,infoTable__10[],4,FALSE),"")</f>
        <v/>
      </c>
      <c r="K152" s="4" t="str">
        <f>IFERROR(VLOOKUP(B152,infoTable__11[],4,FALSE),"")</f>
        <v/>
      </c>
      <c r="L152" s="4" t="str">
        <f>IFERROR(VLOOKUP(B152,infoTable__12[],4,FALSE),"")</f>
        <v/>
      </c>
      <c r="M152" s="4" t="str">
        <f>IFERROR(VLOOKUP(B152,infoTable__13[],4,FALSE),"")</f>
        <v/>
      </c>
      <c r="N152" s="4" t="str">
        <f>IFERROR(VLOOKUP(B152,infoTable__14[],4,FALSE),"")</f>
        <v/>
      </c>
      <c r="O152" s="4" t="str">
        <f>IFERROR(VLOOKUP(B152,infoTable__15[],4,FALSE),"")</f>
        <v/>
      </c>
      <c r="P152" s="4" t="str">
        <f>IFERROR(VLOOKUP(B152,infoTable__16[],4,FALSE),"")</f>
        <v/>
      </c>
    </row>
    <row r="153" spans="1:16" x14ac:dyDescent="0.55000000000000004">
      <c r="A153" t="s">
        <v>1631</v>
      </c>
      <c r="B153" t="s">
        <v>1632</v>
      </c>
      <c r="C153" s="4" t="str">
        <f>IFERROR(VLOOKUP(B153,infoTable10[],4,FALSE),"")</f>
        <v/>
      </c>
      <c r="D153" s="4" t="str">
        <f>IFERROR(VLOOKUP(B153,infoTable__2[],4,FALSE),"")</f>
        <v/>
      </c>
      <c r="E153" s="4" t="str">
        <f>IFERROR(VLOOKUP(B153,infoTable__3[],4,FALSE),"")</f>
        <v/>
      </c>
      <c r="F153" s="4" t="str">
        <f>IFERROR(VLOOKUP(B153,infoTable__4[],4,FALSE),"")</f>
        <v/>
      </c>
      <c r="G153" s="4" t="str">
        <f>IFERROR(VLOOKUP(B153,infoTable[],4,FALSE),"")</f>
        <v/>
      </c>
      <c r="H153" s="4" t="str">
        <f>IFERROR(VLOOKUP(B153,infoTable__6[],4,FALSE),"")</f>
        <v/>
      </c>
      <c r="I153" s="4" t="str">
        <f>IFERROR(VLOOKUP(B153,infoTable__28[],4,FALSE),"")</f>
        <v/>
      </c>
      <c r="J153" s="4">
        <f>IFERROR(VLOOKUP(B153,infoTable__10[],4,FALSE),"")</f>
        <v>245730</v>
      </c>
      <c r="K153" s="4" t="str">
        <f>IFERROR(VLOOKUP(B153,infoTable__11[],4,FALSE),"")</f>
        <v/>
      </c>
      <c r="L153" s="4" t="str">
        <f>IFERROR(VLOOKUP(B153,infoTable__12[],4,FALSE),"")</f>
        <v/>
      </c>
      <c r="M153" s="4" t="str">
        <f>IFERROR(VLOOKUP(B153,infoTable__13[],4,FALSE),"")</f>
        <v/>
      </c>
      <c r="N153" s="4" t="str">
        <f>IFERROR(VLOOKUP(B153,infoTable__14[],4,FALSE),"")</f>
        <v/>
      </c>
      <c r="O153" s="4">
        <f>IFERROR(VLOOKUP(B153,infoTable__15[],4,FALSE),"")</f>
        <v>133121</v>
      </c>
      <c r="P153" s="4">
        <f>IFERROR(VLOOKUP(B153,infoTable__16[],4,FALSE),"")</f>
        <v>433837</v>
      </c>
    </row>
    <row r="154" spans="1:16" x14ac:dyDescent="0.55000000000000004">
      <c r="A154" t="s">
        <v>2175</v>
      </c>
      <c r="B154" t="s">
        <v>2176</v>
      </c>
      <c r="C154" s="4" t="str">
        <f>IFERROR(VLOOKUP(B154,infoTable10[],4,FALSE),"")</f>
        <v/>
      </c>
      <c r="D154" s="4" t="str">
        <f>IFERROR(VLOOKUP(B154,infoTable__2[],4,FALSE),"")</f>
        <v/>
      </c>
      <c r="E154" s="4" t="str">
        <f>IFERROR(VLOOKUP(B154,infoTable__3[],4,FALSE),"")</f>
        <v/>
      </c>
      <c r="F154" s="4" t="str">
        <f>IFERROR(VLOOKUP(B154,infoTable__4[],4,FALSE),"")</f>
        <v/>
      </c>
      <c r="G154" s="4" t="str">
        <f>IFERROR(VLOOKUP(B154,infoTable[],4,FALSE),"")</f>
        <v/>
      </c>
      <c r="H154" s="4" t="str">
        <f>IFERROR(VLOOKUP(B154,infoTable__6[],4,FALSE),"")</f>
        <v/>
      </c>
      <c r="I154" s="4" t="str">
        <f>IFERROR(VLOOKUP(B154,infoTable__28[],4,FALSE),"")</f>
        <v/>
      </c>
      <c r="J154" s="4" t="str">
        <f>IFERROR(VLOOKUP(B154,infoTable__10[],4,FALSE),"")</f>
        <v/>
      </c>
      <c r="K154" s="4" t="str">
        <f>IFERROR(VLOOKUP(B154,infoTable__11[],4,FALSE),"")</f>
        <v/>
      </c>
      <c r="L154" s="4">
        <f>IFERROR(VLOOKUP(B154,infoTable__12[],4,FALSE),"")</f>
        <v>1622155</v>
      </c>
      <c r="M154" s="4">
        <f>IFERROR(VLOOKUP(B154,infoTable__13[],4,FALSE),"")</f>
        <v>8887089</v>
      </c>
      <c r="N154" s="4">
        <f>IFERROR(VLOOKUP(B154,infoTable__14[],4,FALSE),"")</f>
        <v>515901</v>
      </c>
      <c r="O154" s="4">
        <f>IFERROR(VLOOKUP(B154,infoTable__15[],4,FALSE),"")</f>
        <v>387584</v>
      </c>
      <c r="P154" s="4" t="str">
        <f>IFERROR(VLOOKUP(B154,infoTable__16[],4,FALSE),"")</f>
        <v/>
      </c>
    </row>
    <row r="155" spans="1:16" x14ac:dyDescent="0.55000000000000004">
      <c r="A155" t="s">
        <v>109</v>
      </c>
      <c r="B155" t="s">
        <v>110</v>
      </c>
      <c r="C155" s="4" t="str">
        <f>IFERROR(VLOOKUP(B155,infoTable10[],4,FALSE),"")</f>
        <v/>
      </c>
      <c r="D155" s="4" t="str">
        <f>IFERROR(VLOOKUP(B155,infoTable__2[],4,FALSE),"")</f>
        <v/>
      </c>
      <c r="E155" s="4" t="str">
        <f>IFERROR(VLOOKUP(B155,infoTable__3[],4,FALSE),"")</f>
        <v/>
      </c>
      <c r="F155" s="4" t="str">
        <f>IFERROR(VLOOKUP(B155,infoTable__4[],4,FALSE),"")</f>
        <v/>
      </c>
      <c r="G155" s="4">
        <f>IFERROR(VLOOKUP(B155,infoTable[],4,FALSE),"")</f>
        <v>1464771</v>
      </c>
      <c r="H155" s="4" t="str">
        <f>IFERROR(VLOOKUP(B155,infoTable__6[],4,FALSE),"")</f>
        <v/>
      </c>
      <c r="I155" s="4" t="str">
        <f>IFERROR(VLOOKUP(B155,infoTable__28[],4,FALSE),"")</f>
        <v/>
      </c>
      <c r="J155" s="4" t="str">
        <f>IFERROR(VLOOKUP(B155,infoTable__10[],4,FALSE),"")</f>
        <v/>
      </c>
      <c r="K155" s="4" t="str">
        <f>IFERROR(VLOOKUP(B155,infoTable__11[],4,FALSE),"")</f>
        <v/>
      </c>
      <c r="L155" s="4" t="str">
        <f>IFERROR(VLOOKUP(B155,infoTable__12[],4,FALSE),"")</f>
        <v/>
      </c>
      <c r="M155" s="4" t="str">
        <f>IFERROR(VLOOKUP(B155,infoTable__13[],4,FALSE),"")</f>
        <v/>
      </c>
      <c r="N155" s="4" t="str">
        <f>IFERROR(VLOOKUP(B155,infoTable__14[],4,FALSE),"")</f>
        <v/>
      </c>
      <c r="O155" s="4" t="str">
        <f>IFERROR(VLOOKUP(B155,infoTable__15[],4,FALSE),"")</f>
        <v/>
      </c>
      <c r="P155" s="4" t="str">
        <f>IFERROR(VLOOKUP(B155,infoTable__16[],4,FALSE),"")</f>
        <v/>
      </c>
    </row>
    <row r="156" spans="1:16" x14ac:dyDescent="0.55000000000000004">
      <c r="A156" t="s">
        <v>1571</v>
      </c>
      <c r="B156" t="s">
        <v>112</v>
      </c>
      <c r="C156" s="4" t="str">
        <f>IFERROR(VLOOKUP(B156,infoTable10[],4,FALSE),"")</f>
        <v/>
      </c>
      <c r="D156" s="4" t="str">
        <f>IFERROR(VLOOKUP(B156,infoTable__2[],4,FALSE),"")</f>
        <v/>
      </c>
      <c r="E156" s="4" t="str">
        <f>IFERROR(VLOOKUP(B156,infoTable__3[],4,FALSE),"")</f>
        <v/>
      </c>
      <c r="F156" s="4" t="str">
        <f>IFERROR(VLOOKUP(B156,infoTable__4[],4,FALSE),"")</f>
        <v/>
      </c>
      <c r="G156" s="4">
        <f>IFERROR(VLOOKUP(B156,infoTable[],4,FALSE),"")</f>
        <v>303485</v>
      </c>
      <c r="H156" s="4" t="str">
        <f>IFERROR(VLOOKUP(B156,infoTable__6[],4,FALSE),"")</f>
        <v/>
      </c>
      <c r="I156" s="4" t="str">
        <f>IFERROR(VLOOKUP(B156,infoTable__28[],4,FALSE),"")</f>
        <v/>
      </c>
      <c r="J156" s="4" t="str">
        <f>IFERROR(VLOOKUP(B156,infoTable__10[],4,FALSE),"")</f>
        <v/>
      </c>
      <c r="K156" s="4" t="str">
        <f>IFERROR(VLOOKUP(B156,infoTable__11[],4,FALSE),"")</f>
        <v/>
      </c>
      <c r="L156" s="4" t="str">
        <f>IFERROR(VLOOKUP(B156,infoTable__12[],4,FALSE),"")</f>
        <v/>
      </c>
      <c r="M156" s="4" t="str">
        <f>IFERROR(VLOOKUP(B156,infoTable__13[],4,FALSE),"")</f>
        <v/>
      </c>
      <c r="N156" s="4" t="str">
        <f>IFERROR(VLOOKUP(B156,infoTable__14[],4,FALSE),"")</f>
        <v/>
      </c>
      <c r="O156" s="4" t="str">
        <f>IFERROR(VLOOKUP(B156,infoTable__15[],4,FALSE),"")</f>
        <v/>
      </c>
      <c r="P156" s="4" t="str">
        <f>IFERROR(VLOOKUP(B156,infoTable__16[],4,FALSE),"")</f>
        <v/>
      </c>
    </row>
    <row r="157" spans="1:16" x14ac:dyDescent="0.55000000000000004">
      <c r="A157" t="s">
        <v>1633</v>
      </c>
      <c r="B157" t="s">
        <v>1634</v>
      </c>
      <c r="C157" s="4" t="str">
        <f>IFERROR(VLOOKUP(B157,infoTable10[],4,FALSE),"")</f>
        <v/>
      </c>
      <c r="D157" s="4" t="str">
        <f>IFERROR(VLOOKUP(B157,infoTable__2[],4,FALSE),"")</f>
        <v/>
      </c>
      <c r="E157" s="4" t="str">
        <f>IFERROR(VLOOKUP(B157,infoTable__3[],4,FALSE),"")</f>
        <v/>
      </c>
      <c r="F157" s="4" t="str">
        <f>IFERROR(VLOOKUP(B157,infoTable__4[],4,FALSE),"")</f>
        <v/>
      </c>
      <c r="G157" s="4" t="str">
        <f>IFERROR(VLOOKUP(B157,infoTable[],4,FALSE),"")</f>
        <v/>
      </c>
      <c r="H157" s="4" t="str">
        <f>IFERROR(VLOOKUP(B157,infoTable__6[],4,FALSE),"")</f>
        <v/>
      </c>
      <c r="I157" s="4" t="str">
        <f>IFERROR(VLOOKUP(B157,infoTable__28[],4,FALSE),"")</f>
        <v/>
      </c>
      <c r="J157" s="4">
        <f>IFERROR(VLOOKUP(B157,infoTable__10[],4,FALSE),"")</f>
        <v>464648</v>
      </c>
      <c r="K157" s="4">
        <f>IFERROR(VLOOKUP(B157,infoTable__11[],4,FALSE),"")</f>
        <v>239512</v>
      </c>
      <c r="L157" s="4" t="str">
        <f>IFERROR(VLOOKUP(B157,infoTable__12[],4,FALSE),"")</f>
        <v/>
      </c>
      <c r="M157" s="4" t="str">
        <f>IFERROR(VLOOKUP(B157,infoTable__13[],4,FALSE),"")</f>
        <v/>
      </c>
      <c r="N157" s="4" t="str">
        <f>IFERROR(VLOOKUP(B157,infoTable__14[],4,FALSE),"")</f>
        <v/>
      </c>
      <c r="O157" s="4" t="str">
        <f>IFERROR(VLOOKUP(B157,infoTable__15[],4,FALSE),"")</f>
        <v/>
      </c>
      <c r="P157" s="4">
        <f>IFERROR(VLOOKUP(B157,infoTable__16[],4,FALSE),"")</f>
        <v>2332569</v>
      </c>
    </row>
    <row r="158" spans="1:16" x14ac:dyDescent="0.55000000000000004">
      <c r="A158" t="s">
        <v>3293</v>
      </c>
      <c r="B158" t="s">
        <v>3294</v>
      </c>
      <c r="C158" s="4" t="str">
        <f>IFERROR(VLOOKUP(B158,infoTable10[],4,FALSE),"")</f>
        <v/>
      </c>
      <c r="D158" s="4" t="str">
        <f>IFERROR(VLOOKUP(B158,infoTable__2[],4,FALSE),"")</f>
        <v/>
      </c>
      <c r="E158" s="4" t="str">
        <f>IFERROR(VLOOKUP(B158,infoTable__3[],4,FALSE),"")</f>
        <v/>
      </c>
      <c r="F158" s="4" t="str">
        <f>IFERROR(VLOOKUP(B158,infoTable__4[],4,FALSE),"")</f>
        <v/>
      </c>
      <c r="G158" s="4" t="str">
        <f>IFERROR(VLOOKUP(B158,infoTable[],4,FALSE),"")</f>
        <v/>
      </c>
      <c r="H158" s="4" t="str">
        <f>IFERROR(VLOOKUP(B158,infoTable__6[],4,FALSE),"")</f>
        <v/>
      </c>
      <c r="I158" s="4" t="str">
        <f>IFERROR(VLOOKUP(B158,infoTable__28[],4,FALSE),"")</f>
        <v/>
      </c>
      <c r="J158" s="4" t="str">
        <f>IFERROR(VLOOKUP(B158,infoTable__10[],4,FALSE),"")</f>
        <v/>
      </c>
      <c r="K158" s="4" t="str">
        <f>IFERROR(VLOOKUP(B158,infoTable__11[],4,FALSE),"")</f>
        <v/>
      </c>
      <c r="L158" s="4" t="str">
        <f>IFERROR(VLOOKUP(B158,infoTable__12[],4,FALSE),"")</f>
        <v/>
      </c>
      <c r="M158" s="4" t="str">
        <f>IFERROR(VLOOKUP(B158,infoTable__13[],4,FALSE),"")</f>
        <v/>
      </c>
      <c r="N158" s="4" t="str">
        <f>IFERROR(VLOOKUP(B158,infoTable__14[],4,FALSE),"")</f>
        <v/>
      </c>
      <c r="O158" s="4" t="str">
        <f>IFERROR(VLOOKUP(B158,infoTable__15[],4,FALSE),"")</f>
        <v/>
      </c>
      <c r="P158" s="4">
        <f>IFERROR(VLOOKUP(B158,infoTable__16[],4,FALSE),"")</f>
        <v>623758</v>
      </c>
    </row>
    <row r="159" spans="1:16" x14ac:dyDescent="0.55000000000000004">
      <c r="A159" t="s">
        <v>3295</v>
      </c>
      <c r="B159" t="s">
        <v>3296</v>
      </c>
      <c r="C159" s="4" t="str">
        <f>IFERROR(VLOOKUP(B159,infoTable10[],4,FALSE),"")</f>
        <v/>
      </c>
      <c r="D159" s="4" t="str">
        <f>IFERROR(VLOOKUP(B159,infoTable__2[],4,FALSE),"")</f>
        <v/>
      </c>
      <c r="E159" s="4" t="str">
        <f>IFERROR(VLOOKUP(B159,infoTable__3[],4,FALSE),"")</f>
        <v/>
      </c>
      <c r="F159" s="4" t="str">
        <f>IFERROR(VLOOKUP(B159,infoTable__4[],4,FALSE),"")</f>
        <v/>
      </c>
      <c r="G159" s="4" t="str">
        <f>IFERROR(VLOOKUP(B159,infoTable[],4,FALSE),"")</f>
        <v/>
      </c>
      <c r="H159" s="4" t="str">
        <f>IFERROR(VLOOKUP(B159,infoTable__6[],4,FALSE),"")</f>
        <v/>
      </c>
      <c r="I159" s="4" t="str">
        <f>IFERROR(VLOOKUP(B159,infoTable__28[],4,FALSE),"")</f>
        <v/>
      </c>
      <c r="J159" s="4" t="str">
        <f>IFERROR(VLOOKUP(B159,infoTable__10[],4,FALSE),"")</f>
        <v/>
      </c>
      <c r="K159" s="4" t="str">
        <f>IFERROR(VLOOKUP(B159,infoTable__11[],4,FALSE),"")</f>
        <v/>
      </c>
      <c r="L159" s="4" t="str">
        <f>IFERROR(VLOOKUP(B159,infoTable__12[],4,FALSE),"")</f>
        <v/>
      </c>
      <c r="M159" s="4" t="str">
        <f>IFERROR(VLOOKUP(B159,infoTable__13[],4,FALSE),"")</f>
        <v/>
      </c>
      <c r="N159" s="4" t="str">
        <f>IFERROR(VLOOKUP(B159,infoTable__14[],4,FALSE),"")</f>
        <v/>
      </c>
      <c r="O159" s="4" t="str">
        <f>IFERROR(VLOOKUP(B159,infoTable__15[],4,FALSE),"")</f>
        <v/>
      </c>
      <c r="P159" s="4">
        <f>IFERROR(VLOOKUP(B159,infoTable__16[],4,FALSE),"")</f>
        <v>5696626</v>
      </c>
    </row>
    <row r="160" spans="1:16" x14ac:dyDescent="0.55000000000000004">
      <c r="A160" t="s">
        <v>1635</v>
      </c>
      <c r="B160" t="s">
        <v>1636</v>
      </c>
      <c r="C160" s="4" t="str">
        <f>IFERROR(VLOOKUP(B160,infoTable10[],4,FALSE),"")</f>
        <v/>
      </c>
      <c r="D160" s="4" t="str">
        <f>IFERROR(VLOOKUP(B160,infoTable__2[],4,FALSE),"")</f>
        <v/>
      </c>
      <c r="E160" s="4" t="str">
        <f>IFERROR(VLOOKUP(B160,infoTable__3[],4,FALSE),"")</f>
        <v/>
      </c>
      <c r="F160" s="4" t="str">
        <f>IFERROR(VLOOKUP(B160,infoTable__4[],4,FALSE),"")</f>
        <v/>
      </c>
      <c r="G160" s="4" t="str">
        <f>IFERROR(VLOOKUP(B160,infoTable[],4,FALSE),"")</f>
        <v/>
      </c>
      <c r="H160" s="4" t="str">
        <f>IFERROR(VLOOKUP(B160,infoTable__6[],4,FALSE),"")</f>
        <v/>
      </c>
      <c r="I160" s="4" t="str">
        <f>IFERROR(VLOOKUP(B160,infoTable__28[],4,FALSE),"")</f>
        <v/>
      </c>
      <c r="J160" s="4">
        <f>IFERROR(VLOOKUP(B160,infoTable__10[],4,FALSE),"")</f>
        <v>570721</v>
      </c>
      <c r="K160" s="4" t="str">
        <f>IFERROR(VLOOKUP(B160,infoTable__11[],4,FALSE),"")</f>
        <v/>
      </c>
      <c r="L160" s="4" t="str">
        <f>IFERROR(VLOOKUP(B160,infoTable__12[],4,FALSE),"")</f>
        <v/>
      </c>
      <c r="M160" s="4" t="str">
        <f>IFERROR(VLOOKUP(B160,infoTable__13[],4,FALSE),"")</f>
        <v/>
      </c>
      <c r="N160" s="4" t="str">
        <f>IFERROR(VLOOKUP(B160,infoTable__14[],4,FALSE),"")</f>
        <v/>
      </c>
      <c r="O160" s="4" t="str">
        <f>IFERROR(VLOOKUP(B160,infoTable__15[],4,FALSE),"")</f>
        <v/>
      </c>
      <c r="P160" s="4" t="str">
        <f>IFERROR(VLOOKUP(B160,infoTable__16[],4,FALSE),"")</f>
        <v/>
      </c>
    </row>
    <row r="161" spans="1:16" x14ac:dyDescent="0.55000000000000004">
      <c r="A161" t="s">
        <v>983</v>
      </c>
      <c r="B161" t="s">
        <v>984</v>
      </c>
      <c r="C161" s="4" t="str">
        <f>IFERROR(VLOOKUP(B161,infoTable10[],4,FALSE),"")</f>
        <v/>
      </c>
      <c r="D161" s="4" t="str">
        <f>IFERROR(VLOOKUP(B161,infoTable__2[],4,FALSE),"")</f>
        <v/>
      </c>
      <c r="E161" s="4" t="str">
        <f>IFERROR(VLOOKUP(B161,infoTable__3[],4,FALSE),"")</f>
        <v/>
      </c>
      <c r="F161" s="4" t="str">
        <f>IFERROR(VLOOKUP(B161,infoTable__4[],4,FALSE),"")</f>
        <v/>
      </c>
      <c r="G161" s="4" t="str">
        <f>IFERROR(VLOOKUP(B161,infoTable[],4,FALSE),"")</f>
        <v/>
      </c>
      <c r="H161" s="4">
        <f>IFERROR(VLOOKUP(B161,infoTable__6[],4,FALSE),"")</f>
        <v>295643</v>
      </c>
      <c r="I161" s="4" t="str">
        <f>IFERROR(VLOOKUP(B161,infoTable__28[],4,FALSE),"")</f>
        <v/>
      </c>
      <c r="J161" s="4" t="str">
        <f>IFERROR(VLOOKUP(B161,infoTable__10[],4,FALSE),"")</f>
        <v/>
      </c>
      <c r="K161" s="4" t="str">
        <f>IFERROR(VLOOKUP(B161,infoTable__11[],4,FALSE),"")</f>
        <v/>
      </c>
      <c r="L161" s="4" t="str">
        <f>IFERROR(VLOOKUP(B161,infoTable__12[],4,FALSE),"")</f>
        <v/>
      </c>
      <c r="M161" s="4" t="str">
        <f>IFERROR(VLOOKUP(B161,infoTable__13[],4,FALSE),"")</f>
        <v/>
      </c>
      <c r="N161" s="4" t="str">
        <f>IFERROR(VLOOKUP(B161,infoTable__14[],4,FALSE),"")</f>
        <v/>
      </c>
      <c r="O161" s="4" t="str">
        <f>IFERROR(VLOOKUP(B161,infoTable__15[],4,FALSE),"")</f>
        <v/>
      </c>
      <c r="P161" s="4" t="str">
        <f>IFERROR(VLOOKUP(B161,infoTable__16[],4,FALSE),"")</f>
        <v/>
      </c>
    </row>
    <row r="162" spans="1:16" x14ac:dyDescent="0.55000000000000004">
      <c r="A162" t="s">
        <v>3010</v>
      </c>
      <c r="B162" t="s">
        <v>3011</v>
      </c>
      <c r="C162" s="4" t="str">
        <f>IFERROR(VLOOKUP(B162,infoTable10[],4,FALSE),"")</f>
        <v/>
      </c>
      <c r="D162" s="4" t="str">
        <f>IFERROR(VLOOKUP(B162,infoTable__2[],4,FALSE),"")</f>
        <v/>
      </c>
      <c r="E162" s="4" t="str">
        <f>IFERROR(VLOOKUP(B162,infoTable__3[],4,FALSE),"")</f>
        <v/>
      </c>
      <c r="F162" s="4" t="str">
        <f>IFERROR(VLOOKUP(B162,infoTable__4[],4,FALSE),"")</f>
        <v/>
      </c>
      <c r="G162" s="4" t="str">
        <f>IFERROR(VLOOKUP(B162,infoTable[],4,FALSE),"")</f>
        <v/>
      </c>
      <c r="H162" s="4" t="str">
        <f>IFERROR(VLOOKUP(B162,infoTable__6[],4,FALSE),"")</f>
        <v/>
      </c>
      <c r="I162" s="4" t="str">
        <f>IFERROR(VLOOKUP(B162,infoTable__28[],4,FALSE),"")</f>
        <v/>
      </c>
      <c r="J162" s="4" t="str">
        <f>IFERROR(VLOOKUP(B162,infoTable__10[],4,FALSE),"")</f>
        <v/>
      </c>
      <c r="K162" s="4" t="str">
        <f>IFERROR(VLOOKUP(B162,infoTable__11[],4,FALSE),"")</f>
        <v/>
      </c>
      <c r="L162" s="4" t="str">
        <f>IFERROR(VLOOKUP(B162,infoTable__12[],4,FALSE),"")</f>
        <v/>
      </c>
      <c r="M162" s="4" t="str">
        <f>IFERROR(VLOOKUP(B162,infoTable__13[],4,FALSE),"")</f>
        <v/>
      </c>
      <c r="N162" s="4" t="str">
        <f>IFERROR(VLOOKUP(B162,infoTable__14[],4,FALSE),"")</f>
        <v/>
      </c>
      <c r="O162" s="4">
        <f>IFERROR(VLOOKUP(B162,infoTable__15[],4,FALSE),"")</f>
        <v>723126</v>
      </c>
      <c r="P162" s="4">
        <f>IFERROR(VLOOKUP(B162,infoTable__16[],4,FALSE),"")</f>
        <v>875070</v>
      </c>
    </row>
    <row r="163" spans="1:16" x14ac:dyDescent="0.55000000000000004">
      <c r="A163" t="s">
        <v>3012</v>
      </c>
      <c r="B163" t="s">
        <v>3013</v>
      </c>
      <c r="C163" s="4" t="str">
        <f>IFERROR(VLOOKUP(B163,infoTable10[],4,FALSE),"")</f>
        <v/>
      </c>
      <c r="D163" s="4" t="str">
        <f>IFERROR(VLOOKUP(B163,infoTable__2[],4,FALSE),"")</f>
        <v/>
      </c>
      <c r="E163" s="4" t="str">
        <f>IFERROR(VLOOKUP(B163,infoTable__3[],4,FALSE),"")</f>
        <v/>
      </c>
      <c r="F163" s="4" t="str">
        <f>IFERROR(VLOOKUP(B163,infoTable__4[],4,FALSE),"")</f>
        <v/>
      </c>
      <c r="G163" s="4" t="str">
        <f>IFERROR(VLOOKUP(B163,infoTable[],4,FALSE),"")</f>
        <v/>
      </c>
      <c r="H163" s="4" t="str">
        <f>IFERROR(VLOOKUP(B163,infoTable__6[],4,FALSE),"")</f>
        <v/>
      </c>
      <c r="I163" s="4" t="str">
        <f>IFERROR(VLOOKUP(B163,infoTable__28[],4,FALSE),"")</f>
        <v/>
      </c>
      <c r="J163" s="4" t="str">
        <f>IFERROR(VLOOKUP(B163,infoTable__10[],4,FALSE),"")</f>
        <v/>
      </c>
      <c r="K163" s="4" t="str">
        <f>IFERROR(VLOOKUP(B163,infoTable__11[],4,FALSE),"")</f>
        <v/>
      </c>
      <c r="L163" s="4" t="str">
        <f>IFERROR(VLOOKUP(B163,infoTable__12[],4,FALSE),"")</f>
        <v/>
      </c>
      <c r="M163" s="4" t="str">
        <f>IFERROR(VLOOKUP(B163,infoTable__13[],4,FALSE),"")</f>
        <v/>
      </c>
      <c r="N163" s="4" t="str">
        <f>IFERROR(VLOOKUP(B163,infoTable__14[],4,FALSE),"")</f>
        <v/>
      </c>
      <c r="O163" s="4">
        <f>IFERROR(VLOOKUP(B163,infoTable__15[],4,FALSE),"")</f>
        <v>754417</v>
      </c>
      <c r="P163" s="4">
        <f>IFERROR(VLOOKUP(B163,infoTable__16[],4,FALSE),"")</f>
        <v>1939929</v>
      </c>
    </row>
    <row r="164" spans="1:16" x14ac:dyDescent="0.55000000000000004">
      <c r="A164" t="s">
        <v>1637</v>
      </c>
      <c r="B164" t="s">
        <v>1638</v>
      </c>
      <c r="C164" s="4" t="str">
        <f>IFERROR(VLOOKUP(B164,infoTable10[],4,FALSE),"")</f>
        <v/>
      </c>
      <c r="D164" s="4" t="str">
        <f>IFERROR(VLOOKUP(B164,infoTable__2[],4,FALSE),"")</f>
        <v/>
      </c>
      <c r="E164" s="4" t="str">
        <f>IFERROR(VLOOKUP(B164,infoTable__3[],4,FALSE),"")</f>
        <v/>
      </c>
      <c r="F164" s="4" t="str">
        <f>IFERROR(VLOOKUP(B164,infoTable__4[],4,FALSE),"")</f>
        <v/>
      </c>
      <c r="G164" s="4" t="str">
        <f>IFERROR(VLOOKUP(B164,infoTable[],4,FALSE),"")</f>
        <v/>
      </c>
      <c r="H164" s="4" t="str">
        <f>IFERROR(VLOOKUP(B164,infoTable__6[],4,FALSE),"")</f>
        <v/>
      </c>
      <c r="I164" s="4" t="str">
        <f>IFERROR(VLOOKUP(B164,infoTable__28[],4,FALSE),"")</f>
        <v/>
      </c>
      <c r="J164" s="4">
        <f>IFERROR(VLOOKUP(B164,infoTable__10[],4,FALSE),"")</f>
        <v>556416</v>
      </c>
      <c r="K164" s="4">
        <f>IFERROR(VLOOKUP(B164,infoTable__11[],4,FALSE),"")</f>
        <v>2036049</v>
      </c>
      <c r="L164" s="4">
        <f>IFERROR(VLOOKUP(B164,infoTable__12[],4,FALSE),"")</f>
        <v>1481206</v>
      </c>
      <c r="M164" s="4" t="str">
        <f>IFERROR(VLOOKUP(B164,infoTable__13[],4,FALSE),"")</f>
        <v/>
      </c>
      <c r="N164" s="4" t="str">
        <f>IFERROR(VLOOKUP(B164,infoTable__14[],4,FALSE),"")</f>
        <v/>
      </c>
      <c r="O164" s="4" t="str">
        <f>IFERROR(VLOOKUP(B164,infoTable__15[],4,FALSE),"")</f>
        <v/>
      </c>
      <c r="P164" s="4">
        <f>IFERROR(VLOOKUP(B164,infoTable__16[],4,FALSE),"")</f>
        <v>1759662</v>
      </c>
    </row>
    <row r="165" spans="1:16" x14ac:dyDescent="0.55000000000000004">
      <c r="A165" t="s">
        <v>3014</v>
      </c>
      <c r="B165" t="s">
        <v>3015</v>
      </c>
      <c r="C165" s="4" t="str">
        <f>IFERROR(VLOOKUP(B165,infoTable10[],4,FALSE),"")</f>
        <v/>
      </c>
      <c r="D165" s="4" t="str">
        <f>IFERROR(VLOOKUP(B165,infoTable__2[],4,FALSE),"")</f>
        <v/>
      </c>
      <c r="E165" s="4" t="str">
        <f>IFERROR(VLOOKUP(B165,infoTable__3[],4,FALSE),"")</f>
        <v/>
      </c>
      <c r="F165" s="4" t="str">
        <f>IFERROR(VLOOKUP(B165,infoTable__4[],4,FALSE),"")</f>
        <v/>
      </c>
      <c r="G165" s="4" t="str">
        <f>IFERROR(VLOOKUP(B165,infoTable[],4,FALSE),"")</f>
        <v/>
      </c>
      <c r="H165" s="4" t="str">
        <f>IFERROR(VLOOKUP(B165,infoTable__6[],4,FALSE),"")</f>
        <v/>
      </c>
      <c r="I165" s="4" t="str">
        <f>IFERROR(VLOOKUP(B165,infoTable__28[],4,FALSE),"")</f>
        <v/>
      </c>
      <c r="J165" s="4" t="str">
        <f>IFERROR(VLOOKUP(B165,infoTable__10[],4,FALSE),"")</f>
        <v/>
      </c>
      <c r="K165" s="4" t="str">
        <f>IFERROR(VLOOKUP(B165,infoTable__11[],4,FALSE),"")</f>
        <v/>
      </c>
      <c r="L165" s="4" t="str">
        <f>IFERROR(VLOOKUP(B165,infoTable__12[],4,FALSE),"")</f>
        <v/>
      </c>
      <c r="M165" s="4" t="str">
        <f>IFERROR(VLOOKUP(B165,infoTable__13[],4,FALSE),"")</f>
        <v/>
      </c>
      <c r="N165" s="4" t="str">
        <f>IFERROR(VLOOKUP(B165,infoTable__14[],4,FALSE),"")</f>
        <v/>
      </c>
      <c r="O165" s="4">
        <f>IFERROR(VLOOKUP(B165,infoTable__15[],4,FALSE),"")</f>
        <v>295957</v>
      </c>
      <c r="P165" s="4">
        <f>IFERROR(VLOOKUP(B165,infoTable__16[],4,FALSE),"")</f>
        <v>198722</v>
      </c>
    </row>
    <row r="166" spans="1:16" x14ac:dyDescent="0.55000000000000004">
      <c r="A166" t="s">
        <v>1572</v>
      </c>
      <c r="B166" t="s">
        <v>118</v>
      </c>
      <c r="C166" s="4" t="str">
        <f>IFERROR(VLOOKUP(B166,infoTable10[],4,FALSE),"")</f>
        <v/>
      </c>
      <c r="D166" s="4" t="str">
        <f>IFERROR(VLOOKUP(B166,infoTable__2[],4,FALSE),"")</f>
        <v/>
      </c>
      <c r="E166" s="4" t="str">
        <f>IFERROR(VLOOKUP(B166,infoTable__3[],4,FALSE),"")</f>
        <v/>
      </c>
      <c r="F166" s="4">
        <f>IFERROR(VLOOKUP(B166,infoTable__4[],4,FALSE),"")</f>
        <v>3452323</v>
      </c>
      <c r="G166" s="4">
        <f>IFERROR(VLOOKUP(B166,infoTable[],4,FALSE),"")</f>
        <v>4299942</v>
      </c>
      <c r="H166" s="4">
        <f>IFERROR(VLOOKUP(B166,infoTable__6[],4,FALSE),"")</f>
        <v>2302743</v>
      </c>
      <c r="I166" s="4" t="str">
        <f>IFERROR(VLOOKUP(B166,infoTable__28[],4,FALSE),"")</f>
        <v/>
      </c>
      <c r="J166" s="4" t="str">
        <f>IFERROR(VLOOKUP(B166,infoTable__10[],4,FALSE),"")</f>
        <v/>
      </c>
      <c r="K166" s="4" t="str">
        <f>IFERROR(VLOOKUP(B166,infoTable__11[],4,FALSE),"")</f>
        <v/>
      </c>
      <c r="L166" s="4" t="str">
        <f>IFERROR(VLOOKUP(B166,infoTable__12[],4,FALSE),"")</f>
        <v/>
      </c>
      <c r="M166" s="4" t="str">
        <f>IFERROR(VLOOKUP(B166,infoTable__13[],4,FALSE),"")</f>
        <v/>
      </c>
      <c r="N166" s="4" t="str">
        <f>IFERROR(VLOOKUP(B166,infoTable__14[],4,FALSE),"")</f>
        <v/>
      </c>
      <c r="O166" s="4">
        <f>IFERROR(VLOOKUP(B166,infoTable__15[],4,FALSE),"")</f>
        <v>910025</v>
      </c>
      <c r="P166" s="4">
        <f>IFERROR(VLOOKUP(B166,infoTable__16[],4,FALSE),"")</f>
        <v>1958338</v>
      </c>
    </row>
    <row r="167" spans="1:16" x14ac:dyDescent="0.55000000000000004">
      <c r="A167" t="s">
        <v>1858</v>
      </c>
      <c r="B167" t="s">
        <v>1859</v>
      </c>
      <c r="C167" s="4" t="str">
        <f>IFERROR(VLOOKUP(B167,infoTable10[],4,FALSE),"")</f>
        <v/>
      </c>
      <c r="D167" s="4" t="str">
        <f>IFERROR(VLOOKUP(B167,infoTable__2[],4,FALSE),"")</f>
        <v/>
      </c>
      <c r="E167" s="4" t="str">
        <f>IFERROR(VLOOKUP(B167,infoTable__3[],4,FALSE),"")</f>
        <v/>
      </c>
      <c r="F167" s="4" t="str">
        <f>IFERROR(VLOOKUP(B167,infoTable__4[],4,FALSE),"")</f>
        <v/>
      </c>
      <c r="G167" s="4" t="str">
        <f>IFERROR(VLOOKUP(B167,infoTable[],4,FALSE),"")</f>
        <v/>
      </c>
      <c r="H167" s="4" t="str">
        <f>IFERROR(VLOOKUP(B167,infoTable__6[],4,FALSE),"")</f>
        <v/>
      </c>
      <c r="I167" s="4" t="str">
        <f>IFERROR(VLOOKUP(B167,infoTable__28[],4,FALSE),"")</f>
        <v/>
      </c>
      <c r="J167" s="4" t="str">
        <f>IFERROR(VLOOKUP(B167,infoTable__10[],4,FALSE),"")</f>
        <v/>
      </c>
      <c r="K167" s="4">
        <f>IFERROR(VLOOKUP(B167,infoTable__11[],4,FALSE),"")</f>
        <v>1155411</v>
      </c>
      <c r="L167" s="4">
        <f>IFERROR(VLOOKUP(B167,infoTable__12[],4,FALSE),"")</f>
        <v>240300</v>
      </c>
      <c r="M167" s="4">
        <f>IFERROR(VLOOKUP(B167,infoTable__13[],4,FALSE),"")</f>
        <v>6468108</v>
      </c>
      <c r="N167" s="4">
        <f>IFERROR(VLOOKUP(B167,infoTable__14[],4,FALSE),"")</f>
        <v>2588416</v>
      </c>
      <c r="O167" s="4">
        <f>IFERROR(VLOOKUP(B167,infoTable__15[],4,FALSE),"")</f>
        <v>1398249</v>
      </c>
      <c r="P167" s="4">
        <f>IFERROR(VLOOKUP(B167,infoTable__16[],4,FALSE),"")</f>
        <v>1061281</v>
      </c>
    </row>
    <row r="168" spans="1:16" x14ac:dyDescent="0.55000000000000004">
      <c r="A168" t="s">
        <v>3305</v>
      </c>
      <c r="B168" t="s">
        <v>3306</v>
      </c>
      <c r="C168" s="4" t="str">
        <f>IFERROR(VLOOKUP(B168,infoTable10[],4,FALSE),"")</f>
        <v/>
      </c>
      <c r="D168" s="4" t="str">
        <f>IFERROR(VLOOKUP(B168,infoTable__2[],4,FALSE),"")</f>
        <v/>
      </c>
      <c r="E168" s="4" t="str">
        <f>IFERROR(VLOOKUP(B168,infoTable__3[],4,FALSE),"")</f>
        <v/>
      </c>
      <c r="F168" s="4" t="str">
        <f>IFERROR(VLOOKUP(B168,infoTable__4[],4,FALSE),"")</f>
        <v/>
      </c>
      <c r="G168" s="4" t="str">
        <f>IFERROR(VLOOKUP(B168,infoTable[],4,FALSE),"")</f>
        <v/>
      </c>
      <c r="H168" s="4" t="str">
        <f>IFERROR(VLOOKUP(B168,infoTable__6[],4,FALSE),"")</f>
        <v/>
      </c>
      <c r="I168" s="4" t="str">
        <f>IFERROR(VLOOKUP(B168,infoTable__28[],4,FALSE),"")</f>
        <v/>
      </c>
      <c r="J168" s="4" t="str">
        <f>IFERROR(VLOOKUP(B168,infoTable__10[],4,FALSE),"")</f>
        <v/>
      </c>
      <c r="K168" s="4" t="str">
        <f>IFERROR(VLOOKUP(B168,infoTable__11[],4,FALSE),"")</f>
        <v/>
      </c>
      <c r="L168" s="4" t="str">
        <f>IFERROR(VLOOKUP(B168,infoTable__12[],4,FALSE),"")</f>
        <v/>
      </c>
      <c r="M168" s="4" t="str">
        <f>IFERROR(VLOOKUP(B168,infoTable__13[],4,FALSE),"")</f>
        <v/>
      </c>
      <c r="N168" s="4" t="str">
        <f>IFERROR(VLOOKUP(B168,infoTable__14[],4,FALSE),"")</f>
        <v/>
      </c>
      <c r="O168" s="4" t="str">
        <f>IFERROR(VLOOKUP(B168,infoTable__15[],4,FALSE),"")</f>
        <v/>
      </c>
      <c r="P168" s="4">
        <f>IFERROR(VLOOKUP(B168,infoTable__16[],4,FALSE),"")</f>
        <v>250965</v>
      </c>
    </row>
    <row r="169" spans="1:16" x14ac:dyDescent="0.55000000000000004">
      <c r="A169" t="s">
        <v>549</v>
      </c>
      <c r="B169" t="s">
        <v>550</v>
      </c>
      <c r="C169" s="4">
        <f>IFERROR(VLOOKUP(B169,infoTable10[],4,FALSE),"")</f>
        <v>493527</v>
      </c>
      <c r="D169" s="4">
        <f>IFERROR(VLOOKUP(B169,infoTable__2[],4,FALSE),"")</f>
        <v>170489</v>
      </c>
      <c r="E169" s="4" t="str">
        <f>IFERROR(VLOOKUP(B169,infoTable__3[],4,FALSE),"")</f>
        <v/>
      </c>
      <c r="F169" s="4" t="str">
        <f>IFERROR(VLOOKUP(B169,infoTable__4[],4,FALSE),"")</f>
        <v/>
      </c>
      <c r="G169" s="4" t="str">
        <f>IFERROR(VLOOKUP(B169,infoTable[],4,FALSE),"")</f>
        <v/>
      </c>
      <c r="H169" s="4" t="str">
        <f>IFERROR(VLOOKUP(B169,infoTable__6[],4,FALSE),"")</f>
        <v/>
      </c>
      <c r="I169" s="4" t="str">
        <f>IFERROR(VLOOKUP(B169,infoTable__28[],4,FALSE),"")</f>
        <v/>
      </c>
      <c r="J169" s="4" t="str">
        <f>IFERROR(VLOOKUP(B169,infoTable__10[],4,FALSE),"")</f>
        <v/>
      </c>
      <c r="K169" s="4">
        <f>IFERROR(VLOOKUP(B169,infoTable__11[],4,FALSE),"")</f>
        <v>259851</v>
      </c>
      <c r="L169" s="4" t="str">
        <f>IFERROR(VLOOKUP(B169,infoTable__12[],4,FALSE),"")</f>
        <v/>
      </c>
      <c r="M169" s="4" t="str">
        <f>IFERROR(VLOOKUP(B169,infoTable__13[],4,FALSE),"")</f>
        <v/>
      </c>
      <c r="N169" s="4" t="str">
        <f>IFERROR(VLOOKUP(B169,infoTable__14[],4,FALSE),"")</f>
        <v/>
      </c>
      <c r="O169" s="4" t="str">
        <f>IFERROR(VLOOKUP(B169,infoTable__15[],4,FALSE),"")</f>
        <v/>
      </c>
      <c r="P169" s="4" t="str">
        <f>IFERROR(VLOOKUP(B169,infoTable__16[],4,FALSE),"")</f>
        <v/>
      </c>
    </row>
    <row r="170" spans="1:16" x14ac:dyDescent="0.55000000000000004">
      <c r="A170" t="s">
        <v>1645</v>
      </c>
      <c r="B170" t="s">
        <v>1646</v>
      </c>
      <c r="C170" s="4" t="str">
        <f>IFERROR(VLOOKUP(B170,infoTable10[],4,FALSE),"")</f>
        <v/>
      </c>
      <c r="D170" s="4" t="str">
        <f>IFERROR(VLOOKUP(B170,infoTable__2[],4,FALSE),"")</f>
        <v/>
      </c>
      <c r="E170" s="4" t="str">
        <f>IFERROR(VLOOKUP(B170,infoTable__3[],4,FALSE),"")</f>
        <v/>
      </c>
      <c r="F170" s="4" t="str">
        <f>IFERROR(VLOOKUP(B170,infoTable__4[],4,FALSE),"")</f>
        <v/>
      </c>
      <c r="G170" s="4" t="str">
        <f>IFERROR(VLOOKUP(B170,infoTable[],4,FALSE),"")</f>
        <v/>
      </c>
      <c r="H170" s="4" t="str">
        <f>IFERROR(VLOOKUP(B170,infoTable__6[],4,FALSE),"")</f>
        <v/>
      </c>
      <c r="I170" s="4" t="str">
        <f>IFERROR(VLOOKUP(B170,infoTable__28[],4,FALSE),"")</f>
        <v/>
      </c>
      <c r="J170" s="4">
        <f>IFERROR(VLOOKUP(B170,infoTable__10[],4,FALSE),"")</f>
        <v>345245</v>
      </c>
      <c r="K170" s="4" t="str">
        <f>IFERROR(VLOOKUP(B170,infoTable__11[],4,FALSE),"")</f>
        <v/>
      </c>
      <c r="L170" s="4" t="str">
        <f>IFERROR(VLOOKUP(B170,infoTable__12[],4,FALSE),"")</f>
        <v/>
      </c>
      <c r="M170" s="4" t="str">
        <f>IFERROR(VLOOKUP(B170,infoTable__13[],4,FALSE),"")</f>
        <v/>
      </c>
      <c r="N170" s="4" t="str">
        <f>IFERROR(VLOOKUP(B170,infoTable__14[],4,FALSE),"")</f>
        <v/>
      </c>
      <c r="O170" s="4" t="str">
        <f>IFERROR(VLOOKUP(B170,infoTable__15[],4,FALSE),"")</f>
        <v/>
      </c>
      <c r="P170" s="4" t="str">
        <f>IFERROR(VLOOKUP(B170,infoTable__16[],4,FALSE),"")</f>
        <v/>
      </c>
    </row>
    <row r="171" spans="1:16" x14ac:dyDescent="0.55000000000000004">
      <c r="A171" t="s">
        <v>119</v>
      </c>
      <c r="B171" t="s">
        <v>120</v>
      </c>
      <c r="C171" s="4" t="str">
        <f>IFERROR(VLOOKUP(B171,infoTable10[],4,FALSE),"")</f>
        <v/>
      </c>
      <c r="D171" s="4" t="str">
        <f>IFERROR(VLOOKUP(B171,infoTable__2[],4,FALSE),"")</f>
        <v/>
      </c>
      <c r="E171" s="4" t="str">
        <f>IFERROR(VLOOKUP(B171,infoTable__3[],4,FALSE),"")</f>
        <v/>
      </c>
      <c r="F171" s="4" t="str">
        <f>IFERROR(VLOOKUP(B171,infoTable__4[],4,FALSE),"")</f>
        <v/>
      </c>
      <c r="G171" s="4">
        <f>IFERROR(VLOOKUP(B171,infoTable[],4,FALSE),"")</f>
        <v>1012445</v>
      </c>
      <c r="H171" s="4">
        <f>IFERROR(VLOOKUP(B171,infoTable__6[],4,FALSE),"")</f>
        <v>1286980</v>
      </c>
      <c r="I171" s="4" t="str">
        <f>IFERROR(VLOOKUP(B171,infoTable__28[],4,FALSE),"")</f>
        <v/>
      </c>
      <c r="J171" s="4">
        <f>IFERROR(VLOOKUP(B171,infoTable__10[],4,FALSE),"")</f>
        <v>326673</v>
      </c>
      <c r="K171" s="4">
        <f>IFERROR(VLOOKUP(B171,infoTable__11[],4,FALSE),"")</f>
        <v>2132415</v>
      </c>
      <c r="L171" s="4">
        <f>IFERROR(VLOOKUP(B171,infoTable__12[],4,FALSE),"")</f>
        <v>1039397</v>
      </c>
      <c r="M171" s="4">
        <f>IFERROR(VLOOKUP(B171,infoTable__13[],4,FALSE),"")</f>
        <v>692574</v>
      </c>
      <c r="N171" s="4" t="str">
        <f>IFERROR(VLOOKUP(B171,infoTable__14[],4,FALSE),"")</f>
        <v/>
      </c>
      <c r="O171" s="4" t="str">
        <f>IFERROR(VLOOKUP(B171,infoTable__15[],4,FALSE),"")</f>
        <v/>
      </c>
      <c r="P171" s="4" t="str">
        <f>IFERROR(VLOOKUP(B171,infoTable__16[],4,FALSE),"")</f>
        <v/>
      </c>
    </row>
    <row r="172" spans="1:16" x14ac:dyDescent="0.55000000000000004">
      <c r="A172" t="s">
        <v>1207</v>
      </c>
      <c r="B172" t="s">
        <v>1208</v>
      </c>
      <c r="C172" s="4" t="str">
        <f>IFERROR(VLOOKUP(B172,infoTable10[],4,FALSE),"")</f>
        <v/>
      </c>
      <c r="D172" s="4" t="str">
        <f>IFERROR(VLOOKUP(B172,infoTable__2[],4,FALSE),"")</f>
        <v/>
      </c>
      <c r="E172" s="4" t="str">
        <f>IFERROR(VLOOKUP(B172,infoTable__3[],4,FALSE),"")</f>
        <v/>
      </c>
      <c r="F172" s="4" t="str">
        <f>IFERROR(VLOOKUP(B172,infoTable__4[],4,FALSE),"")</f>
        <v/>
      </c>
      <c r="G172" s="4" t="str">
        <f>IFERROR(VLOOKUP(B172,infoTable[],4,FALSE),"")</f>
        <v/>
      </c>
      <c r="H172" s="4" t="str">
        <f>IFERROR(VLOOKUP(B172,infoTable__6[],4,FALSE),"")</f>
        <v/>
      </c>
      <c r="I172" s="4">
        <f>IFERROR(VLOOKUP(B172,infoTable__28[],4,FALSE),"")</f>
        <v>243219</v>
      </c>
      <c r="J172" s="4">
        <f>IFERROR(VLOOKUP(B172,infoTable__10[],4,FALSE),"")</f>
        <v>903124</v>
      </c>
      <c r="K172" s="4" t="str">
        <f>IFERROR(VLOOKUP(B172,infoTable__11[],4,FALSE),"")</f>
        <v/>
      </c>
      <c r="L172" s="4">
        <f>IFERROR(VLOOKUP(B172,infoTable__12[],4,FALSE),"")</f>
        <v>2673675</v>
      </c>
      <c r="M172" s="4">
        <f>IFERROR(VLOOKUP(B172,infoTable__13[],4,FALSE),"")</f>
        <v>1207560</v>
      </c>
      <c r="N172" s="4" t="str">
        <f>IFERROR(VLOOKUP(B172,infoTable__14[],4,FALSE),"")</f>
        <v/>
      </c>
      <c r="O172" s="4" t="str">
        <f>IFERROR(VLOOKUP(B172,infoTable__15[],4,FALSE),"")</f>
        <v/>
      </c>
      <c r="P172" s="4">
        <f>IFERROR(VLOOKUP(B172,infoTable__16[],4,FALSE),"")</f>
        <v>412604</v>
      </c>
    </row>
    <row r="173" spans="1:16" x14ac:dyDescent="0.55000000000000004">
      <c r="A173" t="s">
        <v>3307</v>
      </c>
      <c r="B173" t="s">
        <v>3308</v>
      </c>
      <c r="C173" s="4" t="str">
        <f>IFERROR(VLOOKUP(B173,infoTable10[],4,FALSE),"")</f>
        <v/>
      </c>
      <c r="D173" s="4" t="str">
        <f>IFERROR(VLOOKUP(B173,infoTable__2[],4,FALSE),"")</f>
        <v/>
      </c>
      <c r="E173" s="4" t="str">
        <f>IFERROR(VLOOKUP(B173,infoTable__3[],4,FALSE),"")</f>
        <v/>
      </c>
      <c r="F173" s="4" t="str">
        <f>IFERROR(VLOOKUP(B173,infoTable__4[],4,FALSE),"")</f>
        <v/>
      </c>
      <c r="G173" s="4" t="str">
        <f>IFERROR(VLOOKUP(B173,infoTable[],4,FALSE),"")</f>
        <v/>
      </c>
      <c r="H173" s="4" t="str">
        <f>IFERROR(VLOOKUP(B173,infoTable__6[],4,FALSE),"")</f>
        <v/>
      </c>
      <c r="I173" s="4" t="str">
        <f>IFERROR(VLOOKUP(B173,infoTable__28[],4,FALSE),"")</f>
        <v/>
      </c>
      <c r="J173" s="4" t="str">
        <f>IFERROR(VLOOKUP(B173,infoTable__10[],4,FALSE),"")</f>
        <v/>
      </c>
      <c r="K173" s="4" t="str">
        <f>IFERROR(VLOOKUP(B173,infoTable__11[],4,FALSE),"")</f>
        <v/>
      </c>
      <c r="L173" s="4" t="str">
        <f>IFERROR(VLOOKUP(B173,infoTable__12[],4,FALSE),"")</f>
        <v/>
      </c>
      <c r="M173" s="4" t="str">
        <f>IFERROR(VLOOKUP(B173,infoTable__13[],4,FALSE),"")</f>
        <v/>
      </c>
      <c r="N173" s="4" t="str">
        <f>IFERROR(VLOOKUP(B173,infoTable__14[],4,FALSE),"")</f>
        <v/>
      </c>
      <c r="O173" s="4" t="str">
        <f>IFERROR(VLOOKUP(B173,infoTable__15[],4,FALSE),"")</f>
        <v/>
      </c>
      <c r="P173" s="4">
        <f>IFERROR(VLOOKUP(B173,infoTable__16[],4,FALSE),"")</f>
        <v>376205</v>
      </c>
    </row>
    <row r="174" spans="1:16" x14ac:dyDescent="0.55000000000000004">
      <c r="A174" t="s">
        <v>2451</v>
      </c>
      <c r="B174" t="s">
        <v>2453</v>
      </c>
      <c r="C174" s="4" t="str">
        <f>IFERROR(VLOOKUP(B174,infoTable10[],4,FALSE),"")</f>
        <v/>
      </c>
      <c r="D174" s="4" t="str">
        <f>IFERROR(VLOOKUP(B174,infoTable__2[],4,FALSE),"")</f>
        <v/>
      </c>
      <c r="E174" s="4" t="str">
        <f>IFERROR(VLOOKUP(B174,infoTable__3[],4,FALSE),"")</f>
        <v/>
      </c>
      <c r="F174" s="4" t="str">
        <f>IFERROR(VLOOKUP(B174,infoTable__4[],4,FALSE),"")</f>
        <v/>
      </c>
      <c r="G174" s="4" t="str">
        <f>IFERROR(VLOOKUP(B174,infoTable[],4,FALSE),"")</f>
        <v/>
      </c>
      <c r="H174" s="4" t="str">
        <f>IFERROR(VLOOKUP(B174,infoTable__6[],4,FALSE),"")</f>
        <v/>
      </c>
      <c r="I174" s="4" t="str">
        <f>IFERROR(VLOOKUP(B174,infoTable__28[],4,FALSE),"")</f>
        <v/>
      </c>
      <c r="J174" s="4" t="str">
        <f>IFERROR(VLOOKUP(B174,infoTable__10[],4,FALSE),"")</f>
        <v/>
      </c>
      <c r="K174" s="4" t="str">
        <f>IFERROR(VLOOKUP(B174,infoTable__11[],4,FALSE),"")</f>
        <v/>
      </c>
      <c r="L174" s="4" t="str">
        <f>IFERROR(VLOOKUP(B174,infoTable__12[],4,FALSE),"")</f>
        <v/>
      </c>
      <c r="M174" s="4">
        <f>IFERROR(VLOOKUP(B174,infoTable__13[],4,FALSE),"")</f>
        <v>801646</v>
      </c>
      <c r="N174" s="4">
        <f>IFERROR(VLOOKUP(B174,infoTable__14[],4,FALSE),"")</f>
        <v>699508</v>
      </c>
      <c r="O174" s="4">
        <f>IFERROR(VLOOKUP(B174,infoTable__15[],4,FALSE),"")</f>
        <v>471755</v>
      </c>
      <c r="P174" s="4">
        <f>IFERROR(VLOOKUP(B174,infoTable__16[],4,FALSE),"")</f>
        <v>289565</v>
      </c>
    </row>
    <row r="175" spans="1:16" x14ac:dyDescent="0.55000000000000004">
      <c r="A175" t="s">
        <v>985</v>
      </c>
      <c r="B175" t="s">
        <v>986</v>
      </c>
      <c r="C175" s="4" t="str">
        <f>IFERROR(VLOOKUP(B175,infoTable10[],4,FALSE),"")</f>
        <v/>
      </c>
      <c r="D175" s="4" t="str">
        <f>IFERROR(VLOOKUP(B175,infoTable__2[],4,FALSE),"")</f>
        <v/>
      </c>
      <c r="E175" s="4" t="str">
        <f>IFERROR(VLOOKUP(B175,infoTable__3[],4,FALSE),"")</f>
        <v/>
      </c>
      <c r="F175" s="4" t="str">
        <f>IFERROR(VLOOKUP(B175,infoTable__4[],4,FALSE),"")</f>
        <v/>
      </c>
      <c r="G175" s="4" t="str">
        <f>IFERROR(VLOOKUP(B175,infoTable[],4,FALSE),"")</f>
        <v/>
      </c>
      <c r="H175" s="4">
        <f>IFERROR(VLOOKUP(B175,infoTable__6[],4,FALSE),"")</f>
        <v>3983081</v>
      </c>
      <c r="I175" s="4">
        <f>IFERROR(VLOOKUP(B175,infoTable__28[],4,FALSE),"")</f>
        <v>611478</v>
      </c>
      <c r="J175" s="4" t="str">
        <f>IFERROR(VLOOKUP(B175,infoTable__10[],4,FALSE),"")</f>
        <v/>
      </c>
      <c r="K175" s="4" t="str">
        <f>IFERROR(VLOOKUP(B175,infoTable__11[],4,FALSE),"")</f>
        <v/>
      </c>
      <c r="L175" s="4" t="str">
        <f>IFERROR(VLOOKUP(B175,infoTable__12[],4,FALSE),"")</f>
        <v/>
      </c>
      <c r="M175" s="4" t="str">
        <f>IFERROR(VLOOKUP(B175,infoTable__13[],4,FALSE),"")</f>
        <v/>
      </c>
      <c r="N175" s="4" t="str">
        <f>IFERROR(VLOOKUP(B175,infoTable__14[],4,FALSE),"")</f>
        <v/>
      </c>
      <c r="O175" s="4" t="str">
        <f>IFERROR(VLOOKUP(B175,infoTable__15[],4,FALSE),"")</f>
        <v/>
      </c>
      <c r="P175" s="4" t="str">
        <f>IFERROR(VLOOKUP(B175,infoTable__16[],4,FALSE),"")</f>
        <v/>
      </c>
    </row>
    <row r="176" spans="1:16" x14ac:dyDescent="0.55000000000000004">
      <c r="A176" t="s">
        <v>3020</v>
      </c>
      <c r="B176" t="s">
        <v>3021</v>
      </c>
      <c r="C176" s="4" t="str">
        <f>IFERROR(VLOOKUP(B176,infoTable10[],4,FALSE),"")</f>
        <v/>
      </c>
      <c r="D176" s="4" t="str">
        <f>IFERROR(VLOOKUP(B176,infoTable__2[],4,FALSE),"")</f>
        <v/>
      </c>
      <c r="E176" s="4" t="str">
        <f>IFERROR(VLOOKUP(B176,infoTable__3[],4,FALSE),"")</f>
        <v/>
      </c>
      <c r="F176" s="4" t="str">
        <f>IFERROR(VLOOKUP(B176,infoTable__4[],4,FALSE),"")</f>
        <v/>
      </c>
      <c r="G176" s="4" t="str">
        <f>IFERROR(VLOOKUP(B176,infoTable[],4,FALSE),"")</f>
        <v/>
      </c>
      <c r="H176" s="4" t="str">
        <f>IFERROR(VLOOKUP(B176,infoTable__6[],4,FALSE),"")</f>
        <v/>
      </c>
      <c r="I176" s="4" t="str">
        <f>IFERROR(VLOOKUP(B176,infoTable__28[],4,FALSE),"")</f>
        <v/>
      </c>
      <c r="J176" s="4" t="str">
        <f>IFERROR(VLOOKUP(B176,infoTable__10[],4,FALSE),"")</f>
        <v/>
      </c>
      <c r="K176" s="4" t="str">
        <f>IFERROR(VLOOKUP(B176,infoTable__11[],4,FALSE),"")</f>
        <v/>
      </c>
      <c r="L176" s="4" t="str">
        <f>IFERROR(VLOOKUP(B176,infoTable__12[],4,FALSE),"")</f>
        <v/>
      </c>
      <c r="M176" s="4" t="str">
        <f>IFERROR(VLOOKUP(B176,infoTable__13[],4,FALSE),"")</f>
        <v/>
      </c>
      <c r="N176" s="4" t="str">
        <f>IFERROR(VLOOKUP(B176,infoTable__14[],4,FALSE),"")</f>
        <v/>
      </c>
      <c r="O176" s="4">
        <f>IFERROR(VLOOKUP(B176,infoTable__15[],4,FALSE),"")</f>
        <v>326915</v>
      </c>
      <c r="P176" s="4">
        <f>IFERROR(VLOOKUP(B176,infoTable__16[],4,FALSE),"")</f>
        <v>349797</v>
      </c>
    </row>
    <row r="177" spans="1:16" x14ac:dyDescent="0.55000000000000004">
      <c r="A177" t="s">
        <v>3022</v>
      </c>
      <c r="B177" t="s">
        <v>3023</v>
      </c>
      <c r="C177" s="4" t="str">
        <f>IFERROR(VLOOKUP(B177,infoTable10[],4,FALSE),"")</f>
        <v/>
      </c>
      <c r="D177" s="4" t="str">
        <f>IFERROR(VLOOKUP(B177,infoTable__2[],4,FALSE),"")</f>
        <v/>
      </c>
      <c r="E177" s="4" t="str">
        <f>IFERROR(VLOOKUP(B177,infoTable__3[],4,FALSE),"")</f>
        <v/>
      </c>
      <c r="F177" s="4" t="str">
        <f>IFERROR(VLOOKUP(B177,infoTable__4[],4,FALSE),"")</f>
        <v/>
      </c>
      <c r="G177" s="4" t="str">
        <f>IFERROR(VLOOKUP(B177,infoTable[],4,FALSE),"")</f>
        <v/>
      </c>
      <c r="H177" s="4" t="str">
        <f>IFERROR(VLOOKUP(B177,infoTable__6[],4,FALSE),"")</f>
        <v/>
      </c>
      <c r="I177" s="4" t="str">
        <f>IFERROR(VLOOKUP(B177,infoTable__28[],4,FALSE),"")</f>
        <v/>
      </c>
      <c r="J177" s="4" t="str">
        <f>IFERROR(VLOOKUP(B177,infoTable__10[],4,FALSE),"")</f>
        <v/>
      </c>
      <c r="K177" s="4" t="str">
        <f>IFERROR(VLOOKUP(B177,infoTable__11[],4,FALSE),"")</f>
        <v/>
      </c>
      <c r="L177" s="4" t="str">
        <f>IFERROR(VLOOKUP(B177,infoTable__12[],4,FALSE),"")</f>
        <v/>
      </c>
      <c r="M177" s="4" t="str">
        <f>IFERROR(VLOOKUP(B177,infoTable__13[],4,FALSE),"")</f>
        <v/>
      </c>
      <c r="N177" s="4" t="str">
        <f>IFERROR(VLOOKUP(B177,infoTable__14[],4,FALSE),"")</f>
        <v/>
      </c>
      <c r="O177" s="4">
        <f>IFERROR(VLOOKUP(B177,infoTable__15[],4,FALSE),"")</f>
        <v>309826</v>
      </c>
      <c r="P177" s="4" t="str">
        <f>IFERROR(VLOOKUP(B177,infoTable__16[],4,FALSE),"")</f>
        <v/>
      </c>
    </row>
    <row r="178" spans="1:16" x14ac:dyDescent="0.55000000000000004">
      <c r="A178" t="s">
        <v>2143</v>
      </c>
      <c r="B178" t="s">
        <v>2144</v>
      </c>
      <c r="C178" s="4" t="str">
        <f>IFERROR(VLOOKUP(B178,infoTable10[],4,FALSE),"")</f>
        <v/>
      </c>
      <c r="D178" s="4" t="str">
        <f>IFERROR(VLOOKUP(B178,infoTable__2[],4,FALSE),"")</f>
        <v/>
      </c>
      <c r="E178" s="4" t="str">
        <f>IFERROR(VLOOKUP(B178,infoTable__3[],4,FALSE),"")</f>
        <v/>
      </c>
      <c r="F178" s="4" t="str">
        <f>IFERROR(VLOOKUP(B178,infoTable__4[],4,FALSE),"")</f>
        <v/>
      </c>
      <c r="G178" s="4" t="str">
        <f>IFERROR(VLOOKUP(B178,infoTable[],4,FALSE),"")</f>
        <v/>
      </c>
      <c r="H178" s="4" t="str">
        <f>IFERROR(VLOOKUP(B178,infoTable__6[],4,FALSE),"")</f>
        <v/>
      </c>
      <c r="I178" s="4" t="str">
        <f>IFERROR(VLOOKUP(B178,infoTable__28[],4,FALSE),"")</f>
        <v/>
      </c>
      <c r="J178" s="4" t="str">
        <f>IFERROR(VLOOKUP(B178,infoTable__10[],4,FALSE),"")</f>
        <v/>
      </c>
      <c r="K178" s="4" t="str">
        <f>IFERROR(VLOOKUP(B178,infoTable__11[],4,FALSE),"")</f>
        <v/>
      </c>
      <c r="L178" s="4">
        <f>IFERROR(VLOOKUP(B178,infoTable__12[],4,FALSE),"")</f>
        <v>225000</v>
      </c>
      <c r="M178" s="4">
        <f>IFERROR(VLOOKUP(B178,infoTable__13[],4,FALSE),"")</f>
        <v>211825</v>
      </c>
      <c r="N178" s="4">
        <f>IFERROR(VLOOKUP(B178,infoTable__14[],4,FALSE),"")</f>
        <v>198924</v>
      </c>
      <c r="O178" s="4" t="str">
        <f>IFERROR(VLOOKUP(B178,infoTable__15[],4,FALSE),"")</f>
        <v/>
      </c>
      <c r="P178" s="4" t="str">
        <f>IFERROR(VLOOKUP(B178,infoTable__16[],4,FALSE),"")</f>
        <v/>
      </c>
    </row>
    <row r="179" spans="1:16" x14ac:dyDescent="0.55000000000000004">
      <c r="A179" t="s">
        <v>1647</v>
      </c>
      <c r="B179" t="s">
        <v>1648</v>
      </c>
      <c r="C179" s="4" t="str">
        <f>IFERROR(VLOOKUP(B179,infoTable10[],4,FALSE),"")</f>
        <v/>
      </c>
      <c r="D179" s="4" t="str">
        <f>IFERROR(VLOOKUP(B179,infoTable__2[],4,FALSE),"")</f>
        <v/>
      </c>
      <c r="E179" s="4" t="str">
        <f>IFERROR(VLOOKUP(B179,infoTable__3[],4,FALSE),"")</f>
        <v/>
      </c>
      <c r="F179" s="4" t="str">
        <f>IFERROR(VLOOKUP(B179,infoTable__4[],4,FALSE),"")</f>
        <v/>
      </c>
      <c r="G179" s="4" t="str">
        <f>IFERROR(VLOOKUP(B179,infoTable[],4,FALSE),"")</f>
        <v/>
      </c>
      <c r="H179" s="4" t="str">
        <f>IFERROR(VLOOKUP(B179,infoTable__6[],4,FALSE),"")</f>
        <v/>
      </c>
      <c r="I179" s="4" t="str">
        <f>IFERROR(VLOOKUP(B179,infoTable__28[],4,FALSE),"")</f>
        <v/>
      </c>
      <c r="J179" s="4">
        <f>IFERROR(VLOOKUP(B179,infoTable__10[],4,FALSE),"")</f>
        <v>286907</v>
      </c>
      <c r="K179" s="4" t="str">
        <f>IFERROR(VLOOKUP(B179,infoTable__11[],4,FALSE),"")</f>
        <v/>
      </c>
      <c r="L179" s="4" t="str">
        <f>IFERROR(VLOOKUP(B179,infoTable__12[],4,FALSE),"")</f>
        <v/>
      </c>
      <c r="M179" s="4" t="str">
        <f>IFERROR(VLOOKUP(B179,infoTable__13[],4,FALSE),"")</f>
        <v/>
      </c>
      <c r="N179" s="4" t="str">
        <f>IFERROR(VLOOKUP(B179,infoTable__14[],4,FALSE),"")</f>
        <v/>
      </c>
      <c r="O179" s="4">
        <f>IFERROR(VLOOKUP(B179,infoTable__15[],4,FALSE),"")</f>
        <v>1317805</v>
      </c>
      <c r="P179" s="4">
        <f>IFERROR(VLOOKUP(B179,infoTable__16[],4,FALSE),"")</f>
        <v>1745801</v>
      </c>
    </row>
    <row r="180" spans="1:16" x14ac:dyDescent="0.55000000000000004">
      <c r="A180" t="s">
        <v>121</v>
      </c>
      <c r="B180" t="s">
        <v>122</v>
      </c>
      <c r="C180" s="4">
        <f>IFERROR(VLOOKUP(B180,infoTable10[],4,FALSE),"")</f>
        <v>1128562</v>
      </c>
      <c r="D180" s="4">
        <f>IFERROR(VLOOKUP(B180,infoTable__2[],4,FALSE),"")</f>
        <v>2362005</v>
      </c>
      <c r="E180" s="4">
        <f>IFERROR(VLOOKUP(B180,infoTable__3[],4,FALSE),"")</f>
        <v>5567925</v>
      </c>
      <c r="F180" s="4">
        <f>IFERROR(VLOOKUP(B180,infoTable__4[],4,FALSE),"")</f>
        <v>611201</v>
      </c>
      <c r="G180" s="4">
        <f>IFERROR(VLOOKUP(B180,infoTable[],4,FALSE),"")</f>
        <v>429625</v>
      </c>
      <c r="H180" s="4" t="str">
        <f>IFERROR(VLOOKUP(B180,infoTable__6[],4,FALSE),"")</f>
        <v/>
      </c>
      <c r="I180" s="4" t="str">
        <f>IFERROR(VLOOKUP(B180,infoTable__28[],4,FALSE),"")</f>
        <v/>
      </c>
      <c r="J180" s="4" t="str">
        <f>IFERROR(VLOOKUP(B180,infoTable__10[],4,FALSE),"")</f>
        <v/>
      </c>
      <c r="K180" s="4" t="str">
        <f>IFERROR(VLOOKUP(B180,infoTable__11[],4,FALSE),"")</f>
        <v/>
      </c>
      <c r="L180" s="4" t="str">
        <f>IFERROR(VLOOKUP(B180,infoTable__12[],4,FALSE),"")</f>
        <v/>
      </c>
      <c r="M180" s="4" t="str">
        <f>IFERROR(VLOOKUP(B180,infoTable__13[],4,FALSE),"")</f>
        <v/>
      </c>
      <c r="N180" s="4" t="str">
        <f>IFERROR(VLOOKUP(B180,infoTable__14[],4,FALSE),"")</f>
        <v/>
      </c>
      <c r="O180" s="4" t="str">
        <f>IFERROR(VLOOKUP(B180,infoTable__15[],4,FALSE),"")</f>
        <v/>
      </c>
      <c r="P180" s="4" t="str">
        <f>IFERROR(VLOOKUP(B180,infoTable__16[],4,FALSE),"")</f>
        <v/>
      </c>
    </row>
    <row r="181" spans="1:16" x14ac:dyDescent="0.55000000000000004">
      <c r="A181" t="s">
        <v>1209</v>
      </c>
      <c r="B181" t="s">
        <v>1210</v>
      </c>
      <c r="C181" s="4" t="str">
        <f>IFERROR(VLOOKUP(B181,infoTable10[],4,FALSE),"")</f>
        <v/>
      </c>
      <c r="D181" s="4" t="str">
        <f>IFERROR(VLOOKUP(B181,infoTable__2[],4,FALSE),"")</f>
        <v/>
      </c>
      <c r="E181" s="4" t="str">
        <f>IFERROR(VLOOKUP(B181,infoTable__3[],4,FALSE),"")</f>
        <v/>
      </c>
      <c r="F181" s="4" t="str">
        <f>IFERROR(VLOOKUP(B181,infoTable__4[],4,FALSE),"")</f>
        <v/>
      </c>
      <c r="G181" s="4" t="str">
        <f>IFERROR(VLOOKUP(B181,infoTable[],4,FALSE),"")</f>
        <v/>
      </c>
      <c r="H181" s="4" t="str">
        <f>IFERROR(VLOOKUP(B181,infoTable__6[],4,FALSE),"")</f>
        <v/>
      </c>
      <c r="I181" s="4">
        <f>IFERROR(VLOOKUP(B181,infoTable__28[],4,FALSE),"")</f>
        <v>770768</v>
      </c>
      <c r="J181" s="4" t="str">
        <f>IFERROR(VLOOKUP(B181,infoTable__10[],4,FALSE),"")</f>
        <v/>
      </c>
      <c r="K181" s="4" t="str">
        <f>IFERROR(VLOOKUP(B181,infoTable__11[],4,FALSE),"")</f>
        <v/>
      </c>
      <c r="L181" s="4" t="str">
        <f>IFERROR(VLOOKUP(B181,infoTable__12[],4,FALSE),"")</f>
        <v/>
      </c>
      <c r="M181" s="4" t="str">
        <f>IFERROR(VLOOKUP(B181,infoTable__13[],4,FALSE),"")</f>
        <v/>
      </c>
      <c r="N181" s="4">
        <f>IFERROR(VLOOKUP(B181,infoTable__14[],4,FALSE),"")</f>
        <v>6683797</v>
      </c>
      <c r="O181" s="4">
        <f>IFERROR(VLOOKUP(B181,infoTable__15[],4,FALSE),"")</f>
        <v>8607679</v>
      </c>
      <c r="P181" s="4">
        <f>IFERROR(VLOOKUP(B181,infoTable__16[],4,FALSE),"")</f>
        <v>6874814</v>
      </c>
    </row>
    <row r="182" spans="1:16" x14ac:dyDescent="0.55000000000000004">
      <c r="A182" t="s">
        <v>123</v>
      </c>
      <c r="B182" t="s">
        <v>124</v>
      </c>
      <c r="C182" s="4" t="str">
        <f>IFERROR(VLOOKUP(B182,infoTable10[],4,FALSE),"")</f>
        <v/>
      </c>
      <c r="D182" s="4" t="str">
        <f>IFERROR(VLOOKUP(B182,infoTable__2[],4,FALSE),"")</f>
        <v/>
      </c>
      <c r="E182" s="4" t="str">
        <f>IFERROR(VLOOKUP(B182,infoTable__3[],4,FALSE),"")</f>
        <v/>
      </c>
      <c r="F182" s="4">
        <f>IFERROR(VLOOKUP(B182,infoTable__4[],4,FALSE),"")</f>
        <v>2154441</v>
      </c>
      <c r="G182" s="4">
        <f>IFERROR(VLOOKUP(B182,infoTable[],4,FALSE),"")</f>
        <v>3215500</v>
      </c>
      <c r="H182" s="4">
        <f>IFERROR(VLOOKUP(B182,infoTable__6[],4,FALSE),"")</f>
        <v>2202320</v>
      </c>
      <c r="I182" s="4">
        <f>IFERROR(VLOOKUP(B182,infoTable__28[],4,FALSE),"")</f>
        <v>388916</v>
      </c>
      <c r="J182" s="4" t="str">
        <f>IFERROR(VLOOKUP(B182,infoTable__10[],4,FALSE),"")</f>
        <v/>
      </c>
      <c r="K182" s="4" t="str">
        <f>IFERROR(VLOOKUP(B182,infoTable__11[],4,FALSE),"")</f>
        <v/>
      </c>
      <c r="L182" s="4" t="str">
        <f>IFERROR(VLOOKUP(B182,infoTable__12[],4,FALSE),"")</f>
        <v/>
      </c>
      <c r="M182" s="4" t="str">
        <f>IFERROR(VLOOKUP(B182,infoTable__13[],4,FALSE),"")</f>
        <v/>
      </c>
      <c r="N182" s="4">
        <f>IFERROR(VLOOKUP(B182,infoTable__14[],4,FALSE),"")</f>
        <v>4116880</v>
      </c>
      <c r="O182" s="4">
        <f>IFERROR(VLOOKUP(B182,infoTable__15[],4,FALSE),"")</f>
        <v>1543298</v>
      </c>
      <c r="P182" s="4">
        <f>IFERROR(VLOOKUP(B182,infoTable__16[],4,FALSE),"")</f>
        <v>1549416</v>
      </c>
    </row>
    <row r="183" spans="1:16" x14ac:dyDescent="0.55000000000000004">
      <c r="A183" t="s">
        <v>1573</v>
      </c>
      <c r="B183" t="s">
        <v>126</v>
      </c>
      <c r="C183" s="4" t="str">
        <f>IFERROR(VLOOKUP(B183,infoTable10[],4,FALSE),"")</f>
        <v/>
      </c>
      <c r="D183" s="4" t="str">
        <f>IFERROR(VLOOKUP(B183,infoTable__2[],4,FALSE),"")</f>
        <v/>
      </c>
      <c r="E183" s="4" t="str">
        <f>IFERROR(VLOOKUP(B183,infoTable__3[],4,FALSE),"")</f>
        <v/>
      </c>
      <c r="F183" s="4" t="str">
        <f>IFERROR(VLOOKUP(B183,infoTable__4[],4,FALSE),"")</f>
        <v/>
      </c>
      <c r="G183" s="4">
        <f>IFERROR(VLOOKUP(B183,infoTable[],4,FALSE),"")</f>
        <v>319201</v>
      </c>
      <c r="H183" s="4" t="str">
        <f>IFERROR(VLOOKUP(B183,infoTable__6[],4,FALSE),"")</f>
        <v/>
      </c>
      <c r="I183" s="4" t="str">
        <f>IFERROR(VLOOKUP(B183,infoTable__28[],4,FALSE),"")</f>
        <v/>
      </c>
      <c r="J183" s="4">
        <f>IFERROR(VLOOKUP(B183,infoTable__10[],4,FALSE),"")</f>
        <v>285897</v>
      </c>
      <c r="K183" s="4">
        <f>IFERROR(VLOOKUP(B183,infoTable__11[],4,FALSE),"")</f>
        <v>38347</v>
      </c>
      <c r="L183" s="4" t="str">
        <f>IFERROR(VLOOKUP(B183,infoTable__12[],4,FALSE),"")</f>
        <v/>
      </c>
      <c r="M183" s="4" t="str">
        <f>IFERROR(VLOOKUP(B183,infoTable__13[],4,FALSE),"")</f>
        <v/>
      </c>
      <c r="N183" s="4" t="str">
        <f>IFERROR(VLOOKUP(B183,infoTable__14[],4,FALSE),"")</f>
        <v/>
      </c>
      <c r="O183" s="4" t="str">
        <f>IFERROR(VLOOKUP(B183,infoTable__15[],4,FALSE),"")</f>
        <v/>
      </c>
      <c r="P183" s="4" t="str">
        <f>IFERROR(VLOOKUP(B183,infoTable__16[],4,FALSE),"")</f>
        <v/>
      </c>
    </row>
    <row r="184" spans="1:16" x14ac:dyDescent="0.55000000000000004">
      <c r="A184" t="s">
        <v>3311</v>
      </c>
      <c r="B184" t="s">
        <v>3312</v>
      </c>
      <c r="C184" s="4" t="str">
        <f>IFERROR(VLOOKUP(B184,infoTable10[],4,FALSE),"")</f>
        <v/>
      </c>
      <c r="D184" s="4" t="str">
        <f>IFERROR(VLOOKUP(B184,infoTable__2[],4,FALSE),"")</f>
        <v/>
      </c>
      <c r="E184" s="4" t="str">
        <f>IFERROR(VLOOKUP(B184,infoTable__3[],4,FALSE),"")</f>
        <v/>
      </c>
      <c r="F184" s="4" t="str">
        <f>IFERROR(VLOOKUP(B184,infoTable__4[],4,FALSE),"")</f>
        <v/>
      </c>
      <c r="G184" s="4" t="str">
        <f>IFERROR(VLOOKUP(B184,infoTable[],4,FALSE),"")</f>
        <v/>
      </c>
      <c r="H184" s="4" t="str">
        <f>IFERROR(VLOOKUP(B184,infoTable__6[],4,FALSE),"")</f>
        <v/>
      </c>
      <c r="I184" s="4" t="str">
        <f>IFERROR(VLOOKUP(B184,infoTable__28[],4,FALSE),"")</f>
        <v/>
      </c>
      <c r="J184" s="4" t="str">
        <f>IFERROR(VLOOKUP(B184,infoTable__10[],4,FALSE),"")</f>
        <v/>
      </c>
      <c r="K184" s="4" t="str">
        <f>IFERROR(VLOOKUP(B184,infoTable__11[],4,FALSE),"")</f>
        <v/>
      </c>
      <c r="L184" s="4" t="str">
        <f>IFERROR(VLOOKUP(B184,infoTable__12[],4,FALSE),"")</f>
        <v/>
      </c>
      <c r="M184" s="4" t="str">
        <f>IFERROR(VLOOKUP(B184,infoTable__13[],4,FALSE),"")</f>
        <v/>
      </c>
      <c r="N184" s="4" t="str">
        <f>IFERROR(VLOOKUP(B184,infoTable__14[],4,FALSE),"")</f>
        <v/>
      </c>
      <c r="O184" s="4" t="str">
        <f>IFERROR(VLOOKUP(B184,infoTable__15[],4,FALSE),"")</f>
        <v/>
      </c>
      <c r="P184" s="4">
        <f>IFERROR(VLOOKUP(B184,infoTable__16[],4,FALSE),"")</f>
        <v>206019</v>
      </c>
    </row>
    <row r="185" spans="1:16" x14ac:dyDescent="0.55000000000000004">
      <c r="A185" t="s">
        <v>3313</v>
      </c>
      <c r="B185" t="s">
        <v>3314</v>
      </c>
      <c r="C185" s="4" t="str">
        <f>IFERROR(VLOOKUP(B185,infoTable10[],4,FALSE),"")</f>
        <v/>
      </c>
      <c r="D185" s="4" t="str">
        <f>IFERROR(VLOOKUP(B185,infoTable__2[],4,FALSE),"")</f>
        <v/>
      </c>
      <c r="E185" s="4" t="str">
        <f>IFERROR(VLOOKUP(B185,infoTable__3[],4,FALSE),"")</f>
        <v/>
      </c>
      <c r="F185" s="4" t="str">
        <f>IFERROR(VLOOKUP(B185,infoTable__4[],4,FALSE),"")</f>
        <v/>
      </c>
      <c r="G185" s="4" t="str">
        <f>IFERROR(VLOOKUP(B185,infoTable[],4,FALSE),"")</f>
        <v/>
      </c>
      <c r="H185" s="4" t="str">
        <f>IFERROR(VLOOKUP(B185,infoTable__6[],4,FALSE),"")</f>
        <v/>
      </c>
      <c r="I185" s="4" t="str">
        <f>IFERROR(VLOOKUP(B185,infoTable__28[],4,FALSE),"")</f>
        <v/>
      </c>
      <c r="J185" s="4" t="str">
        <f>IFERROR(VLOOKUP(B185,infoTable__10[],4,FALSE),"")</f>
        <v/>
      </c>
      <c r="K185" s="4" t="str">
        <f>IFERROR(VLOOKUP(B185,infoTable__11[],4,FALSE),"")</f>
        <v/>
      </c>
      <c r="L185" s="4" t="str">
        <f>IFERROR(VLOOKUP(B185,infoTable__12[],4,FALSE),"")</f>
        <v/>
      </c>
      <c r="M185" s="4" t="str">
        <f>IFERROR(VLOOKUP(B185,infoTable__13[],4,FALSE),"")</f>
        <v/>
      </c>
      <c r="N185" s="4" t="str">
        <f>IFERROR(VLOOKUP(B185,infoTable__14[],4,FALSE),"")</f>
        <v/>
      </c>
      <c r="O185" s="4" t="str">
        <f>IFERROR(VLOOKUP(B185,infoTable__15[],4,FALSE),"")</f>
        <v/>
      </c>
      <c r="P185" s="4">
        <f>IFERROR(VLOOKUP(B185,infoTable__16[],4,FALSE),"")</f>
        <v>452122</v>
      </c>
    </row>
    <row r="186" spans="1:16" x14ac:dyDescent="0.55000000000000004">
      <c r="A186" t="s">
        <v>127</v>
      </c>
      <c r="B186" t="s">
        <v>128</v>
      </c>
      <c r="C186" s="4">
        <f>IFERROR(VLOOKUP(B186,infoTable10[],4,FALSE),"")</f>
        <v>1734288</v>
      </c>
      <c r="D186" s="4" t="str">
        <f>IFERROR(VLOOKUP(B186,infoTable__2[],4,FALSE),"")</f>
        <v/>
      </c>
      <c r="E186" s="4" t="str">
        <f>IFERROR(VLOOKUP(B186,infoTable__3[],4,FALSE),"")</f>
        <v/>
      </c>
      <c r="F186" s="4">
        <f>IFERROR(VLOOKUP(B186,infoTable__4[],4,FALSE),"")</f>
        <v>1049902</v>
      </c>
      <c r="G186" s="4">
        <f>IFERROR(VLOOKUP(B186,infoTable[],4,FALSE),"")</f>
        <v>587021</v>
      </c>
      <c r="H186" s="4" t="str">
        <f>IFERROR(VLOOKUP(B186,infoTable__6[],4,FALSE),"")</f>
        <v/>
      </c>
      <c r="I186" s="4" t="str">
        <f>IFERROR(VLOOKUP(B186,infoTable__28[],4,FALSE),"")</f>
        <v/>
      </c>
      <c r="J186" s="4" t="str">
        <f>IFERROR(VLOOKUP(B186,infoTable__10[],4,FALSE),"")</f>
        <v/>
      </c>
      <c r="K186" s="4">
        <f>IFERROR(VLOOKUP(B186,infoTable__11[],4,FALSE),"")</f>
        <v>1582024</v>
      </c>
      <c r="L186" s="4">
        <f>IFERROR(VLOOKUP(B186,infoTable__12[],4,FALSE),"")</f>
        <v>1456934</v>
      </c>
      <c r="M186" s="4">
        <f>IFERROR(VLOOKUP(B186,infoTable__13[],4,FALSE),"")</f>
        <v>3707531</v>
      </c>
      <c r="N186" s="4">
        <f>IFERROR(VLOOKUP(B186,infoTable__14[],4,FALSE),"")</f>
        <v>617248</v>
      </c>
      <c r="O186" s="4">
        <f>IFERROR(VLOOKUP(B186,infoTable__15[],4,FALSE),"")</f>
        <v>623681</v>
      </c>
      <c r="P186" s="4">
        <f>IFERROR(VLOOKUP(B186,infoTable__16[],4,FALSE),"")</f>
        <v>458912</v>
      </c>
    </row>
    <row r="187" spans="1:16" x14ac:dyDescent="0.55000000000000004">
      <c r="A187" t="s">
        <v>987</v>
      </c>
      <c r="B187" t="s">
        <v>988</v>
      </c>
      <c r="C187" s="4" t="str">
        <f>IFERROR(VLOOKUP(B187,infoTable10[],4,FALSE),"")</f>
        <v/>
      </c>
      <c r="D187" s="4" t="str">
        <f>IFERROR(VLOOKUP(B187,infoTable__2[],4,FALSE),"")</f>
        <v/>
      </c>
      <c r="E187" s="4" t="str">
        <f>IFERROR(VLOOKUP(B187,infoTable__3[],4,FALSE),"")</f>
        <v/>
      </c>
      <c r="F187" s="4" t="str">
        <f>IFERROR(VLOOKUP(B187,infoTable__4[],4,FALSE),"")</f>
        <v/>
      </c>
      <c r="G187" s="4" t="str">
        <f>IFERROR(VLOOKUP(B187,infoTable[],4,FALSE),"")</f>
        <v/>
      </c>
      <c r="H187" s="4">
        <f>IFERROR(VLOOKUP(B187,infoTable__6[],4,FALSE),"")</f>
        <v>788628</v>
      </c>
      <c r="I187" s="4">
        <f>IFERROR(VLOOKUP(B187,infoTable__28[],4,FALSE),"")</f>
        <v>451620</v>
      </c>
      <c r="J187" s="4" t="str">
        <f>IFERROR(VLOOKUP(B187,infoTable__10[],4,FALSE),"")</f>
        <v/>
      </c>
      <c r="K187" s="4" t="str">
        <f>IFERROR(VLOOKUP(B187,infoTable__11[],4,FALSE),"")</f>
        <v/>
      </c>
      <c r="L187" s="4" t="str">
        <f>IFERROR(VLOOKUP(B187,infoTable__12[],4,FALSE),"")</f>
        <v/>
      </c>
      <c r="M187" s="4" t="str">
        <f>IFERROR(VLOOKUP(B187,infoTable__13[],4,FALSE),"")</f>
        <v/>
      </c>
      <c r="N187" s="4" t="str">
        <f>IFERROR(VLOOKUP(B187,infoTable__14[],4,FALSE),"")</f>
        <v/>
      </c>
      <c r="O187" s="4">
        <f>IFERROR(VLOOKUP(B187,infoTable__15[],4,FALSE),"")</f>
        <v>523984</v>
      </c>
      <c r="P187" s="4">
        <f>IFERROR(VLOOKUP(B187,infoTable__16[],4,FALSE),"")</f>
        <v>230830</v>
      </c>
    </row>
    <row r="188" spans="1:16" x14ac:dyDescent="0.55000000000000004">
      <c r="A188" t="s">
        <v>1864</v>
      </c>
      <c r="B188" t="s">
        <v>1865</v>
      </c>
      <c r="C188" s="4" t="str">
        <f>IFERROR(VLOOKUP(B188,infoTable10[],4,FALSE),"")</f>
        <v/>
      </c>
      <c r="D188" s="4" t="str">
        <f>IFERROR(VLOOKUP(B188,infoTable__2[],4,FALSE),"")</f>
        <v/>
      </c>
      <c r="E188" s="4" t="str">
        <f>IFERROR(VLOOKUP(B188,infoTable__3[],4,FALSE),"")</f>
        <v/>
      </c>
      <c r="F188" s="4" t="str">
        <f>IFERROR(VLOOKUP(B188,infoTable__4[],4,FALSE),"")</f>
        <v/>
      </c>
      <c r="G188" s="4" t="str">
        <f>IFERROR(VLOOKUP(B188,infoTable[],4,FALSE),"")</f>
        <v/>
      </c>
      <c r="H188" s="4" t="str">
        <f>IFERROR(VLOOKUP(B188,infoTable__6[],4,FALSE),"")</f>
        <v/>
      </c>
      <c r="I188" s="4" t="str">
        <f>IFERROR(VLOOKUP(B188,infoTable__28[],4,FALSE),"")</f>
        <v/>
      </c>
      <c r="J188" s="4" t="str">
        <f>IFERROR(VLOOKUP(B188,infoTable__10[],4,FALSE),"")</f>
        <v/>
      </c>
      <c r="K188" s="4">
        <f>IFERROR(VLOOKUP(B188,infoTable__11[],4,FALSE),"")</f>
        <v>3686274</v>
      </c>
      <c r="L188" s="4">
        <f>IFERROR(VLOOKUP(B188,infoTable__12[],4,FALSE),"")</f>
        <v>4276506</v>
      </c>
      <c r="M188" s="4">
        <f>IFERROR(VLOOKUP(B188,infoTable__13[],4,FALSE),"")</f>
        <v>3299908</v>
      </c>
      <c r="N188" s="4" t="str">
        <f>IFERROR(VLOOKUP(B188,infoTable__14[],4,FALSE),"")</f>
        <v/>
      </c>
      <c r="O188" s="4">
        <f>IFERROR(VLOOKUP(B188,infoTable__15[],4,FALSE),"")</f>
        <v>5486050</v>
      </c>
      <c r="P188" s="4">
        <f>IFERROR(VLOOKUP(B188,infoTable__16[],4,FALSE),"")</f>
        <v>6799493</v>
      </c>
    </row>
    <row r="189" spans="1:16" x14ac:dyDescent="0.55000000000000004">
      <c r="A189" t="s">
        <v>3320</v>
      </c>
      <c r="B189" t="s">
        <v>3321</v>
      </c>
      <c r="C189" s="4" t="str">
        <f>IFERROR(VLOOKUP(B189,infoTable10[],4,FALSE),"")</f>
        <v/>
      </c>
      <c r="D189" s="4" t="str">
        <f>IFERROR(VLOOKUP(B189,infoTable__2[],4,FALSE),"")</f>
        <v/>
      </c>
      <c r="E189" s="4" t="str">
        <f>IFERROR(VLOOKUP(B189,infoTable__3[],4,FALSE),"")</f>
        <v/>
      </c>
      <c r="F189" s="4" t="str">
        <f>IFERROR(VLOOKUP(B189,infoTable__4[],4,FALSE),"")</f>
        <v/>
      </c>
      <c r="G189" s="4" t="str">
        <f>IFERROR(VLOOKUP(B189,infoTable[],4,FALSE),"")</f>
        <v/>
      </c>
      <c r="H189" s="4" t="str">
        <f>IFERROR(VLOOKUP(B189,infoTable__6[],4,FALSE),"")</f>
        <v/>
      </c>
      <c r="I189" s="4" t="str">
        <f>IFERROR(VLOOKUP(B189,infoTable__28[],4,FALSE),"")</f>
        <v/>
      </c>
      <c r="J189" s="4" t="str">
        <f>IFERROR(VLOOKUP(B189,infoTable__10[],4,FALSE),"")</f>
        <v/>
      </c>
      <c r="K189" s="4" t="str">
        <f>IFERROR(VLOOKUP(B189,infoTable__11[],4,FALSE),"")</f>
        <v/>
      </c>
      <c r="L189" s="4" t="str">
        <f>IFERROR(VLOOKUP(B189,infoTable__12[],4,FALSE),"")</f>
        <v/>
      </c>
      <c r="M189" s="4" t="str">
        <f>IFERROR(VLOOKUP(B189,infoTable__13[],4,FALSE),"")</f>
        <v/>
      </c>
      <c r="N189" s="4" t="str">
        <f>IFERROR(VLOOKUP(B189,infoTable__14[],4,FALSE),"")</f>
        <v/>
      </c>
      <c r="O189" s="4" t="str">
        <f>IFERROR(VLOOKUP(B189,infoTable__15[],4,FALSE),"")</f>
        <v/>
      </c>
      <c r="P189" s="4">
        <f>IFERROR(VLOOKUP(B189,infoTable__16[],4,FALSE),"")</f>
        <v>1469886</v>
      </c>
    </row>
    <row r="190" spans="1:16" x14ac:dyDescent="0.55000000000000004">
      <c r="A190" t="s">
        <v>2661</v>
      </c>
      <c r="B190" t="s">
        <v>2660</v>
      </c>
      <c r="C190" s="4" t="str">
        <f>IFERROR(VLOOKUP(B190,infoTable10[],4,FALSE),"")</f>
        <v/>
      </c>
      <c r="D190" s="4" t="str">
        <f>IFERROR(VLOOKUP(B190,infoTable__2[],4,FALSE),"")</f>
        <v/>
      </c>
      <c r="E190" s="4" t="str">
        <f>IFERROR(VLOOKUP(B190,infoTable__3[],4,FALSE),"")</f>
        <v/>
      </c>
      <c r="F190" s="4" t="str">
        <f>IFERROR(VLOOKUP(B190,infoTable__4[],4,FALSE),"")</f>
        <v/>
      </c>
      <c r="G190" s="4" t="str">
        <f>IFERROR(VLOOKUP(B190,infoTable[],4,FALSE),"")</f>
        <v/>
      </c>
      <c r="H190" s="4" t="str">
        <f>IFERROR(VLOOKUP(B190,infoTable__6[],4,FALSE),"")</f>
        <v/>
      </c>
      <c r="I190" s="4" t="str">
        <f>IFERROR(VLOOKUP(B190,infoTable__28[],4,FALSE),"")</f>
        <v/>
      </c>
      <c r="J190" s="4" t="str">
        <f>IFERROR(VLOOKUP(B190,infoTable__10[],4,FALSE),"")</f>
        <v/>
      </c>
      <c r="K190" s="4" t="str">
        <f>IFERROR(VLOOKUP(B190,infoTable__11[],4,FALSE),"")</f>
        <v/>
      </c>
      <c r="L190" s="4" t="str">
        <f>IFERROR(VLOOKUP(B190,infoTable__12[],4,FALSE),"")</f>
        <v/>
      </c>
      <c r="M190" s="4" t="str">
        <f>IFERROR(VLOOKUP(B190,infoTable__13[],4,FALSE),"")</f>
        <v/>
      </c>
      <c r="N190" s="4">
        <f>IFERROR(VLOOKUP(B190,infoTable__14[],4,FALSE),"")</f>
        <v>229705</v>
      </c>
      <c r="O190" s="4" t="str">
        <f>IFERROR(VLOOKUP(B190,infoTable__15[],4,FALSE),"")</f>
        <v/>
      </c>
      <c r="P190" s="4" t="str">
        <f>IFERROR(VLOOKUP(B190,infoTable__16[],4,FALSE),"")</f>
        <v/>
      </c>
    </row>
    <row r="191" spans="1:16" x14ac:dyDescent="0.55000000000000004">
      <c r="A191" t="s">
        <v>2151</v>
      </c>
      <c r="B191" t="s">
        <v>2152</v>
      </c>
      <c r="C191" s="4" t="str">
        <f>IFERROR(VLOOKUP(B191,infoTable10[],4,FALSE),"")</f>
        <v/>
      </c>
      <c r="D191" s="4" t="str">
        <f>IFERROR(VLOOKUP(B191,infoTable__2[],4,FALSE),"")</f>
        <v/>
      </c>
      <c r="E191" s="4" t="str">
        <f>IFERROR(VLOOKUP(B191,infoTable__3[],4,FALSE),"")</f>
        <v/>
      </c>
      <c r="F191" s="4" t="str">
        <f>IFERROR(VLOOKUP(B191,infoTable__4[],4,FALSE),"")</f>
        <v/>
      </c>
      <c r="G191" s="4" t="str">
        <f>IFERROR(VLOOKUP(B191,infoTable[],4,FALSE),"")</f>
        <v/>
      </c>
      <c r="H191" s="4" t="str">
        <f>IFERROR(VLOOKUP(B191,infoTable__6[],4,FALSE),"")</f>
        <v/>
      </c>
      <c r="I191" s="4" t="str">
        <f>IFERROR(VLOOKUP(B191,infoTable__28[],4,FALSE),"")</f>
        <v/>
      </c>
      <c r="J191" s="4" t="str">
        <f>IFERROR(VLOOKUP(B191,infoTable__10[],4,FALSE),"")</f>
        <v/>
      </c>
      <c r="K191" s="4" t="str">
        <f>IFERROR(VLOOKUP(B191,infoTable__11[],4,FALSE),"")</f>
        <v/>
      </c>
      <c r="L191" s="4">
        <f>IFERROR(VLOOKUP(B191,infoTable__12[],4,FALSE),"")</f>
        <v>477660</v>
      </c>
      <c r="M191" s="4" t="str">
        <f>IFERROR(VLOOKUP(B191,infoTable__13[],4,FALSE),"")</f>
        <v/>
      </c>
      <c r="N191" s="4" t="str">
        <f>IFERROR(VLOOKUP(B191,infoTable__14[],4,FALSE),"")</f>
        <v/>
      </c>
      <c r="O191" s="4" t="str">
        <f>IFERROR(VLOOKUP(B191,infoTable__15[],4,FALSE),"")</f>
        <v/>
      </c>
      <c r="P191" s="4">
        <f>IFERROR(VLOOKUP(B191,infoTable__16[],4,FALSE),"")</f>
        <v>3856496</v>
      </c>
    </row>
    <row r="192" spans="1:16" x14ac:dyDescent="0.55000000000000004">
      <c r="A192" t="s">
        <v>3323</v>
      </c>
      <c r="B192" t="s">
        <v>3324</v>
      </c>
      <c r="C192" s="4" t="str">
        <f>IFERROR(VLOOKUP(B192,infoTable10[],4,FALSE),"")</f>
        <v/>
      </c>
      <c r="D192" s="4" t="str">
        <f>IFERROR(VLOOKUP(B192,infoTable__2[],4,FALSE),"")</f>
        <v/>
      </c>
      <c r="E192" s="4" t="str">
        <f>IFERROR(VLOOKUP(B192,infoTable__3[],4,FALSE),"")</f>
        <v/>
      </c>
      <c r="F192" s="4" t="str">
        <f>IFERROR(VLOOKUP(B192,infoTable__4[],4,FALSE),"")</f>
        <v/>
      </c>
      <c r="G192" s="4" t="str">
        <f>IFERROR(VLOOKUP(B192,infoTable[],4,FALSE),"")</f>
        <v/>
      </c>
      <c r="H192" s="4" t="str">
        <f>IFERROR(VLOOKUP(B192,infoTable__6[],4,FALSE),"")</f>
        <v/>
      </c>
      <c r="I192" s="4" t="str">
        <f>IFERROR(VLOOKUP(B192,infoTable__28[],4,FALSE),"")</f>
        <v/>
      </c>
      <c r="J192" s="4" t="str">
        <f>IFERROR(VLOOKUP(B192,infoTable__10[],4,FALSE),"")</f>
        <v/>
      </c>
      <c r="K192" s="4" t="str">
        <f>IFERROR(VLOOKUP(B192,infoTable__11[],4,FALSE),"")</f>
        <v/>
      </c>
      <c r="L192" s="4" t="str">
        <f>IFERROR(VLOOKUP(B192,infoTable__12[],4,FALSE),"")</f>
        <v/>
      </c>
      <c r="M192" s="4" t="str">
        <f>IFERROR(VLOOKUP(B192,infoTable__13[],4,FALSE),"")</f>
        <v/>
      </c>
      <c r="N192" s="4" t="str">
        <f>IFERROR(VLOOKUP(B192,infoTable__14[],4,FALSE),"")</f>
        <v/>
      </c>
      <c r="O192" s="4" t="str">
        <f>IFERROR(VLOOKUP(B192,infoTable__15[],4,FALSE),"")</f>
        <v/>
      </c>
      <c r="P192" s="4">
        <f>IFERROR(VLOOKUP(B192,infoTable__16[],4,FALSE),"")</f>
        <v>478933</v>
      </c>
    </row>
    <row r="193" spans="1:16" x14ac:dyDescent="0.55000000000000004">
      <c r="A193" t="s">
        <v>1868</v>
      </c>
      <c r="B193" t="s">
        <v>1870</v>
      </c>
      <c r="C193" s="4" t="str">
        <f>IFERROR(VLOOKUP(B193,infoTable10[],4,FALSE),"")</f>
        <v/>
      </c>
      <c r="D193" s="4" t="str">
        <f>IFERROR(VLOOKUP(B193,infoTable__2[],4,FALSE),"")</f>
        <v/>
      </c>
      <c r="E193" s="4" t="str">
        <f>IFERROR(VLOOKUP(B193,infoTable__3[],4,FALSE),"")</f>
        <v/>
      </c>
      <c r="F193" s="4" t="str">
        <f>IFERROR(VLOOKUP(B193,infoTable__4[],4,FALSE),"")</f>
        <v/>
      </c>
      <c r="G193" s="4" t="str">
        <f>IFERROR(VLOOKUP(B193,infoTable[],4,FALSE),"")</f>
        <v/>
      </c>
      <c r="H193" s="4" t="str">
        <f>IFERROR(VLOOKUP(B193,infoTable__6[],4,FALSE),"")</f>
        <v/>
      </c>
      <c r="I193" s="4" t="str">
        <f>IFERROR(VLOOKUP(B193,infoTable__28[],4,FALSE),"")</f>
        <v/>
      </c>
      <c r="J193" s="4" t="str">
        <f>IFERROR(VLOOKUP(B193,infoTable__10[],4,FALSE),"")</f>
        <v/>
      </c>
      <c r="K193" s="4">
        <f>IFERROR(VLOOKUP(B193,infoTable__11[],4,FALSE),"")</f>
        <v>339464</v>
      </c>
      <c r="L193" s="4">
        <f>IFERROR(VLOOKUP(B193,infoTable__12[],4,FALSE),"")</f>
        <v>232325</v>
      </c>
      <c r="M193" s="4">
        <f>IFERROR(VLOOKUP(B193,infoTable__13[],4,FALSE),"")</f>
        <v>293127</v>
      </c>
      <c r="N193" s="4">
        <f>IFERROR(VLOOKUP(B193,infoTable__14[],4,FALSE),"")</f>
        <v>220938</v>
      </c>
      <c r="O193" s="4" t="str">
        <f>IFERROR(VLOOKUP(B193,infoTable__15[],4,FALSE),"")</f>
        <v/>
      </c>
      <c r="P193" s="4" t="str">
        <f>IFERROR(VLOOKUP(B193,infoTable__16[],4,FALSE),"")</f>
        <v/>
      </c>
    </row>
    <row r="194" spans="1:16" x14ac:dyDescent="0.55000000000000004">
      <c r="A194" t="s">
        <v>143</v>
      </c>
      <c r="B194" t="s">
        <v>144</v>
      </c>
      <c r="C194" s="4" t="str">
        <f>IFERROR(VLOOKUP(B194,infoTable10[],4,FALSE),"")</f>
        <v/>
      </c>
      <c r="D194" s="4">
        <f>IFERROR(VLOOKUP(B194,infoTable__2[],4,FALSE),"")</f>
        <v>2589997</v>
      </c>
      <c r="E194" s="4" t="str">
        <f>IFERROR(VLOOKUP(B194,infoTable__3[],4,FALSE),"")</f>
        <v/>
      </c>
      <c r="F194" s="4" t="str">
        <f>IFERROR(VLOOKUP(B194,infoTable__4[],4,FALSE),"")</f>
        <v/>
      </c>
      <c r="G194" s="4">
        <f>IFERROR(VLOOKUP(B194,infoTable[],4,FALSE),"")</f>
        <v>582038</v>
      </c>
      <c r="H194" s="4" t="str">
        <f>IFERROR(VLOOKUP(B194,infoTable__6[],4,FALSE),"")</f>
        <v/>
      </c>
      <c r="I194" s="4" t="str">
        <f>IFERROR(VLOOKUP(B194,infoTable__28[],4,FALSE),"")</f>
        <v/>
      </c>
      <c r="J194" s="4" t="str">
        <f>IFERROR(VLOOKUP(B194,infoTable__10[],4,FALSE),"")</f>
        <v/>
      </c>
      <c r="K194" s="4" t="str">
        <f>IFERROR(VLOOKUP(B194,infoTable__11[],4,FALSE),"")</f>
        <v/>
      </c>
      <c r="L194" s="4" t="str">
        <f>IFERROR(VLOOKUP(B194,infoTable__12[],4,FALSE),"")</f>
        <v/>
      </c>
      <c r="M194" s="4" t="str">
        <f>IFERROR(VLOOKUP(B194,infoTable__13[],4,FALSE),"")</f>
        <v/>
      </c>
      <c r="N194" s="4" t="str">
        <f>IFERROR(VLOOKUP(B194,infoTable__14[],4,FALSE),"")</f>
        <v/>
      </c>
      <c r="O194" s="4" t="str">
        <f>IFERROR(VLOOKUP(B194,infoTable__15[],4,FALSE),"")</f>
        <v/>
      </c>
      <c r="P194" s="4" t="str">
        <f>IFERROR(VLOOKUP(B194,infoTable__16[],4,FALSE),"")</f>
        <v/>
      </c>
    </row>
    <row r="195" spans="1:16" x14ac:dyDescent="0.55000000000000004">
      <c r="A195" t="s">
        <v>1871</v>
      </c>
      <c r="B195" t="s">
        <v>1872</v>
      </c>
      <c r="C195" s="4" t="str">
        <f>IFERROR(VLOOKUP(B195,infoTable10[],4,FALSE),"")</f>
        <v/>
      </c>
      <c r="D195" s="4" t="str">
        <f>IFERROR(VLOOKUP(B195,infoTable__2[],4,FALSE),"")</f>
        <v/>
      </c>
      <c r="E195" s="4" t="str">
        <f>IFERROR(VLOOKUP(B195,infoTable__3[],4,FALSE),"")</f>
        <v/>
      </c>
      <c r="F195" s="4" t="str">
        <f>IFERROR(VLOOKUP(B195,infoTable__4[],4,FALSE),"")</f>
        <v/>
      </c>
      <c r="G195" s="4" t="str">
        <f>IFERROR(VLOOKUP(B195,infoTable[],4,FALSE),"")</f>
        <v/>
      </c>
      <c r="H195" s="4" t="str">
        <f>IFERROR(VLOOKUP(B195,infoTable__6[],4,FALSE),"")</f>
        <v/>
      </c>
      <c r="I195" s="4" t="str">
        <f>IFERROR(VLOOKUP(B195,infoTable__28[],4,FALSE),"")</f>
        <v/>
      </c>
      <c r="J195" s="4" t="str">
        <f>IFERROR(VLOOKUP(B195,infoTable__10[],4,FALSE),"")</f>
        <v/>
      </c>
      <c r="K195" s="4">
        <f>IFERROR(VLOOKUP(B195,infoTable__11[],4,FALSE),"")</f>
        <v>856503</v>
      </c>
      <c r="L195" s="4">
        <f>IFERROR(VLOOKUP(B195,infoTable__12[],4,FALSE),"")</f>
        <v>5812076</v>
      </c>
      <c r="M195" s="4">
        <f>IFERROR(VLOOKUP(B195,infoTable__13[],4,FALSE),"")</f>
        <v>1926756</v>
      </c>
      <c r="N195" s="4">
        <f>IFERROR(VLOOKUP(B195,infoTable__14[],4,FALSE),"")</f>
        <v>1663473</v>
      </c>
      <c r="O195" s="4">
        <f>IFERROR(VLOOKUP(B195,infoTable__15[],4,FALSE),"")</f>
        <v>1473398</v>
      </c>
      <c r="P195" s="4">
        <f>IFERROR(VLOOKUP(B195,infoTable__16[],4,FALSE),"")</f>
        <v>1012926</v>
      </c>
    </row>
    <row r="196" spans="1:16" x14ac:dyDescent="0.55000000000000004">
      <c r="A196" t="s">
        <v>838</v>
      </c>
      <c r="B196" t="s">
        <v>839</v>
      </c>
      <c r="C196" s="4" t="str">
        <f>IFERROR(VLOOKUP(B196,infoTable10[],4,FALSE),"")</f>
        <v/>
      </c>
      <c r="D196" s="4" t="str">
        <f>IFERROR(VLOOKUP(B196,infoTable__2[],4,FALSE),"")</f>
        <v/>
      </c>
      <c r="E196" s="4" t="str">
        <f>IFERROR(VLOOKUP(B196,infoTable__3[],4,FALSE),"")</f>
        <v/>
      </c>
      <c r="F196" s="4">
        <f>IFERROR(VLOOKUP(B196,infoTable__4[],4,FALSE),"")</f>
        <v>1206252</v>
      </c>
      <c r="G196" s="4" t="str">
        <f>IFERROR(VLOOKUP(B196,infoTable[],4,FALSE),"")</f>
        <v/>
      </c>
      <c r="H196" s="4" t="str">
        <f>IFERROR(VLOOKUP(B196,infoTable__6[],4,FALSE),"")</f>
        <v/>
      </c>
      <c r="I196" s="4" t="str">
        <f>IFERROR(VLOOKUP(B196,infoTable__28[],4,FALSE),"")</f>
        <v/>
      </c>
      <c r="J196" s="4" t="str">
        <f>IFERROR(VLOOKUP(B196,infoTable__10[],4,FALSE),"")</f>
        <v/>
      </c>
      <c r="K196" s="4" t="str">
        <f>IFERROR(VLOOKUP(B196,infoTable__11[],4,FALSE),"")</f>
        <v/>
      </c>
      <c r="L196" s="4" t="str">
        <f>IFERROR(VLOOKUP(B196,infoTable__12[],4,FALSE),"")</f>
        <v/>
      </c>
      <c r="M196" s="4" t="str">
        <f>IFERROR(VLOOKUP(B196,infoTable__13[],4,FALSE),"")</f>
        <v/>
      </c>
      <c r="N196" s="4" t="str">
        <f>IFERROR(VLOOKUP(B196,infoTable__14[],4,FALSE),"")</f>
        <v/>
      </c>
      <c r="O196" s="4">
        <f>IFERROR(VLOOKUP(B196,infoTable__15[],4,FALSE),"")</f>
        <v>4904380</v>
      </c>
      <c r="P196" s="4">
        <f>IFERROR(VLOOKUP(B196,infoTable__16[],4,FALSE),"")</f>
        <v>4094854</v>
      </c>
    </row>
    <row r="197" spans="1:16" x14ac:dyDescent="0.55000000000000004">
      <c r="A197" t="s">
        <v>3325</v>
      </c>
      <c r="B197" t="s">
        <v>3326</v>
      </c>
      <c r="C197" s="4" t="str">
        <f>IFERROR(VLOOKUP(B197,infoTable10[],4,FALSE),"")</f>
        <v/>
      </c>
      <c r="D197" s="4" t="str">
        <f>IFERROR(VLOOKUP(B197,infoTable__2[],4,FALSE),"")</f>
        <v/>
      </c>
      <c r="E197" s="4" t="str">
        <f>IFERROR(VLOOKUP(B197,infoTable__3[],4,FALSE),"")</f>
        <v/>
      </c>
      <c r="F197" s="4" t="str">
        <f>IFERROR(VLOOKUP(B197,infoTable__4[],4,FALSE),"")</f>
        <v/>
      </c>
      <c r="G197" s="4" t="str">
        <f>IFERROR(VLOOKUP(B197,infoTable[],4,FALSE),"")</f>
        <v/>
      </c>
      <c r="H197" s="4" t="str">
        <f>IFERROR(VLOOKUP(B197,infoTable__6[],4,FALSE),"")</f>
        <v/>
      </c>
      <c r="I197" s="4" t="str">
        <f>IFERROR(VLOOKUP(B197,infoTable__28[],4,FALSE),"")</f>
        <v/>
      </c>
      <c r="J197" s="4" t="str">
        <f>IFERROR(VLOOKUP(B197,infoTable__10[],4,FALSE),"")</f>
        <v/>
      </c>
      <c r="K197" s="4" t="str">
        <f>IFERROR(VLOOKUP(B197,infoTable__11[],4,FALSE),"")</f>
        <v/>
      </c>
      <c r="L197" s="4" t="str">
        <f>IFERROR(VLOOKUP(B197,infoTable__12[],4,FALSE),"")</f>
        <v/>
      </c>
      <c r="M197" s="4" t="str">
        <f>IFERROR(VLOOKUP(B197,infoTable__13[],4,FALSE),"")</f>
        <v/>
      </c>
      <c r="N197" s="4" t="str">
        <f>IFERROR(VLOOKUP(B197,infoTable__14[],4,FALSE),"")</f>
        <v/>
      </c>
      <c r="O197" s="4" t="str">
        <f>IFERROR(VLOOKUP(B197,infoTable__15[],4,FALSE),"")</f>
        <v/>
      </c>
      <c r="P197" s="4">
        <f>IFERROR(VLOOKUP(B197,infoTable__16[],4,FALSE),"")</f>
        <v>981886</v>
      </c>
    </row>
    <row r="198" spans="1:16" x14ac:dyDescent="0.55000000000000004">
      <c r="A198" t="s">
        <v>3030</v>
      </c>
      <c r="B198" t="s">
        <v>3031</v>
      </c>
      <c r="C198" s="4" t="str">
        <f>IFERROR(VLOOKUP(B198,infoTable10[],4,FALSE),"")</f>
        <v/>
      </c>
      <c r="D198" s="4" t="str">
        <f>IFERROR(VLOOKUP(B198,infoTable__2[],4,FALSE),"")</f>
        <v/>
      </c>
      <c r="E198" s="4" t="str">
        <f>IFERROR(VLOOKUP(B198,infoTable__3[],4,FALSE),"")</f>
        <v/>
      </c>
      <c r="F198" s="4" t="str">
        <f>IFERROR(VLOOKUP(B198,infoTable__4[],4,FALSE),"")</f>
        <v/>
      </c>
      <c r="G198" s="4" t="str">
        <f>IFERROR(VLOOKUP(B198,infoTable[],4,FALSE),"")</f>
        <v/>
      </c>
      <c r="H198" s="4" t="str">
        <f>IFERROR(VLOOKUP(B198,infoTable__6[],4,FALSE),"")</f>
        <v/>
      </c>
      <c r="I198" s="4" t="str">
        <f>IFERROR(VLOOKUP(B198,infoTable__28[],4,FALSE),"")</f>
        <v/>
      </c>
      <c r="J198" s="4" t="str">
        <f>IFERROR(VLOOKUP(B198,infoTable__10[],4,FALSE),"")</f>
        <v/>
      </c>
      <c r="K198" s="4" t="str">
        <f>IFERROR(VLOOKUP(B198,infoTable__11[],4,FALSE),"")</f>
        <v/>
      </c>
      <c r="L198" s="4" t="str">
        <f>IFERROR(VLOOKUP(B198,infoTable__12[],4,FALSE),"")</f>
        <v/>
      </c>
      <c r="M198" s="4" t="str">
        <f>IFERROR(VLOOKUP(B198,infoTable__13[],4,FALSE),"")</f>
        <v/>
      </c>
      <c r="N198" s="4" t="str">
        <f>IFERROR(VLOOKUP(B198,infoTable__14[],4,FALSE),"")</f>
        <v/>
      </c>
      <c r="O198" s="4">
        <f>IFERROR(VLOOKUP(B198,infoTable__15[],4,FALSE),"")</f>
        <v>877071</v>
      </c>
      <c r="P198" s="4">
        <f>IFERROR(VLOOKUP(B198,infoTable__16[],4,FALSE),"")</f>
        <v>530592</v>
      </c>
    </row>
    <row r="199" spans="1:16" x14ac:dyDescent="0.55000000000000004">
      <c r="A199" t="s">
        <v>3040</v>
      </c>
      <c r="B199" t="s">
        <v>3041</v>
      </c>
      <c r="C199" s="4" t="str">
        <f>IFERROR(VLOOKUP(B199,infoTable10[],4,FALSE),"")</f>
        <v/>
      </c>
      <c r="D199" s="4" t="str">
        <f>IFERROR(VLOOKUP(B199,infoTable__2[],4,FALSE),"")</f>
        <v/>
      </c>
      <c r="E199" s="4" t="str">
        <f>IFERROR(VLOOKUP(B199,infoTable__3[],4,FALSE),"")</f>
        <v/>
      </c>
      <c r="F199" s="4" t="str">
        <f>IFERROR(VLOOKUP(B199,infoTable__4[],4,FALSE),"")</f>
        <v/>
      </c>
      <c r="G199" s="4" t="str">
        <f>IFERROR(VLOOKUP(B199,infoTable[],4,FALSE),"")</f>
        <v/>
      </c>
      <c r="H199" s="4" t="str">
        <f>IFERROR(VLOOKUP(B199,infoTable__6[],4,FALSE),"")</f>
        <v/>
      </c>
      <c r="I199" s="4" t="str">
        <f>IFERROR(VLOOKUP(B199,infoTable__28[],4,FALSE),"")</f>
        <v/>
      </c>
      <c r="J199" s="4" t="str">
        <f>IFERROR(VLOOKUP(B199,infoTable__10[],4,FALSE),"")</f>
        <v/>
      </c>
      <c r="K199" s="4" t="str">
        <f>IFERROR(VLOOKUP(B199,infoTable__11[],4,FALSE),"")</f>
        <v/>
      </c>
      <c r="L199" s="4" t="str">
        <f>IFERROR(VLOOKUP(B199,infoTable__12[],4,FALSE),"")</f>
        <v/>
      </c>
      <c r="M199" s="4" t="str">
        <f>IFERROR(VLOOKUP(B199,infoTable__13[],4,FALSE),"")</f>
        <v/>
      </c>
      <c r="N199" s="4" t="str">
        <f>IFERROR(VLOOKUP(B199,infoTable__14[],4,FALSE),"")</f>
        <v/>
      </c>
      <c r="O199" s="4">
        <f>IFERROR(VLOOKUP(B199,infoTable__15[],4,FALSE),"")</f>
        <v>468803</v>
      </c>
      <c r="P199" s="4">
        <f>IFERROR(VLOOKUP(B199,infoTable__16[],4,FALSE),"")</f>
        <v>984398</v>
      </c>
    </row>
    <row r="200" spans="1:16" x14ac:dyDescent="0.55000000000000004">
      <c r="A200" t="s">
        <v>2663</v>
      </c>
      <c r="B200" t="s">
        <v>2662</v>
      </c>
      <c r="C200" s="4" t="str">
        <f>IFERROR(VLOOKUP(B200,infoTable10[],4,FALSE),"")</f>
        <v/>
      </c>
      <c r="D200" s="4" t="str">
        <f>IFERROR(VLOOKUP(B200,infoTable__2[],4,FALSE),"")</f>
        <v/>
      </c>
      <c r="E200" s="4" t="str">
        <f>IFERROR(VLOOKUP(B200,infoTable__3[],4,FALSE),"")</f>
        <v/>
      </c>
      <c r="F200" s="4" t="str">
        <f>IFERROR(VLOOKUP(B200,infoTable__4[],4,FALSE),"")</f>
        <v/>
      </c>
      <c r="G200" s="4" t="str">
        <f>IFERROR(VLOOKUP(B200,infoTable[],4,FALSE),"")</f>
        <v/>
      </c>
      <c r="H200" s="4" t="str">
        <f>IFERROR(VLOOKUP(B200,infoTable__6[],4,FALSE),"")</f>
        <v/>
      </c>
      <c r="I200" s="4" t="str">
        <f>IFERROR(VLOOKUP(B200,infoTable__28[],4,FALSE),"")</f>
        <v/>
      </c>
      <c r="J200" s="4" t="str">
        <f>IFERROR(VLOOKUP(B200,infoTable__10[],4,FALSE),"")</f>
        <v/>
      </c>
      <c r="K200" s="4" t="str">
        <f>IFERROR(VLOOKUP(B200,infoTable__11[],4,FALSE),"")</f>
        <v/>
      </c>
      <c r="L200" s="4" t="str">
        <f>IFERROR(VLOOKUP(B200,infoTable__12[],4,FALSE),"")</f>
        <v/>
      </c>
      <c r="M200" s="4" t="str">
        <f>IFERROR(VLOOKUP(B200,infoTable__13[],4,FALSE),"")</f>
        <v/>
      </c>
      <c r="N200" s="4">
        <f>IFERROR(VLOOKUP(B200,infoTable__14[],4,FALSE),"")</f>
        <v>499277</v>
      </c>
      <c r="O200" s="4">
        <f>IFERROR(VLOOKUP(B200,infoTable__15[],4,FALSE),"")</f>
        <v>806700</v>
      </c>
      <c r="P200" s="4">
        <f>IFERROR(VLOOKUP(B200,infoTable__16[],4,FALSE),"")</f>
        <v>311633</v>
      </c>
    </row>
    <row r="201" spans="1:16" x14ac:dyDescent="0.55000000000000004">
      <c r="A201" t="s">
        <v>1875</v>
      </c>
      <c r="B201" t="s">
        <v>1876</v>
      </c>
      <c r="C201" s="4" t="str">
        <f>IFERROR(VLOOKUP(B201,infoTable10[],4,FALSE),"")</f>
        <v/>
      </c>
      <c r="D201" s="4" t="str">
        <f>IFERROR(VLOOKUP(B201,infoTable__2[],4,FALSE),"")</f>
        <v/>
      </c>
      <c r="E201" s="4" t="str">
        <f>IFERROR(VLOOKUP(B201,infoTable__3[],4,FALSE),"")</f>
        <v/>
      </c>
      <c r="F201" s="4" t="str">
        <f>IFERROR(VLOOKUP(B201,infoTable__4[],4,FALSE),"")</f>
        <v/>
      </c>
      <c r="G201" s="4" t="str">
        <f>IFERROR(VLOOKUP(B201,infoTable[],4,FALSE),"")</f>
        <v/>
      </c>
      <c r="H201" s="4" t="str">
        <f>IFERROR(VLOOKUP(B201,infoTable__6[],4,FALSE),"")</f>
        <v/>
      </c>
      <c r="I201" s="4" t="str">
        <f>IFERROR(VLOOKUP(B201,infoTable__28[],4,FALSE),"")</f>
        <v/>
      </c>
      <c r="J201" s="4" t="str">
        <f>IFERROR(VLOOKUP(B201,infoTable__10[],4,FALSE),"")</f>
        <v/>
      </c>
      <c r="K201" s="4">
        <f>IFERROR(VLOOKUP(B201,infoTable__11[],4,FALSE),"")</f>
        <v>1983312</v>
      </c>
      <c r="L201" s="4">
        <f>IFERROR(VLOOKUP(B201,infoTable__12[],4,FALSE),"")</f>
        <v>1377395</v>
      </c>
      <c r="M201" s="4">
        <f>IFERROR(VLOOKUP(B201,infoTable__13[],4,FALSE),"")</f>
        <v>2063898</v>
      </c>
      <c r="N201" s="4">
        <f>IFERROR(VLOOKUP(B201,infoTable__14[],4,FALSE),"")</f>
        <v>1807140</v>
      </c>
      <c r="O201" s="4">
        <f>IFERROR(VLOOKUP(B201,infoTable__15[],4,FALSE),"")</f>
        <v>1578174</v>
      </c>
      <c r="P201" s="4">
        <f>IFERROR(VLOOKUP(B201,infoTable__16[],4,FALSE),"")</f>
        <v>3251071</v>
      </c>
    </row>
    <row r="202" spans="1:16" x14ac:dyDescent="0.55000000000000004">
      <c r="A202" t="s">
        <v>3332</v>
      </c>
      <c r="B202" t="s">
        <v>3333</v>
      </c>
      <c r="C202" s="4" t="str">
        <f>IFERROR(VLOOKUP(B202,infoTable10[],4,FALSE),"")</f>
        <v/>
      </c>
      <c r="D202" s="4" t="str">
        <f>IFERROR(VLOOKUP(B202,infoTable__2[],4,FALSE),"")</f>
        <v/>
      </c>
      <c r="E202" s="4" t="str">
        <f>IFERROR(VLOOKUP(B202,infoTable__3[],4,FALSE),"")</f>
        <v/>
      </c>
      <c r="F202" s="4" t="str">
        <f>IFERROR(VLOOKUP(B202,infoTable__4[],4,FALSE),"")</f>
        <v/>
      </c>
      <c r="G202" s="4" t="str">
        <f>IFERROR(VLOOKUP(B202,infoTable[],4,FALSE),"")</f>
        <v/>
      </c>
      <c r="H202" s="4" t="str">
        <f>IFERROR(VLOOKUP(B202,infoTable__6[],4,FALSE),"")</f>
        <v/>
      </c>
      <c r="I202" s="4" t="str">
        <f>IFERROR(VLOOKUP(B202,infoTable__28[],4,FALSE),"")</f>
        <v/>
      </c>
      <c r="J202" s="4" t="str">
        <f>IFERROR(VLOOKUP(B202,infoTable__10[],4,FALSE),"")</f>
        <v/>
      </c>
      <c r="K202" s="4" t="str">
        <f>IFERROR(VLOOKUP(B202,infoTable__11[],4,FALSE),"")</f>
        <v/>
      </c>
      <c r="L202" s="4" t="str">
        <f>IFERROR(VLOOKUP(B202,infoTable__12[],4,FALSE),"")</f>
        <v/>
      </c>
      <c r="M202" s="4" t="str">
        <f>IFERROR(VLOOKUP(B202,infoTable__13[],4,FALSE),"")</f>
        <v/>
      </c>
      <c r="N202" s="4" t="str">
        <f>IFERROR(VLOOKUP(B202,infoTable__14[],4,FALSE),"")</f>
        <v/>
      </c>
      <c r="O202" s="4" t="str">
        <f>IFERROR(VLOOKUP(B202,infoTable__15[],4,FALSE),"")</f>
        <v/>
      </c>
      <c r="P202" s="4">
        <f>IFERROR(VLOOKUP(B202,infoTable__16[],4,FALSE),"")</f>
        <v>746282</v>
      </c>
    </row>
    <row r="203" spans="1:16" x14ac:dyDescent="0.55000000000000004">
      <c r="A203" t="s">
        <v>1224</v>
      </c>
      <c r="B203" t="s">
        <v>1225</v>
      </c>
      <c r="C203" s="4" t="str">
        <f>IFERROR(VLOOKUP(B203,infoTable10[],4,FALSE),"")</f>
        <v/>
      </c>
      <c r="D203" s="4" t="str">
        <f>IFERROR(VLOOKUP(B203,infoTable__2[],4,FALSE),"")</f>
        <v/>
      </c>
      <c r="E203" s="4" t="str">
        <f>IFERROR(VLOOKUP(B203,infoTable__3[],4,FALSE),"")</f>
        <v/>
      </c>
      <c r="F203" s="4" t="str">
        <f>IFERROR(VLOOKUP(B203,infoTable__4[],4,FALSE),"")</f>
        <v/>
      </c>
      <c r="G203" s="4" t="str">
        <f>IFERROR(VLOOKUP(B203,infoTable[],4,FALSE),"")</f>
        <v/>
      </c>
      <c r="H203" s="4" t="str">
        <f>IFERROR(VLOOKUP(B203,infoTable__6[],4,FALSE),"")</f>
        <v/>
      </c>
      <c r="I203" s="4">
        <f>IFERROR(VLOOKUP(B203,infoTable__28[],4,FALSE),"")</f>
        <v>1614541</v>
      </c>
      <c r="J203" s="4">
        <f>IFERROR(VLOOKUP(B203,infoTable__10[],4,FALSE),"")</f>
        <v>1180568</v>
      </c>
      <c r="K203" s="4">
        <f>IFERROR(VLOOKUP(B203,infoTable__11[],4,FALSE),"")</f>
        <v>1511802</v>
      </c>
      <c r="L203" s="4">
        <f>IFERROR(VLOOKUP(B203,infoTable__12[],4,FALSE),"")</f>
        <v>442432</v>
      </c>
      <c r="M203" s="4">
        <f>IFERROR(VLOOKUP(B203,infoTable__13[],4,FALSE),"")</f>
        <v>864963</v>
      </c>
      <c r="N203" s="4">
        <f>IFERROR(VLOOKUP(B203,infoTable__14[],4,FALSE),"")</f>
        <v>295088</v>
      </c>
      <c r="O203" s="4">
        <f>IFERROR(VLOOKUP(B203,infoTable__15[],4,FALSE),"")</f>
        <v>861601</v>
      </c>
      <c r="P203" s="4" t="str">
        <f>IFERROR(VLOOKUP(B203,infoTable__16[],4,FALSE),"")</f>
        <v/>
      </c>
    </row>
    <row r="204" spans="1:16" x14ac:dyDescent="0.55000000000000004">
      <c r="A204" t="s">
        <v>155</v>
      </c>
      <c r="B204" t="s">
        <v>156</v>
      </c>
      <c r="C204" s="4" t="str">
        <f>IFERROR(VLOOKUP(B204,infoTable10[],4,FALSE),"")</f>
        <v/>
      </c>
      <c r="D204" s="4" t="str">
        <f>IFERROR(VLOOKUP(B204,infoTable__2[],4,FALSE),"")</f>
        <v/>
      </c>
      <c r="E204" s="4" t="str">
        <f>IFERROR(VLOOKUP(B204,infoTable__3[],4,FALSE),"")</f>
        <v/>
      </c>
      <c r="F204" s="4" t="str">
        <f>IFERROR(VLOOKUP(B204,infoTable__4[],4,FALSE),"")</f>
        <v/>
      </c>
      <c r="G204" s="4">
        <f>IFERROR(VLOOKUP(B204,infoTable[],4,FALSE),"")</f>
        <v>453453</v>
      </c>
      <c r="H204" s="4">
        <f>IFERROR(VLOOKUP(B204,infoTable__6[],4,FALSE),"")</f>
        <v>359398</v>
      </c>
      <c r="I204" s="4" t="str">
        <f>IFERROR(VLOOKUP(B204,infoTable__28[],4,FALSE),"")</f>
        <v/>
      </c>
      <c r="J204" s="4" t="str">
        <f>IFERROR(VLOOKUP(B204,infoTable__10[],4,FALSE),"")</f>
        <v/>
      </c>
      <c r="K204" s="4" t="str">
        <f>IFERROR(VLOOKUP(B204,infoTable__11[],4,FALSE),"")</f>
        <v/>
      </c>
      <c r="L204" s="4" t="str">
        <f>IFERROR(VLOOKUP(B204,infoTable__12[],4,FALSE),"")</f>
        <v/>
      </c>
      <c r="M204" s="4" t="str">
        <f>IFERROR(VLOOKUP(B204,infoTable__13[],4,FALSE),"")</f>
        <v/>
      </c>
      <c r="N204" s="4">
        <f>IFERROR(VLOOKUP(B204,infoTable__14[],4,FALSE),"")</f>
        <v>930067</v>
      </c>
      <c r="O204" s="4" t="str">
        <f>IFERROR(VLOOKUP(B204,infoTable__15[],4,FALSE),"")</f>
        <v/>
      </c>
      <c r="P204" s="4" t="str">
        <f>IFERROR(VLOOKUP(B204,infoTable__16[],4,FALSE),"")</f>
        <v/>
      </c>
    </row>
    <row r="205" spans="1:16" x14ac:dyDescent="0.55000000000000004">
      <c r="A205" t="s">
        <v>2458</v>
      </c>
      <c r="B205" t="s">
        <v>2459</v>
      </c>
      <c r="C205" s="4" t="str">
        <f>IFERROR(VLOOKUP(B205,infoTable10[],4,FALSE),"")</f>
        <v/>
      </c>
      <c r="D205" s="4" t="str">
        <f>IFERROR(VLOOKUP(B205,infoTable__2[],4,FALSE),"")</f>
        <v/>
      </c>
      <c r="E205" s="4" t="str">
        <f>IFERROR(VLOOKUP(B205,infoTable__3[],4,FALSE),"")</f>
        <v/>
      </c>
      <c r="F205" s="4" t="str">
        <f>IFERROR(VLOOKUP(B205,infoTable__4[],4,FALSE),"")</f>
        <v/>
      </c>
      <c r="G205" s="4" t="str">
        <f>IFERROR(VLOOKUP(B205,infoTable[],4,FALSE),"")</f>
        <v/>
      </c>
      <c r="H205" s="4" t="str">
        <f>IFERROR(VLOOKUP(B205,infoTable__6[],4,FALSE),"")</f>
        <v/>
      </c>
      <c r="I205" s="4" t="str">
        <f>IFERROR(VLOOKUP(B205,infoTable__28[],4,FALSE),"")</f>
        <v/>
      </c>
      <c r="J205" s="4" t="str">
        <f>IFERROR(VLOOKUP(B205,infoTable__10[],4,FALSE),"")</f>
        <v/>
      </c>
      <c r="K205" s="4" t="str">
        <f>IFERROR(VLOOKUP(B205,infoTable__11[],4,FALSE),"")</f>
        <v/>
      </c>
      <c r="L205" s="4" t="str">
        <f>IFERROR(VLOOKUP(B205,infoTable__12[],4,FALSE),"")</f>
        <v/>
      </c>
      <c r="M205" s="4">
        <f>IFERROR(VLOOKUP(B205,infoTable__13[],4,FALSE),"")</f>
        <v>444587</v>
      </c>
      <c r="N205" s="4" t="str">
        <f>IFERROR(VLOOKUP(B205,infoTable__14[],4,FALSE),"")</f>
        <v/>
      </c>
      <c r="O205" s="4" t="str">
        <f>IFERROR(VLOOKUP(B205,infoTable__15[],4,FALSE),"")</f>
        <v/>
      </c>
      <c r="P205" s="4">
        <f>IFERROR(VLOOKUP(B205,infoTable__16[],4,FALSE),"")</f>
        <v>325287</v>
      </c>
    </row>
    <row r="206" spans="1:16" x14ac:dyDescent="0.55000000000000004">
      <c r="A206" t="s">
        <v>1230</v>
      </c>
      <c r="B206" t="s">
        <v>1231</v>
      </c>
      <c r="C206" s="4" t="str">
        <f>IFERROR(VLOOKUP(B206,infoTable10[],4,FALSE),"")</f>
        <v/>
      </c>
      <c r="D206" s="4" t="str">
        <f>IFERROR(VLOOKUP(B206,infoTable__2[],4,FALSE),"")</f>
        <v/>
      </c>
      <c r="E206" s="4" t="str">
        <f>IFERROR(VLOOKUP(B206,infoTable__3[],4,FALSE),"")</f>
        <v/>
      </c>
      <c r="F206" s="4" t="str">
        <f>IFERROR(VLOOKUP(B206,infoTable__4[],4,FALSE),"")</f>
        <v/>
      </c>
      <c r="G206" s="4" t="str">
        <f>IFERROR(VLOOKUP(B206,infoTable[],4,FALSE),"")</f>
        <v/>
      </c>
      <c r="H206" s="4" t="str">
        <f>IFERROR(VLOOKUP(B206,infoTable__6[],4,FALSE),"")</f>
        <v/>
      </c>
      <c r="I206" s="4">
        <f>IFERROR(VLOOKUP(B206,infoTable__28[],4,FALSE),"")</f>
        <v>204777</v>
      </c>
      <c r="J206" s="4">
        <f>IFERROR(VLOOKUP(B206,infoTable__10[],4,FALSE),"")</f>
        <v>254455</v>
      </c>
      <c r="K206" s="4">
        <f>IFERROR(VLOOKUP(B206,infoTable__11[],4,FALSE),"")</f>
        <v>149130</v>
      </c>
      <c r="L206" s="4" t="str">
        <f>IFERROR(VLOOKUP(B206,infoTable__12[],4,FALSE),"")</f>
        <v/>
      </c>
      <c r="M206" s="4" t="str">
        <f>IFERROR(VLOOKUP(B206,infoTable__13[],4,FALSE),"")</f>
        <v/>
      </c>
      <c r="N206" s="4" t="str">
        <f>IFERROR(VLOOKUP(B206,infoTable__14[],4,FALSE),"")</f>
        <v/>
      </c>
      <c r="O206" s="4" t="str">
        <f>IFERROR(VLOOKUP(B206,infoTable__15[],4,FALSE),"")</f>
        <v/>
      </c>
      <c r="P206" s="4" t="str">
        <f>IFERROR(VLOOKUP(B206,infoTable__16[],4,FALSE),"")</f>
        <v/>
      </c>
    </row>
    <row r="207" spans="1:16" x14ac:dyDescent="0.55000000000000004">
      <c r="A207" t="s">
        <v>991</v>
      </c>
      <c r="B207" t="s">
        <v>992</v>
      </c>
      <c r="C207" s="4" t="str">
        <f>IFERROR(VLOOKUP(B207,infoTable10[],4,FALSE),"")</f>
        <v/>
      </c>
      <c r="D207" s="4" t="str">
        <f>IFERROR(VLOOKUP(B207,infoTable__2[],4,FALSE),"")</f>
        <v/>
      </c>
      <c r="E207" s="4" t="str">
        <f>IFERROR(VLOOKUP(B207,infoTable__3[],4,FALSE),"")</f>
        <v/>
      </c>
      <c r="F207" s="4" t="str">
        <f>IFERROR(VLOOKUP(B207,infoTable__4[],4,FALSE),"")</f>
        <v/>
      </c>
      <c r="G207" s="4" t="str">
        <f>IFERROR(VLOOKUP(B207,infoTable[],4,FALSE),"")</f>
        <v/>
      </c>
      <c r="H207" s="4">
        <f>IFERROR(VLOOKUP(B207,infoTable__6[],4,FALSE),"")</f>
        <v>205970</v>
      </c>
      <c r="I207" s="4" t="str">
        <f>IFERROR(VLOOKUP(B207,infoTable__28[],4,FALSE),"")</f>
        <v/>
      </c>
      <c r="J207" s="4">
        <f>IFERROR(VLOOKUP(B207,infoTable__10[],4,FALSE),"")</f>
        <v>841218</v>
      </c>
      <c r="K207" s="4" t="str">
        <f>IFERROR(VLOOKUP(B207,infoTable__11[],4,FALSE),"")</f>
        <v/>
      </c>
      <c r="L207" s="4" t="str">
        <f>IFERROR(VLOOKUP(B207,infoTable__12[],4,FALSE),"")</f>
        <v/>
      </c>
      <c r="M207" s="4" t="str">
        <f>IFERROR(VLOOKUP(B207,infoTable__13[],4,FALSE),"")</f>
        <v/>
      </c>
      <c r="N207" s="4" t="str">
        <f>IFERROR(VLOOKUP(B207,infoTable__14[],4,FALSE),"")</f>
        <v/>
      </c>
      <c r="O207" s="4" t="str">
        <f>IFERROR(VLOOKUP(B207,infoTable__15[],4,FALSE),"")</f>
        <v/>
      </c>
      <c r="P207" s="4" t="str">
        <f>IFERROR(VLOOKUP(B207,infoTable__16[],4,FALSE),"")</f>
        <v/>
      </c>
    </row>
    <row r="208" spans="1:16" x14ac:dyDescent="0.55000000000000004">
      <c r="A208" t="s">
        <v>159</v>
      </c>
      <c r="B208" t="s">
        <v>160</v>
      </c>
      <c r="C208" s="4" t="str">
        <f>IFERROR(VLOOKUP(B208,infoTable10[],4,FALSE),"")</f>
        <v/>
      </c>
      <c r="D208" s="4" t="str">
        <f>IFERROR(VLOOKUP(B208,infoTable__2[],4,FALSE),"")</f>
        <v/>
      </c>
      <c r="E208" s="4" t="str">
        <f>IFERROR(VLOOKUP(B208,infoTable__3[],4,FALSE),"")</f>
        <v/>
      </c>
      <c r="F208" s="4" t="str">
        <f>IFERROR(VLOOKUP(B208,infoTable__4[],4,FALSE),"")</f>
        <v/>
      </c>
      <c r="G208" s="4">
        <f>IFERROR(VLOOKUP(B208,infoTable[],4,FALSE),"")</f>
        <v>205583</v>
      </c>
      <c r="H208" s="4" t="str">
        <f>IFERROR(VLOOKUP(B208,infoTable__6[],4,FALSE),"")</f>
        <v/>
      </c>
      <c r="I208" s="4" t="str">
        <f>IFERROR(VLOOKUP(B208,infoTable__28[],4,FALSE),"")</f>
        <v/>
      </c>
      <c r="J208" s="4" t="str">
        <f>IFERROR(VLOOKUP(B208,infoTable__10[],4,FALSE),"")</f>
        <v/>
      </c>
      <c r="K208" s="4" t="str">
        <f>IFERROR(VLOOKUP(B208,infoTable__11[],4,FALSE),"")</f>
        <v/>
      </c>
      <c r="L208" s="4" t="str">
        <f>IFERROR(VLOOKUP(B208,infoTable__12[],4,FALSE),"")</f>
        <v/>
      </c>
      <c r="M208" s="4" t="str">
        <f>IFERROR(VLOOKUP(B208,infoTable__13[],4,FALSE),"")</f>
        <v/>
      </c>
      <c r="N208" s="4">
        <f>IFERROR(VLOOKUP(B208,infoTable__14[],4,FALSE),"")</f>
        <v>417996</v>
      </c>
      <c r="O208" s="4" t="str">
        <f>IFERROR(VLOOKUP(B208,infoTable__15[],4,FALSE),"")</f>
        <v/>
      </c>
      <c r="P208" s="4" t="str">
        <f>IFERROR(VLOOKUP(B208,infoTable__16[],4,FALSE),"")</f>
        <v/>
      </c>
    </row>
    <row r="209" spans="1:16" x14ac:dyDescent="0.55000000000000004">
      <c r="A209" t="s">
        <v>2460</v>
      </c>
      <c r="B209" t="s">
        <v>2461</v>
      </c>
      <c r="C209" s="4" t="str">
        <f>IFERROR(VLOOKUP(B209,infoTable10[],4,FALSE),"")</f>
        <v/>
      </c>
      <c r="D209" s="4" t="str">
        <f>IFERROR(VLOOKUP(B209,infoTable__2[],4,FALSE),"")</f>
        <v/>
      </c>
      <c r="E209" s="4" t="str">
        <f>IFERROR(VLOOKUP(B209,infoTable__3[],4,FALSE),"")</f>
        <v/>
      </c>
      <c r="F209" s="4" t="str">
        <f>IFERROR(VLOOKUP(B209,infoTable__4[],4,FALSE),"")</f>
        <v/>
      </c>
      <c r="G209" s="4" t="str">
        <f>IFERROR(VLOOKUP(B209,infoTable[],4,FALSE),"")</f>
        <v/>
      </c>
      <c r="H209" s="4" t="str">
        <f>IFERROR(VLOOKUP(B209,infoTable__6[],4,FALSE),"")</f>
        <v/>
      </c>
      <c r="I209" s="4" t="str">
        <f>IFERROR(VLOOKUP(B209,infoTable__28[],4,FALSE),"")</f>
        <v/>
      </c>
      <c r="J209" s="4" t="str">
        <f>IFERROR(VLOOKUP(B209,infoTable__10[],4,FALSE),"")</f>
        <v/>
      </c>
      <c r="K209" s="4" t="str">
        <f>IFERROR(VLOOKUP(B209,infoTable__11[],4,FALSE),"")</f>
        <v/>
      </c>
      <c r="L209" s="4" t="str">
        <f>IFERROR(VLOOKUP(B209,infoTable__12[],4,FALSE),"")</f>
        <v/>
      </c>
      <c r="M209" s="4">
        <f>IFERROR(VLOOKUP(B209,infoTable__13[],4,FALSE),"")</f>
        <v>1332460</v>
      </c>
      <c r="N209" s="4" t="str">
        <f>IFERROR(VLOOKUP(B209,infoTable__14[],4,FALSE),"")</f>
        <v/>
      </c>
      <c r="O209" s="4" t="str">
        <f>IFERROR(VLOOKUP(B209,infoTable__15[],4,FALSE),"")</f>
        <v/>
      </c>
      <c r="P209" s="4" t="str">
        <f>IFERROR(VLOOKUP(B209,infoTable__16[],4,FALSE),"")</f>
        <v/>
      </c>
    </row>
    <row r="210" spans="1:16" x14ac:dyDescent="0.55000000000000004">
      <c r="A210" t="s">
        <v>995</v>
      </c>
      <c r="B210" t="s">
        <v>996</v>
      </c>
      <c r="C210" s="4" t="str">
        <f>IFERROR(VLOOKUP(B210,infoTable10[],4,FALSE),"")</f>
        <v/>
      </c>
      <c r="D210" s="4" t="str">
        <f>IFERROR(VLOOKUP(B210,infoTable__2[],4,FALSE),"")</f>
        <v/>
      </c>
      <c r="E210" s="4" t="str">
        <f>IFERROR(VLOOKUP(B210,infoTable__3[],4,FALSE),"")</f>
        <v/>
      </c>
      <c r="F210" s="4" t="str">
        <f>IFERROR(VLOOKUP(B210,infoTable__4[],4,FALSE),"")</f>
        <v/>
      </c>
      <c r="G210" s="4" t="str">
        <f>IFERROR(VLOOKUP(B210,infoTable[],4,FALSE),"")</f>
        <v/>
      </c>
      <c r="H210" s="4">
        <f>IFERROR(VLOOKUP(B210,infoTable__6[],4,FALSE),"")</f>
        <v>960351</v>
      </c>
      <c r="I210" s="4" t="str">
        <f>IFERROR(VLOOKUP(B210,infoTable__28[],4,FALSE),"")</f>
        <v/>
      </c>
      <c r="J210" s="4" t="str">
        <f>IFERROR(VLOOKUP(B210,infoTable__10[],4,FALSE),"")</f>
        <v/>
      </c>
      <c r="K210" s="4">
        <f>IFERROR(VLOOKUP(B210,infoTable__11[],4,FALSE),"")</f>
        <v>538687</v>
      </c>
      <c r="L210" s="4">
        <f>IFERROR(VLOOKUP(B210,infoTable__12[],4,FALSE),"")</f>
        <v>2232278</v>
      </c>
      <c r="M210" s="4">
        <f>IFERROR(VLOOKUP(B210,infoTable__13[],4,FALSE),"")</f>
        <v>3697487</v>
      </c>
      <c r="N210" s="4" t="str">
        <f>IFERROR(VLOOKUP(B210,infoTable__14[],4,FALSE),"")</f>
        <v/>
      </c>
      <c r="O210" s="4" t="str">
        <f>IFERROR(VLOOKUP(B210,infoTable__15[],4,FALSE),"")</f>
        <v/>
      </c>
      <c r="P210" s="4" t="str">
        <f>IFERROR(VLOOKUP(B210,infoTable__16[],4,FALSE),"")</f>
        <v/>
      </c>
    </row>
    <row r="211" spans="1:16" x14ac:dyDescent="0.55000000000000004">
      <c r="A211" t="s">
        <v>1658</v>
      </c>
      <c r="B211" t="s">
        <v>1659</v>
      </c>
      <c r="C211" s="4" t="str">
        <f>IFERROR(VLOOKUP(B211,infoTable10[],4,FALSE),"")</f>
        <v/>
      </c>
      <c r="D211" s="4" t="str">
        <f>IFERROR(VLOOKUP(B211,infoTable__2[],4,FALSE),"")</f>
        <v/>
      </c>
      <c r="E211" s="4" t="str">
        <f>IFERROR(VLOOKUP(B211,infoTable__3[],4,FALSE),"")</f>
        <v/>
      </c>
      <c r="F211" s="4" t="str">
        <f>IFERROR(VLOOKUP(B211,infoTable__4[],4,FALSE),"")</f>
        <v/>
      </c>
      <c r="G211" s="4" t="str">
        <f>IFERROR(VLOOKUP(B211,infoTable[],4,FALSE),"")</f>
        <v/>
      </c>
      <c r="H211" s="4" t="str">
        <f>IFERROR(VLOOKUP(B211,infoTable__6[],4,FALSE),"")</f>
        <v/>
      </c>
      <c r="I211" s="4" t="str">
        <f>IFERROR(VLOOKUP(B211,infoTable__28[],4,FALSE),"")</f>
        <v/>
      </c>
      <c r="J211" s="4">
        <f>IFERROR(VLOOKUP(B211,infoTable__10[],4,FALSE),"")</f>
        <v>1079925</v>
      </c>
      <c r="K211" s="4" t="str">
        <f>IFERROR(VLOOKUP(B211,infoTable__11[],4,FALSE),"")</f>
        <v/>
      </c>
      <c r="L211" s="4" t="str">
        <f>IFERROR(VLOOKUP(B211,infoTable__12[],4,FALSE),"")</f>
        <v/>
      </c>
      <c r="M211" s="4" t="str">
        <f>IFERROR(VLOOKUP(B211,infoTable__13[],4,FALSE),"")</f>
        <v/>
      </c>
      <c r="N211" s="4" t="str">
        <f>IFERROR(VLOOKUP(B211,infoTable__14[],4,FALSE),"")</f>
        <v/>
      </c>
      <c r="O211" s="4" t="str">
        <f>IFERROR(VLOOKUP(B211,infoTable__15[],4,FALSE),"")</f>
        <v/>
      </c>
      <c r="P211" s="4" t="str">
        <f>IFERROR(VLOOKUP(B211,infoTable__16[],4,FALSE),"")</f>
        <v/>
      </c>
    </row>
    <row r="212" spans="1:16" x14ac:dyDescent="0.55000000000000004">
      <c r="A212" t="s">
        <v>998</v>
      </c>
      <c r="B212" t="s">
        <v>999</v>
      </c>
      <c r="C212" s="4" t="str">
        <f>IFERROR(VLOOKUP(B212,infoTable10[],4,FALSE),"")</f>
        <v/>
      </c>
      <c r="D212" s="4" t="str">
        <f>IFERROR(VLOOKUP(B212,infoTable__2[],4,FALSE),"")</f>
        <v/>
      </c>
      <c r="E212" s="4" t="str">
        <f>IFERROR(VLOOKUP(B212,infoTable__3[],4,FALSE),"")</f>
        <v/>
      </c>
      <c r="F212" s="4" t="str">
        <f>IFERROR(VLOOKUP(B212,infoTable__4[],4,FALSE),"")</f>
        <v/>
      </c>
      <c r="G212" s="4" t="str">
        <f>IFERROR(VLOOKUP(B212,infoTable[],4,FALSE),"")</f>
        <v/>
      </c>
      <c r="H212" s="4">
        <f>IFERROR(VLOOKUP(B212,infoTable__6[],4,FALSE),"")</f>
        <v>1418533</v>
      </c>
      <c r="I212" s="4">
        <f>IFERROR(VLOOKUP(B212,infoTable__28[],4,FALSE),"")</f>
        <v>558209</v>
      </c>
      <c r="J212" s="4">
        <f>IFERROR(VLOOKUP(B212,infoTable__10[],4,FALSE),"")</f>
        <v>321794</v>
      </c>
      <c r="K212" s="4">
        <f>IFERROR(VLOOKUP(B212,infoTable__11[],4,FALSE),"")</f>
        <v>212967</v>
      </c>
      <c r="L212" s="4" t="str">
        <f>IFERROR(VLOOKUP(B212,infoTable__12[],4,FALSE),"")</f>
        <v/>
      </c>
      <c r="M212" s="4" t="str">
        <f>IFERROR(VLOOKUP(B212,infoTable__13[],4,FALSE),"")</f>
        <v/>
      </c>
      <c r="N212" s="4" t="str">
        <f>IFERROR(VLOOKUP(B212,infoTable__14[],4,FALSE),"")</f>
        <v/>
      </c>
      <c r="O212" s="4" t="str">
        <f>IFERROR(VLOOKUP(B212,infoTable__15[],4,FALSE),"")</f>
        <v/>
      </c>
      <c r="P212" s="4" t="str">
        <f>IFERROR(VLOOKUP(B212,infoTable__16[],4,FALSE),"")</f>
        <v/>
      </c>
    </row>
    <row r="213" spans="1:16" x14ac:dyDescent="0.55000000000000004">
      <c r="A213" t="s">
        <v>3034</v>
      </c>
      <c r="B213" t="s">
        <v>3035</v>
      </c>
      <c r="C213" s="4" t="str">
        <f>IFERROR(VLOOKUP(B213,infoTable10[],4,FALSE),"")</f>
        <v/>
      </c>
      <c r="D213" s="4" t="str">
        <f>IFERROR(VLOOKUP(B213,infoTable__2[],4,FALSE),"")</f>
        <v/>
      </c>
      <c r="E213" s="4" t="str">
        <f>IFERROR(VLOOKUP(B213,infoTable__3[],4,FALSE),"")</f>
        <v/>
      </c>
      <c r="F213" s="4" t="str">
        <f>IFERROR(VLOOKUP(B213,infoTable__4[],4,FALSE),"")</f>
        <v/>
      </c>
      <c r="G213" s="4" t="str">
        <f>IFERROR(VLOOKUP(B213,infoTable[],4,FALSE),"")</f>
        <v/>
      </c>
      <c r="H213" s="4" t="str">
        <f>IFERROR(VLOOKUP(B213,infoTable__6[],4,FALSE),"")</f>
        <v/>
      </c>
      <c r="I213" s="4" t="str">
        <f>IFERROR(VLOOKUP(B213,infoTable__28[],4,FALSE),"")</f>
        <v/>
      </c>
      <c r="J213" s="4" t="str">
        <f>IFERROR(VLOOKUP(B213,infoTable__10[],4,FALSE),"")</f>
        <v/>
      </c>
      <c r="K213" s="4" t="str">
        <f>IFERROR(VLOOKUP(B213,infoTable__11[],4,FALSE),"")</f>
        <v/>
      </c>
      <c r="L213" s="4" t="str">
        <f>IFERROR(VLOOKUP(B213,infoTable__12[],4,FALSE),"")</f>
        <v/>
      </c>
      <c r="M213" s="4" t="str">
        <f>IFERROR(VLOOKUP(B213,infoTable__13[],4,FALSE),"")</f>
        <v/>
      </c>
      <c r="N213" s="4" t="str">
        <f>IFERROR(VLOOKUP(B213,infoTable__14[],4,FALSE),"")</f>
        <v/>
      </c>
      <c r="O213" s="4">
        <f>IFERROR(VLOOKUP(B213,infoTable__15[],4,FALSE),"")</f>
        <v>380304</v>
      </c>
      <c r="P213" s="4">
        <f>IFERROR(VLOOKUP(B213,infoTable__16[],4,FALSE),"")</f>
        <v>2528755</v>
      </c>
    </row>
    <row r="214" spans="1:16" x14ac:dyDescent="0.55000000000000004">
      <c r="A214" t="s">
        <v>1574</v>
      </c>
      <c r="B214" t="s">
        <v>841</v>
      </c>
      <c r="C214" s="4" t="str">
        <f>IFERROR(VLOOKUP(B214,infoTable10[],4,FALSE),"")</f>
        <v/>
      </c>
      <c r="D214" s="4" t="str">
        <f>IFERROR(VLOOKUP(B214,infoTable__2[],4,FALSE),"")</f>
        <v/>
      </c>
      <c r="E214" s="4" t="str">
        <f>IFERROR(VLOOKUP(B214,infoTable__3[],4,FALSE),"")</f>
        <v/>
      </c>
      <c r="F214" s="4">
        <f>IFERROR(VLOOKUP(B214,infoTable__4[],4,FALSE),"")</f>
        <v>4075099</v>
      </c>
      <c r="G214" s="4" t="str">
        <f>IFERROR(VLOOKUP(B214,infoTable[],4,FALSE),"")</f>
        <v/>
      </c>
      <c r="H214" s="4" t="str">
        <f>IFERROR(VLOOKUP(B214,infoTable__6[],4,FALSE),"")</f>
        <v/>
      </c>
      <c r="I214" s="4" t="str">
        <f>IFERROR(VLOOKUP(B214,infoTable__28[],4,FALSE),"")</f>
        <v/>
      </c>
      <c r="J214" s="4">
        <f>IFERROR(VLOOKUP(B214,infoTable__10[],4,FALSE),"")</f>
        <v>1009935</v>
      </c>
      <c r="K214" s="4">
        <f>IFERROR(VLOOKUP(B214,infoTable__11[],4,FALSE),"")</f>
        <v>1440807</v>
      </c>
      <c r="L214" s="4" t="str">
        <f>IFERROR(VLOOKUP(B214,infoTable__12[],4,FALSE),"")</f>
        <v/>
      </c>
      <c r="M214" s="4" t="str">
        <f>IFERROR(VLOOKUP(B214,infoTable__13[],4,FALSE),"")</f>
        <v/>
      </c>
      <c r="N214" s="4" t="str">
        <f>IFERROR(VLOOKUP(B214,infoTable__14[],4,FALSE),"")</f>
        <v/>
      </c>
      <c r="O214" s="4" t="str">
        <f>IFERROR(VLOOKUP(B214,infoTable__15[],4,FALSE),"")</f>
        <v/>
      </c>
      <c r="P214" s="4" t="str">
        <f>IFERROR(VLOOKUP(B214,infoTable__16[],4,FALSE),"")</f>
        <v/>
      </c>
    </row>
    <row r="215" spans="1:16" x14ac:dyDescent="0.55000000000000004">
      <c r="A215" t="s">
        <v>3036</v>
      </c>
      <c r="B215" t="s">
        <v>3037</v>
      </c>
      <c r="C215" s="4" t="str">
        <f>IFERROR(VLOOKUP(B215,infoTable10[],4,FALSE),"")</f>
        <v/>
      </c>
      <c r="D215" s="4" t="str">
        <f>IFERROR(VLOOKUP(B215,infoTable__2[],4,FALSE),"")</f>
        <v/>
      </c>
      <c r="E215" s="4" t="str">
        <f>IFERROR(VLOOKUP(B215,infoTable__3[],4,FALSE),"")</f>
        <v/>
      </c>
      <c r="F215" s="4" t="str">
        <f>IFERROR(VLOOKUP(B215,infoTable__4[],4,FALSE),"")</f>
        <v/>
      </c>
      <c r="G215" s="4" t="str">
        <f>IFERROR(VLOOKUP(B215,infoTable[],4,FALSE),"")</f>
        <v/>
      </c>
      <c r="H215" s="4" t="str">
        <f>IFERROR(VLOOKUP(B215,infoTable__6[],4,FALSE),"")</f>
        <v/>
      </c>
      <c r="I215" s="4" t="str">
        <f>IFERROR(VLOOKUP(B215,infoTable__28[],4,FALSE),"")</f>
        <v/>
      </c>
      <c r="J215" s="4" t="str">
        <f>IFERROR(VLOOKUP(B215,infoTable__10[],4,FALSE),"")</f>
        <v/>
      </c>
      <c r="K215" s="4" t="str">
        <f>IFERROR(VLOOKUP(B215,infoTable__11[],4,FALSE),"")</f>
        <v/>
      </c>
      <c r="L215" s="4" t="str">
        <f>IFERROR(VLOOKUP(B215,infoTable__12[],4,FALSE),"")</f>
        <v/>
      </c>
      <c r="M215" s="4" t="str">
        <f>IFERROR(VLOOKUP(B215,infoTable__13[],4,FALSE),"")</f>
        <v/>
      </c>
      <c r="N215" s="4" t="str">
        <f>IFERROR(VLOOKUP(B215,infoTable__14[],4,FALSE),"")</f>
        <v/>
      </c>
      <c r="O215" s="4">
        <f>IFERROR(VLOOKUP(B215,infoTable__15[],4,FALSE),"")</f>
        <v>322409</v>
      </c>
      <c r="P215" s="4">
        <f>IFERROR(VLOOKUP(B215,infoTable__16[],4,FALSE),"")</f>
        <v>511959</v>
      </c>
    </row>
    <row r="216" spans="1:16" x14ac:dyDescent="0.55000000000000004">
      <c r="A216" t="s">
        <v>2665</v>
      </c>
      <c r="B216" t="s">
        <v>2664</v>
      </c>
      <c r="C216" s="4" t="str">
        <f>IFERROR(VLOOKUP(B216,infoTable10[],4,FALSE),"")</f>
        <v/>
      </c>
      <c r="D216" s="4" t="str">
        <f>IFERROR(VLOOKUP(B216,infoTable__2[],4,FALSE),"")</f>
        <v/>
      </c>
      <c r="E216" s="4" t="str">
        <f>IFERROR(VLOOKUP(B216,infoTable__3[],4,FALSE),"")</f>
        <v/>
      </c>
      <c r="F216" s="4" t="str">
        <f>IFERROR(VLOOKUP(B216,infoTable__4[],4,FALSE),"")</f>
        <v/>
      </c>
      <c r="G216" s="4" t="str">
        <f>IFERROR(VLOOKUP(B216,infoTable[],4,FALSE),"")</f>
        <v/>
      </c>
      <c r="H216" s="4" t="str">
        <f>IFERROR(VLOOKUP(B216,infoTable__6[],4,FALSE),"")</f>
        <v/>
      </c>
      <c r="I216" s="4" t="str">
        <f>IFERROR(VLOOKUP(B216,infoTable__28[],4,FALSE),"")</f>
        <v/>
      </c>
      <c r="J216" s="4" t="str">
        <f>IFERROR(VLOOKUP(B216,infoTable__10[],4,FALSE),"")</f>
        <v/>
      </c>
      <c r="K216" s="4" t="str">
        <f>IFERROR(VLOOKUP(B216,infoTable__11[],4,FALSE),"")</f>
        <v/>
      </c>
      <c r="L216" s="4" t="str">
        <f>IFERROR(VLOOKUP(B216,infoTable__12[],4,FALSE),"")</f>
        <v/>
      </c>
      <c r="M216" s="4" t="str">
        <f>IFERROR(VLOOKUP(B216,infoTable__13[],4,FALSE),"")</f>
        <v/>
      </c>
      <c r="N216" s="4">
        <f>IFERROR(VLOOKUP(B216,infoTable__14[],4,FALSE),"")</f>
        <v>548230</v>
      </c>
      <c r="O216" s="4" t="str">
        <f>IFERROR(VLOOKUP(B216,infoTable__15[],4,FALSE),"")</f>
        <v/>
      </c>
      <c r="P216" s="4" t="str">
        <f>IFERROR(VLOOKUP(B216,infoTable__16[],4,FALSE),"")</f>
        <v/>
      </c>
    </row>
    <row r="217" spans="1:16" x14ac:dyDescent="0.55000000000000004">
      <c r="A217" t="s">
        <v>2667</v>
      </c>
      <c r="B217" t="s">
        <v>2666</v>
      </c>
      <c r="C217" s="4" t="str">
        <f>IFERROR(VLOOKUP(B217,infoTable10[],4,FALSE),"")</f>
        <v/>
      </c>
      <c r="D217" s="4" t="str">
        <f>IFERROR(VLOOKUP(B217,infoTable__2[],4,FALSE),"")</f>
        <v/>
      </c>
      <c r="E217" s="4" t="str">
        <f>IFERROR(VLOOKUP(B217,infoTable__3[],4,FALSE),"")</f>
        <v/>
      </c>
      <c r="F217" s="4" t="str">
        <f>IFERROR(VLOOKUP(B217,infoTable__4[],4,FALSE),"")</f>
        <v/>
      </c>
      <c r="G217" s="4" t="str">
        <f>IFERROR(VLOOKUP(B217,infoTable[],4,FALSE),"")</f>
        <v/>
      </c>
      <c r="H217" s="4" t="str">
        <f>IFERROR(VLOOKUP(B217,infoTable__6[],4,FALSE),"")</f>
        <v/>
      </c>
      <c r="I217" s="4" t="str">
        <f>IFERROR(VLOOKUP(B217,infoTable__28[],4,FALSE),"")</f>
        <v/>
      </c>
      <c r="J217" s="4" t="str">
        <f>IFERROR(VLOOKUP(B217,infoTable__10[],4,FALSE),"")</f>
        <v/>
      </c>
      <c r="K217" s="4" t="str">
        <f>IFERROR(VLOOKUP(B217,infoTable__11[],4,FALSE),"")</f>
        <v/>
      </c>
      <c r="L217" s="4" t="str">
        <f>IFERROR(VLOOKUP(B217,infoTable__12[],4,FALSE),"")</f>
        <v/>
      </c>
      <c r="M217" s="4" t="str">
        <f>IFERROR(VLOOKUP(B217,infoTable__13[],4,FALSE),"")</f>
        <v/>
      </c>
      <c r="N217" s="4">
        <f>IFERROR(VLOOKUP(B217,infoTable__14[],4,FALSE),"")</f>
        <v>7292306</v>
      </c>
      <c r="O217" s="4">
        <f>IFERROR(VLOOKUP(B217,infoTable__15[],4,FALSE),"")</f>
        <v>6628398</v>
      </c>
      <c r="P217" s="4">
        <f>IFERROR(VLOOKUP(B217,infoTable__16[],4,FALSE),"")</f>
        <v>1605899</v>
      </c>
    </row>
    <row r="218" spans="1:16" x14ac:dyDescent="0.55000000000000004">
      <c r="A218" t="s">
        <v>742</v>
      </c>
      <c r="B218" t="s">
        <v>743</v>
      </c>
      <c r="C218" s="4" t="str">
        <f>IFERROR(VLOOKUP(B218,infoTable10[],4,FALSE),"")</f>
        <v/>
      </c>
      <c r="D218" s="4" t="str">
        <f>IFERROR(VLOOKUP(B218,infoTable__2[],4,FALSE),"")</f>
        <v/>
      </c>
      <c r="E218" s="4">
        <f>IFERROR(VLOOKUP(B218,infoTable__3[],4,FALSE),"")</f>
        <v>276103</v>
      </c>
      <c r="F218" s="4" t="str">
        <f>IFERROR(VLOOKUP(B218,infoTable__4[],4,FALSE),"")</f>
        <v/>
      </c>
      <c r="G218" s="4" t="str">
        <f>IFERROR(VLOOKUP(B218,infoTable[],4,FALSE),"")</f>
        <v/>
      </c>
      <c r="H218" s="4" t="str">
        <f>IFERROR(VLOOKUP(B218,infoTable__6[],4,FALSE),"")</f>
        <v/>
      </c>
      <c r="I218" s="4" t="str">
        <f>IFERROR(VLOOKUP(B218,infoTable__28[],4,FALSE),"")</f>
        <v/>
      </c>
      <c r="J218" s="4" t="str">
        <f>IFERROR(VLOOKUP(B218,infoTable__10[],4,FALSE),"")</f>
        <v/>
      </c>
      <c r="K218" s="4" t="str">
        <f>IFERROR(VLOOKUP(B218,infoTable__11[],4,FALSE),"")</f>
        <v/>
      </c>
      <c r="L218" s="4" t="str">
        <f>IFERROR(VLOOKUP(B218,infoTable__12[],4,FALSE),"")</f>
        <v/>
      </c>
      <c r="M218" s="4" t="str">
        <f>IFERROR(VLOOKUP(B218,infoTable__13[],4,FALSE),"")</f>
        <v/>
      </c>
      <c r="N218" s="4" t="str">
        <f>IFERROR(VLOOKUP(B218,infoTable__14[],4,FALSE),"")</f>
        <v/>
      </c>
      <c r="O218" s="4" t="str">
        <f>IFERROR(VLOOKUP(B218,infoTable__15[],4,FALSE),"")</f>
        <v/>
      </c>
      <c r="P218" s="4" t="str">
        <f>IFERROR(VLOOKUP(B218,infoTable__16[],4,FALSE),"")</f>
        <v/>
      </c>
    </row>
    <row r="219" spans="1:16" x14ac:dyDescent="0.55000000000000004">
      <c r="A219" t="s">
        <v>2669</v>
      </c>
      <c r="B219" t="s">
        <v>2668</v>
      </c>
      <c r="C219" s="4" t="str">
        <f>IFERROR(VLOOKUP(B219,infoTable10[],4,FALSE),"")</f>
        <v/>
      </c>
      <c r="D219" s="4" t="str">
        <f>IFERROR(VLOOKUP(B219,infoTable__2[],4,FALSE),"")</f>
        <v/>
      </c>
      <c r="E219" s="4" t="str">
        <f>IFERROR(VLOOKUP(B219,infoTable__3[],4,FALSE),"")</f>
        <v/>
      </c>
      <c r="F219" s="4" t="str">
        <f>IFERROR(VLOOKUP(B219,infoTable__4[],4,FALSE),"")</f>
        <v/>
      </c>
      <c r="G219" s="4" t="str">
        <f>IFERROR(VLOOKUP(B219,infoTable[],4,FALSE),"")</f>
        <v/>
      </c>
      <c r="H219" s="4" t="str">
        <f>IFERROR(VLOOKUP(B219,infoTable__6[],4,FALSE),"")</f>
        <v/>
      </c>
      <c r="I219" s="4" t="str">
        <f>IFERROR(VLOOKUP(B219,infoTable__28[],4,FALSE),"")</f>
        <v/>
      </c>
      <c r="J219" s="4" t="str">
        <f>IFERROR(VLOOKUP(B219,infoTable__10[],4,FALSE),"")</f>
        <v/>
      </c>
      <c r="K219" s="4" t="str">
        <f>IFERROR(VLOOKUP(B219,infoTable__11[],4,FALSE),"")</f>
        <v/>
      </c>
      <c r="L219" s="4" t="str">
        <f>IFERROR(VLOOKUP(B219,infoTable__12[],4,FALSE),"")</f>
        <v/>
      </c>
      <c r="M219" s="4" t="str">
        <f>IFERROR(VLOOKUP(B219,infoTable__13[],4,FALSE),"")</f>
        <v/>
      </c>
      <c r="N219" s="4">
        <f>IFERROR(VLOOKUP(B219,infoTable__14[],4,FALSE),"")</f>
        <v>1295414</v>
      </c>
      <c r="O219" s="4">
        <f>IFERROR(VLOOKUP(B219,infoTable__15[],4,FALSE),"")</f>
        <v>2730232</v>
      </c>
      <c r="P219" s="4">
        <f>IFERROR(VLOOKUP(B219,infoTable__16[],4,FALSE),"")</f>
        <v>3142556</v>
      </c>
    </row>
    <row r="220" spans="1:16" x14ac:dyDescent="0.55000000000000004">
      <c r="A220" t="s">
        <v>3337</v>
      </c>
      <c r="B220" t="s">
        <v>3338</v>
      </c>
      <c r="C220" s="4" t="str">
        <f>IFERROR(VLOOKUP(B220,infoTable10[],4,FALSE),"")</f>
        <v/>
      </c>
      <c r="D220" s="4" t="str">
        <f>IFERROR(VLOOKUP(B220,infoTable__2[],4,FALSE),"")</f>
        <v/>
      </c>
      <c r="E220" s="4" t="str">
        <f>IFERROR(VLOOKUP(B220,infoTable__3[],4,FALSE),"")</f>
        <v/>
      </c>
      <c r="F220" s="4" t="str">
        <f>IFERROR(VLOOKUP(B220,infoTable__4[],4,FALSE),"")</f>
        <v/>
      </c>
      <c r="G220" s="4" t="str">
        <f>IFERROR(VLOOKUP(B220,infoTable[],4,FALSE),"")</f>
        <v/>
      </c>
      <c r="H220" s="4" t="str">
        <f>IFERROR(VLOOKUP(B220,infoTable__6[],4,FALSE),"")</f>
        <v/>
      </c>
      <c r="I220" s="4" t="str">
        <f>IFERROR(VLOOKUP(B220,infoTable__28[],4,FALSE),"")</f>
        <v/>
      </c>
      <c r="J220" s="4" t="str">
        <f>IFERROR(VLOOKUP(B220,infoTable__10[],4,FALSE),"")</f>
        <v/>
      </c>
      <c r="K220" s="4" t="str">
        <f>IFERROR(VLOOKUP(B220,infoTable__11[],4,FALSE),"")</f>
        <v/>
      </c>
      <c r="L220" s="4" t="str">
        <f>IFERROR(VLOOKUP(B220,infoTable__12[],4,FALSE),"")</f>
        <v/>
      </c>
      <c r="M220" s="4" t="str">
        <f>IFERROR(VLOOKUP(B220,infoTable__13[],4,FALSE),"")</f>
        <v/>
      </c>
      <c r="N220" s="4" t="str">
        <f>IFERROR(VLOOKUP(B220,infoTable__14[],4,FALSE),"")</f>
        <v/>
      </c>
      <c r="O220" s="4" t="str">
        <f>IFERROR(VLOOKUP(B220,infoTable__15[],4,FALSE),"")</f>
        <v/>
      </c>
      <c r="P220" s="4">
        <f>IFERROR(VLOOKUP(B220,infoTable__16[],4,FALSE),"")</f>
        <v>366324</v>
      </c>
    </row>
    <row r="221" spans="1:16" x14ac:dyDescent="0.55000000000000004">
      <c r="A221" t="s">
        <v>744</v>
      </c>
      <c r="B221" t="s">
        <v>745</v>
      </c>
      <c r="C221" s="4">
        <f>IFERROR(VLOOKUP(B221,infoTable10[],4,FALSE),"")</f>
        <v>266668</v>
      </c>
      <c r="D221" s="4" t="str">
        <f>IFERROR(VLOOKUP(B221,infoTable__2[],4,FALSE),"")</f>
        <v/>
      </c>
      <c r="E221" s="4">
        <f>IFERROR(VLOOKUP(B221,infoTable__3[],4,FALSE),"")</f>
        <v>1674327</v>
      </c>
      <c r="F221" s="4" t="str">
        <f>IFERROR(VLOOKUP(B221,infoTable__4[],4,FALSE),"")</f>
        <v/>
      </c>
      <c r="G221" s="4" t="str">
        <f>IFERROR(VLOOKUP(B221,infoTable[],4,FALSE),"")</f>
        <v/>
      </c>
      <c r="H221" s="4" t="str">
        <f>IFERROR(VLOOKUP(B221,infoTable__6[],4,FALSE),"")</f>
        <v/>
      </c>
      <c r="I221" s="4" t="str">
        <f>IFERROR(VLOOKUP(B221,infoTable__28[],4,FALSE),"")</f>
        <v/>
      </c>
      <c r="J221" s="4" t="str">
        <f>IFERROR(VLOOKUP(B221,infoTable__10[],4,FALSE),"")</f>
        <v/>
      </c>
      <c r="K221" s="4" t="str">
        <f>IFERROR(VLOOKUP(B221,infoTable__11[],4,FALSE),"")</f>
        <v/>
      </c>
      <c r="L221" s="4">
        <f>IFERROR(VLOOKUP(B221,infoTable__12[],4,FALSE),"")</f>
        <v>1768095</v>
      </c>
      <c r="M221" s="4">
        <f>IFERROR(VLOOKUP(B221,infoTable__13[],4,FALSE),"")</f>
        <v>3262121</v>
      </c>
      <c r="N221" s="4">
        <f>IFERROR(VLOOKUP(B221,infoTable__14[],4,FALSE),"")</f>
        <v>2525680</v>
      </c>
      <c r="O221" s="4">
        <f>IFERROR(VLOOKUP(B221,infoTable__15[],4,FALSE),"")</f>
        <v>3171595</v>
      </c>
      <c r="P221" s="4">
        <f>IFERROR(VLOOKUP(B221,infoTable__16[],4,FALSE),"")</f>
        <v>1233453</v>
      </c>
    </row>
    <row r="222" spans="1:16" x14ac:dyDescent="0.55000000000000004">
      <c r="A222" t="s">
        <v>2462</v>
      </c>
      <c r="B222" t="s">
        <v>2463</v>
      </c>
      <c r="C222" s="4" t="str">
        <f>IFERROR(VLOOKUP(B222,infoTable10[],4,FALSE),"")</f>
        <v/>
      </c>
      <c r="D222" s="4" t="str">
        <f>IFERROR(VLOOKUP(B222,infoTable__2[],4,FALSE),"")</f>
        <v/>
      </c>
      <c r="E222" s="4" t="str">
        <f>IFERROR(VLOOKUP(B222,infoTable__3[],4,FALSE),"")</f>
        <v/>
      </c>
      <c r="F222" s="4" t="str">
        <f>IFERROR(VLOOKUP(B222,infoTable__4[],4,FALSE),"")</f>
        <v/>
      </c>
      <c r="G222" s="4" t="str">
        <f>IFERROR(VLOOKUP(B222,infoTable[],4,FALSE),"")</f>
        <v/>
      </c>
      <c r="H222" s="4" t="str">
        <f>IFERROR(VLOOKUP(B222,infoTable__6[],4,FALSE),"")</f>
        <v/>
      </c>
      <c r="I222" s="4" t="str">
        <f>IFERROR(VLOOKUP(B222,infoTable__28[],4,FALSE),"")</f>
        <v/>
      </c>
      <c r="J222" s="4" t="str">
        <f>IFERROR(VLOOKUP(B222,infoTable__10[],4,FALSE),"")</f>
        <v/>
      </c>
      <c r="K222" s="4" t="str">
        <f>IFERROR(VLOOKUP(B222,infoTable__11[],4,FALSE),"")</f>
        <v/>
      </c>
      <c r="L222" s="4" t="str">
        <f>IFERROR(VLOOKUP(B222,infoTable__12[],4,FALSE),"")</f>
        <v/>
      </c>
      <c r="M222" s="4">
        <f>IFERROR(VLOOKUP(B222,infoTable__13[],4,FALSE),"")</f>
        <v>399804</v>
      </c>
      <c r="N222" s="4">
        <f>IFERROR(VLOOKUP(B222,infoTable__14[],4,FALSE),"")</f>
        <v>2367591</v>
      </c>
      <c r="O222" s="4" t="str">
        <f>IFERROR(VLOOKUP(B222,infoTable__15[],4,FALSE),"")</f>
        <v/>
      </c>
      <c r="P222" s="4" t="str">
        <f>IFERROR(VLOOKUP(B222,infoTable__16[],4,FALSE),"")</f>
        <v/>
      </c>
    </row>
    <row r="223" spans="1:16" x14ac:dyDescent="0.55000000000000004">
      <c r="A223" t="s">
        <v>173</v>
      </c>
      <c r="B223" t="s">
        <v>174</v>
      </c>
      <c r="C223" s="4" t="str">
        <f>IFERROR(VLOOKUP(B223,infoTable10[],4,FALSE),"")</f>
        <v/>
      </c>
      <c r="D223" s="4" t="str">
        <f>IFERROR(VLOOKUP(B223,infoTable__2[],4,FALSE),"")</f>
        <v/>
      </c>
      <c r="E223" s="4" t="str">
        <f>IFERROR(VLOOKUP(B223,infoTable__3[],4,FALSE),"")</f>
        <v/>
      </c>
      <c r="F223" s="4" t="str">
        <f>IFERROR(VLOOKUP(B223,infoTable__4[],4,FALSE),"")</f>
        <v/>
      </c>
      <c r="G223" s="4">
        <f>IFERROR(VLOOKUP(B223,infoTable[],4,FALSE),"")</f>
        <v>165783</v>
      </c>
      <c r="H223" s="4" t="str">
        <f>IFERROR(VLOOKUP(B223,infoTable__6[],4,FALSE),"")</f>
        <v/>
      </c>
      <c r="I223" s="4" t="str">
        <f>IFERROR(VLOOKUP(B223,infoTable__28[],4,FALSE),"")</f>
        <v/>
      </c>
      <c r="J223" s="4">
        <f>IFERROR(VLOOKUP(B223,infoTable__10[],4,FALSE),"")</f>
        <v>582004</v>
      </c>
      <c r="K223" s="4">
        <f>IFERROR(VLOOKUP(B223,infoTable__11[],4,FALSE),"")</f>
        <v>657802</v>
      </c>
      <c r="L223" s="4">
        <f>IFERROR(VLOOKUP(B223,infoTable__12[],4,FALSE),"")</f>
        <v>563630</v>
      </c>
      <c r="M223" s="4" t="str">
        <f>IFERROR(VLOOKUP(B223,infoTable__13[],4,FALSE),"")</f>
        <v/>
      </c>
      <c r="N223" s="4" t="str">
        <f>IFERROR(VLOOKUP(B223,infoTable__14[],4,FALSE),"")</f>
        <v/>
      </c>
      <c r="O223" s="4" t="str">
        <f>IFERROR(VLOOKUP(B223,infoTable__15[],4,FALSE),"")</f>
        <v/>
      </c>
      <c r="P223" s="4">
        <f>IFERROR(VLOOKUP(B223,infoTable__16[],4,FALSE),"")</f>
        <v>829558</v>
      </c>
    </row>
    <row r="224" spans="1:16" x14ac:dyDescent="0.55000000000000004">
      <c r="A224" t="s">
        <v>1575</v>
      </c>
      <c r="B224" t="s">
        <v>494</v>
      </c>
      <c r="C224" s="4" t="str">
        <f>IFERROR(VLOOKUP(B224,infoTable10[],4,FALSE),"")</f>
        <v/>
      </c>
      <c r="D224" s="4">
        <f>IFERROR(VLOOKUP(B224,infoTable__2[],4,FALSE),"")</f>
        <v>469254</v>
      </c>
      <c r="E224" s="4">
        <f>IFERROR(VLOOKUP(B224,infoTable__3[],4,FALSE),"")</f>
        <v>359419</v>
      </c>
      <c r="F224" s="4" t="str">
        <f>IFERROR(VLOOKUP(B224,infoTable__4[],4,FALSE),"")</f>
        <v/>
      </c>
      <c r="G224" s="4" t="str">
        <f>IFERROR(VLOOKUP(B224,infoTable[],4,FALSE),"")</f>
        <v/>
      </c>
      <c r="H224" s="4">
        <f>IFERROR(VLOOKUP(B224,infoTable__6[],4,FALSE),"")</f>
        <v>116427</v>
      </c>
      <c r="I224" s="4" t="str">
        <f>IFERROR(VLOOKUP(B224,infoTable__28[],4,FALSE),"")</f>
        <v/>
      </c>
      <c r="J224" s="4" t="str">
        <f>IFERROR(VLOOKUP(B224,infoTable__10[],4,FALSE),"")</f>
        <v/>
      </c>
      <c r="K224" s="4" t="str">
        <f>IFERROR(VLOOKUP(B224,infoTable__11[],4,FALSE),"")</f>
        <v/>
      </c>
      <c r="L224" s="4" t="str">
        <f>IFERROR(VLOOKUP(B224,infoTable__12[],4,FALSE),"")</f>
        <v/>
      </c>
      <c r="M224" s="4" t="str">
        <f>IFERROR(VLOOKUP(B224,infoTable__13[],4,FALSE),"")</f>
        <v/>
      </c>
      <c r="N224" s="4" t="str">
        <f>IFERROR(VLOOKUP(B224,infoTable__14[],4,FALSE),"")</f>
        <v/>
      </c>
      <c r="O224" s="4" t="str">
        <f>IFERROR(VLOOKUP(B224,infoTable__15[],4,FALSE),"")</f>
        <v/>
      </c>
      <c r="P224" s="4" t="str">
        <f>IFERROR(VLOOKUP(B224,infoTable__16[],4,FALSE),"")</f>
        <v/>
      </c>
    </row>
    <row r="225" spans="1:16" x14ac:dyDescent="0.55000000000000004">
      <c r="A225" t="s">
        <v>175</v>
      </c>
      <c r="B225" t="s">
        <v>176</v>
      </c>
      <c r="C225" s="4" t="str">
        <f>IFERROR(VLOOKUP(B225,infoTable10[],4,FALSE),"")</f>
        <v/>
      </c>
      <c r="D225" s="4" t="str">
        <f>IFERROR(VLOOKUP(B225,infoTable__2[],4,FALSE),"")</f>
        <v/>
      </c>
      <c r="E225" s="4" t="str">
        <f>IFERROR(VLOOKUP(B225,infoTable__3[],4,FALSE),"")</f>
        <v/>
      </c>
      <c r="F225" s="4" t="str">
        <f>IFERROR(VLOOKUP(B225,infoTable__4[],4,FALSE),"")</f>
        <v/>
      </c>
      <c r="G225" s="4">
        <f>IFERROR(VLOOKUP(B225,infoTable[],4,FALSE),"")</f>
        <v>274988</v>
      </c>
      <c r="H225" s="4" t="str">
        <f>IFERROR(VLOOKUP(B225,infoTable__6[],4,FALSE),"")</f>
        <v/>
      </c>
      <c r="I225" s="4" t="str">
        <f>IFERROR(VLOOKUP(B225,infoTable__28[],4,FALSE),"")</f>
        <v/>
      </c>
      <c r="J225" s="4" t="str">
        <f>IFERROR(VLOOKUP(B225,infoTable__10[],4,FALSE),"")</f>
        <v/>
      </c>
      <c r="K225" s="4" t="str">
        <f>IFERROR(VLOOKUP(B225,infoTable__11[],4,FALSE),"")</f>
        <v/>
      </c>
      <c r="L225" s="4">
        <f>IFERROR(VLOOKUP(B225,infoTable__12[],4,FALSE),"")</f>
        <v>624037</v>
      </c>
      <c r="M225" s="4" t="str">
        <f>IFERROR(VLOOKUP(B225,infoTable__13[],4,FALSE),"")</f>
        <v/>
      </c>
      <c r="N225" s="4" t="str">
        <f>IFERROR(VLOOKUP(B225,infoTable__14[],4,FALSE),"")</f>
        <v/>
      </c>
      <c r="O225" s="4" t="str">
        <f>IFERROR(VLOOKUP(B225,infoTable__15[],4,FALSE),"")</f>
        <v/>
      </c>
      <c r="P225" s="4" t="str">
        <f>IFERROR(VLOOKUP(B225,infoTable__16[],4,FALSE),"")</f>
        <v/>
      </c>
    </row>
    <row r="226" spans="1:16" x14ac:dyDescent="0.55000000000000004">
      <c r="A226" t="s">
        <v>1668</v>
      </c>
      <c r="B226" t="s">
        <v>1669</v>
      </c>
      <c r="C226" s="4" t="str">
        <f>IFERROR(VLOOKUP(B226,infoTable10[],4,FALSE),"")</f>
        <v/>
      </c>
      <c r="D226" s="4" t="str">
        <f>IFERROR(VLOOKUP(B226,infoTable__2[],4,FALSE),"")</f>
        <v/>
      </c>
      <c r="E226" s="4" t="str">
        <f>IFERROR(VLOOKUP(B226,infoTable__3[],4,FALSE),"")</f>
        <v/>
      </c>
      <c r="F226" s="4" t="str">
        <f>IFERROR(VLOOKUP(B226,infoTable__4[],4,FALSE),"")</f>
        <v/>
      </c>
      <c r="G226" s="4" t="str">
        <f>IFERROR(VLOOKUP(B226,infoTable[],4,FALSE),"")</f>
        <v/>
      </c>
      <c r="H226" s="4" t="str">
        <f>IFERROR(VLOOKUP(B226,infoTable__6[],4,FALSE),"")</f>
        <v/>
      </c>
      <c r="I226" s="4" t="str">
        <f>IFERROR(VLOOKUP(B226,infoTable__28[],4,FALSE),"")</f>
        <v/>
      </c>
      <c r="J226" s="4">
        <f>IFERROR(VLOOKUP(B226,infoTable__10[],4,FALSE),"")</f>
        <v>3106874</v>
      </c>
      <c r="K226" s="4" t="str">
        <f>IFERROR(VLOOKUP(B226,infoTable__11[],4,FALSE),"")</f>
        <v/>
      </c>
      <c r="L226" s="4" t="str">
        <f>IFERROR(VLOOKUP(B226,infoTable__12[],4,FALSE),"")</f>
        <v/>
      </c>
      <c r="M226" s="4" t="str">
        <f>IFERROR(VLOOKUP(B226,infoTable__13[],4,FALSE),"")</f>
        <v/>
      </c>
      <c r="N226" s="4" t="str">
        <f>IFERROR(VLOOKUP(B226,infoTable__14[],4,FALSE),"")</f>
        <v/>
      </c>
      <c r="O226" s="4">
        <f>IFERROR(VLOOKUP(B226,infoTable__15[],4,FALSE),"")</f>
        <v>561273</v>
      </c>
      <c r="P226" s="4">
        <f>IFERROR(VLOOKUP(B226,infoTable__16[],4,FALSE),"")</f>
        <v>2103264</v>
      </c>
    </row>
    <row r="227" spans="1:16" x14ac:dyDescent="0.55000000000000004">
      <c r="A227" t="s">
        <v>1498</v>
      </c>
      <c r="B227" t="s">
        <v>1499</v>
      </c>
      <c r="C227" s="4">
        <f>IFERROR(VLOOKUP(B227,infoTable10[],4,FALSE),"")</f>
        <v>359119</v>
      </c>
      <c r="D227" s="4" t="str">
        <f>IFERROR(VLOOKUP(B227,infoTable__2[],4,FALSE),"")</f>
        <v/>
      </c>
      <c r="E227" s="4" t="str">
        <f>IFERROR(VLOOKUP(B227,infoTable__3[],4,FALSE),"")</f>
        <v/>
      </c>
      <c r="F227" s="4" t="str">
        <f>IFERROR(VLOOKUP(B227,infoTable__4[],4,FALSE),"")</f>
        <v/>
      </c>
      <c r="G227" s="4" t="str">
        <f>IFERROR(VLOOKUP(B227,infoTable[],4,FALSE),"")</f>
        <v/>
      </c>
      <c r="H227" s="4" t="str">
        <f>IFERROR(VLOOKUP(B227,infoTable__6[],4,FALSE),"")</f>
        <v/>
      </c>
      <c r="I227" s="4" t="str">
        <f>IFERROR(VLOOKUP(B227,infoTable__28[],4,FALSE),"")</f>
        <v/>
      </c>
      <c r="J227" s="4" t="str">
        <f>IFERROR(VLOOKUP(B227,infoTable__10[],4,FALSE),"")</f>
        <v/>
      </c>
      <c r="K227" s="4" t="str">
        <f>IFERROR(VLOOKUP(B227,infoTable__11[],4,FALSE),"")</f>
        <v/>
      </c>
      <c r="L227" s="4" t="str">
        <f>IFERROR(VLOOKUP(B227,infoTable__12[],4,FALSE),"")</f>
        <v/>
      </c>
      <c r="M227" s="4" t="str">
        <f>IFERROR(VLOOKUP(B227,infoTable__13[],4,FALSE),"")</f>
        <v/>
      </c>
      <c r="N227" s="4" t="str">
        <f>IFERROR(VLOOKUP(B227,infoTable__14[],4,FALSE),"")</f>
        <v/>
      </c>
      <c r="O227" s="4" t="str">
        <f>IFERROR(VLOOKUP(B227,infoTable__15[],4,FALSE),"")</f>
        <v/>
      </c>
      <c r="P227" s="4" t="str">
        <f>IFERROR(VLOOKUP(B227,infoTable__16[],4,FALSE),"")</f>
        <v/>
      </c>
    </row>
    <row r="228" spans="1:16" x14ac:dyDescent="0.55000000000000004">
      <c r="A228" t="s">
        <v>3050</v>
      </c>
      <c r="B228" t="s">
        <v>3051</v>
      </c>
      <c r="C228" s="4" t="str">
        <f>IFERROR(VLOOKUP(B228,infoTable10[],4,FALSE),"")</f>
        <v/>
      </c>
      <c r="D228" s="4" t="str">
        <f>IFERROR(VLOOKUP(B228,infoTable__2[],4,FALSE),"")</f>
        <v/>
      </c>
      <c r="E228" s="4" t="str">
        <f>IFERROR(VLOOKUP(B228,infoTable__3[],4,FALSE),"")</f>
        <v/>
      </c>
      <c r="F228" s="4" t="str">
        <f>IFERROR(VLOOKUP(B228,infoTable__4[],4,FALSE),"")</f>
        <v/>
      </c>
      <c r="G228" s="4" t="str">
        <f>IFERROR(VLOOKUP(B228,infoTable[],4,FALSE),"")</f>
        <v/>
      </c>
      <c r="H228" s="4" t="str">
        <f>IFERROR(VLOOKUP(B228,infoTable__6[],4,FALSE),"")</f>
        <v/>
      </c>
      <c r="I228" s="4" t="str">
        <f>IFERROR(VLOOKUP(B228,infoTable__28[],4,FALSE),"")</f>
        <v/>
      </c>
      <c r="J228" s="4" t="str">
        <f>IFERROR(VLOOKUP(B228,infoTable__10[],4,FALSE),"")</f>
        <v/>
      </c>
      <c r="K228" s="4" t="str">
        <f>IFERROR(VLOOKUP(B228,infoTable__11[],4,FALSE),"")</f>
        <v/>
      </c>
      <c r="L228" s="4" t="str">
        <f>IFERROR(VLOOKUP(B228,infoTable__12[],4,FALSE),"")</f>
        <v/>
      </c>
      <c r="M228" s="4" t="str">
        <f>IFERROR(VLOOKUP(B228,infoTable__13[],4,FALSE),"")</f>
        <v/>
      </c>
      <c r="N228" s="4" t="str">
        <f>IFERROR(VLOOKUP(B228,infoTable__14[],4,FALSE),"")</f>
        <v/>
      </c>
      <c r="O228" s="4">
        <f>IFERROR(VLOOKUP(B228,infoTable__15[],4,FALSE),"")</f>
        <v>296284</v>
      </c>
      <c r="P228" s="4">
        <f>IFERROR(VLOOKUP(B228,infoTable__16[],4,FALSE),"")</f>
        <v>789648</v>
      </c>
    </row>
    <row r="229" spans="1:16" x14ac:dyDescent="0.55000000000000004">
      <c r="A229" t="s">
        <v>1235</v>
      </c>
      <c r="B229" t="s">
        <v>1236</v>
      </c>
      <c r="C229" s="4" t="str">
        <f>IFERROR(VLOOKUP(B229,infoTable10[],4,FALSE),"")</f>
        <v/>
      </c>
      <c r="D229" s="4" t="str">
        <f>IFERROR(VLOOKUP(B229,infoTable__2[],4,FALSE),"")</f>
        <v/>
      </c>
      <c r="E229" s="4" t="str">
        <f>IFERROR(VLOOKUP(B229,infoTable__3[],4,FALSE),"")</f>
        <v/>
      </c>
      <c r="F229" s="4" t="str">
        <f>IFERROR(VLOOKUP(B229,infoTable__4[],4,FALSE),"")</f>
        <v/>
      </c>
      <c r="G229" s="4" t="str">
        <f>IFERROR(VLOOKUP(B229,infoTable[],4,FALSE),"")</f>
        <v/>
      </c>
      <c r="H229" s="4" t="str">
        <f>IFERROR(VLOOKUP(B229,infoTable__6[],4,FALSE),"")</f>
        <v/>
      </c>
      <c r="I229" s="4">
        <f>IFERROR(VLOOKUP(B229,infoTable__28[],4,FALSE),"")</f>
        <v>365935</v>
      </c>
      <c r="J229" s="4">
        <f>IFERROR(VLOOKUP(B229,infoTable__10[],4,FALSE),"")</f>
        <v>327104</v>
      </c>
      <c r="K229" s="4" t="str">
        <f>IFERROR(VLOOKUP(B229,infoTable__11[],4,FALSE),"")</f>
        <v/>
      </c>
      <c r="L229" s="4" t="str">
        <f>IFERROR(VLOOKUP(B229,infoTable__12[],4,FALSE),"")</f>
        <v/>
      </c>
      <c r="M229" s="4" t="str">
        <f>IFERROR(VLOOKUP(B229,infoTable__13[],4,FALSE),"")</f>
        <v/>
      </c>
      <c r="N229" s="4" t="str">
        <f>IFERROR(VLOOKUP(B229,infoTable__14[],4,FALSE),"")</f>
        <v/>
      </c>
      <c r="O229" s="4" t="str">
        <f>IFERROR(VLOOKUP(B229,infoTable__15[],4,FALSE),"")</f>
        <v/>
      </c>
      <c r="P229" s="4" t="str">
        <f>IFERROR(VLOOKUP(B229,infoTable__16[],4,FALSE),"")</f>
        <v/>
      </c>
    </row>
    <row r="230" spans="1:16" x14ac:dyDescent="0.55000000000000004">
      <c r="A230" t="s">
        <v>2167</v>
      </c>
      <c r="B230" t="s">
        <v>2168</v>
      </c>
      <c r="C230" s="4" t="str">
        <f>IFERROR(VLOOKUP(B230,infoTable10[],4,FALSE),"")</f>
        <v/>
      </c>
      <c r="D230" s="4" t="str">
        <f>IFERROR(VLOOKUP(B230,infoTable__2[],4,FALSE),"")</f>
        <v/>
      </c>
      <c r="E230" s="4" t="str">
        <f>IFERROR(VLOOKUP(B230,infoTable__3[],4,FALSE),"")</f>
        <v/>
      </c>
      <c r="F230" s="4" t="str">
        <f>IFERROR(VLOOKUP(B230,infoTable__4[],4,FALSE),"")</f>
        <v/>
      </c>
      <c r="G230" s="4" t="str">
        <f>IFERROR(VLOOKUP(B230,infoTable[],4,FALSE),"")</f>
        <v/>
      </c>
      <c r="H230" s="4" t="str">
        <f>IFERROR(VLOOKUP(B230,infoTable__6[],4,FALSE),"")</f>
        <v/>
      </c>
      <c r="I230" s="4" t="str">
        <f>IFERROR(VLOOKUP(B230,infoTable__28[],4,FALSE),"")</f>
        <v/>
      </c>
      <c r="J230" s="4" t="str">
        <f>IFERROR(VLOOKUP(B230,infoTable__10[],4,FALSE),"")</f>
        <v/>
      </c>
      <c r="K230" s="4" t="str">
        <f>IFERROR(VLOOKUP(B230,infoTable__11[],4,FALSE),"")</f>
        <v/>
      </c>
      <c r="L230" s="4">
        <f>IFERROR(VLOOKUP(B230,infoTable__12[],4,FALSE),"")</f>
        <v>1580250</v>
      </c>
      <c r="M230" s="4" t="str">
        <f>IFERROR(VLOOKUP(B230,infoTable__13[],4,FALSE),"")</f>
        <v/>
      </c>
      <c r="N230" s="4" t="str">
        <f>IFERROR(VLOOKUP(B230,infoTable__14[],4,FALSE),"")</f>
        <v/>
      </c>
      <c r="O230" s="4" t="str">
        <f>IFERROR(VLOOKUP(B230,infoTable__15[],4,FALSE),"")</f>
        <v/>
      </c>
      <c r="P230" s="4" t="str">
        <f>IFERROR(VLOOKUP(B230,infoTable__16[],4,FALSE),"")</f>
        <v/>
      </c>
    </row>
    <row r="231" spans="1:16" x14ac:dyDescent="0.55000000000000004">
      <c r="A231" t="s">
        <v>3342</v>
      </c>
      <c r="B231" t="s">
        <v>3343</v>
      </c>
      <c r="C231" s="4" t="str">
        <f>IFERROR(VLOOKUP(B231,infoTable10[],4,FALSE),"")</f>
        <v/>
      </c>
      <c r="D231" s="4" t="str">
        <f>IFERROR(VLOOKUP(B231,infoTable__2[],4,FALSE),"")</f>
        <v/>
      </c>
      <c r="E231" s="4" t="str">
        <f>IFERROR(VLOOKUP(B231,infoTable__3[],4,FALSE),"")</f>
        <v/>
      </c>
      <c r="F231" s="4" t="str">
        <f>IFERROR(VLOOKUP(B231,infoTable__4[],4,FALSE),"")</f>
        <v/>
      </c>
      <c r="G231" s="4" t="str">
        <f>IFERROR(VLOOKUP(B231,infoTable[],4,FALSE),"")</f>
        <v/>
      </c>
      <c r="H231" s="4" t="str">
        <f>IFERROR(VLOOKUP(B231,infoTable__6[],4,FALSE),"")</f>
        <v/>
      </c>
      <c r="I231" s="4" t="str">
        <f>IFERROR(VLOOKUP(B231,infoTable__28[],4,FALSE),"")</f>
        <v/>
      </c>
      <c r="J231" s="4" t="str">
        <f>IFERROR(VLOOKUP(B231,infoTable__10[],4,FALSE),"")</f>
        <v/>
      </c>
      <c r="K231" s="4" t="str">
        <f>IFERROR(VLOOKUP(B231,infoTable__11[],4,FALSE),"")</f>
        <v/>
      </c>
      <c r="L231" s="4" t="str">
        <f>IFERROR(VLOOKUP(B231,infoTable__12[],4,FALSE),"")</f>
        <v/>
      </c>
      <c r="M231" s="4" t="str">
        <f>IFERROR(VLOOKUP(B231,infoTable__13[],4,FALSE),"")</f>
        <v/>
      </c>
      <c r="N231" s="4" t="str">
        <f>IFERROR(VLOOKUP(B231,infoTable__14[],4,FALSE),"")</f>
        <v/>
      </c>
      <c r="O231" s="4" t="str">
        <f>IFERROR(VLOOKUP(B231,infoTable__15[],4,FALSE),"")</f>
        <v/>
      </c>
      <c r="P231" s="4">
        <f>IFERROR(VLOOKUP(B231,infoTable__16[],4,FALSE),"")</f>
        <v>758455</v>
      </c>
    </row>
    <row r="232" spans="1:16" x14ac:dyDescent="0.55000000000000004">
      <c r="A232" t="s">
        <v>185</v>
      </c>
      <c r="B232" t="s">
        <v>186</v>
      </c>
      <c r="C232" s="4" t="str">
        <f>IFERROR(VLOOKUP(B232,infoTable10[],4,FALSE),"")</f>
        <v/>
      </c>
      <c r="D232" s="4" t="str">
        <f>IFERROR(VLOOKUP(B232,infoTable__2[],4,FALSE),"")</f>
        <v/>
      </c>
      <c r="E232" s="4" t="str">
        <f>IFERROR(VLOOKUP(B232,infoTable__3[],4,FALSE),"")</f>
        <v/>
      </c>
      <c r="F232" s="4">
        <f>IFERROR(VLOOKUP(B232,infoTable__4[],4,FALSE),"")</f>
        <v>295342</v>
      </c>
      <c r="G232" s="4">
        <f>IFERROR(VLOOKUP(B232,infoTable[],4,FALSE),"")</f>
        <v>133663</v>
      </c>
      <c r="H232" s="4" t="str">
        <f>IFERROR(VLOOKUP(B232,infoTable__6[],4,FALSE),"")</f>
        <v/>
      </c>
      <c r="I232" s="4" t="str">
        <f>IFERROR(VLOOKUP(B232,infoTable__28[],4,FALSE),"")</f>
        <v/>
      </c>
      <c r="J232" s="4" t="str">
        <f>IFERROR(VLOOKUP(B232,infoTable__10[],4,FALSE),"")</f>
        <v/>
      </c>
      <c r="K232" s="4" t="str">
        <f>IFERROR(VLOOKUP(B232,infoTable__11[],4,FALSE),"")</f>
        <v/>
      </c>
      <c r="L232" s="4" t="str">
        <f>IFERROR(VLOOKUP(B232,infoTable__12[],4,FALSE),"")</f>
        <v/>
      </c>
      <c r="M232" s="4" t="str">
        <f>IFERROR(VLOOKUP(B232,infoTable__13[],4,FALSE),"")</f>
        <v/>
      </c>
      <c r="N232" s="4" t="str">
        <f>IFERROR(VLOOKUP(B232,infoTable__14[],4,FALSE),"")</f>
        <v/>
      </c>
      <c r="O232" s="4" t="str">
        <f>IFERROR(VLOOKUP(B232,infoTable__15[],4,FALSE),"")</f>
        <v/>
      </c>
      <c r="P232" s="4" t="str">
        <f>IFERROR(VLOOKUP(B232,infoTable__16[],4,FALSE),"")</f>
        <v/>
      </c>
    </row>
    <row r="233" spans="1:16" x14ac:dyDescent="0.55000000000000004">
      <c r="A233" t="s">
        <v>2468</v>
      </c>
      <c r="B233" t="s">
        <v>2469</v>
      </c>
      <c r="C233" s="4" t="str">
        <f>IFERROR(VLOOKUP(B233,infoTable10[],4,FALSE),"")</f>
        <v/>
      </c>
      <c r="D233" s="4" t="str">
        <f>IFERROR(VLOOKUP(B233,infoTable__2[],4,FALSE),"")</f>
        <v/>
      </c>
      <c r="E233" s="4" t="str">
        <f>IFERROR(VLOOKUP(B233,infoTable__3[],4,FALSE),"")</f>
        <v/>
      </c>
      <c r="F233" s="4" t="str">
        <f>IFERROR(VLOOKUP(B233,infoTable__4[],4,FALSE),"")</f>
        <v/>
      </c>
      <c r="G233" s="4" t="str">
        <f>IFERROR(VLOOKUP(B233,infoTable[],4,FALSE),"")</f>
        <v/>
      </c>
      <c r="H233" s="4" t="str">
        <f>IFERROR(VLOOKUP(B233,infoTable__6[],4,FALSE),"")</f>
        <v/>
      </c>
      <c r="I233" s="4" t="str">
        <f>IFERROR(VLOOKUP(B233,infoTable__28[],4,FALSE),"")</f>
        <v/>
      </c>
      <c r="J233" s="4" t="str">
        <f>IFERROR(VLOOKUP(B233,infoTable__10[],4,FALSE),"")</f>
        <v/>
      </c>
      <c r="K233" s="4" t="str">
        <f>IFERROR(VLOOKUP(B233,infoTable__11[],4,FALSE),"")</f>
        <v/>
      </c>
      <c r="L233" s="4" t="str">
        <f>IFERROR(VLOOKUP(B233,infoTable__12[],4,FALSE),"")</f>
        <v/>
      </c>
      <c r="M233" s="4">
        <f>IFERROR(VLOOKUP(B233,infoTable__13[],4,FALSE),"")</f>
        <v>693293</v>
      </c>
      <c r="N233" s="4" t="str">
        <f>IFERROR(VLOOKUP(B233,infoTable__14[],4,FALSE),"")</f>
        <v/>
      </c>
      <c r="O233" s="4">
        <f>IFERROR(VLOOKUP(B233,infoTable__15[],4,FALSE),"")</f>
        <v>245755</v>
      </c>
      <c r="P233" s="4" t="str">
        <f>IFERROR(VLOOKUP(B233,infoTable__16[],4,FALSE),"")</f>
        <v/>
      </c>
    </row>
    <row r="234" spans="1:16" x14ac:dyDescent="0.55000000000000004">
      <c r="A234" t="s">
        <v>1006</v>
      </c>
      <c r="B234" t="s">
        <v>1007</v>
      </c>
      <c r="C234" s="4" t="str">
        <f>IFERROR(VLOOKUP(B234,infoTable10[],4,FALSE),"")</f>
        <v/>
      </c>
      <c r="D234" s="4" t="str">
        <f>IFERROR(VLOOKUP(B234,infoTable__2[],4,FALSE),"")</f>
        <v/>
      </c>
      <c r="E234" s="4" t="str">
        <f>IFERROR(VLOOKUP(B234,infoTable__3[],4,FALSE),"")</f>
        <v/>
      </c>
      <c r="F234" s="4" t="str">
        <f>IFERROR(VLOOKUP(B234,infoTable__4[],4,FALSE),"")</f>
        <v/>
      </c>
      <c r="G234" s="4" t="str">
        <f>IFERROR(VLOOKUP(B234,infoTable[],4,FALSE),"")</f>
        <v/>
      </c>
      <c r="H234" s="4">
        <f>IFERROR(VLOOKUP(B234,infoTable__6[],4,FALSE),"")</f>
        <v>929836</v>
      </c>
      <c r="I234" s="4">
        <f>IFERROR(VLOOKUP(B234,infoTable__28[],4,FALSE),"")</f>
        <v>970885</v>
      </c>
      <c r="J234" s="4">
        <f>IFERROR(VLOOKUP(B234,infoTable__10[],4,FALSE),"")</f>
        <v>1067052</v>
      </c>
      <c r="K234" s="4">
        <f>IFERROR(VLOOKUP(B234,infoTable__11[],4,FALSE),"")</f>
        <v>333691</v>
      </c>
      <c r="L234" s="4" t="str">
        <f>IFERROR(VLOOKUP(B234,infoTable__12[],4,FALSE),"")</f>
        <v/>
      </c>
      <c r="M234" s="4" t="str">
        <f>IFERROR(VLOOKUP(B234,infoTable__13[],4,FALSE),"")</f>
        <v/>
      </c>
      <c r="N234" s="4" t="str">
        <f>IFERROR(VLOOKUP(B234,infoTable__14[],4,FALSE),"")</f>
        <v/>
      </c>
      <c r="O234" s="4" t="str">
        <f>IFERROR(VLOOKUP(B234,infoTable__15[],4,FALSE),"")</f>
        <v/>
      </c>
      <c r="P234" s="4">
        <f>IFERROR(VLOOKUP(B234,infoTable__16[],4,FALSE),"")</f>
        <v>1136735</v>
      </c>
    </row>
    <row r="235" spans="1:16" x14ac:dyDescent="0.55000000000000004">
      <c r="A235" t="s">
        <v>1239</v>
      </c>
      <c r="B235" t="s">
        <v>1240</v>
      </c>
      <c r="C235" s="4" t="str">
        <f>IFERROR(VLOOKUP(B235,infoTable10[],4,FALSE),"")</f>
        <v/>
      </c>
      <c r="D235" s="4" t="str">
        <f>IFERROR(VLOOKUP(B235,infoTable__2[],4,FALSE),"")</f>
        <v/>
      </c>
      <c r="E235" s="4" t="str">
        <f>IFERROR(VLOOKUP(B235,infoTable__3[],4,FALSE),"")</f>
        <v/>
      </c>
      <c r="F235" s="4" t="str">
        <f>IFERROR(VLOOKUP(B235,infoTable__4[],4,FALSE),"")</f>
        <v/>
      </c>
      <c r="G235" s="4" t="str">
        <f>IFERROR(VLOOKUP(B235,infoTable[],4,FALSE),"")</f>
        <v/>
      </c>
      <c r="H235" s="4" t="str">
        <f>IFERROR(VLOOKUP(B235,infoTable__6[],4,FALSE),"")</f>
        <v/>
      </c>
      <c r="I235" s="4">
        <f>IFERROR(VLOOKUP(B235,infoTable__28[],4,FALSE),"")</f>
        <v>386883</v>
      </c>
      <c r="J235" s="4">
        <f>IFERROR(VLOOKUP(B235,infoTable__10[],4,FALSE),"")</f>
        <v>510638</v>
      </c>
      <c r="K235" s="4">
        <f>IFERROR(VLOOKUP(B235,infoTable__11[],4,FALSE),"")</f>
        <v>1031999</v>
      </c>
      <c r="L235" s="4">
        <f>IFERROR(VLOOKUP(B235,infoTable__12[],4,FALSE),"")</f>
        <v>1397064</v>
      </c>
      <c r="M235" s="4" t="str">
        <f>IFERROR(VLOOKUP(B235,infoTable__13[],4,FALSE),"")</f>
        <v/>
      </c>
      <c r="N235" s="4" t="str">
        <f>IFERROR(VLOOKUP(B235,infoTable__14[],4,FALSE),"")</f>
        <v/>
      </c>
      <c r="O235" s="4">
        <f>IFERROR(VLOOKUP(B235,infoTable__15[],4,FALSE),"")</f>
        <v>1723892</v>
      </c>
      <c r="P235" s="4">
        <f>IFERROR(VLOOKUP(B235,infoTable__16[],4,FALSE),"")</f>
        <v>1617769</v>
      </c>
    </row>
    <row r="236" spans="1:16" x14ac:dyDescent="0.55000000000000004">
      <c r="A236" t="s">
        <v>2671</v>
      </c>
      <c r="B236" t="s">
        <v>2670</v>
      </c>
      <c r="C236" s="4" t="str">
        <f>IFERROR(VLOOKUP(B236,infoTable10[],4,FALSE),"")</f>
        <v/>
      </c>
      <c r="D236" s="4" t="str">
        <f>IFERROR(VLOOKUP(B236,infoTable__2[],4,FALSE),"")</f>
        <v/>
      </c>
      <c r="E236" s="4" t="str">
        <f>IFERROR(VLOOKUP(B236,infoTable__3[],4,FALSE),"")</f>
        <v/>
      </c>
      <c r="F236" s="4" t="str">
        <f>IFERROR(VLOOKUP(B236,infoTable__4[],4,FALSE),"")</f>
        <v/>
      </c>
      <c r="G236" s="4" t="str">
        <f>IFERROR(VLOOKUP(B236,infoTable[],4,FALSE),"")</f>
        <v/>
      </c>
      <c r="H236" s="4" t="str">
        <f>IFERROR(VLOOKUP(B236,infoTable__6[],4,FALSE),"")</f>
        <v/>
      </c>
      <c r="I236" s="4" t="str">
        <f>IFERROR(VLOOKUP(B236,infoTable__28[],4,FALSE),"")</f>
        <v/>
      </c>
      <c r="J236" s="4" t="str">
        <f>IFERROR(VLOOKUP(B236,infoTable__10[],4,FALSE),"")</f>
        <v/>
      </c>
      <c r="K236" s="4" t="str">
        <f>IFERROR(VLOOKUP(B236,infoTable__11[],4,FALSE),"")</f>
        <v/>
      </c>
      <c r="L236" s="4" t="str">
        <f>IFERROR(VLOOKUP(B236,infoTable__12[],4,FALSE),"")</f>
        <v/>
      </c>
      <c r="M236" s="4" t="str">
        <f>IFERROR(VLOOKUP(B236,infoTable__13[],4,FALSE),"")</f>
        <v/>
      </c>
      <c r="N236" s="4">
        <f>IFERROR(VLOOKUP(B236,infoTable__14[],4,FALSE),"")</f>
        <v>453274</v>
      </c>
      <c r="O236" s="4">
        <f>IFERROR(VLOOKUP(B236,infoTable__15[],4,FALSE),"")</f>
        <v>1297945</v>
      </c>
      <c r="P236" s="4">
        <f>IFERROR(VLOOKUP(B236,infoTable__16[],4,FALSE),"")</f>
        <v>878603</v>
      </c>
    </row>
    <row r="237" spans="1:16" x14ac:dyDescent="0.55000000000000004">
      <c r="A237" t="s">
        <v>2173</v>
      </c>
      <c r="B237" t="s">
        <v>2174</v>
      </c>
      <c r="C237" s="4" t="str">
        <f>IFERROR(VLOOKUP(B237,infoTable10[],4,FALSE),"")</f>
        <v/>
      </c>
      <c r="D237" s="4" t="str">
        <f>IFERROR(VLOOKUP(B237,infoTable__2[],4,FALSE),"")</f>
        <v/>
      </c>
      <c r="E237" s="4" t="str">
        <f>IFERROR(VLOOKUP(B237,infoTable__3[],4,FALSE),"")</f>
        <v/>
      </c>
      <c r="F237" s="4" t="str">
        <f>IFERROR(VLOOKUP(B237,infoTable__4[],4,FALSE),"")</f>
        <v/>
      </c>
      <c r="G237" s="4" t="str">
        <f>IFERROR(VLOOKUP(B237,infoTable[],4,FALSE),"")</f>
        <v/>
      </c>
      <c r="H237" s="4" t="str">
        <f>IFERROR(VLOOKUP(B237,infoTable__6[],4,FALSE),"")</f>
        <v/>
      </c>
      <c r="I237" s="4" t="str">
        <f>IFERROR(VLOOKUP(B237,infoTable__28[],4,FALSE),"")</f>
        <v/>
      </c>
      <c r="J237" s="4" t="str">
        <f>IFERROR(VLOOKUP(B237,infoTable__10[],4,FALSE),"")</f>
        <v/>
      </c>
      <c r="K237" s="4" t="str">
        <f>IFERROR(VLOOKUP(B237,infoTable__11[],4,FALSE),"")</f>
        <v/>
      </c>
      <c r="L237" s="4">
        <f>IFERROR(VLOOKUP(B237,infoTable__12[],4,FALSE),"")</f>
        <v>562318</v>
      </c>
      <c r="M237" s="4" t="str">
        <f>IFERROR(VLOOKUP(B237,infoTable__13[],4,FALSE),"")</f>
        <v/>
      </c>
      <c r="N237" s="4" t="str">
        <f>IFERROR(VLOOKUP(B237,infoTable__14[],4,FALSE),"")</f>
        <v/>
      </c>
      <c r="O237" s="4" t="str">
        <f>IFERROR(VLOOKUP(B237,infoTable__15[],4,FALSE),"")</f>
        <v/>
      </c>
      <c r="P237" s="4">
        <f>IFERROR(VLOOKUP(B237,infoTable__16[],4,FALSE),"")</f>
        <v>447645</v>
      </c>
    </row>
    <row r="238" spans="1:16" x14ac:dyDescent="0.55000000000000004">
      <c r="A238" t="s">
        <v>1887</v>
      </c>
      <c r="B238" t="s">
        <v>1888</v>
      </c>
      <c r="C238" s="4" t="str">
        <f>IFERROR(VLOOKUP(B238,infoTable10[],4,FALSE),"")</f>
        <v/>
      </c>
      <c r="D238" s="4" t="str">
        <f>IFERROR(VLOOKUP(B238,infoTable__2[],4,FALSE),"")</f>
        <v/>
      </c>
      <c r="E238" s="4" t="str">
        <f>IFERROR(VLOOKUP(B238,infoTable__3[],4,FALSE),"")</f>
        <v/>
      </c>
      <c r="F238" s="4" t="str">
        <f>IFERROR(VLOOKUP(B238,infoTable__4[],4,FALSE),"")</f>
        <v/>
      </c>
      <c r="G238" s="4" t="str">
        <f>IFERROR(VLOOKUP(B238,infoTable[],4,FALSE),"")</f>
        <v/>
      </c>
      <c r="H238" s="4" t="str">
        <f>IFERROR(VLOOKUP(B238,infoTable__6[],4,FALSE),"")</f>
        <v/>
      </c>
      <c r="I238" s="4" t="str">
        <f>IFERROR(VLOOKUP(B238,infoTable__28[],4,FALSE),"")</f>
        <v/>
      </c>
      <c r="J238" s="4" t="str">
        <f>IFERROR(VLOOKUP(B238,infoTable__10[],4,FALSE),"")</f>
        <v/>
      </c>
      <c r="K238" s="4">
        <f>IFERROR(VLOOKUP(B238,infoTable__11[],4,FALSE),"")</f>
        <v>275374</v>
      </c>
      <c r="L238" s="4">
        <f>IFERROR(VLOOKUP(B238,infoTable__12[],4,FALSE),"")</f>
        <v>1393216</v>
      </c>
      <c r="M238" s="4">
        <f>IFERROR(VLOOKUP(B238,infoTable__13[],4,FALSE),"")</f>
        <v>956958</v>
      </c>
      <c r="N238" s="4" t="str">
        <f>IFERROR(VLOOKUP(B238,infoTable__14[],4,FALSE),"")</f>
        <v/>
      </c>
      <c r="O238" s="4" t="str">
        <f>IFERROR(VLOOKUP(B238,infoTable__15[],4,FALSE),"")</f>
        <v/>
      </c>
      <c r="P238" s="4" t="str">
        <f>IFERROR(VLOOKUP(B238,infoTable__16[],4,FALSE),"")</f>
        <v/>
      </c>
    </row>
    <row r="239" spans="1:16" x14ac:dyDescent="0.55000000000000004">
      <c r="A239" t="s">
        <v>846</v>
      </c>
      <c r="B239" t="s">
        <v>847</v>
      </c>
      <c r="C239" s="4" t="str">
        <f>IFERROR(VLOOKUP(B239,infoTable10[],4,FALSE),"")</f>
        <v/>
      </c>
      <c r="D239" s="4" t="str">
        <f>IFERROR(VLOOKUP(B239,infoTable__2[],4,FALSE),"")</f>
        <v/>
      </c>
      <c r="E239" s="4" t="str">
        <f>IFERROR(VLOOKUP(B239,infoTable__3[],4,FALSE),"")</f>
        <v/>
      </c>
      <c r="F239" s="4">
        <f>IFERROR(VLOOKUP(B239,infoTable__4[],4,FALSE),"")</f>
        <v>3226481</v>
      </c>
      <c r="G239" s="4" t="str">
        <f>IFERROR(VLOOKUP(B239,infoTable[],4,FALSE),"")</f>
        <v/>
      </c>
      <c r="H239" s="4" t="str">
        <f>IFERROR(VLOOKUP(B239,infoTable__6[],4,FALSE),"")</f>
        <v/>
      </c>
      <c r="I239" s="4" t="str">
        <f>IFERROR(VLOOKUP(B239,infoTable__28[],4,FALSE),"")</f>
        <v/>
      </c>
      <c r="J239" s="4" t="str">
        <f>IFERROR(VLOOKUP(B239,infoTable__10[],4,FALSE),"")</f>
        <v/>
      </c>
      <c r="K239" s="4" t="str">
        <f>IFERROR(VLOOKUP(B239,infoTable__11[],4,FALSE),"")</f>
        <v/>
      </c>
      <c r="L239" s="4" t="str">
        <f>IFERROR(VLOOKUP(B239,infoTable__12[],4,FALSE),"")</f>
        <v/>
      </c>
      <c r="M239" s="4" t="str">
        <f>IFERROR(VLOOKUP(B239,infoTable__13[],4,FALSE),"")</f>
        <v/>
      </c>
      <c r="N239" s="4" t="str">
        <f>IFERROR(VLOOKUP(B239,infoTable__14[],4,FALSE),"")</f>
        <v/>
      </c>
      <c r="O239" s="4">
        <f>IFERROR(VLOOKUP(B239,infoTable__15[],4,FALSE),"")</f>
        <v>295597</v>
      </c>
      <c r="P239" s="4">
        <f>IFERROR(VLOOKUP(B239,infoTable__16[],4,FALSE),"")</f>
        <v>1477493</v>
      </c>
    </row>
    <row r="240" spans="1:16" x14ac:dyDescent="0.55000000000000004">
      <c r="A240" t="s">
        <v>3062</v>
      </c>
      <c r="B240" t="s">
        <v>3064</v>
      </c>
      <c r="C240" s="4" t="str">
        <f>IFERROR(VLOOKUP(B240,infoTable10[],4,FALSE),"")</f>
        <v/>
      </c>
      <c r="D240" s="4" t="str">
        <f>IFERROR(VLOOKUP(B240,infoTable__2[],4,FALSE),"")</f>
        <v/>
      </c>
      <c r="E240" s="4" t="str">
        <f>IFERROR(VLOOKUP(B240,infoTable__3[],4,FALSE),"")</f>
        <v/>
      </c>
      <c r="F240" s="4" t="str">
        <f>IFERROR(VLOOKUP(B240,infoTable__4[],4,FALSE),"")</f>
        <v/>
      </c>
      <c r="G240" s="4" t="str">
        <f>IFERROR(VLOOKUP(B240,infoTable[],4,FALSE),"")</f>
        <v/>
      </c>
      <c r="H240" s="4" t="str">
        <f>IFERROR(VLOOKUP(B240,infoTable__6[],4,FALSE),"")</f>
        <v/>
      </c>
      <c r="I240" s="4" t="str">
        <f>IFERROR(VLOOKUP(B240,infoTable__28[],4,FALSE),"")</f>
        <v/>
      </c>
      <c r="J240" s="4" t="str">
        <f>IFERROR(VLOOKUP(B240,infoTable__10[],4,FALSE),"")</f>
        <v/>
      </c>
      <c r="K240" s="4" t="str">
        <f>IFERROR(VLOOKUP(B240,infoTable__11[],4,FALSE),"")</f>
        <v/>
      </c>
      <c r="L240" s="4" t="str">
        <f>IFERROR(VLOOKUP(B240,infoTable__12[],4,FALSE),"")</f>
        <v/>
      </c>
      <c r="M240" s="4" t="str">
        <f>IFERROR(VLOOKUP(B240,infoTable__13[],4,FALSE),"")</f>
        <v/>
      </c>
      <c r="N240" s="4" t="str">
        <f>IFERROR(VLOOKUP(B240,infoTable__14[],4,FALSE),"")</f>
        <v/>
      </c>
      <c r="O240" s="4">
        <f>IFERROR(VLOOKUP(B240,infoTable__15[],4,FALSE),"")</f>
        <v>362057</v>
      </c>
      <c r="P240" s="4">
        <f>IFERROR(VLOOKUP(B240,infoTable__16[],4,FALSE),"")</f>
        <v>229355</v>
      </c>
    </row>
    <row r="241" spans="1:16" x14ac:dyDescent="0.55000000000000004">
      <c r="A241" t="s">
        <v>1672</v>
      </c>
      <c r="B241" t="s">
        <v>1673</v>
      </c>
      <c r="C241" s="4" t="str">
        <f>IFERROR(VLOOKUP(B241,infoTable10[],4,FALSE),"")</f>
        <v/>
      </c>
      <c r="D241" s="4" t="str">
        <f>IFERROR(VLOOKUP(B241,infoTable__2[],4,FALSE),"")</f>
        <v/>
      </c>
      <c r="E241" s="4" t="str">
        <f>IFERROR(VLOOKUP(B241,infoTable__3[],4,FALSE),"")</f>
        <v/>
      </c>
      <c r="F241" s="4" t="str">
        <f>IFERROR(VLOOKUP(B241,infoTable__4[],4,FALSE),"")</f>
        <v/>
      </c>
      <c r="G241" s="4" t="str">
        <f>IFERROR(VLOOKUP(B241,infoTable[],4,FALSE),"")</f>
        <v/>
      </c>
      <c r="H241" s="4" t="str">
        <f>IFERROR(VLOOKUP(B241,infoTable__6[],4,FALSE),"")</f>
        <v/>
      </c>
      <c r="I241" s="4" t="str">
        <f>IFERROR(VLOOKUP(B241,infoTable__28[],4,FALSE),"")</f>
        <v/>
      </c>
      <c r="J241" s="4">
        <f>IFERROR(VLOOKUP(B241,infoTable__10[],4,FALSE),"")</f>
        <v>2061967</v>
      </c>
      <c r="K241" s="4">
        <f>IFERROR(VLOOKUP(B241,infoTable__11[],4,FALSE),"")</f>
        <v>1152672</v>
      </c>
      <c r="L241" s="4">
        <f>IFERROR(VLOOKUP(B241,infoTable__12[],4,FALSE),"")</f>
        <v>412813</v>
      </c>
      <c r="M241" s="4" t="str">
        <f>IFERROR(VLOOKUP(B241,infoTable__13[],4,FALSE),"")</f>
        <v/>
      </c>
      <c r="N241" s="4">
        <f>IFERROR(VLOOKUP(B241,infoTable__14[],4,FALSE),"")</f>
        <v>509952</v>
      </c>
      <c r="O241" s="4">
        <f>IFERROR(VLOOKUP(B241,infoTable__15[],4,FALSE),"")</f>
        <v>292221</v>
      </c>
      <c r="P241" s="4">
        <f>IFERROR(VLOOKUP(B241,infoTable__16[],4,FALSE),"")</f>
        <v>2397523</v>
      </c>
    </row>
    <row r="242" spans="1:16" x14ac:dyDescent="0.55000000000000004">
      <c r="A242" t="s">
        <v>189</v>
      </c>
      <c r="B242" t="s">
        <v>190</v>
      </c>
      <c r="C242" s="4">
        <f>IFERROR(VLOOKUP(B242,infoTable10[],4,FALSE),"")</f>
        <v>941767</v>
      </c>
      <c r="D242" s="4">
        <f>IFERROR(VLOOKUP(B242,infoTable__2[],4,FALSE),"")</f>
        <v>1350154</v>
      </c>
      <c r="E242" s="4">
        <f>IFERROR(VLOOKUP(B242,infoTable__3[],4,FALSE),"")</f>
        <v>2742935</v>
      </c>
      <c r="F242" s="4">
        <f>IFERROR(VLOOKUP(B242,infoTable__4[],4,FALSE),"")</f>
        <v>1461349</v>
      </c>
      <c r="G242" s="4">
        <f>IFERROR(VLOOKUP(B242,infoTable[],4,FALSE),"")</f>
        <v>1611819</v>
      </c>
      <c r="H242" s="4" t="str">
        <f>IFERROR(VLOOKUP(B242,infoTable__6[],4,FALSE),"")</f>
        <v/>
      </c>
      <c r="I242" s="4">
        <f>IFERROR(VLOOKUP(B242,infoTable__28[],4,FALSE),"")</f>
        <v>352976</v>
      </c>
      <c r="J242" s="4">
        <f>IFERROR(VLOOKUP(B242,infoTable__10[],4,FALSE),"")</f>
        <v>434459</v>
      </c>
      <c r="K242" s="4" t="str">
        <f>IFERROR(VLOOKUP(B242,infoTable__11[],4,FALSE),"")</f>
        <v/>
      </c>
      <c r="L242" s="4" t="str">
        <f>IFERROR(VLOOKUP(B242,infoTable__12[],4,FALSE),"")</f>
        <v/>
      </c>
      <c r="M242" s="4" t="str">
        <f>IFERROR(VLOOKUP(B242,infoTable__13[],4,FALSE),"")</f>
        <v/>
      </c>
      <c r="N242" s="4" t="str">
        <f>IFERROR(VLOOKUP(B242,infoTable__14[],4,FALSE),"")</f>
        <v/>
      </c>
      <c r="O242" s="4" t="str">
        <f>IFERROR(VLOOKUP(B242,infoTable__15[],4,FALSE),"")</f>
        <v/>
      </c>
      <c r="P242" s="4" t="str">
        <f>IFERROR(VLOOKUP(B242,infoTable__16[],4,FALSE),"")</f>
        <v/>
      </c>
    </row>
    <row r="243" spans="1:16" x14ac:dyDescent="0.55000000000000004">
      <c r="A243" t="s">
        <v>1247</v>
      </c>
      <c r="B243" t="s">
        <v>1248</v>
      </c>
      <c r="C243" s="4" t="str">
        <f>IFERROR(VLOOKUP(B243,infoTable10[],4,FALSE),"")</f>
        <v/>
      </c>
      <c r="D243" s="4" t="str">
        <f>IFERROR(VLOOKUP(B243,infoTable__2[],4,FALSE),"")</f>
        <v/>
      </c>
      <c r="E243" s="4" t="str">
        <f>IFERROR(VLOOKUP(B243,infoTable__3[],4,FALSE),"")</f>
        <v/>
      </c>
      <c r="F243" s="4" t="str">
        <f>IFERROR(VLOOKUP(B243,infoTable__4[],4,FALSE),"")</f>
        <v/>
      </c>
      <c r="G243" s="4" t="str">
        <f>IFERROR(VLOOKUP(B243,infoTable[],4,FALSE),"")</f>
        <v/>
      </c>
      <c r="H243" s="4" t="str">
        <f>IFERROR(VLOOKUP(B243,infoTable__6[],4,FALSE),"")</f>
        <v/>
      </c>
      <c r="I243" s="4">
        <f>IFERROR(VLOOKUP(B243,infoTable__28[],4,FALSE),"")</f>
        <v>250166</v>
      </c>
      <c r="J243" s="4">
        <f>IFERROR(VLOOKUP(B243,infoTable__10[],4,FALSE),"")</f>
        <v>375955</v>
      </c>
      <c r="K243" s="4" t="str">
        <f>IFERROR(VLOOKUP(B243,infoTable__11[],4,FALSE),"")</f>
        <v/>
      </c>
      <c r="L243" s="4" t="str">
        <f>IFERROR(VLOOKUP(B243,infoTable__12[],4,FALSE),"")</f>
        <v/>
      </c>
      <c r="M243" s="4" t="str">
        <f>IFERROR(VLOOKUP(B243,infoTable__13[],4,FALSE),"")</f>
        <v/>
      </c>
      <c r="N243" s="4" t="str">
        <f>IFERROR(VLOOKUP(B243,infoTable__14[],4,FALSE),"")</f>
        <v/>
      </c>
      <c r="O243" s="4" t="str">
        <f>IFERROR(VLOOKUP(B243,infoTable__15[],4,FALSE),"")</f>
        <v/>
      </c>
      <c r="P243" s="4" t="str">
        <f>IFERROR(VLOOKUP(B243,infoTable__16[],4,FALSE),"")</f>
        <v/>
      </c>
    </row>
    <row r="244" spans="1:16" x14ac:dyDescent="0.55000000000000004">
      <c r="A244" t="s">
        <v>2472</v>
      </c>
      <c r="B244" t="s">
        <v>2473</v>
      </c>
      <c r="C244" s="4" t="str">
        <f>IFERROR(VLOOKUP(B244,infoTable10[],4,FALSE),"")</f>
        <v/>
      </c>
      <c r="D244" s="4" t="str">
        <f>IFERROR(VLOOKUP(B244,infoTable__2[],4,FALSE),"")</f>
        <v/>
      </c>
      <c r="E244" s="4" t="str">
        <f>IFERROR(VLOOKUP(B244,infoTable__3[],4,FALSE),"")</f>
        <v/>
      </c>
      <c r="F244" s="4" t="str">
        <f>IFERROR(VLOOKUP(B244,infoTable__4[],4,FALSE),"")</f>
        <v/>
      </c>
      <c r="G244" s="4" t="str">
        <f>IFERROR(VLOOKUP(B244,infoTable[],4,FALSE),"")</f>
        <v/>
      </c>
      <c r="H244" s="4" t="str">
        <f>IFERROR(VLOOKUP(B244,infoTable__6[],4,FALSE),"")</f>
        <v/>
      </c>
      <c r="I244" s="4" t="str">
        <f>IFERROR(VLOOKUP(B244,infoTable__28[],4,FALSE),"")</f>
        <v/>
      </c>
      <c r="J244" s="4" t="str">
        <f>IFERROR(VLOOKUP(B244,infoTable__10[],4,FALSE),"")</f>
        <v/>
      </c>
      <c r="K244" s="4" t="str">
        <f>IFERROR(VLOOKUP(B244,infoTable__11[],4,FALSE),"")</f>
        <v/>
      </c>
      <c r="L244" s="4" t="str">
        <f>IFERROR(VLOOKUP(B244,infoTable__12[],4,FALSE),"")</f>
        <v/>
      </c>
      <c r="M244" s="4">
        <f>IFERROR(VLOOKUP(B244,infoTable__13[],4,FALSE),"")</f>
        <v>1977160</v>
      </c>
      <c r="N244" s="4">
        <f>IFERROR(VLOOKUP(B244,infoTable__14[],4,FALSE),"")</f>
        <v>766973</v>
      </c>
      <c r="O244" s="4">
        <f>IFERROR(VLOOKUP(B244,infoTable__15[],4,FALSE),"")</f>
        <v>546039</v>
      </c>
      <c r="P244" s="4" t="str">
        <f>IFERROR(VLOOKUP(B244,infoTable__16[],4,FALSE),"")</f>
        <v/>
      </c>
    </row>
    <row r="245" spans="1:16" x14ac:dyDescent="0.55000000000000004">
      <c r="A245" t="s">
        <v>2673</v>
      </c>
      <c r="B245" t="s">
        <v>2672</v>
      </c>
      <c r="C245" s="4" t="str">
        <f>IFERROR(VLOOKUP(B245,infoTable10[],4,FALSE),"")</f>
        <v/>
      </c>
      <c r="D245" s="4" t="str">
        <f>IFERROR(VLOOKUP(B245,infoTable__2[],4,FALSE),"")</f>
        <v/>
      </c>
      <c r="E245" s="4" t="str">
        <f>IFERROR(VLOOKUP(B245,infoTable__3[],4,FALSE),"")</f>
        <v/>
      </c>
      <c r="F245" s="4" t="str">
        <f>IFERROR(VLOOKUP(B245,infoTable__4[],4,FALSE),"")</f>
        <v/>
      </c>
      <c r="G245" s="4" t="str">
        <f>IFERROR(VLOOKUP(B245,infoTable[],4,FALSE),"")</f>
        <v/>
      </c>
      <c r="H245" s="4" t="str">
        <f>IFERROR(VLOOKUP(B245,infoTable__6[],4,FALSE),"")</f>
        <v/>
      </c>
      <c r="I245" s="4" t="str">
        <f>IFERROR(VLOOKUP(B245,infoTable__28[],4,FALSE),"")</f>
        <v/>
      </c>
      <c r="J245" s="4" t="str">
        <f>IFERROR(VLOOKUP(B245,infoTable__10[],4,FALSE),"")</f>
        <v/>
      </c>
      <c r="K245" s="4" t="str">
        <f>IFERROR(VLOOKUP(B245,infoTable__11[],4,FALSE),"")</f>
        <v/>
      </c>
      <c r="L245" s="4" t="str">
        <f>IFERROR(VLOOKUP(B245,infoTable__12[],4,FALSE),"")</f>
        <v/>
      </c>
      <c r="M245" s="4" t="str">
        <f>IFERROR(VLOOKUP(B245,infoTable__13[],4,FALSE),"")</f>
        <v/>
      </c>
      <c r="N245" s="4">
        <f>IFERROR(VLOOKUP(B245,infoTable__14[],4,FALSE),"")</f>
        <v>899341</v>
      </c>
      <c r="O245" s="4">
        <f>IFERROR(VLOOKUP(B245,infoTable__15[],4,FALSE),"")</f>
        <v>950934</v>
      </c>
      <c r="P245" s="4">
        <f>IFERROR(VLOOKUP(B245,infoTable__16[],4,FALSE),"")</f>
        <v>1389627</v>
      </c>
    </row>
    <row r="246" spans="1:16" x14ac:dyDescent="0.55000000000000004">
      <c r="A246" t="s">
        <v>2183</v>
      </c>
      <c r="B246" t="s">
        <v>2184</v>
      </c>
      <c r="C246" s="4" t="str">
        <f>IFERROR(VLOOKUP(B246,infoTable10[],4,FALSE),"")</f>
        <v/>
      </c>
      <c r="D246" s="4" t="str">
        <f>IFERROR(VLOOKUP(B246,infoTable__2[],4,FALSE),"")</f>
        <v/>
      </c>
      <c r="E246" s="4" t="str">
        <f>IFERROR(VLOOKUP(B246,infoTable__3[],4,FALSE),"")</f>
        <v/>
      </c>
      <c r="F246" s="4" t="str">
        <f>IFERROR(VLOOKUP(B246,infoTable__4[],4,FALSE),"")</f>
        <v/>
      </c>
      <c r="G246" s="4" t="str">
        <f>IFERROR(VLOOKUP(B246,infoTable[],4,FALSE),"")</f>
        <v/>
      </c>
      <c r="H246" s="4" t="str">
        <f>IFERROR(VLOOKUP(B246,infoTable__6[],4,FALSE),"")</f>
        <v/>
      </c>
      <c r="I246" s="4" t="str">
        <f>IFERROR(VLOOKUP(B246,infoTable__28[],4,FALSE),"")</f>
        <v/>
      </c>
      <c r="J246" s="4" t="str">
        <f>IFERROR(VLOOKUP(B246,infoTable__10[],4,FALSE),"")</f>
        <v/>
      </c>
      <c r="K246" s="4" t="str">
        <f>IFERROR(VLOOKUP(B246,infoTable__11[],4,FALSE),"")</f>
        <v/>
      </c>
      <c r="L246" s="4">
        <f>IFERROR(VLOOKUP(B246,infoTable__12[],4,FALSE),"")</f>
        <v>758174</v>
      </c>
      <c r="M246" s="4">
        <f>IFERROR(VLOOKUP(B246,infoTable__13[],4,FALSE),"")</f>
        <v>978989</v>
      </c>
      <c r="N246" s="4">
        <f>IFERROR(VLOOKUP(B246,infoTable__14[],4,FALSE),"")</f>
        <v>2060528</v>
      </c>
      <c r="O246" s="4">
        <f>IFERROR(VLOOKUP(B246,infoTable__15[],4,FALSE),"")</f>
        <v>6045759</v>
      </c>
      <c r="P246" s="4">
        <f>IFERROR(VLOOKUP(B246,infoTable__16[],4,FALSE),"")</f>
        <v>4055944</v>
      </c>
    </row>
    <row r="247" spans="1:16" x14ac:dyDescent="0.55000000000000004">
      <c r="A247" t="s">
        <v>1012</v>
      </c>
      <c r="B247" t="s">
        <v>1013</v>
      </c>
      <c r="C247" s="4" t="str">
        <f>IFERROR(VLOOKUP(B247,infoTable10[],4,FALSE),"")</f>
        <v/>
      </c>
      <c r="D247" s="4" t="str">
        <f>IFERROR(VLOOKUP(B247,infoTable__2[],4,FALSE),"")</f>
        <v/>
      </c>
      <c r="E247" s="4" t="str">
        <f>IFERROR(VLOOKUP(B247,infoTable__3[],4,FALSE),"")</f>
        <v/>
      </c>
      <c r="F247" s="4" t="str">
        <f>IFERROR(VLOOKUP(B247,infoTable__4[],4,FALSE),"")</f>
        <v/>
      </c>
      <c r="G247" s="4" t="str">
        <f>IFERROR(VLOOKUP(B247,infoTable[],4,FALSE),"")</f>
        <v/>
      </c>
      <c r="H247" s="4">
        <f>IFERROR(VLOOKUP(B247,infoTable__6[],4,FALSE),"")</f>
        <v>1107390</v>
      </c>
      <c r="I247" s="4">
        <f>IFERROR(VLOOKUP(B247,infoTable__28[],4,FALSE),"")</f>
        <v>1349791</v>
      </c>
      <c r="J247" s="4" t="str">
        <f>IFERROR(VLOOKUP(B247,infoTable__10[],4,FALSE),"")</f>
        <v/>
      </c>
      <c r="K247" s="4" t="str">
        <f>IFERROR(VLOOKUP(B247,infoTable__11[],4,FALSE),"")</f>
        <v/>
      </c>
      <c r="L247" s="4" t="str">
        <f>IFERROR(VLOOKUP(B247,infoTable__12[],4,FALSE),"")</f>
        <v/>
      </c>
      <c r="M247" s="4" t="str">
        <f>IFERROR(VLOOKUP(B247,infoTable__13[],4,FALSE),"")</f>
        <v/>
      </c>
      <c r="N247" s="4" t="str">
        <f>IFERROR(VLOOKUP(B247,infoTable__14[],4,FALSE),"")</f>
        <v/>
      </c>
      <c r="O247" s="4" t="str">
        <f>IFERROR(VLOOKUP(B247,infoTable__15[],4,FALSE),"")</f>
        <v/>
      </c>
      <c r="P247" s="4" t="str">
        <f>IFERROR(VLOOKUP(B247,infoTable__16[],4,FALSE),"")</f>
        <v/>
      </c>
    </row>
    <row r="248" spans="1:16" x14ac:dyDescent="0.55000000000000004">
      <c r="A248" t="s">
        <v>2185</v>
      </c>
      <c r="B248" t="s">
        <v>2186</v>
      </c>
      <c r="C248" s="4" t="str">
        <f>IFERROR(VLOOKUP(B248,infoTable10[],4,FALSE),"")</f>
        <v/>
      </c>
      <c r="D248" s="4" t="str">
        <f>IFERROR(VLOOKUP(B248,infoTable__2[],4,FALSE),"")</f>
        <v/>
      </c>
      <c r="E248" s="4" t="str">
        <f>IFERROR(VLOOKUP(B248,infoTable__3[],4,FALSE),"")</f>
        <v/>
      </c>
      <c r="F248" s="4" t="str">
        <f>IFERROR(VLOOKUP(B248,infoTable__4[],4,FALSE),"")</f>
        <v/>
      </c>
      <c r="G248" s="4" t="str">
        <f>IFERROR(VLOOKUP(B248,infoTable[],4,FALSE),"")</f>
        <v/>
      </c>
      <c r="H248" s="4" t="str">
        <f>IFERROR(VLOOKUP(B248,infoTable__6[],4,FALSE),"")</f>
        <v/>
      </c>
      <c r="I248" s="4" t="str">
        <f>IFERROR(VLOOKUP(B248,infoTable__28[],4,FALSE),"")</f>
        <v/>
      </c>
      <c r="J248" s="4" t="str">
        <f>IFERROR(VLOOKUP(B248,infoTable__10[],4,FALSE),"")</f>
        <v/>
      </c>
      <c r="K248" s="4" t="str">
        <f>IFERROR(VLOOKUP(B248,infoTable__11[],4,FALSE),"")</f>
        <v/>
      </c>
      <c r="L248" s="4">
        <f>IFERROR(VLOOKUP(B248,infoTable__12[],4,FALSE),"")</f>
        <v>1686010</v>
      </c>
      <c r="M248" s="4">
        <f>IFERROR(VLOOKUP(B248,infoTable__13[],4,FALSE),"")</f>
        <v>1303987</v>
      </c>
      <c r="N248" s="4" t="str">
        <f>IFERROR(VLOOKUP(B248,infoTable__14[],4,FALSE),"")</f>
        <v/>
      </c>
      <c r="O248" s="4" t="str">
        <f>IFERROR(VLOOKUP(B248,infoTable__15[],4,FALSE),"")</f>
        <v/>
      </c>
      <c r="P248" s="4" t="str">
        <f>IFERROR(VLOOKUP(B248,infoTable__16[],4,FALSE),"")</f>
        <v/>
      </c>
    </row>
    <row r="249" spans="1:16" x14ac:dyDescent="0.55000000000000004">
      <c r="A249" t="s">
        <v>2187</v>
      </c>
      <c r="B249" t="s">
        <v>2188</v>
      </c>
      <c r="C249" s="4" t="str">
        <f>IFERROR(VLOOKUP(B249,infoTable10[],4,FALSE),"")</f>
        <v/>
      </c>
      <c r="D249" s="4" t="str">
        <f>IFERROR(VLOOKUP(B249,infoTable__2[],4,FALSE),"")</f>
        <v/>
      </c>
      <c r="E249" s="4" t="str">
        <f>IFERROR(VLOOKUP(B249,infoTable__3[],4,FALSE),"")</f>
        <v/>
      </c>
      <c r="F249" s="4" t="str">
        <f>IFERROR(VLOOKUP(B249,infoTable__4[],4,FALSE),"")</f>
        <v/>
      </c>
      <c r="G249" s="4" t="str">
        <f>IFERROR(VLOOKUP(B249,infoTable[],4,FALSE),"")</f>
        <v/>
      </c>
      <c r="H249" s="4" t="str">
        <f>IFERROR(VLOOKUP(B249,infoTable__6[],4,FALSE),"")</f>
        <v/>
      </c>
      <c r="I249" s="4" t="str">
        <f>IFERROR(VLOOKUP(B249,infoTable__28[],4,FALSE),"")</f>
        <v/>
      </c>
      <c r="J249" s="4" t="str">
        <f>IFERROR(VLOOKUP(B249,infoTable__10[],4,FALSE),"")</f>
        <v/>
      </c>
      <c r="K249" s="4" t="str">
        <f>IFERROR(VLOOKUP(B249,infoTable__11[],4,FALSE),"")</f>
        <v/>
      </c>
      <c r="L249" s="4">
        <f>IFERROR(VLOOKUP(B249,infoTable__12[],4,FALSE),"")</f>
        <v>1806214</v>
      </c>
      <c r="M249" s="4" t="str">
        <f>IFERROR(VLOOKUP(B249,infoTable__13[],4,FALSE),"")</f>
        <v/>
      </c>
      <c r="N249" s="4" t="str">
        <f>IFERROR(VLOOKUP(B249,infoTable__14[],4,FALSE),"")</f>
        <v/>
      </c>
      <c r="O249" s="4" t="str">
        <f>IFERROR(VLOOKUP(B249,infoTable__15[],4,FALSE),"")</f>
        <v/>
      </c>
      <c r="P249" s="4" t="str">
        <f>IFERROR(VLOOKUP(B249,infoTable__16[],4,FALSE),"")</f>
        <v/>
      </c>
    </row>
    <row r="250" spans="1:16" x14ac:dyDescent="0.55000000000000004">
      <c r="A250" t="s">
        <v>3356</v>
      </c>
      <c r="B250" t="s">
        <v>3357</v>
      </c>
      <c r="C250" s="4" t="str">
        <f>IFERROR(VLOOKUP(B250,infoTable10[],4,FALSE),"")</f>
        <v/>
      </c>
      <c r="D250" s="4" t="str">
        <f>IFERROR(VLOOKUP(B250,infoTable__2[],4,FALSE),"")</f>
        <v/>
      </c>
      <c r="E250" s="4" t="str">
        <f>IFERROR(VLOOKUP(B250,infoTable__3[],4,FALSE),"")</f>
        <v/>
      </c>
      <c r="F250" s="4" t="str">
        <f>IFERROR(VLOOKUP(B250,infoTable__4[],4,FALSE),"")</f>
        <v/>
      </c>
      <c r="G250" s="4" t="str">
        <f>IFERROR(VLOOKUP(B250,infoTable[],4,FALSE),"")</f>
        <v/>
      </c>
      <c r="H250" s="4" t="str">
        <f>IFERROR(VLOOKUP(B250,infoTable__6[],4,FALSE),"")</f>
        <v/>
      </c>
      <c r="I250" s="4" t="str">
        <f>IFERROR(VLOOKUP(B250,infoTable__28[],4,FALSE),"")</f>
        <v/>
      </c>
      <c r="J250" s="4" t="str">
        <f>IFERROR(VLOOKUP(B250,infoTable__10[],4,FALSE),"")</f>
        <v/>
      </c>
      <c r="K250" s="4" t="str">
        <f>IFERROR(VLOOKUP(B250,infoTable__11[],4,FALSE),"")</f>
        <v/>
      </c>
      <c r="L250" s="4" t="str">
        <f>IFERROR(VLOOKUP(B250,infoTable__12[],4,FALSE),"")</f>
        <v/>
      </c>
      <c r="M250" s="4" t="str">
        <f>IFERROR(VLOOKUP(B250,infoTable__13[],4,FALSE),"")</f>
        <v/>
      </c>
      <c r="N250" s="4" t="str">
        <f>IFERROR(VLOOKUP(B250,infoTable__14[],4,FALSE),"")</f>
        <v/>
      </c>
      <c r="O250" s="4" t="str">
        <f>IFERROR(VLOOKUP(B250,infoTable__15[],4,FALSE),"")</f>
        <v/>
      </c>
      <c r="P250" s="4">
        <f>IFERROR(VLOOKUP(B250,infoTable__16[],4,FALSE),"")</f>
        <v>675301</v>
      </c>
    </row>
    <row r="251" spans="1:16" x14ac:dyDescent="0.55000000000000004">
      <c r="A251" t="s">
        <v>2675</v>
      </c>
      <c r="B251" t="s">
        <v>2674</v>
      </c>
      <c r="C251" s="4" t="str">
        <f>IFERROR(VLOOKUP(B251,infoTable10[],4,FALSE),"")</f>
        <v/>
      </c>
      <c r="D251" s="4" t="str">
        <f>IFERROR(VLOOKUP(B251,infoTable__2[],4,FALSE),"")</f>
        <v/>
      </c>
      <c r="E251" s="4" t="str">
        <f>IFERROR(VLOOKUP(B251,infoTable__3[],4,FALSE),"")</f>
        <v/>
      </c>
      <c r="F251" s="4" t="str">
        <f>IFERROR(VLOOKUP(B251,infoTable__4[],4,FALSE),"")</f>
        <v/>
      </c>
      <c r="G251" s="4" t="str">
        <f>IFERROR(VLOOKUP(B251,infoTable[],4,FALSE),"")</f>
        <v/>
      </c>
      <c r="H251" s="4" t="str">
        <f>IFERROR(VLOOKUP(B251,infoTable__6[],4,FALSE),"")</f>
        <v/>
      </c>
      <c r="I251" s="4" t="str">
        <f>IFERROR(VLOOKUP(B251,infoTable__28[],4,FALSE),"")</f>
        <v/>
      </c>
      <c r="J251" s="4" t="str">
        <f>IFERROR(VLOOKUP(B251,infoTable__10[],4,FALSE),"")</f>
        <v/>
      </c>
      <c r="K251" s="4" t="str">
        <f>IFERROR(VLOOKUP(B251,infoTable__11[],4,FALSE),"")</f>
        <v/>
      </c>
      <c r="L251" s="4" t="str">
        <f>IFERROR(VLOOKUP(B251,infoTable__12[],4,FALSE),"")</f>
        <v/>
      </c>
      <c r="M251" s="4" t="str">
        <f>IFERROR(VLOOKUP(B251,infoTable__13[],4,FALSE),"")</f>
        <v/>
      </c>
      <c r="N251" s="4">
        <f>IFERROR(VLOOKUP(B251,infoTable__14[],4,FALSE),"")</f>
        <v>264847</v>
      </c>
      <c r="O251" s="4">
        <f>IFERROR(VLOOKUP(B251,infoTable__15[],4,FALSE),"")</f>
        <v>1813149</v>
      </c>
      <c r="P251" s="4">
        <f>IFERROR(VLOOKUP(B251,infoTable__16[],4,FALSE),"")</f>
        <v>785045</v>
      </c>
    </row>
    <row r="252" spans="1:16" x14ac:dyDescent="0.55000000000000004">
      <c r="A252" t="s">
        <v>1014</v>
      </c>
      <c r="B252" t="s">
        <v>1015</v>
      </c>
      <c r="C252" s="4" t="str">
        <f>IFERROR(VLOOKUP(B252,infoTable10[],4,FALSE),"")</f>
        <v/>
      </c>
      <c r="D252" s="4" t="str">
        <f>IFERROR(VLOOKUP(B252,infoTable__2[],4,FALSE),"")</f>
        <v/>
      </c>
      <c r="E252" s="4" t="str">
        <f>IFERROR(VLOOKUP(B252,infoTable__3[],4,FALSE),"")</f>
        <v/>
      </c>
      <c r="F252" s="4" t="str">
        <f>IFERROR(VLOOKUP(B252,infoTable__4[],4,FALSE),"")</f>
        <v/>
      </c>
      <c r="G252" s="4" t="str">
        <f>IFERROR(VLOOKUP(B252,infoTable[],4,FALSE),"")</f>
        <v/>
      </c>
      <c r="H252" s="4">
        <f>IFERROR(VLOOKUP(B252,infoTable__6[],4,FALSE),"")</f>
        <v>322930</v>
      </c>
      <c r="I252" s="4">
        <f>IFERROR(VLOOKUP(B252,infoTable__28[],4,FALSE),"")</f>
        <v>616191</v>
      </c>
      <c r="J252" s="4">
        <f>IFERROR(VLOOKUP(B252,infoTable__10[],4,FALSE),"")</f>
        <v>373383</v>
      </c>
      <c r="K252" s="4">
        <f>IFERROR(VLOOKUP(B252,infoTable__11[],4,FALSE),"")</f>
        <v>237601</v>
      </c>
      <c r="L252" s="4">
        <f>IFERROR(VLOOKUP(B252,infoTable__12[],4,FALSE),"")</f>
        <v>340705</v>
      </c>
      <c r="M252" s="4" t="str">
        <f>IFERROR(VLOOKUP(B252,infoTable__13[],4,FALSE),"")</f>
        <v/>
      </c>
      <c r="N252" s="4" t="str">
        <f>IFERROR(VLOOKUP(B252,infoTable__14[],4,FALSE),"")</f>
        <v/>
      </c>
      <c r="O252" s="4" t="str">
        <f>IFERROR(VLOOKUP(B252,infoTable__15[],4,FALSE),"")</f>
        <v/>
      </c>
      <c r="P252" s="4" t="str">
        <f>IFERROR(VLOOKUP(B252,infoTable__16[],4,FALSE),"")</f>
        <v/>
      </c>
    </row>
    <row r="253" spans="1:16" x14ac:dyDescent="0.55000000000000004">
      <c r="A253" t="s">
        <v>748</v>
      </c>
      <c r="B253" t="s">
        <v>749</v>
      </c>
      <c r="C253" s="4" t="str">
        <f>IFERROR(VLOOKUP(B253,infoTable10[],4,FALSE),"")</f>
        <v/>
      </c>
      <c r="D253" s="4" t="str">
        <f>IFERROR(VLOOKUP(B253,infoTable__2[],4,FALSE),"")</f>
        <v/>
      </c>
      <c r="E253" s="4">
        <f>IFERROR(VLOOKUP(B253,infoTable__3[],4,FALSE),"")</f>
        <v>8230492</v>
      </c>
      <c r="F253" s="4">
        <f>IFERROR(VLOOKUP(B253,infoTable__4[],4,FALSE),"")</f>
        <v>2851888</v>
      </c>
      <c r="G253" s="4" t="str">
        <f>IFERROR(VLOOKUP(B253,infoTable[],4,FALSE),"")</f>
        <v/>
      </c>
      <c r="H253" s="4" t="str">
        <f>IFERROR(VLOOKUP(B253,infoTable__6[],4,FALSE),"")</f>
        <v/>
      </c>
      <c r="I253" s="4" t="str">
        <f>IFERROR(VLOOKUP(B253,infoTable__28[],4,FALSE),"")</f>
        <v/>
      </c>
      <c r="J253" s="4" t="str">
        <f>IFERROR(VLOOKUP(B253,infoTable__10[],4,FALSE),"")</f>
        <v/>
      </c>
      <c r="K253" s="4" t="str">
        <f>IFERROR(VLOOKUP(B253,infoTable__11[],4,FALSE),"")</f>
        <v/>
      </c>
      <c r="L253" s="4" t="str">
        <f>IFERROR(VLOOKUP(B253,infoTable__12[],4,FALSE),"")</f>
        <v/>
      </c>
      <c r="M253" s="4" t="str">
        <f>IFERROR(VLOOKUP(B253,infoTable__13[],4,FALSE),"")</f>
        <v/>
      </c>
      <c r="N253" s="4" t="str">
        <f>IFERROR(VLOOKUP(B253,infoTable__14[],4,FALSE),"")</f>
        <v/>
      </c>
      <c r="O253" s="4" t="str">
        <f>IFERROR(VLOOKUP(B253,infoTable__15[],4,FALSE),"")</f>
        <v/>
      </c>
      <c r="P253" s="4" t="str">
        <f>IFERROR(VLOOKUP(B253,infoTable__16[],4,FALSE),"")</f>
        <v/>
      </c>
    </row>
    <row r="254" spans="1:16" x14ac:dyDescent="0.55000000000000004">
      <c r="A254" t="s">
        <v>3054</v>
      </c>
      <c r="B254" t="s">
        <v>3055</v>
      </c>
      <c r="C254" s="4" t="str">
        <f>IFERROR(VLOOKUP(B254,infoTable10[],4,FALSE),"")</f>
        <v/>
      </c>
      <c r="D254" s="4" t="str">
        <f>IFERROR(VLOOKUP(B254,infoTable__2[],4,FALSE),"")</f>
        <v/>
      </c>
      <c r="E254" s="4" t="str">
        <f>IFERROR(VLOOKUP(B254,infoTable__3[],4,FALSE),"")</f>
        <v/>
      </c>
      <c r="F254" s="4" t="str">
        <f>IFERROR(VLOOKUP(B254,infoTable__4[],4,FALSE),"")</f>
        <v/>
      </c>
      <c r="G254" s="4" t="str">
        <f>IFERROR(VLOOKUP(B254,infoTable[],4,FALSE),"")</f>
        <v/>
      </c>
      <c r="H254" s="4" t="str">
        <f>IFERROR(VLOOKUP(B254,infoTable__6[],4,FALSE),"")</f>
        <v/>
      </c>
      <c r="I254" s="4" t="str">
        <f>IFERROR(VLOOKUP(B254,infoTable__28[],4,FALSE),"")</f>
        <v/>
      </c>
      <c r="J254" s="4" t="str">
        <f>IFERROR(VLOOKUP(B254,infoTable__10[],4,FALSE),"")</f>
        <v/>
      </c>
      <c r="K254" s="4" t="str">
        <f>IFERROR(VLOOKUP(B254,infoTable__11[],4,FALSE),"")</f>
        <v/>
      </c>
      <c r="L254" s="4" t="str">
        <f>IFERROR(VLOOKUP(B254,infoTable__12[],4,FALSE),"")</f>
        <v/>
      </c>
      <c r="M254" s="4" t="str">
        <f>IFERROR(VLOOKUP(B254,infoTable__13[],4,FALSE),"")</f>
        <v/>
      </c>
      <c r="N254" s="4" t="str">
        <f>IFERROR(VLOOKUP(B254,infoTable__14[],4,FALSE),"")</f>
        <v/>
      </c>
      <c r="O254" s="4">
        <f>IFERROR(VLOOKUP(B254,infoTable__15[],4,FALSE),"")</f>
        <v>2481738</v>
      </c>
      <c r="P254" s="4">
        <f>IFERROR(VLOOKUP(B254,infoTable__16[],4,FALSE),"")</f>
        <v>3590000</v>
      </c>
    </row>
    <row r="255" spans="1:16" x14ac:dyDescent="0.55000000000000004">
      <c r="A255" t="s">
        <v>3360</v>
      </c>
      <c r="B255" t="s">
        <v>3361</v>
      </c>
      <c r="C255" s="4" t="str">
        <f>IFERROR(VLOOKUP(B255,infoTable10[],4,FALSE),"")</f>
        <v/>
      </c>
      <c r="D255" s="4" t="str">
        <f>IFERROR(VLOOKUP(B255,infoTable__2[],4,FALSE),"")</f>
        <v/>
      </c>
      <c r="E255" s="4" t="str">
        <f>IFERROR(VLOOKUP(B255,infoTable__3[],4,FALSE),"")</f>
        <v/>
      </c>
      <c r="F255" s="4" t="str">
        <f>IFERROR(VLOOKUP(B255,infoTable__4[],4,FALSE),"")</f>
        <v/>
      </c>
      <c r="G255" s="4" t="str">
        <f>IFERROR(VLOOKUP(B255,infoTable[],4,FALSE),"")</f>
        <v/>
      </c>
      <c r="H255" s="4" t="str">
        <f>IFERROR(VLOOKUP(B255,infoTable__6[],4,FALSE),"")</f>
        <v/>
      </c>
      <c r="I255" s="4" t="str">
        <f>IFERROR(VLOOKUP(B255,infoTable__28[],4,FALSE),"")</f>
        <v/>
      </c>
      <c r="J255" s="4" t="str">
        <f>IFERROR(VLOOKUP(B255,infoTable__10[],4,FALSE),"")</f>
        <v/>
      </c>
      <c r="K255" s="4" t="str">
        <f>IFERROR(VLOOKUP(B255,infoTable__11[],4,FALSE),"")</f>
        <v/>
      </c>
      <c r="L255" s="4" t="str">
        <f>IFERROR(VLOOKUP(B255,infoTable__12[],4,FALSE),"")</f>
        <v/>
      </c>
      <c r="M255" s="4" t="str">
        <f>IFERROR(VLOOKUP(B255,infoTable__13[],4,FALSE),"")</f>
        <v/>
      </c>
      <c r="N255" s="4" t="str">
        <f>IFERROR(VLOOKUP(B255,infoTable__14[],4,FALSE),"")</f>
        <v/>
      </c>
      <c r="O255" s="4" t="str">
        <f>IFERROR(VLOOKUP(B255,infoTable__15[],4,FALSE),"")</f>
        <v/>
      </c>
      <c r="P255" s="4">
        <f>IFERROR(VLOOKUP(B255,infoTable__16[],4,FALSE),"")</f>
        <v>1329532</v>
      </c>
    </row>
    <row r="256" spans="1:16" x14ac:dyDescent="0.55000000000000004">
      <c r="A256" t="s">
        <v>2062</v>
      </c>
      <c r="B256" t="s">
        <v>2063</v>
      </c>
      <c r="C256" s="4" t="str">
        <f>IFERROR(VLOOKUP(B256,infoTable10[],4,FALSE),"")</f>
        <v/>
      </c>
      <c r="D256" s="4" t="str">
        <f>IFERROR(VLOOKUP(B256,infoTable__2[],4,FALSE),"")</f>
        <v/>
      </c>
      <c r="E256" s="4" t="str">
        <f>IFERROR(VLOOKUP(B256,infoTable__3[],4,FALSE),"")</f>
        <v/>
      </c>
      <c r="F256" s="4" t="str">
        <f>IFERROR(VLOOKUP(B256,infoTable__4[],4,FALSE),"")</f>
        <v/>
      </c>
      <c r="G256" s="4" t="str">
        <f>IFERROR(VLOOKUP(B256,infoTable[],4,FALSE),"")</f>
        <v/>
      </c>
      <c r="H256" s="4" t="str">
        <f>IFERROR(VLOOKUP(B256,infoTable__6[],4,FALSE),"")</f>
        <v/>
      </c>
      <c r="I256" s="4" t="str">
        <f>IFERROR(VLOOKUP(B256,infoTable__28[],4,FALSE),"")</f>
        <v/>
      </c>
      <c r="J256" s="4" t="str">
        <f>IFERROR(VLOOKUP(B256,infoTable__10[],4,FALSE),"")</f>
        <v/>
      </c>
      <c r="K256" s="4" t="str">
        <f>IFERROR(VLOOKUP(B256,infoTable__11[],4,FALSE),"")</f>
        <v/>
      </c>
      <c r="L256" s="4">
        <f>IFERROR(VLOOKUP(B256,infoTable__12[],4,FALSE),"")</f>
        <v>2114642</v>
      </c>
      <c r="M256" s="4">
        <f>IFERROR(VLOOKUP(B256,infoTable__13[],4,FALSE),"")</f>
        <v>733047</v>
      </c>
      <c r="N256" s="4">
        <f>IFERROR(VLOOKUP(B256,infoTable__14[],4,FALSE),"")</f>
        <v>675559</v>
      </c>
      <c r="O256" s="4" t="str">
        <f>IFERROR(VLOOKUP(B256,infoTable__15[],4,FALSE),"")</f>
        <v/>
      </c>
      <c r="P256" s="4" t="str">
        <f>IFERROR(VLOOKUP(B256,infoTable__16[],4,FALSE),"")</f>
        <v/>
      </c>
    </row>
    <row r="257" spans="1:16" x14ac:dyDescent="0.55000000000000004">
      <c r="A257" t="s">
        <v>2677</v>
      </c>
      <c r="B257" t="s">
        <v>2676</v>
      </c>
      <c r="C257" s="4" t="str">
        <f>IFERROR(VLOOKUP(B257,infoTable10[],4,FALSE),"")</f>
        <v/>
      </c>
      <c r="D257" s="4" t="str">
        <f>IFERROR(VLOOKUP(B257,infoTable__2[],4,FALSE),"")</f>
        <v/>
      </c>
      <c r="E257" s="4" t="str">
        <f>IFERROR(VLOOKUP(B257,infoTable__3[],4,FALSE),"")</f>
        <v/>
      </c>
      <c r="F257" s="4" t="str">
        <f>IFERROR(VLOOKUP(B257,infoTable__4[],4,FALSE),"")</f>
        <v/>
      </c>
      <c r="G257" s="4" t="str">
        <f>IFERROR(VLOOKUP(B257,infoTable[],4,FALSE),"")</f>
        <v/>
      </c>
      <c r="H257" s="4" t="str">
        <f>IFERROR(VLOOKUP(B257,infoTable__6[],4,FALSE),"")</f>
        <v/>
      </c>
      <c r="I257" s="4" t="str">
        <f>IFERROR(VLOOKUP(B257,infoTable__28[],4,FALSE),"")</f>
        <v/>
      </c>
      <c r="J257" s="4" t="str">
        <f>IFERROR(VLOOKUP(B257,infoTable__10[],4,FALSE),"")</f>
        <v/>
      </c>
      <c r="K257" s="4" t="str">
        <f>IFERROR(VLOOKUP(B257,infoTable__11[],4,FALSE),"")</f>
        <v/>
      </c>
      <c r="L257" s="4" t="str">
        <f>IFERROR(VLOOKUP(B257,infoTable__12[],4,FALSE),"")</f>
        <v/>
      </c>
      <c r="M257" s="4" t="str">
        <f>IFERROR(VLOOKUP(B257,infoTable__13[],4,FALSE),"")</f>
        <v/>
      </c>
      <c r="N257" s="4">
        <f>IFERROR(VLOOKUP(B257,infoTable__14[],4,FALSE),"")</f>
        <v>3450038</v>
      </c>
      <c r="O257" s="4">
        <f>IFERROR(VLOOKUP(B257,infoTable__15[],4,FALSE),"")</f>
        <v>3338685</v>
      </c>
      <c r="P257" s="4">
        <f>IFERROR(VLOOKUP(B257,infoTable__16[],4,FALSE),"")</f>
        <v>1319782</v>
      </c>
    </row>
    <row r="258" spans="1:16" x14ac:dyDescent="0.55000000000000004">
      <c r="A258" t="s">
        <v>572</v>
      </c>
      <c r="B258" t="s">
        <v>573</v>
      </c>
      <c r="C258" s="4" t="str">
        <f>IFERROR(VLOOKUP(B258,infoTable10[],4,FALSE),"")</f>
        <v/>
      </c>
      <c r="D258" s="4">
        <f>IFERROR(VLOOKUP(B258,infoTable__2[],4,FALSE),"")</f>
        <v>2388751</v>
      </c>
      <c r="E258" s="4" t="str">
        <f>IFERROR(VLOOKUP(B258,infoTable__3[],4,FALSE),"")</f>
        <v/>
      </c>
      <c r="F258" s="4" t="str">
        <f>IFERROR(VLOOKUP(B258,infoTable__4[],4,FALSE),"")</f>
        <v/>
      </c>
      <c r="G258" s="4" t="str">
        <f>IFERROR(VLOOKUP(B258,infoTable[],4,FALSE),"")</f>
        <v/>
      </c>
      <c r="H258" s="4" t="str">
        <f>IFERROR(VLOOKUP(B258,infoTable__6[],4,FALSE),"")</f>
        <v/>
      </c>
      <c r="I258" s="4" t="str">
        <f>IFERROR(VLOOKUP(B258,infoTable__28[],4,FALSE),"")</f>
        <v/>
      </c>
      <c r="J258" s="4">
        <f>IFERROR(VLOOKUP(B258,infoTable__10[],4,FALSE),"")</f>
        <v>304940</v>
      </c>
      <c r="K258" s="4" t="str">
        <f>IFERROR(VLOOKUP(B258,infoTable__11[],4,FALSE),"")</f>
        <v/>
      </c>
      <c r="L258" s="4" t="str">
        <f>IFERROR(VLOOKUP(B258,infoTable__12[],4,FALSE),"")</f>
        <v/>
      </c>
      <c r="M258" s="4" t="str">
        <f>IFERROR(VLOOKUP(B258,infoTable__13[],4,FALSE),"")</f>
        <v/>
      </c>
      <c r="N258" s="4" t="str">
        <f>IFERROR(VLOOKUP(B258,infoTable__14[],4,FALSE),"")</f>
        <v/>
      </c>
      <c r="O258" s="4" t="str">
        <f>IFERROR(VLOOKUP(B258,infoTable__15[],4,FALSE),"")</f>
        <v/>
      </c>
      <c r="P258" s="4" t="str">
        <f>IFERROR(VLOOKUP(B258,infoTable__16[],4,FALSE),"")</f>
        <v/>
      </c>
    </row>
    <row r="259" spans="1:16" x14ac:dyDescent="0.55000000000000004">
      <c r="A259" t="s">
        <v>2190</v>
      </c>
      <c r="B259" t="s">
        <v>2191</v>
      </c>
      <c r="C259" s="4" t="str">
        <f>IFERROR(VLOOKUP(B259,infoTable10[],4,FALSE),"")</f>
        <v/>
      </c>
      <c r="D259" s="4" t="str">
        <f>IFERROR(VLOOKUP(B259,infoTable__2[],4,FALSE),"")</f>
        <v/>
      </c>
      <c r="E259" s="4" t="str">
        <f>IFERROR(VLOOKUP(B259,infoTable__3[],4,FALSE),"")</f>
        <v/>
      </c>
      <c r="F259" s="4" t="str">
        <f>IFERROR(VLOOKUP(B259,infoTable__4[],4,FALSE),"")</f>
        <v/>
      </c>
      <c r="G259" s="4" t="str">
        <f>IFERROR(VLOOKUP(B259,infoTable[],4,FALSE),"")</f>
        <v/>
      </c>
      <c r="H259" s="4" t="str">
        <f>IFERROR(VLOOKUP(B259,infoTable__6[],4,FALSE),"")</f>
        <v/>
      </c>
      <c r="I259" s="4" t="str">
        <f>IFERROR(VLOOKUP(B259,infoTable__28[],4,FALSE),"")</f>
        <v/>
      </c>
      <c r="J259" s="4" t="str">
        <f>IFERROR(VLOOKUP(B259,infoTable__10[],4,FALSE),"")</f>
        <v/>
      </c>
      <c r="K259" s="4" t="str">
        <f>IFERROR(VLOOKUP(B259,infoTable__11[],4,FALSE),"")</f>
        <v/>
      </c>
      <c r="L259" s="4">
        <f>IFERROR(VLOOKUP(B259,infoTable__12[],4,FALSE),"")</f>
        <v>222741</v>
      </c>
      <c r="M259" s="4">
        <f>IFERROR(VLOOKUP(B259,infoTable__13[],4,FALSE),"")</f>
        <v>434187</v>
      </c>
      <c r="N259" s="4" t="str">
        <f>IFERROR(VLOOKUP(B259,infoTable__14[],4,FALSE),"")</f>
        <v/>
      </c>
      <c r="O259" s="4" t="str">
        <f>IFERROR(VLOOKUP(B259,infoTable__15[],4,FALSE),"")</f>
        <v/>
      </c>
      <c r="P259" s="4">
        <f>IFERROR(VLOOKUP(B259,infoTable__16[],4,FALSE),"")</f>
        <v>215849</v>
      </c>
    </row>
    <row r="260" spans="1:16" x14ac:dyDescent="0.55000000000000004">
      <c r="A260" t="s">
        <v>3366</v>
      </c>
      <c r="B260" t="s">
        <v>3367</v>
      </c>
      <c r="C260" s="4" t="str">
        <f>IFERROR(VLOOKUP(B260,infoTable10[],4,FALSE),"")</f>
        <v/>
      </c>
      <c r="D260" s="4" t="str">
        <f>IFERROR(VLOOKUP(B260,infoTable__2[],4,FALSE),"")</f>
        <v/>
      </c>
      <c r="E260" s="4" t="str">
        <f>IFERROR(VLOOKUP(B260,infoTable__3[],4,FALSE),"")</f>
        <v/>
      </c>
      <c r="F260" s="4" t="str">
        <f>IFERROR(VLOOKUP(B260,infoTable__4[],4,FALSE),"")</f>
        <v/>
      </c>
      <c r="G260" s="4" t="str">
        <f>IFERROR(VLOOKUP(B260,infoTable[],4,FALSE),"")</f>
        <v/>
      </c>
      <c r="H260" s="4" t="str">
        <f>IFERROR(VLOOKUP(B260,infoTable__6[],4,FALSE),"")</f>
        <v/>
      </c>
      <c r="I260" s="4" t="str">
        <f>IFERROR(VLOOKUP(B260,infoTable__28[],4,FALSE),"")</f>
        <v/>
      </c>
      <c r="J260" s="4" t="str">
        <f>IFERROR(VLOOKUP(B260,infoTable__10[],4,FALSE),"")</f>
        <v/>
      </c>
      <c r="K260" s="4" t="str">
        <f>IFERROR(VLOOKUP(B260,infoTable__11[],4,FALSE),"")</f>
        <v/>
      </c>
      <c r="L260" s="4" t="str">
        <f>IFERROR(VLOOKUP(B260,infoTable__12[],4,FALSE),"")</f>
        <v/>
      </c>
      <c r="M260" s="4" t="str">
        <f>IFERROR(VLOOKUP(B260,infoTable__13[],4,FALSE),"")</f>
        <v/>
      </c>
      <c r="N260" s="4" t="str">
        <f>IFERROR(VLOOKUP(B260,infoTable__14[],4,FALSE),"")</f>
        <v/>
      </c>
      <c r="O260" s="4" t="str">
        <f>IFERROR(VLOOKUP(B260,infoTable__15[],4,FALSE),"")</f>
        <v/>
      </c>
      <c r="P260" s="4">
        <f>IFERROR(VLOOKUP(B260,infoTable__16[],4,FALSE),"")</f>
        <v>233965</v>
      </c>
    </row>
    <row r="261" spans="1:16" x14ac:dyDescent="0.55000000000000004">
      <c r="A261" t="s">
        <v>3060</v>
      </c>
      <c r="B261" t="s">
        <v>3061</v>
      </c>
      <c r="C261" s="4" t="str">
        <f>IFERROR(VLOOKUP(B261,infoTable10[],4,FALSE),"")</f>
        <v/>
      </c>
      <c r="D261" s="4" t="str">
        <f>IFERROR(VLOOKUP(B261,infoTable__2[],4,FALSE),"")</f>
        <v/>
      </c>
      <c r="E261" s="4" t="str">
        <f>IFERROR(VLOOKUP(B261,infoTable__3[],4,FALSE),"")</f>
        <v/>
      </c>
      <c r="F261" s="4" t="str">
        <f>IFERROR(VLOOKUP(B261,infoTable__4[],4,FALSE),"")</f>
        <v/>
      </c>
      <c r="G261" s="4" t="str">
        <f>IFERROR(VLOOKUP(B261,infoTable[],4,FALSE),"")</f>
        <v/>
      </c>
      <c r="H261" s="4" t="str">
        <f>IFERROR(VLOOKUP(B261,infoTable__6[],4,FALSE),"")</f>
        <v/>
      </c>
      <c r="I261" s="4" t="str">
        <f>IFERROR(VLOOKUP(B261,infoTable__28[],4,FALSE),"")</f>
        <v/>
      </c>
      <c r="J261" s="4" t="str">
        <f>IFERROR(VLOOKUP(B261,infoTable__10[],4,FALSE),"")</f>
        <v/>
      </c>
      <c r="K261" s="4" t="str">
        <f>IFERROR(VLOOKUP(B261,infoTable__11[],4,FALSE),"")</f>
        <v/>
      </c>
      <c r="L261" s="4" t="str">
        <f>IFERROR(VLOOKUP(B261,infoTable__12[],4,FALSE),"")</f>
        <v/>
      </c>
      <c r="M261" s="4" t="str">
        <f>IFERROR(VLOOKUP(B261,infoTable__13[],4,FALSE),"")</f>
        <v/>
      </c>
      <c r="N261" s="4" t="str">
        <f>IFERROR(VLOOKUP(B261,infoTable__14[],4,FALSE),"")</f>
        <v/>
      </c>
      <c r="O261" s="4">
        <f>IFERROR(VLOOKUP(B261,infoTable__15[],4,FALSE),"")</f>
        <v>1455134</v>
      </c>
      <c r="P261" s="4">
        <f>IFERROR(VLOOKUP(B261,infoTable__16[],4,FALSE),"")</f>
        <v>724101</v>
      </c>
    </row>
    <row r="262" spans="1:16" x14ac:dyDescent="0.55000000000000004">
      <c r="A262" t="s">
        <v>2480</v>
      </c>
      <c r="B262" t="s">
        <v>2481</v>
      </c>
      <c r="C262" s="4" t="str">
        <f>IFERROR(VLOOKUP(B262,infoTable10[],4,FALSE),"")</f>
        <v/>
      </c>
      <c r="D262" s="4" t="str">
        <f>IFERROR(VLOOKUP(B262,infoTable__2[],4,FALSE),"")</f>
        <v/>
      </c>
      <c r="E262" s="4" t="str">
        <f>IFERROR(VLOOKUP(B262,infoTable__3[],4,FALSE),"")</f>
        <v/>
      </c>
      <c r="F262" s="4" t="str">
        <f>IFERROR(VLOOKUP(B262,infoTable__4[],4,FALSE),"")</f>
        <v/>
      </c>
      <c r="G262" s="4" t="str">
        <f>IFERROR(VLOOKUP(B262,infoTable[],4,FALSE),"")</f>
        <v/>
      </c>
      <c r="H262" s="4" t="str">
        <f>IFERROR(VLOOKUP(B262,infoTable__6[],4,FALSE),"")</f>
        <v/>
      </c>
      <c r="I262" s="4" t="str">
        <f>IFERROR(VLOOKUP(B262,infoTable__28[],4,FALSE),"")</f>
        <v/>
      </c>
      <c r="J262" s="4" t="str">
        <f>IFERROR(VLOOKUP(B262,infoTable__10[],4,FALSE),"")</f>
        <v/>
      </c>
      <c r="K262" s="4" t="str">
        <f>IFERROR(VLOOKUP(B262,infoTable__11[],4,FALSE),"")</f>
        <v/>
      </c>
      <c r="L262" s="4" t="str">
        <f>IFERROR(VLOOKUP(B262,infoTable__12[],4,FALSE),"")</f>
        <v/>
      </c>
      <c r="M262" s="4">
        <f>IFERROR(VLOOKUP(B262,infoTable__13[],4,FALSE),"")</f>
        <v>250598</v>
      </c>
      <c r="N262" s="4" t="str">
        <f>IFERROR(VLOOKUP(B262,infoTable__14[],4,FALSE),"")</f>
        <v/>
      </c>
      <c r="O262" s="4" t="str">
        <f>IFERROR(VLOOKUP(B262,infoTable__15[],4,FALSE),"")</f>
        <v/>
      </c>
      <c r="P262" s="4">
        <f>IFERROR(VLOOKUP(B262,infoTable__16[],4,FALSE),"")</f>
        <v>306326</v>
      </c>
    </row>
    <row r="263" spans="1:16" x14ac:dyDescent="0.55000000000000004">
      <c r="A263" t="s">
        <v>2192</v>
      </c>
      <c r="B263" t="s">
        <v>2193</v>
      </c>
      <c r="C263" s="4" t="str">
        <f>IFERROR(VLOOKUP(B263,infoTable10[],4,FALSE),"")</f>
        <v/>
      </c>
      <c r="D263" s="4" t="str">
        <f>IFERROR(VLOOKUP(B263,infoTable__2[],4,FALSE),"")</f>
        <v/>
      </c>
      <c r="E263" s="4" t="str">
        <f>IFERROR(VLOOKUP(B263,infoTable__3[],4,FALSE),"")</f>
        <v/>
      </c>
      <c r="F263" s="4" t="str">
        <f>IFERROR(VLOOKUP(B263,infoTable__4[],4,FALSE),"")</f>
        <v/>
      </c>
      <c r="G263" s="4" t="str">
        <f>IFERROR(VLOOKUP(B263,infoTable[],4,FALSE),"")</f>
        <v/>
      </c>
      <c r="H263" s="4" t="str">
        <f>IFERROR(VLOOKUP(B263,infoTable__6[],4,FALSE),"")</f>
        <v/>
      </c>
      <c r="I263" s="4" t="str">
        <f>IFERROR(VLOOKUP(B263,infoTable__28[],4,FALSE),"")</f>
        <v/>
      </c>
      <c r="J263" s="4" t="str">
        <f>IFERROR(VLOOKUP(B263,infoTable__10[],4,FALSE),"")</f>
        <v/>
      </c>
      <c r="K263" s="4" t="str">
        <f>IFERROR(VLOOKUP(B263,infoTable__11[],4,FALSE),"")</f>
        <v/>
      </c>
      <c r="L263" s="4">
        <f>IFERROR(VLOOKUP(B263,infoTable__12[],4,FALSE),"")</f>
        <v>951014</v>
      </c>
      <c r="M263" s="4">
        <f>IFERROR(VLOOKUP(B263,infoTable__13[],4,FALSE),"")</f>
        <v>730418</v>
      </c>
      <c r="N263" s="4">
        <f>IFERROR(VLOOKUP(B263,infoTable__14[],4,FALSE),"")</f>
        <v>591137</v>
      </c>
      <c r="O263" s="4">
        <f>IFERROR(VLOOKUP(B263,infoTable__15[],4,FALSE),"")</f>
        <v>706179</v>
      </c>
      <c r="P263" s="4" t="str">
        <f>IFERROR(VLOOKUP(B263,infoTable__16[],4,FALSE),"")</f>
        <v/>
      </c>
    </row>
    <row r="264" spans="1:16" x14ac:dyDescent="0.55000000000000004">
      <c r="A264" t="s">
        <v>1018</v>
      </c>
      <c r="B264" t="s">
        <v>1019</v>
      </c>
      <c r="C264" s="4" t="str">
        <f>IFERROR(VLOOKUP(B264,infoTable10[],4,FALSE),"")</f>
        <v/>
      </c>
      <c r="D264" s="4" t="str">
        <f>IFERROR(VLOOKUP(B264,infoTable__2[],4,FALSE),"")</f>
        <v/>
      </c>
      <c r="E264" s="4" t="str">
        <f>IFERROR(VLOOKUP(B264,infoTable__3[],4,FALSE),"")</f>
        <v/>
      </c>
      <c r="F264" s="4" t="str">
        <f>IFERROR(VLOOKUP(B264,infoTable__4[],4,FALSE),"")</f>
        <v/>
      </c>
      <c r="G264" s="4" t="str">
        <f>IFERROR(VLOOKUP(B264,infoTable[],4,FALSE),"")</f>
        <v/>
      </c>
      <c r="H264" s="4">
        <f>IFERROR(VLOOKUP(B264,infoTable__6[],4,FALSE),"")</f>
        <v>487664</v>
      </c>
      <c r="I264" s="4">
        <f>IFERROR(VLOOKUP(B264,infoTable__28[],4,FALSE),"")</f>
        <v>725122</v>
      </c>
      <c r="J264" s="4" t="str">
        <f>IFERROR(VLOOKUP(B264,infoTable__10[],4,FALSE),"")</f>
        <v/>
      </c>
      <c r="K264" s="4">
        <f>IFERROR(VLOOKUP(B264,infoTable__11[],4,FALSE),"")</f>
        <v>447886</v>
      </c>
      <c r="L264" s="4" t="str">
        <f>IFERROR(VLOOKUP(B264,infoTable__12[],4,FALSE),"")</f>
        <v/>
      </c>
      <c r="M264" s="4" t="str">
        <f>IFERROR(VLOOKUP(B264,infoTable__13[],4,FALSE),"")</f>
        <v/>
      </c>
      <c r="N264" s="4" t="str">
        <f>IFERROR(VLOOKUP(B264,infoTable__14[],4,FALSE),"")</f>
        <v/>
      </c>
      <c r="O264" s="4" t="str">
        <f>IFERROR(VLOOKUP(B264,infoTable__15[],4,FALSE),"")</f>
        <v/>
      </c>
      <c r="P264" s="4" t="str">
        <f>IFERROR(VLOOKUP(B264,infoTable__16[],4,FALSE),"")</f>
        <v/>
      </c>
    </row>
    <row r="265" spans="1:16" x14ac:dyDescent="0.55000000000000004">
      <c r="A265" t="s">
        <v>3369</v>
      </c>
      <c r="B265" t="s">
        <v>3370</v>
      </c>
      <c r="C265" s="4" t="str">
        <f>IFERROR(VLOOKUP(B265,infoTable10[],4,FALSE),"")</f>
        <v/>
      </c>
      <c r="D265" s="4" t="str">
        <f>IFERROR(VLOOKUP(B265,infoTable__2[],4,FALSE),"")</f>
        <v/>
      </c>
      <c r="E265" s="4" t="str">
        <f>IFERROR(VLOOKUP(B265,infoTable__3[],4,FALSE),"")</f>
        <v/>
      </c>
      <c r="F265" s="4" t="str">
        <f>IFERROR(VLOOKUP(B265,infoTable__4[],4,FALSE),"")</f>
        <v/>
      </c>
      <c r="G265" s="4" t="str">
        <f>IFERROR(VLOOKUP(B265,infoTable[],4,FALSE),"")</f>
        <v/>
      </c>
      <c r="H265" s="4" t="str">
        <f>IFERROR(VLOOKUP(B265,infoTable__6[],4,FALSE),"")</f>
        <v/>
      </c>
      <c r="I265" s="4" t="str">
        <f>IFERROR(VLOOKUP(B265,infoTable__28[],4,FALSE),"")</f>
        <v/>
      </c>
      <c r="J265" s="4" t="str">
        <f>IFERROR(VLOOKUP(B265,infoTable__10[],4,FALSE),"")</f>
        <v/>
      </c>
      <c r="K265" s="4" t="str">
        <f>IFERROR(VLOOKUP(B265,infoTable__11[],4,FALSE),"")</f>
        <v/>
      </c>
      <c r="L265" s="4" t="str">
        <f>IFERROR(VLOOKUP(B265,infoTable__12[],4,FALSE),"")</f>
        <v/>
      </c>
      <c r="M265" s="4" t="str">
        <f>IFERROR(VLOOKUP(B265,infoTable__13[],4,FALSE),"")</f>
        <v/>
      </c>
      <c r="N265" s="4" t="str">
        <f>IFERROR(VLOOKUP(B265,infoTable__14[],4,FALSE),"")</f>
        <v/>
      </c>
      <c r="O265" s="4" t="str">
        <f>IFERROR(VLOOKUP(B265,infoTable__15[],4,FALSE),"")</f>
        <v/>
      </c>
      <c r="P265" s="4">
        <f>IFERROR(VLOOKUP(B265,infoTable__16[],4,FALSE),"")</f>
        <v>1986553</v>
      </c>
    </row>
    <row r="266" spans="1:16" x14ac:dyDescent="0.55000000000000004">
      <c r="A266" t="s">
        <v>195</v>
      </c>
      <c r="B266" t="s">
        <v>196</v>
      </c>
      <c r="C266" s="4" t="str">
        <f>IFERROR(VLOOKUP(B266,infoTable10[],4,FALSE),"")</f>
        <v/>
      </c>
      <c r="D266" s="4" t="str">
        <f>IFERROR(VLOOKUP(B266,infoTable__2[],4,FALSE),"")</f>
        <v/>
      </c>
      <c r="E266" s="4">
        <f>IFERROR(VLOOKUP(B266,infoTable__3[],4,FALSE),"")</f>
        <v>310311</v>
      </c>
      <c r="F266" s="4">
        <f>IFERROR(VLOOKUP(B266,infoTable__4[],4,FALSE),"")</f>
        <v>2013199</v>
      </c>
      <c r="G266" s="4">
        <f>IFERROR(VLOOKUP(B266,infoTable[],4,FALSE),"")</f>
        <v>3684858</v>
      </c>
      <c r="H266" s="4">
        <f>IFERROR(VLOOKUP(B266,infoTable__6[],4,FALSE),"")</f>
        <v>940526</v>
      </c>
      <c r="I266" s="4" t="str">
        <f>IFERROR(VLOOKUP(B266,infoTable__28[],4,FALSE),"")</f>
        <v/>
      </c>
      <c r="J266" s="4" t="str">
        <f>IFERROR(VLOOKUP(B266,infoTable__10[],4,FALSE),"")</f>
        <v/>
      </c>
      <c r="K266" s="4" t="str">
        <f>IFERROR(VLOOKUP(B266,infoTable__11[],4,FALSE),"")</f>
        <v/>
      </c>
      <c r="L266" s="4">
        <f>IFERROR(VLOOKUP(B266,infoTable__12[],4,FALSE),"")</f>
        <v>744910</v>
      </c>
      <c r="M266" s="4">
        <f>IFERROR(VLOOKUP(B266,infoTable__13[],4,FALSE),"")</f>
        <v>1273320</v>
      </c>
      <c r="N266" s="4" t="str">
        <f>IFERROR(VLOOKUP(B266,infoTable__14[],4,FALSE),"")</f>
        <v/>
      </c>
      <c r="O266" s="4" t="str">
        <f>IFERROR(VLOOKUP(B266,infoTable__15[],4,FALSE),"")</f>
        <v/>
      </c>
      <c r="P266" s="4" t="str">
        <f>IFERROR(VLOOKUP(B266,infoTable__16[],4,FALSE),"")</f>
        <v/>
      </c>
    </row>
    <row r="267" spans="1:16" x14ac:dyDescent="0.55000000000000004">
      <c r="A267" t="s">
        <v>2679</v>
      </c>
      <c r="B267" t="s">
        <v>2678</v>
      </c>
      <c r="C267" s="4" t="str">
        <f>IFERROR(VLOOKUP(B267,infoTable10[],4,FALSE),"")</f>
        <v/>
      </c>
      <c r="D267" s="4" t="str">
        <f>IFERROR(VLOOKUP(B267,infoTable__2[],4,FALSE),"")</f>
        <v/>
      </c>
      <c r="E267" s="4" t="str">
        <f>IFERROR(VLOOKUP(B267,infoTable__3[],4,FALSE),"")</f>
        <v/>
      </c>
      <c r="F267" s="4" t="str">
        <f>IFERROR(VLOOKUP(B267,infoTable__4[],4,FALSE),"")</f>
        <v/>
      </c>
      <c r="G267" s="4" t="str">
        <f>IFERROR(VLOOKUP(B267,infoTable[],4,FALSE),"")</f>
        <v/>
      </c>
      <c r="H267" s="4" t="str">
        <f>IFERROR(VLOOKUP(B267,infoTable__6[],4,FALSE),"")</f>
        <v/>
      </c>
      <c r="I267" s="4" t="str">
        <f>IFERROR(VLOOKUP(B267,infoTable__28[],4,FALSE),"")</f>
        <v/>
      </c>
      <c r="J267" s="4" t="str">
        <f>IFERROR(VLOOKUP(B267,infoTable__10[],4,FALSE),"")</f>
        <v/>
      </c>
      <c r="K267" s="4" t="str">
        <f>IFERROR(VLOOKUP(B267,infoTable__11[],4,FALSE),"")</f>
        <v/>
      </c>
      <c r="L267" s="4" t="str">
        <f>IFERROR(VLOOKUP(B267,infoTable__12[],4,FALSE),"")</f>
        <v/>
      </c>
      <c r="M267" s="4" t="str">
        <f>IFERROR(VLOOKUP(B267,infoTable__13[],4,FALSE),"")</f>
        <v/>
      </c>
      <c r="N267" s="4">
        <f>IFERROR(VLOOKUP(B267,infoTable__14[],4,FALSE),"")</f>
        <v>238879</v>
      </c>
      <c r="O267" s="4" t="str">
        <f>IFERROR(VLOOKUP(B267,infoTable__15[],4,FALSE),"")</f>
        <v/>
      </c>
      <c r="P267" s="4" t="str">
        <f>IFERROR(VLOOKUP(B267,infoTable__16[],4,FALSE),"")</f>
        <v/>
      </c>
    </row>
    <row r="268" spans="1:16" x14ac:dyDescent="0.55000000000000004">
      <c r="A268" t="s">
        <v>574</v>
      </c>
      <c r="B268" t="s">
        <v>575</v>
      </c>
      <c r="C268" s="4" t="str">
        <f>IFERROR(VLOOKUP(B268,infoTable10[],4,FALSE),"")</f>
        <v/>
      </c>
      <c r="D268" s="4">
        <f>IFERROR(VLOOKUP(B268,infoTable__2[],4,FALSE),"")</f>
        <v>535651</v>
      </c>
      <c r="E268" s="4">
        <f>IFERROR(VLOOKUP(B268,infoTable__3[],4,FALSE),"")</f>
        <v>1127034</v>
      </c>
      <c r="F268" s="4">
        <f>IFERROR(VLOOKUP(B268,infoTable__4[],4,FALSE),"")</f>
        <v>387433</v>
      </c>
      <c r="G268" s="4" t="str">
        <f>IFERROR(VLOOKUP(B268,infoTable[],4,FALSE),"")</f>
        <v/>
      </c>
      <c r="H268" s="4">
        <f>IFERROR(VLOOKUP(B268,infoTable__6[],4,FALSE),"")</f>
        <v>205769</v>
      </c>
      <c r="I268" s="4">
        <f>IFERROR(VLOOKUP(B268,infoTable__28[],4,FALSE),"")</f>
        <v>724175</v>
      </c>
      <c r="J268" s="4">
        <f>IFERROR(VLOOKUP(B268,infoTable__10[],4,FALSE),"")</f>
        <v>1001230</v>
      </c>
      <c r="K268" s="4" t="str">
        <f>IFERROR(VLOOKUP(B268,infoTable__11[],4,FALSE),"")</f>
        <v/>
      </c>
      <c r="L268" s="4" t="str">
        <f>IFERROR(VLOOKUP(B268,infoTable__12[],4,FALSE),"")</f>
        <v/>
      </c>
      <c r="M268" s="4" t="str">
        <f>IFERROR(VLOOKUP(B268,infoTable__13[],4,FALSE),"")</f>
        <v/>
      </c>
      <c r="N268" s="4" t="str">
        <f>IFERROR(VLOOKUP(B268,infoTable__14[],4,FALSE),"")</f>
        <v/>
      </c>
      <c r="O268" s="4" t="str">
        <f>IFERROR(VLOOKUP(B268,infoTable__15[],4,FALSE),"")</f>
        <v/>
      </c>
      <c r="P268" s="4" t="str">
        <f>IFERROR(VLOOKUP(B268,infoTable__16[],4,FALSE),"")</f>
        <v/>
      </c>
    </row>
    <row r="269" spans="1:16" x14ac:dyDescent="0.55000000000000004">
      <c r="A269" t="s">
        <v>201</v>
      </c>
      <c r="B269" t="s">
        <v>202</v>
      </c>
      <c r="C269" s="4" t="str">
        <f>IFERROR(VLOOKUP(B269,infoTable10[],4,FALSE),"")</f>
        <v/>
      </c>
      <c r="D269" s="4" t="str">
        <f>IFERROR(VLOOKUP(B269,infoTable__2[],4,FALSE),"")</f>
        <v/>
      </c>
      <c r="E269" s="4" t="str">
        <f>IFERROR(VLOOKUP(B269,infoTable__3[],4,FALSE),"")</f>
        <v/>
      </c>
      <c r="F269" s="4">
        <f>IFERROR(VLOOKUP(B269,infoTable__4[],4,FALSE),"")</f>
        <v>4178842</v>
      </c>
      <c r="G269" s="4">
        <f>IFERROR(VLOOKUP(B269,infoTable[],4,FALSE),"")</f>
        <v>3981557</v>
      </c>
      <c r="H269" s="4">
        <f>IFERROR(VLOOKUP(B269,infoTable__6[],4,FALSE),"")</f>
        <v>402781</v>
      </c>
      <c r="I269" s="4" t="str">
        <f>IFERROR(VLOOKUP(B269,infoTable__28[],4,FALSE),"")</f>
        <v/>
      </c>
      <c r="J269" s="4" t="str">
        <f>IFERROR(VLOOKUP(B269,infoTable__10[],4,FALSE),"")</f>
        <v/>
      </c>
      <c r="K269" s="4">
        <f>IFERROR(VLOOKUP(B269,infoTable__11[],4,FALSE),"")</f>
        <v>1012456</v>
      </c>
      <c r="L269" s="4">
        <f>IFERROR(VLOOKUP(B269,infoTable__12[],4,FALSE),"")</f>
        <v>432076</v>
      </c>
      <c r="M269" s="4" t="str">
        <f>IFERROR(VLOOKUP(B269,infoTable__13[],4,FALSE),"")</f>
        <v/>
      </c>
      <c r="N269" s="4" t="str">
        <f>IFERROR(VLOOKUP(B269,infoTable__14[],4,FALSE),"")</f>
        <v/>
      </c>
      <c r="O269" s="4" t="str">
        <f>IFERROR(VLOOKUP(B269,infoTable__15[],4,FALSE),"")</f>
        <v/>
      </c>
      <c r="P269" s="4" t="str">
        <f>IFERROR(VLOOKUP(B269,infoTable__16[],4,FALSE),"")</f>
        <v/>
      </c>
    </row>
    <row r="270" spans="1:16" x14ac:dyDescent="0.55000000000000004">
      <c r="A270" t="s">
        <v>197</v>
      </c>
      <c r="B270" t="s">
        <v>198</v>
      </c>
      <c r="C270" s="4" t="str">
        <f>IFERROR(VLOOKUP(B270,infoTable10[],4,FALSE),"")</f>
        <v/>
      </c>
      <c r="D270" s="4" t="str">
        <f>IFERROR(VLOOKUP(B270,infoTable__2[],4,FALSE),"")</f>
        <v/>
      </c>
      <c r="E270" s="4" t="str">
        <f>IFERROR(VLOOKUP(B270,infoTable__3[],4,FALSE),"")</f>
        <v/>
      </c>
      <c r="F270" s="4" t="str">
        <f>IFERROR(VLOOKUP(B270,infoTable__4[],4,FALSE),"")</f>
        <v/>
      </c>
      <c r="G270" s="4">
        <f>IFERROR(VLOOKUP(B270,infoTable[],4,FALSE),"")</f>
        <v>1161852</v>
      </c>
      <c r="H270" s="4">
        <f>IFERROR(VLOOKUP(B270,infoTable__6[],4,FALSE),"")</f>
        <v>979181</v>
      </c>
      <c r="I270" s="4" t="str">
        <f>IFERROR(VLOOKUP(B270,infoTable__28[],4,FALSE),"")</f>
        <v/>
      </c>
      <c r="J270" s="4" t="str">
        <f>IFERROR(VLOOKUP(B270,infoTable__10[],4,FALSE),"")</f>
        <v/>
      </c>
      <c r="K270" s="4" t="str">
        <f>IFERROR(VLOOKUP(B270,infoTable__11[],4,FALSE),"")</f>
        <v/>
      </c>
      <c r="L270" s="4" t="str">
        <f>IFERROR(VLOOKUP(B270,infoTable__12[],4,FALSE),"")</f>
        <v/>
      </c>
      <c r="M270" s="4" t="str">
        <f>IFERROR(VLOOKUP(B270,infoTable__13[],4,FALSE),"")</f>
        <v/>
      </c>
      <c r="N270" s="4" t="str">
        <f>IFERROR(VLOOKUP(B270,infoTable__14[],4,FALSE),"")</f>
        <v/>
      </c>
      <c r="O270" s="4" t="str">
        <f>IFERROR(VLOOKUP(B270,infoTable__15[],4,FALSE),"")</f>
        <v/>
      </c>
      <c r="P270" s="4" t="str">
        <f>IFERROR(VLOOKUP(B270,infoTable__16[],4,FALSE),"")</f>
        <v/>
      </c>
    </row>
    <row r="271" spans="1:16" x14ac:dyDescent="0.55000000000000004">
      <c r="A271" t="s">
        <v>1253</v>
      </c>
      <c r="B271" t="s">
        <v>1254</v>
      </c>
      <c r="C271" s="4" t="str">
        <f>IFERROR(VLOOKUP(B271,infoTable10[],4,FALSE),"")</f>
        <v/>
      </c>
      <c r="D271" s="4" t="str">
        <f>IFERROR(VLOOKUP(B271,infoTable__2[],4,FALSE),"")</f>
        <v/>
      </c>
      <c r="E271" s="4" t="str">
        <f>IFERROR(VLOOKUP(B271,infoTable__3[],4,FALSE),"")</f>
        <v/>
      </c>
      <c r="F271" s="4" t="str">
        <f>IFERROR(VLOOKUP(B271,infoTable__4[],4,FALSE),"")</f>
        <v/>
      </c>
      <c r="G271" s="4" t="str">
        <f>IFERROR(VLOOKUP(B271,infoTable[],4,FALSE),"")</f>
        <v/>
      </c>
      <c r="H271" s="4" t="str">
        <f>IFERROR(VLOOKUP(B271,infoTable__6[],4,FALSE),"")</f>
        <v/>
      </c>
      <c r="I271" s="4">
        <f>IFERROR(VLOOKUP(B271,infoTable__28[],4,FALSE),"")</f>
        <v>496447</v>
      </c>
      <c r="J271" s="4">
        <f>IFERROR(VLOOKUP(B271,infoTable__10[],4,FALSE),"")</f>
        <v>555665</v>
      </c>
      <c r="K271" s="4">
        <f>IFERROR(VLOOKUP(B271,infoTable__11[],4,FALSE),"")</f>
        <v>392256</v>
      </c>
      <c r="L271" s="4">
        <f>IFERROR(VLOOKUP(B271,infoTable__12[],4,FALSE),"")</f>
        <v>650803</v>
      </c>
      <c r="M271" s="4">
        <f>IFERROR(VLOOKUP(B271,infoTable__13[],4,FALSE),"")</f>
        <v>88480</v>
      </c>
      <c r="N271" s="4">
        <f>IFERROR(VLOOKUP(B271,infoTable__14[],4,FALSE),"")</f>
        <v>692572</v>
      </c>
      <c r="O271" s="4">
        <f>IFERROR(VLOOKUP(B271,infoTable__15[],4,FALSE),"")</f>
        <v>502184</v>
      </c>
      <c r="P271" s="4">
        <f>IFERROR(VLOOKUP(B271,infoTable__16[],4,FALSE),"")</f>
        <v>435560</v>
      </c>
    </row>
    <row r="272" spans="1:16" x14ac:dyDescent="0.55000000000000004">
      <c r="A272" t="s">
        <v>203</v>
      </c>
      <c r="B272" t="s">
        <v>204</v>
      </c>
      <c r="C272" s="4" t="str">
        <f>IFERROR(VLOOKUP(B272,infoTable10[],4,FALSE),"")</f>
        <v/>
      </c>
      <c r="D272" s="4" t="str">
        <f>IFERROR(VLOOKUP(B272,infoTable__2[],4,FALSE),"")</f>
        <v/>
      </c>
      <c r="E272" s="4" t="str">
        <f>IFERROR(VLOOKUP(B272,infoTable__3[],4,FALSE),"")</f>
        <v/>
      </c>
      <c r="F272" s="4" t="str">
        <f>IFERROR(VLOOKUP(B272,infoTable__4[],4,FALSE),"")</f>
        <v/>
      </c>
      <c r="G272" s="4">
        <f>IFERROR(VLOOKUP(B272,infoTable[],4,FALSE),"")</f>
        <v>4062405</v>
      </c>
      <c r="H272" s="4">
        <f>IFERROR(VLOOKUP(B272,infoTable__6[],4,FALSE),"")</f>
        <v>1285856</v>
      </c>
      <c r="I272" s="4">
        <f>IFERROR(VLOOKUP(B272,infoTable__28[],4,FALSE),"")</f>
        <v>480362</v>
      </c>
      <c r="J272" s="4">
        <f>IFERROR(VLOOKUP(B272,infoTable__10[],4,FALSE),"")</f>
        <v>580620</v>
      </c>
      <c r="K272" s="4" t="str">
        <f>IFERROR(VLOOKUP(B272,infoTable__11[],4,FALSE),"")</f>
        <v/>
      </c>
      <c r="L272" s="4" t="str">
        <f>IFERROR(VLOOKUP(B272,infoTable__12[],4,FALSE),"")</f>
        <v/>
      </c>
      <c r="M272" s="4" t="str">
        <f>IFERROR(VLOOKUP(B272,infoTable__13[],4,FALSE),"")</f>
        <v/>
      </c>
      <c r="N272" s="4" t="str">
        <f>IFERROR(VLOOKUP(B272,infoTable__14[],4,FALSE),"")</f>
        <v/>
      </c>
      <c r="O272" s="4" t="str">
        <f>IFERROR(VLOOKUP(B272,infoTable__15[],4,FALSE),"")</f>
        <v/>
      </c>
      <c r="P272" s="4" t="str">
        <f>IFERROR(VLOOKUP(B272,infoTable__16[],4,FALSE),"")</f>
        <v/>
      </c>
    </row>
    <row r="273" spans="1:16" x14ac:dyDescent="0.55000000000000004">
      <c r="A273" t="s">
        <v>2482</v>
      </c>
      <c r="B273" t="s">
        <v>2483</v>
      </c>
      <c r="C273" s="4" t="str">
        <f>IFERROR(VLOOKUP(B273,infoTable10[],4,FALSE),"")</f>
        <v/>
      </c>
      <c r="D273" s="4" t="str">
        <f>IFERROR(VLOOKUP(B273,infoTable__2[],4,FALSE),"")</f>
        <v/>
      </c>
      <c r="E273" s="4" t="str">
        <f>IFERROR(VLOOKUP(B273,infoTable__3[],4,FALSE),"")</f>
        <v/>
      </c>
      <c r="F273" s="4" t="str">
        <f>IFERROR(VLOOKUP(B273,infoTable__4[],4,FALSE),"")</f>
        <v/>
      </c>
      <c r="G273" s="4" t="str">
        <f>IFERROR(VLOOKUP(B273,infoTable[],4,FALSE),"")</f>
        <v/>
      </c>
      <c r="H273" s="4" t="str">
        <f>IFERROR(VLOOKUP(B273,infoTable__6[],4,FALSE),"")</f>
        <v/>
      </c>
      <c r="I273" s="4" t="str">
        <f>IFERROR(VLOOKUP(B273,infoTable__28[],4,FALSE),"")</f>
        <v/>
      </c>
      <c r="J273" s="4" t="str">
        <f>IFERROR(VLOOKUP(B273,infoTable__10[],4,FALSE),"")</f>
        <v/>
      </c>
      <c r="K273" s="4" t="str">
        <f>IFERROR(VLOOKUP(B273,infoTable__11[],4,FALSE),"")</f>
        <v/>
      </c>
      <c r="L273" s="4" t="str">
        <f>IFERROR(VLOOKUP(B273,infoTable__12[],4,FALSE),"")</f>
        <v/>
      </c>
      <c r="M273" s="4">
        <f>IFERROR(VLOOKUP(B273,infoTable__13[],4,FALSE),"")</f>
        <v>309257</v>
      </c>
      <c r="N273" s="4">
        <f>IFERROR(VLOOKUP(B273,infoTable__14[],4,FALSE),"")</f>
        <v>304795</v>
      </c>
      <c r="O273" s="4">
        <f>IFERROR(VLOOKUP(B273,infoTable__15[],4,FALSE),"")</f>
        <v>203189</v>
      </c>
      <c r="P273" s="4" t="str">
        <f>IFERROR(VLOOKUP(B273,infoTable__16[],4,FALSE),"")</f>
        <v/>
      </c>
    </row>
    <row r="274" spans="1:16" x14ac:dyDescent="0.55000000000000004">
      <c r="A274" t="s">
        <v>205</v>
      </c>
      <c r="B274" t="s">
        <v>206</v>
      </c>
      <c r="C274" s="4" t="str">
        <f>IFERROR(VLOOKUP(B274,infoTable10[],4,FALSE),"")</f>
        <v/>
      </c>
      <c r="D274" s="4" t="str">
        <f>IFERROR(VLOOKUP(B274,infoTable__2[],4,FALSE),"")</f>
        <v/>
      </c>
      <c r="E274" s="4" t="str">
        <f>IFERROR(VLOOKUP(B274,infoTable__3[],4,FALSE),"")</f>
        <v/>
      </c>
      <c r="F274" s="4" t="str">
        <f>IFERROR(VLOOKUP(B274,infoTable__4[],4,FALSE),"")</f>
        <v/>
      </c>
      <c r="G274" s="4">
        <f>IFERROR(VLOOKUP(B274,infoTable[],4,FALSE),"")</f>
        <v>285407</v>
      </c>
      <c r="H274" s="4">
        <f>IFERROR(VLOOKUP(B274,infoTable__6[],4,FALSE),"")</f>
        <v>313594</v>
      </c>
      <c r="I274" s="4" t="str">
        <f>IFERROR(VLOOKUP(B274,infoTable__28[],4,FALSE),"")</f>
        <v/>
      </c>
      <c r="J274" s="4" t="str">
        <f>IFERROR(VLOOKUP(B274,infoTable__10[],4,FALSE),"")</f>
        <v/>
      </c>
      <c r="K274" s="4" t="str">
        <f>IFERROR(VLOOKUP(B274,infoTable__11[],4,FALSE),"")</f>
        <v/>
      </c>
      <c r="L274" s="4" t="str">
        <f>IFERROR(VLOOKUP(B274,infoTable__12[],4,FALSE),"")</f>
        <v/>
      </c>
      <c r="M274" s="4" t="str">
        <f>IFERROR(VLOOKUP(B274,infoTable__13[],4,FALSE),"")</f>
        <v/>
      </c>
      <c r="N274" s="4" t="str">
        <f>IFERROR(VLOOKUP(B274,infoTable__14[],4,FALSE),"")</f>
        <v/>
      </c>
      <c r="O274" s="4" t="str">
        <f>IFERROR(VLOOKUP(B274,infoTable__15[],4,FALSE),"")</f>
        <v/>
      </c>
      <c r="P274" s="4">
        <f>IFERROR(VLOOKUP(B274,infoTable__16[],4,FALSE),"")</f>
        <v>1181251</v>
      </c>
    </row>
    <row r="275" spans="1:16" x14ac:dyDescent="0.55000000000000004">
      <c r="A275" t="s">
        <v>1255</v>
      </c>
      <c r="B275" t="s">
        <v>1256</v>
      </c>
      <c r="C275" s="4" t="str">
        <f>IFERROR(VLOOKUP(B275,infoTable10[],4,FALSE),"")</f>
        <v/>
      </c>
      <c r="D275" s="4" t="str">
        <f>IFERROR(VLOOKUP(B275,infoTable__2[],4,FALSE),"")</f>
        <v/>
      </c>
      <c r="E275" s="4" t="str">
        <f>IFERROR(VLOOKUP(B275,infoTable__3[],4,FALSE),"")</f>
        <v/>
      </c>
      <c r="F275" s="4" t="str">
        <f>IFERROR(VLOOKUP(B275,infoTable__4[],4,FALSE),"")</f>
        <v/>
      </c>
      <c r="G275" s="4" t="str">
        <f>IFERROR(VLOOKUP(B275,infoTable[],4,FALSE),"")</f>
        <v/>
      </c>
      <c r="H275" s="4" t="str">
        <f>IFERROR(VLOOKUP(B275,infoTable__6[],4,FALSE),"")</f>
        <v/>
      </c>
      <c r="I275" s="4">
        <f>IFERROR(VLOOKUP(B275,infoTable__28[],4,FALSE),"")</f>
        <v>361578</v>
      </c>
      <c r="J275" s="4">
        <f>IFERROR(VLOOKUP(B275,infoTable__10[],4,FALSE),"")</f>
        <v>342772</v>
      </c>
      <c r="K275" s="4" t="str">
        <f>IFERROR(VLOOKUP(B275,infoTable__11[],4,FALSE),"")</f>
        <v/>
      </c>
      <c r="L275" s="4" t="str">
        <f>IFERROR(VLOOKUP(B275,infoTable__12[],4,FALSE),"")</f>
        <v/>
      </c>
      <c r="M275" s="4" t="str">
        <f>IFERROR(VLOOKUP(B275,infoTable__13[],4,FALSE),"")</f>
        <v/>
      </c>
      <c r="N275" s="4" t="str">
        <f>IFERROR(VLOOKUP(B275,infoTable__14[],4,FALSE),"")</f>
        <v/>
      </c>
      <c r="O275" s="4">
        <f>IFERROR(VLOOKUP(B275,infoTable__15[],4,FALSE),"")</f>
        <v>1397231</v>
      </c>
      <c r="P275" s="4">
        <f>IFERROR(VLOOKUP(B275,infoTable__16[],4,FALSE),"")</f>
        <v>1143940</v>
      </c>
    </row>
    <row r="276" spans="1:16" x14ac:dyDescent="0.55000000000000004">
      <c r="A276" t="s">
        <v>1257</v>
      </c>
      <c r="B276" t="s">
        <v>1258</v>
      </c>
      <c r="C276" s="4" t="str">
        <f>IFERROR(VLOOKUP(B276,infoTable10[],4,FALSE),"")</f>
        <v/>
      </c>
      <c r="D276" s="4" t="str">
        <f>IFERROR(VLOOKUP(B276,infoTable__2[],4,FALSE),"")</f>
        <v/>
      </c>
      <c r="E276" s="4" t="str">
        <f>IFERROR(VLOOKUP(B276,infoTable__3[],4,FALSE),"")</f>
        <v/>
      </c>
      <c r="F276" s="4" t="str">
        <f>IFERROR(VLOOKUP(B276,infoTable__4[],4,FALSE),"")</f>
        <v/>
      </c>
      <c r="G276" s="4" t="str">
        <f>IFERROR(VLOOKUP(B276,infoTable[],4,FALSE),"")</f>
        <v/>
      </c>
      <c r="H276" s="4" t="str">
        <f>IFERROR(VLOOKUP(B276,infoTable__6[],4,FALSE),"")</f>
        <v/>
      </c>
      <c r="I276" s="4">
        <f>IFERROR(VLOOKUP(B276,infoTable__28[],4,FALSE),"")</f>
        <v>1217948</v>
      </c>
      <c r="J276" s="4">
        <f>IFERROR(VLOOKUP(B276,infoTable__10[],4,FALSE),"")</f>
        <v>2630771</v>
      </c>
      <c r="K276" s="4">
        <f>IFERROR(VLOOKUP(B276,infoTable__11[],4,FALSE),"")</f>
        <v>1799536</v>
      </c>
      <c r="L276" s="4" t="str">
        <f>IFERROR(VLOOKUP(B276,infoTable__12[],4,FALSE),"")</f>
        <v/>
      </c>
      <c r="M276" s="4" t="str">
        <f>IFERROR(VLOOKUP(B276,infoTable__13[],4,FALSE),"")</f>
        <v/>
      </c>
      <c r="N276" s="4" t="str">
        <f>IFERROR(VLOOKUP(B276,infoTable__14[],4,FALSE),"")</f>
        <v/>
      </c>
      <c r="O276" s="4" t="str">
        <f>IFERROR(VLOOKUP(B276,infoTable__15[],4,FALSE),"")</f>
        <v/>
      </c>
      <c r="P276" s="4">
        <f>IFERROR(VLOOKUP(B276,infoTable__16[],4,FALSE),"")</f>
        <v>837645</v>
      </c>
    </row>
    <row r="277" spans="1:16" x14ac:dyDescent="0.55000000000000004">
      <c r="A277" t="s">
        <v>207</v>
      </c>
      <c r="B277" t="s">
        <v>209</v>
      </c>
      <c r="C277" s="4" t="str">
        <f>IFERROR(VLOOKUP(B277,infoTable10[],4,FALSE),"")</f>
        <v/>
      </c>
      <c r="D277" s="4" t="str">
        <f>IFERROR(VLOOKUP(B277,infoTable__2[],4,FALSE),"")</f>
        <v/>
      </c>
      <c r="E277" s="4" t="str">
        <f>IFERROR(VLOOKUP(B277,infoTable__3[],4,FALSE),"")</f>
        <v/>
      </c>
      <c r="F277" s="4">
        <f>IFERROR(VLOOKUP(B277,infoTable__4[],4,FALSE),"")</f>
        <v>485689</v>
      </c>
      <c r="G277" s="4">
        <f>IFERROR(VLOOKUP(B277,infoTable[],4,FALSE),"")</f>
        <v>2252456</v>
      </c>
      <c r="H277" s="4">
        <f>IFERROR(VLOOKUP(B277,infoTable__6[],4,FALSE),"")</f>
        <v>1031997</v>
      </c>
      <c r="I277" s="4">
        <f>IFERROR(VLOOKUP(B277,infoTable__28[],4,FALSE),"")</f>
        <v>3289261</v>
      </c>
      <c r="J277" s="4">
        <f>IFERROR(VLOOKUP(B277,infoTable__10[],4,FALSE),"")</f>
        <v>3823667</v>
      </c>
      <c r="K277" s="4">
        <f>IFERROR(VLOOKUP(B277,infoTable__11[],4,FALSE),"")</f>
        <v>228822</v>
      </c>
      <c r="L277" s="4">
        <f>IFERROR(VLOOKUP(B277,infoTable__12[],4,FALSE),"")</f>
        <v>537760</v>
      </c>
      <c r="M277" s="4" t="str">
        <f>IFERROR(VLOOKUP(B277,infoTable__13[],4,FALSE),"")</f>
        <v/>
      </c>
      <c r="N277" s="4">
        <f>IFERROR(VLOOKUP(B277,infoTable__14[],4,FALSE),"")</f>
        <v>134578</v>
      </c>
      <c r="O277" s="4">
        <f>IFERROR(VLOOKUP(B277,infoTable__15[],4,FALSE),"")</f>
        <v>1508257</v>
      </c>
      <c r="P277" s="4">
        <f>IFERROR(VLOOKUP(B277,infoTable__16[],4,FALSE),"")</f>
        <v>1721777</v>
      </c>
    </row>
    <row r="278" spans="1:16" x14ac:dyDescent="0.55000000000000004">
      <c r="A278" t="s">
        <v>2196</v>
      </c>
      <c r="B278" t="s">
        <v>2197</v>
      </c>
      <c r="C278" s="4" t="str">
        <f>IFERROR(VLOOKUP(B278,infoTable10[],4,FALSE),"")</f>
        <v/>
      </c>
      <c r="D278" s="4" t="str">
        <f>IFERROR(VLOOKUP(B278,infoTable__2[],4,FALSE),"")</f>
        <v/>
      </c>
      <c r="E278" s="4" t="str">
        <f>IFERROR(VLOOKUP(B278,infoTable__3[],4,FALSE),"")</f>
        <v/>
      </c>
      <c r="F278" s="4" t="str">
        <f>IFERROR(VLOOKUP(B278,infoTable__4[],4,FALSE),"")</f>
        <v/>
      </c>
      <c r="G278" s="4" t="str">
        <f>IFERROR(VLOOKUP(B278,infoTable[],4,FALSE),"")</f>
        <v/>
      </c>
      <c r="H278" s="4" t="str">
        <f>IFERROR(VLOOKUP(B278,infoTable__6[],4,FALSE),"")</f>
        <v/>
      </c>
      <c r="I278" s="4" t="str">
        <f>IFERROR(VLOOKUP(B278,infoTable__28[],4,FALSE),"")</f>
        <v/>
      </c>
      <c r="J278" s="4" t="str">
        <f>IFERROR(VLOOKUP(B278,infoTable__10[],4,FALSE),"")</f>
        <v/>
      </c>
      <c r="K278" s="4" t="str">
        <f>IFERROR(VLOOKUP(B278,infoTable__11[],4,FALSE),"")</f>
        <v/>
      </c>
      <c r="L278" s="4">
        <f>IFERROR(VLOOKUP(B278,infoTable__12[],4,FALSE),"")</f>
        <v>351317</v>
      </c>
      <c r="M278" s="4" t="str">
        <f>IFERROR(VLOOKUP(B278,infoTable__13[],4,FALSE),"")</f>
        <v/>
      </c>
      <c r="N278" s="4" t="str">
        <f>IFERROR(VLOOKUP(B278,infoTable__14[],4,FALSE),"")</f>
        <v/>
      </c>
      <c r="O278" s="4" t="str">
        <f>IFERROR(VLOOKUP(B278,infoTable__15[],4,FALSE),"")</f>
        <v/>
      </c>
      <c r="P278" s="4" t="str">
        <f>IFERROR(VLOOKUP(B278,infoTable__16[],4,FALSE),"")</f>
        <v/>
      </c>
    </row>
    <row r="279" spans="1:16" x14ac:dyDescent="0.55000000000000004">
      <c r="A279" t="s">
        <v>1259</v>
      </c>
      <c r="B279" t="s">
        <v>1260</v>
      </c>
      <c r="C279" s="4" t="str">
        <f>IFERROR(VLOOKUP(B279,infoTable10[],4,FALSE),"")</f>
        <v/>
      </c>
      <c r="D279" s="4" t="str">
        <f>IFERROR(VLOOKUP(B279,infoTable__2[],4,FALSE),"")</f>
        <v/>
      </c>
      <c r="E279" s="4" t="str">
        <f>IFERROR(VLOOKUP(B279,infoTable__3[],4,FALSE),"")</f>
        <v/>
      </c>
      <c r="F279" s="4" t="str">
        <f>IFERROR(VLOOKUP(B279,infoTable__4[],4,FALSE),"")</f>
        <v/>
      </c>
      <c r="G279" s="4" t="str">
        <f>IFERROR(VLOOKUP(B279,infoTable[],4,FALSE),"")</f>
        <v/>
      </c>
      <c r="H279" s="4" t="str">
        <f>IFERROR(VLOOKUP(B279,infoTable__6[],4,FALSE),"")</f>
        <v/>
      </c>
      <c r="I279" s="4">
        <f>IFERROR(VLOOKUP(B279,infoTable__28[],4,FALSE),"")</f>
        <v>205714</v>
      </c>
      <c r="J279" s="4" t="str">
        <f>IFERROR(VLOOKUP(B279,infoTable__10[],4,FALSE),"")</f>
        <v/>
      </c>
      <c r="K279" s="4" t="str">
        <f>IFERROR(VLOOKUP(B279,infoTable__11[],4,FALSE),"")</f>
        <v/>
      </c>
      <c r="L279" s="4" t="str">
        <f>IFERROR(VLOOKUP(B279,infoTable__12[],4,FALSE),"")</f>
        <v/>
      </c>
      <c r="M279" s="4" t="str">
        <f>IFERROR(VLOOKUP(B279,infoTable__13[],4,FALSE),"")</f>
        <v/>
      </c>
      <c r="N279" s="4" t="str">
        <f>IFERROR(VLOOKUP(B279,infoTable__14[],4,FALSE),"")</f>
        <v/>
      </c>
      <c r="O279" s="4">
        <f>IFERROR(VLOOKUP(B279,infoTable__15[],4,FALSE),"")</f>
        <v>4940353</v>
      </c>
      <c r="P279" s="4" t="str">
        <f>IFERROR(VLOOKUP(B279,infoTable__16[],4,FALSE),"")</f>
        <v/>
      </c>
    </row>
    <row r="280" spans="1:16" x14ac:dyDescent="0.55000000000000004">
      <c r="A280" t="s">
        <v>578</v>
      </c>
      <c r="B280" t="s">
        <v>579</v>
      </c>
      <c r="C280" s="4">
        <f>IFERROR(VLOOKUP(B280,infoTable10[],4,FALSE),"")</f>
        <v>459998</v>
      </c>
      <c r="D280" s="4">
        <f>IFERROR(VLOOKUP(B280,infoTable__2[],4,FALSE),"")</f>
        <v>225594</v>
      </c>
      <c r="E280" s="4" t="str">
        <f>IFERROR(VLOOKUP(B280,infoTable__3[],4,FALSE),"")</f>
        <v/>
      </c>
      <c r="F280" s="4" t="str">
        <f>IFERROR(VLOOKUP(B280,infoTable__4[],4,FALSE),"")</f>
        <v/>
      </c>
      <c r="G280" s="4" t="str">
        <f>IFERROR(VLOOKUP(B280,infoTable[],4,FALSE),"")</f>
        <v/>
      </c>
      <c r="H280" s="4" t="str">
        <f>IFERROR(VLOOKUP(B280,infoTable__6[],4,FALSE),"")</f>
        <v/>
      </c>
      <c r="I280" s="4" t="str">
        <f>IFERROR(VLOOKUP(B280,infoTable__28[],4,FALSE),"")</f>
        <v/>
      </c>
      <c r="J280" s="4" t="str">
        <f>IFERROR(VLOOKUP(B280,infoTable__10[],4,FALSE),"")</f>
        <v/>
      </c>
      <c r="K280" s="4" t="str">
        <f>IFERROR(VLOOKUP(B280,infoTable__11[],4,FALSE),"")</f>
        <v/>
      </c>
      <c r="L280" s="4" t="str">
        <f>IFERROR(VLOOKUP(B280,infoTable__12[],4,FALSE),"")</f>
        <v/>
      </c>
      <c r="M280" s="4" t="str">
        <f>IFERROR(VLOOKUP(B280,infoTable__13[],4,FALSE),"")</f>
        <v/>
      </c>
      <c r="N280" s="4" t="str">
        <f>IFERROR(VLOOKUP(B280,infoTable__14[],4,FALSE),"")</f>
        <v/>
      </c>
      <c r="O280" s="4" t="str">
        <f>IFERROR(VLOOKUP(B280,infoTable__15[],4,FALSE),"")</f>
        <v/>
      </c>
      <c r="P280" s="4" t="str">
        <f>IFERROR(VLOOKUP(B280,infoTable__16[],4,FALSE),"")</f>
        <v/>
      </c>
    </row>
    <row r="281" spans="1:16" x14ac:dyDescent="0.55000000000000004">
      <c r="A281" t="s">
        <v>3065</v>
      </c>
      <c r="B281" t="s">
        <v>3066</v>
      </c>
      <c r="C281" s="4" t="str">
        <f>IFERROR(VLOOKUP(B281,infoTable10[],4,FALSE),"")</f>
        <v/>
      </c>
      <c r="D281" s="4" t="str">
        <f>IFERROR(VLOOKUP(B281,infoTable__2[],4,FALSE),"")</f>
        <v/>
      </c>
      <c r="E281" s="4" t="str">
        <f>IFERROR(VLOOKUP(B281,infoTable__3[],4,FALSE),"")</f>
        <v/>
      </c>
      <c r="F281" s="4" t="str">
        <f>IFERROR(VLOOKUP(B281,infoTable__4[],4,FALSE),"")</f>
        <v/>
      </c>
      <c r="G281" s="4" t="str">
        <f>IFERROR(VLOOKUP(B281,infoTable[],4,FALSE),"")</f>
        <v/>
      </c>
      <c r="H281" s="4" t="str">
        <f>IFERROR(VLOOKUP(B281,infoTable__6[],4,FALSE),"")</f>
        <v/>
      </c>
      <c r="I281" s="4" t="str">
        <f>IFERROR(VLOOKUP(B281,infoTable__28[],4,FALSE),"")</f>
        <v/>
      </c>
      <c r="J281" s="4" t="str">
        <f>IFERROR(VLOOKUP(B281,infoTable__10[],4,FALSE),"")</f>
        <v/>
      </c>
      <c r="K281" s="4" t="str">
        <f>IFERROR(VLOOKUP(B281,infoTable__11[],4,FALSE),"")</f>
        <v/>
      </c>
      <c r="L281" s="4" t="str">
        <f>IFERROR(VLOOKUP(B281,infoTable__12[],4,FALSE),"")</f>
        <v/>
      </c>
      <c r="M281" s="4" t="str">
        <f>IFERROR(VLOOKUP(B281,infoTable__13[],4,FALSE),"")</f>
        <v/>
      </c>
      <c r="N281" s="4" t="str">
        <f>IFERROR(VLOOKUP(B281,infoTable__14[],4,FALSE),"")</f>
        <v/>
      </c>
      <c r="O281" s="4">
        <f>IFERROR(VLOOKUP(B281,infoTable__15[],4,FALSE),"")</f>
        <v>913787</v>
      </c>
      <c r="P281" s="4" t="str">
        <f>IFERROR(VLOOKUP(B281,infoTable__16[],4,FALSE),"")</f>
        <v/>
      </c>
    </row>
    <row r="282" spans="1:16" x14ac:dyDescent="0.55000000000000004">
      <c r="A282" t="s">
        <v>2201</v>
      </c>
      <c r="B282" t="s">
        <v>2202</v>
      </c>
      <c r="C282" s="4" t="str">
        <f>IFERROR(VLOOKUP(B282,infoTable10[],4,FALSE),"")</f>
        <v/>
      </c>
      <c r="D282" s="4" t="str">
        <f>IFERROR(VLOOKUP(B282,infoTable__2[],4,FALSE),"")</f>
        <v/>
      </c>
      <c r="E282" s="4" t="str">
        <f>IFERROR(VLOOKUP(B282,infoTable__3[],4,FALSE),"")</f>
        <v/>
      </c>
      <c r="F282" s="4" t="str">
        <f>IFERROR(VLOOKUP(B282,infoTable__4[],4,FALSE),"")</f>
        <v/>
      </c>
      <c r="G282" s="4" t="str">
        <f>IFERROR(VLOOKUP(B282,infoTable[],4,FALSE),"")</f>
        <v/>
      </c>
      <c r="H282" s="4" t="str">
        <f>IFERROR(VLOOKUP(B282,infoTable__6[],4,FALSE),"")</f>
        <v/>
      </c>
      <c r="I282" s="4" t="str">
        <f>IFERROR(VLOOKUP(B282,infoTable__28[],4,FALSE),"")</f>
        <v/>
      </c>
      <c r="J282" s="4" t="str">
        <f>IFERROR(VLOOKUP(B282,infoTable__10[],4,FALSE),"")</f>
        <v/>
      </c>
      <c r="K282" s="4" t="str">
        <f>IFERROR(VLOOKUP(B282,infoTable__11[],4,FALSE),"")</f>
        <v/>
      </c>
      <c r="L282" s="4">
        <f>IFERROR(VLOOKUP(B282,infoTable__12[],4,FALSE),"")</f>
        <v>8619781</v>
      </c>
      <c r="M282" s="4">
        <f>IFERROR(VLOOKUP(B282,infoTable__13[],4,FALSE),"")</f>
        <v>6859209</v>
      </c>
      <c r="N282" s="4">
        <f>IFERROR(VLOOKUP(B282,infoTable__14[],4,FALSE),"")</f>
        <v>1634526</v>
      </c>
      <c r="O282" s="4" t="str">
        <f>IFERROR(VLOOKUP(B282,infoTable__15[],4,FALSE),"")</f>
        <v/>
      </c>
      <c r="P282" s="4">
        <f>IFERROR(VLOOKUP(B282,infoTable__16[],4,FALSE),"")</f>
        <v>789642</v>
      </c>
    </row>
    <row r="283" spans="1:16" x14ac:dyDescent="0.55000000000000004">
      <c r="A283" t="s">
        <v>2207</v>
      </c>
      <c r="B283" t="s">
        <v>2208</v>
      </c>
      <c r="C283" s="4" t="str">
        <f>IFERROR(VLOOKUP(B283,infoTable10[],4,FALSE),"")</f>
        <v/>
      </c>
      <c r="D283" s="4" t="str">
        <f>IFERROR(VLOOKUP(B283,infoTable__2[],4,FALSE),"")</f>
        <v/>
      </c>
      <c r="E283" s="4" t="str">
        <f>IFERROR(VLOOKUP(B283,infoTable__3[],4,FALSE),"")</f>
        <v/>
      </c>
      <c r="F283" s="4" t="str">
        <f>IFERROR(VLOOKUP(B283,infoTable__4[],4,FALSE),"")</f>
        <v/>
      </c>
      <c r="G283" s="4" t="str">
        <f>IFERROR(VLOOKUP(B283,infoTable[],4,FALSE),"")</f>
        <v/>
      </c>
      <c r="H283" s="4" t="str">
        <f>IFERROR(VLOOKUP(B283,infoTable__6[],4,FALSE),"")</f>
        <v/>
      </c>
      <c r="I283" s="4" t="str">
        <f>IFERROR(VLOOKUP(B283,infoTable__28[],4,FALSE),"")</f>
        <v/>
      </c>
      <c r="J283" s="4" t="str">
        <f>IFERROR(VLOOKUP(B283,infoTable__10[],4,FALSE),"")</f>
        <v/>
      </c>
      <c r="K283" s="4" t="str">
        <f>IFERROR(VLOOKUP(B283,infoTable__11[],4,FALSE),"")</f>
        <v/>
      </c>
      <c r="L283" s="4">
        <f>IFERROR(VLOOKUP(B283,infoTable__12[],4,FALSE),"")</f>
        <v>442008</v>
      </c>
      <c r="M283" s="4">
        <f>IFERROR(VLOOKUP(B283,infoTable__13[],4,FALSE),"")</f>
        <v>306469</v>
      </c>
      <c r="N283" s="4" t="str">
        <f>IFERROR(VLOOKUP(B283,infoTable__14[],4,FALSE),"")</f>
        <v/>
      </c>
      <c r="O283" s="4" t="str">
        <f>IFERROR(VLOOKUP(B283,infoTable__15[],4,FALSE),"")</f>
        <v/>
      </c>
      <c r="P283" s="4" t="str">
        <f>IFERROR(VLOOKUP(B283,infoTable__16[],4,FALSE),"")</f>
        <v/>
      </c>
    </row>
    <row r="284" spans="1:16" x14ac:dyDescent="0.55000000000000004">
      <c r="A284" t="s">
        <v>1897</v>
      </c>
      <c r="B284" t="s">
        <v>1898</v>
      </c>
      <c r="C284" s="4" t="str">
        <f>IFERROR(VLOOKUP(B284,infoTable10[],4,FALSE),"")</f>
        <v/>
      </c>
      <c r="D284" s="4" t="str">
        <f>IFERROR(VLOOKUP(B284,infoTable__2[],4,FALSE),"")</f>
        <v/>
      </c>
      <c r="E284" s="4" t="str">
        <f>IFERROR(VLOOKUP(B284,infoTable__3[],4,FALSE),"")</f>
        <v/>
      </c>
      <c r="F284" s="4" t="str">
        <f>IFERROR(VLOOKUP(B284,infoTable__4[],4,FALSE),"")</f>
        <v/>
      </c>
      <c r="G284" s="4" t="str">
        <f>IFERROR(VLOOKUP(B284,infoTable[],4,FALSE),"")</f>
        <v/>
      </c>
      <c r="H284" s="4" t="str">
        <f>IFERROR(VLOOKUP(B284,infoTable__6[],4,FALSE),"")</f>
        <v/>
      </c>
      <c r="I284" s="4" t="str">
        <f>IFERROR(VLOOKUP(B284,infoTable__28[],4,FALSE),"")</f>
        <v/>
      </c>
      <c r="J284" s="4" t="str">
        <f>IFERROR(VLOOKUP(B284,infoTable__10[],4,FALSE),"")</f>
        <v/>
      </c>
      <c r="K284" s="4">
        <f>IFERROR(VLOOKUP(B284,infoTable__11[],4,FALSE),"")</f>
        <v>3028554</v>
      </c>
      <c r="L284" s="4">
        <f>IFERROR(VLOOKUP(B284,infoTable__12[],4,FALSE),"")</f>
        <v>4943783</v>
      </c>
      <c r="M284" s="4" t="str">
        <f>IFERROR(VLOOKUP(B284,infoTable__13[],4,FALSE),"")</f>
        <v/>
      </c>
      <c r="N284" s="4" t="str">
        <f>IFERROR(VLOOKUP(B284,infoTable__14[],4,FALSE),"")</f>
        <v/>
      </c>
      <c r="O284" s="4" t="str">
        <f>IFERROR(VLOOKUP(B284,infoTable__15[],4,FALSE),"")</f>
        <v/>
      </c>
      <c r="P284" s="4">
        <f>IFERROR(VLOOKUP(B284,infoTable__16[],4,FALSE),"")</f>
        <v>1719875</v>
      </c>
    </row>
    <row r="285" spans="1:16" x14ac:dyDescent="0.55000000000000004">
      <c r="A285" t="s">
        <v>1261</v>
      </c>
      <c r="B285" t="s">
        <v>1262</v>
      </c>
      <c r="C285" s="4" t="str">
        <f>IFERROR(VLOOKUP(B285,infoTable10[],4,FALSE),"")</f>
        <v/>
      </c>
      <c r="D285" s="4" t="str">
        <f>IFERROR(VLOOKUP(B285,infoTable__2[],4,FALSE),"")</f>
        <v/>
      </c>
      <c r="E285" s="4" t="str">
        <f>IFERROR(VLOOKUP(B285,infoTable__3[],4,FALSE),"")</f>
        <v/>
      </c>
      <c r="F285" s="4" t="str">
        <f>IFERROR(VLOOKUP(B285,infoTable__4[],4,FALSE),"")</f>
        <v/>
      </c>
      <c r="G285" s="4" t="str">
        <f>IFERROR(VLOOKUP(B285,infoTable[],4,FALSE),"")</f>
        <v/>
      </c>
      <c r="H285" s="4" t="str">
        <f>IFERROR(VLOOKUP(B285,infoTable__6[],4,FALSE),"")</f>
        <v/>
      </c>
      <c r="I285" s="4">
        <f>IFERROR(VLOOKUP(B285,infoTable__28[],4,FALSE),"")</f>
        <v>274700</v>
      </c>
      <c r="J285" s="4" t="str">
        <f>IFERROR(VLOOKUP(B285,infoTable__10[],4,FALSE),"")</f>
        <v/>
      </c>
      <c r="K285" s="4">
        <f>IFERROR(VLOOKUP(B285,infoTable__11[],4,FALSE),"")</f>
        <v>211990</v>
      </c>
      <c r="L285" s="4">
        <f>IFERROR(VLOOKUP(B285,infoTable__12[],4,FALSE),"")</f>
        <v>619064</v>
      </c>
      <c r="M285" s="4" t="str">
        <f>IFERROR(VLOOKUP(B285,infoTable__13[],4,FALSE),"")</f>
        <v/>
      </c>
      <c r="N285" s="4" t="str">
        <f>IFERROR(VLOOKUP(B285,infoTable__14[],4,FALSE),"")</f>
        <v/>
      </c>
      <c r="O285" s="4" t="str">
        <f>IFERROR(VLOOKUP(B285,infoTable__15[],4,FALSE),"")</f>
        <v/>
      </c>
      <c r="P285" s="4" t="str">
        <f>IFERROR(VLOOKUP(B285,infoTable__16[],4,FALSE),"")</f>
        <v/>
      </c>
    </row>
    <row r="286" spans="1:16" x14ac:dyDescent="0.55000000000000004">
      <c r="A286" t="s">
        <v>3377</v>
      </c>
      <c r="B286" t="s">
        <v>3378</v>
      </c>
      <c r="C286" s="4" t="str">
        <f>IFERROR(VLOOKUP(B286,infoTable10[],4,FALSE),"")</f>
        <v/>
      </c>
      <c r="D286" s="4" t="str">
        <f>IFERROR(VLOOKUP(B286,infoTable__2[],4,FALSE),"")</f>
        <v/>
      </c>
      <c r="E286" s="4" t="str">
        <f>IFERROR(VLOOKUP(B286,infoTable__3[],4,FALSE),"")</f>
        <v/>
      </c>
      <c r="F286" s="4" t="str">
        <f>IFERROR(VLOOKUP(B286,infoTable__4[],4,FALSE),"")</f>
        <v/>
      </c>
      <c r="G286" s="4" t="str">
        <f>IFERROR(VLOOKUP(B286,infoTable[],4,FALSE),"")</f>
        <v/>
      </c>
      <c r="H286" s="4" t="str">
        <f>IFERROR(VLOOKUP(B286,infoTable__6[],4,FALSE),"")</f>
        <v/>
      </c>
      <c r="I286" s="4" t="str">
        <f>IFERROR(VLOOKUP(B286,infoTable__28[],4,FALSE),"")</f>
        <v/>
      </c>
      <c r="J286" s="4" t="str">
        <f>IFERROR(VLOOKUP(B286,infoTable__10[],4,FALSE),"")</f>
        <v/>
      </c>
      <c r="K286" s="4" t="str">
        <f>IFERROR(VLOOKUP(B286,infoTable__11[],4,FALSE),"")</f>
        <v/>
      </c>
      <c r="L286" s="4" t="str">
        <f>IFERROR(VLOOKUP(B286,infoTable__12[],4,FALSE),"")</f>
        <v/>
      </c>
      <c r="M286" s="4" t="str">
        <f>IFERROR(VLOOKUP(B286,infoTable__13[],4,FALSE),"")</f>
        <v/>
      </c>
      <c r="N286" s="4" t="str">
        <f>IFERROR(VLOOKUP(B286,infoTable__14[],4,FALSE),"")</f>
        <v/>
      </c>
      <c r="O286" s="4" t="str">
        <f>IFERROR(VLOOKUP(B286,infoTable__15[],4,FALSE),"")</f>
        <v/>
      </c>
      <c r="P286" s="4">
        <f>IFERROR(VLOOKUP(B286,infoTable__16[],4,FALSE),"")</f>
        <v>247513</v>
      </c>
    </row>
    <row r="287" spans="1:16" x14ac:dyDescent="0.55000000000000004">
      <c r="A287" t="s">
        <v>750</v>
      </c>
      <c r="B287" t="s">
        <v>751</v>
      </c>
      <c r="C287" s="4" t="str">
        <f>IFERROR(VLOOKUP(B287,infoTable10[],4,FALSE),"")</f>
        <v/>
      </c>
      <c r="D287" s="4" t="str">
        <f>IFERROR(VLOOKUP(B287,infoTable__2[],4,FALSE),"")</f>
        <v/>
      </c>
      <c r="E287" s="4">
        <f>IFERROR(VLOOKUP(B287,infoTable__3[],4,FALSE),"")</f>
        <v>1914383</v>
      </c>
      <c r="F287" s="4" t="str">
        <f>IFERROR(VLOOKUP(B287,infoTable__4[],4,FALSE),"")</f>
        <v/>
      </c>
      <c r="G287" s="4" t="str">
        <f>IFERROR(VLOOKUP(B287,infoTable[],4,FALSE),"")</f>
        <v/>
      </c>
      <c r="H287" s="4" t="str">
        <f>IFERROR(VLOOKUP(B287,infoTable__6[],4,FALSE),"")</f>
        <v/>
      </c>
      <c r="I287" s="4" t="str">
        <f>IFERROR(VLOOKUP(B287,infoTable__28[],4,FALSE),"")</f>
        <v/>
      </c>
      <c r="J287" s="4" t="str">
        <f>IFERROR(VLOOKUP(B287,infoTable__10[],4,FALSE),"")</f>
        <v/>
      </c>
      <c r="K287" s="4" t="str">
        <f>IFERROR(VLOOKUP(B287,infoTable__11[],4,FALSE),"")</f>
        <v/>
      </c>
      <c r="L287" s="4" t="str">
        <f>IFERROR(VLOOKUP(B287,infoTable__12[],4,FALSE),"")</f>
        <v/>
      </c>
      <c r="M287" s="4" t="str">
        <f>IFERROR(VLOOKUP(B287,infoTable__13[],4,FALSE),"")</f>
        <v/>
      </c>
      <c r="N287" s="4" t="str">
        <f>IFERROR(VLOOKUP(B287,infoTable__14[],4,FALSE),"")</f>
        <v/>
      </c>
      <c r="O287" s="4" t="str">
        <f>IFERROR(VLOOKUP(B287,infoTable__15[],4,FALSE),"")</f>
        <v/>
      </c>
      <c r="P287" s="4">
        <f>IFERROR(VLOOKUP(B287,infoTable__16[],4,FALSE),"")</f>
        <v>235370</v>
      </c>
    </row>
    <row r="288" spans="1:16" x14ac:dyDescent="0.55000000000000004">
      <c r="A288" t="s">
        <v>1899</v>
      </c>
      <c r="B288" t="s">
        <v>1900</v>
      </c>
      <c r="C288" s="4" t="str">
        <f>IFERROR(VLOOKUP(B288,infoTable10[],4,FALSE),"")</f>
        <v/>
      </c>
      <c r="D288" s="4" t="str">
        <f>IFERROR(VLOOKUP(B288,infoTable__2[],4,FALSE),"")</f>
        <v/>
      </c>
      <c r="E288" s="4" t="str">
        <f>IFERROR(VLOOKUP(B288,infoTable__3[],4,FALSE),"")</f>
        <v/>
      </c>
      <c r="F288" s="4" t="str">
        <f>IFERROR(VLOOKUP(B288,infoTable__4[],4,FALSE),"")</f>
        <v/>
      </c>
      <c r="G288" s="4" t="str">
        <f>IFERROR(VLOOKUP(B288,infoTable[],4,FALSE),"")</f>
        <v/>
      </c>
      <c r="H288" s="4" t="str">
        <f>IFERROR(VLOOKUP(B288,infoTable__6[],4,FALSE),"")</f>
        <v/>
      </c>
      <c r="I288" s="4" t="str">
        <f>IFERROR(VLOOKUP(B288,infoTable__28[],4,FALSE),"")</f>
        <v/>
      </c>
      <c r="J288" s="4" t="str">
        <f>IFERROR(VLOOKUP(B288,infoTable__10[],4,FALSE),"")</f>
        <v/>
      </c>
      <c r="K288" s="4">
        <f>IFERROR(VLOOKUP(B288,infoTable__11[],4,FALSE),"")</f>
        <v>455198</v>
      </c>
      <c r="L288" s="4">
        <f>IFERROR(VLOOKUP(B288,infoTable__12[],4,FALSE),"")</f>
        <v>1985533</v>
      </c>
      <c r="M288" s="4">
        <f>IFERROR(VLOOKUP(B288,infoTable__13[],4,FALSE),"")</f>
        <v>1349724</v>
      </c>
      <c r="N288" s="4">
        <f>IFERROR(VLOOKUP(B288,infoTable__14[],4,FALSE),"")</f>
        <v>295452</v>
      </c>
      <c r="O288" s="4">
        <f>IFERROR(VLOOKUP(B288,infoTable__15[],4,FALSE),"")</f>
        <v>1555018</v>
      </c>
      <c r="P288" s="4" t="str">
        <f>IFERROR(VLOOKUP(B288,infoTable__16[],4,FALSE),"")</f>
        <v/>
      </c>
    </row>
    <row r="289" spans="1:16" x14ac:dyDescent="0.55000000000000004">
      <c r="A289" t="s">
        <v>212</v>
      </c>
      <c r="B289" t="s">
        <v>213</v>
      </c>
      <c r="C289" s="4" t="str">
        <f>IFERROR(VLOOKUP(B289,infoTable10[],4,FALSE),"")</f>
        <v/>
      </c>
      <c r="D289" s="4" t="str">
        <f>IFERROR(VLOOKUP(B289,infoTable__2[],4,FALSE),"")</f>
        <v/>
      </c>
      <c r="E289" s="4" t="str">
        <f>IFERROR(VLOOKUP(B289,infoTable__3[],4,FALSE),"")</f>
        <v/>
      </c>
      <c r="F289" s="4" t="str">
        <f>IFERROR(VLOOKUP(B289,infoTable__4[],4,FALSE),"")</f>
        <v/>
      </c>
      <c r="G289" s="4">
        <f>IFERROR(VLOOKUP(B289,infoTable[],4,FALSE),"")</f>
        <v>2678452</v>
      </c>
      <c r="H289" s="4">
        <f>IFERROR(VLOOKUP(B289,infoTable__6[],4,FALSE),"")</f>
        <v>375240</v>
      </c>
      <c r="I289" s="4" t="str">
        <f>IFERROR(VLOOKUP(B289,infoTable__28[],4,FALSE),"")</f>
        <v/>
      </c>
      <c r="J289" s="4" t="str">
        <f>IFERROR(VLOOKUP(B289,infoTable__10[],4,FALSE),"")</f>
        <v/>
      </c>
      <c r="K289" s="4" t="str">
        <f>IFERROR(VLOOKUP(B289,infoTable__11[],4,FALSE),"")</f>
        <v/>
      </c>
      <c r="L289" s="4" t="str">
        <f>IFERROR(VLOOKUP(B289,infoTable__12[],4,FALSE),"")</f>
        <v/>
      </c>
      <c r="M289" s="4" t="str">
        <f>IFERROR(VLOOKUP(B289,infoTable__13[],4,FALSE),"")</f>
        <v/>
      </c>
      <c r="N289" s="4" t="str">
        <f>IFERROR(VLOOKUP(B289,infoTable__14[],4,FALSE),"")</f>
        <v/>
      </c>
      <c r="O289" s="4" t="str">
        <f>IFERROR(VLOOKUP(B289,infoTable__15[],4,FALSE),"")</f>
        <v/>
      </c>
      <c r="P289" s="4" t="str">
        <f>IFERROR(VLOOKUP(B289,infoTable__16[],4,FALSE),"")</f>
        <v/>
      </c>
    </row>
    <row r="290" spans="1:16" x14ac:dyDescent="0.55000000000000004">
      <c r="A290" t="s">
        <v>2212</v>
      </c>
      <c r="B290" t="s">
        <v>2213</v>
      </c>
      <c r="C290" s="4" t="str">
        <f>IFERROR(VLOOKUP(B290,infoTable10[],4,FALSE),"")</f>
        <v/>
      </c>
      <c r="D290" s="4" t="str">
        <f>IFERROR(VLOOKUP(B290,infoTable__2[],4,FALSE),"")</f>
        <v/>
      </c>
      <c r="E290" s="4" t="str">
        <f>IFERROR(VLOOKUP(B290,infoTable__3[],4,FALSE),"")</f>
        <v/>
      </c>
      <c r="F290" s="4" t="str">
        <f>IFERROR(VLOOKUP(B290,infoTable__4[],4,FALSE),"")</f>
        <v/>
      </c>
      <c r="G290" s="4" t="str">
        <f>IFERROR(VLOOKUP(B290,infoTable[],4,FALSE),"")</f>
        <v/>
      </c>
      <c r="H290" s="4" t="str">
        <f>IFERROR(VLOOKUP(B290,infoTable__6[],4,FALSE),"")</f>
        <v/>
      </c>
      <c r="I290" s="4" t="str">
        <f>IFERROR(VLOOKUP(B290,infoTable__28[],4,FALSE),"")</f>
        <v/>
      </c>
      <c r="J290" s="4" t="str">
        <f>IFERROR(VLOOKUP(B290,infoTable__10[],4,FALSE),"")</f>
        <v/>
      </c>
      <c r="K290" s="4" t="str">
        <f>IFERROR(VLOOKUP(B290,infoTable__11[],4,FALSE),"")</f>
        <v/>
      </c>
      <c r="L290" s="4">
        <f>IFERROR(VLOOKUP(B290,infoTable__12[],4,FALSE),"")</f>
        <v>18205</v>
      </c>
      <c r="M290" s="4" t="str">
        <f>IFERROR(VLOOKUP(B290,infoTable__13[],4,FALSE),"")</f>
        <v/>
      </c>
      <c r="N290" s="4" t="str">
        <f>IFERROR(VLOOKUP(B290,infoTable__14[],4,FALSE),"")</f>
        <v/>
      </c>
      <c r="O290" s="4" t="str">
        <f>IFERROR(VLOOKUP(B290,infoTable__15[],4,FALSE),"")</f>
        <v/>
      </c>
      <c r="P290" s="4" t="str">
        <f>IFERROR(VLOOKUP(B290,infoTable__16[],4,FALSE),"")</f>
        <v/>
      </c>
    </row>
    <row r="291" spans="1:16" x14ac:dyDescent="0.55000000000000004">
      <c r="A291" t="s">
        <v>1903</v>
      </c>
      <c r="B291" t="s">
        <v>1904</v>
      </c>
      <c r="C291" s="4" t="str">
        <f>IFERROR(VLOOKUP(B291,infoTable10[],4,FALSE),"")</f>
        <v/>
      </c>
      <c r="D291" s="4" t="str">
        <f>IFERROR(VLOOKUP(B291,infoTable__2[],4,FALSE),"")</f>
        <v/>
      </c>
      <c r="E291" s="4" t="str">
        <f>IFERROR(VLOOKUP(B291,infoTable__3[],4,FALSE),"")</f>
        <v/>
      </c>
      <c r="F291" s="4" t="str">
        <f>IFERROR(VLOOKUP(B291,infoTable__4[],4,FALSE),"")</f>
        <v/>
      </c>
      <c r="G291" s="4" t="str">
        <f>IFERROR(VLOOKUP(B291,infoTable[],4,FALSE),"")</f>
        <v/>
      </c>
      <c r="H291" s="4" t="str">
        <f>IFERROR(VLOOKUP(B291,infoTable__6[],4,FALSE),"")</f>
        <v/>
      </c>
      <c r="I291" s="4" t="str">
        <f>IFERROR(VLOOKUP(B291,infoTable__28[],4,FALSE),"")</f>
        <v/>
      </c>
      <c r="J291" s="4" t="str">
        <f>IFERROR(VLOOKUP(B291,infoTable__10[],4,FALSE),"")</f>
        <v/>
      </c>
      <c r="K291" s="4">
        <f>IFERROR(VLOOKUP(B291,infoTable__11[],4,FALSE),"")</f>
        <v>794502</v>
      </c>
      <c r="L291" s="4">
        <f>IFERROR(VLOOKUP(B291,infoTable__12[],4,FALSE),"")</f>
        <v>2096919</v>
      </c>
      <c r="M291" s="4">
        <f>IFERROR(VLOOKUP(B291,infoTable__13[],4,FALSE),"")</f>
        <v>544334</v>
      </c>
      <c r="N291" s="4" t="str">
        <f>IFERROR(VLOOKUP(B291,infoTable__14[],4,FALSE),"")</f>
        <v/>
      </c>
      <c r="O291" s="4" t="str">
        <f>IFERROR(VLOOKUP(B291,infoTable__15[],4,FALSE),"")</f>
        <v/>
      </c>
      <c r="P291" s="4" t="str">
        <f>IFERROR(VLOOKUP(B291,infoTable__16[],4,FALSE),"")</f>
        <v/>
      </c>
    </row>
    <row r="292" spans="1:16" x14ac:dyDescent="0.55000000000000004">
      <c r="A292" t="s">
        <v>1506</v>
      </c>
      <c r="B292" t="s">
        <v>1507</v>
      </c>
      <c r="C292" s="4">
        <f>IFERROR(VLOOKUP(B292,infoTable10[],4,FALSE),"")</f>
        <v>702687</v>
      </c>
      <c r="D292" s="4" t="str">
        <f>IFERROR(VLOOKUP(B292,infoTable__2[],4,FALSE),"")</f>
        <v/>
      </c>
      <c r="E292" s="4" t="str">
        <f>IFERROR(VLOOKUP(B292,infoTable__3[],4,FALSE),"")</f>
        <v/>
      </c>
      <c r="F292" s="4" t="str">
        <f>IFERROR(VLOOKUP(B292,infoTable__4[],4,FALSE),"")</f>
        <v/>
      </c>
      <c r="G292" s="4" t="str">
        <f>IFERROR(VLOOKUP(B292,infoTable[],4,FALSE),"")</f>
        <v/>
      </c>
      <c r="H292" s="4" t="str">
        <f>IFERROR(VLOOKUP(B292,infoTable__6[],4,FALSE),"")</f>
        <v/>
      </c>
      <c r="I292" s="4" t="str">
        <f>IFERROR(VLOOKUP(B292,infoTable__28[],4,FALSE),"")</f>
        <v/>
      </c>
      <c r="J292" s="4" t="str">
        <f>IFERROR(VLOOKUP(B292,infoTable__10[],4,FALSE),"")</f>
        <v/>
      </c>
      <c r="K292" s="4" t="str">
        <f>IFERROR(VLOOKUP(B292,infoTable__11[],4,FALSE),"")</f>
        <v/>
      </c>
      <c r="L292" s="4" t="str">
        <f>IFERROR(VLOOKUP(B292,infoTable__12[],4,FALSE),"")</f>
        <v/>
      </c>
      <c r="M292" s="4" t="str">
        <f>IFERROR(VLOOKUP(B292,infoTable__13[],4,FALSE),"")</f>
        <v/>
      </c>
      <c r="N292" s="4" t="str">
        <f>IFERROR(VLOOKUP(B292,infoTable__14[],4,FALSE),"")</f>
        <v/>
      </c>
      <c r="O292" s="4" t="str">
        <f>IFERROR(VLOOKUP(B292,infoTable__15[],4,FALSE),"")</f>
        <v/>
      </c>
      <c r="P292" s="4" t="str">
        <f>IFERROR(VLOOKUP(B292,infoTable__16[],4,FALSE),"")</f>
        <v/>
      </c>
    </row>
    <row r="293" spans="1:16" x14ac:dyDescent="0.55000000000000004">
      <c r="A293" t="s">
        <v>1506</v>
      </c>
      <c r="B293" t="s">
        <v>3379</v>
      </c>
      <c r="C293" s="4" t="str">
        <f>IFERROR(VLOOKUP(B293,infoTable10[],4,FALSE),"")</f>
        <v/>
      </c>
      <c r="D293" s="4" t="str">
        <f>IFERROR(VLOOKUP(B293,infoTable__2[],4,FALSE),"")</f>
        <v/>
      </c>
      <c r="E293" s="4" t="str">
        <f>IFERROR(VLOOKUP(B293,infoTable__3[],4,FALSE),"")</f>
        <v/>
      </c>
      <c r="F293" s="4" t="str">
        <f>IFERROR(VLOOKUP(B293,infoTable__4[],4,FALSE),"")</f>
        <v/>
      </c>
      <c r="G293" s="4" t="str">
        <f>IFERROR(VLOOKUP(B293,infoTable[],4,FALSE),"")</f>
        <v/>
      </c>
      <c r="H293" s="4" t="str">
        <f>IFERROR(VLOOKUP(B293,infoTable__6[],4,FALSE),"")</f>
        <v/>
      </c>
      <c r="I293" s="4" t="str">
        <f>IFERROR(VLOOKUP(B293,infoTable__28[],4,FALSE),"")</f>
        <v/>
      </c>
      <c r="J293" s="4" t="str">
        <f>IFERROR(VLOOKUP(B293,infoTable__10[],4,FALSE),"")</f>
        <v/>
      </c>
      <c r="K293" s="4" t="str">
        <f>IFERROR(VLOOKUP(B293,infoTable__11[],4,FALSE),"")</f>
        <v/>
      </c>
      <c r="L293" s="4" t="str">
        <f>IFERROR(VLOOKUP(B293,infoTable__12[],4,FALSE),"")</f>
        <v/>
      </c>
      <c r="M293" s="4" t="str">
        <f>IFERROR(VLOOKUP(B293,infoTable__13[],4,FALSE),"")</f>
        <v/>
      </c>
      <c r="N293" s="4" t="str">
        <f>IFERROR(VLOOKUP(B293,infoTable__14[],4,FALSE),"")</f>
        <v/>
      </c>
      <c r="O293" s="4" t="str">
        <f>IFERROR(VLOOKUP(B293,infoTable__15[],4,FALSE),"")</f>
        <v/>
      </c>
      <c r="P293" s="4">
        <f>IFERROR(VLOOKUP(B293,infoTable__16[],4,FALSE),"")</f>
        <v>586356</v>
      </c>
    </row>
    <row r="294" spans="1:16" x14ac:dyDescent="0.55000000000000004">
      <c r="A294" t="s">
        <v>2681</v>
      </c>
      <c r="B294" t="s">
        <v>2680</v>
      </c>
      <c r="C294" s="4" t="str">
        <f>IFERROR(VLOOKUP(B294,infoTable10[],4,FALSE),"")</f>
        <v/>
      </c>
      <c r="D294" s="4" t="str">
        <f>IFERROR(VLOOKUP(B294,infoTable__2[],4,FALSE),"")</f>
        <v/>
      </c>
      <c r="E294" s="4" t="str">
        <f>IFERROR(VLOOKUP(B294,infoTable__3[],4,FALSE),"")</f>
        <v/>
      </c>
      <c r="F294" s="4" t="str">
        <f>IFERROR(VLOOKUP(B294,infoTable__4[],4,FALSE),"")</f>
        <v/>
      </c>
      <c r="G294" s="4" t="str">
        <f>IFERROR(VLOOKUP(B294,infoTable[],4,FALSE),"")</f>
        <v/>
      </c>
      <c r="H294" s="4" t="str">
        <f>IFERROR(VLOOKUP(B294,infoTable__6[],4,FALSE),"")</f>
        <v/>
      </c>
      <c r="I294" s="4" t="str">
        <f>IFERROR(VLOOKUP(B294,infoTable__28[],4,FALSE),"")</f>
        <v/>
      </c>
      <c r="J294" s="4" t="str">
        <f>IFERROR(VLOOKUP(B294,infoTable__10[],4,FALSE),"")</f>
        <v/>
      </c>
      <c r="K294" s="4" t="str">
        <f>IFERROR(VLOOKUP(B294,infoTable__11[],4,FALSE),"")</f>
        <v/>
      </c>
      <c r="L294" s="4" t="str">
        <f>IFERROR(VLOOKUP(B294,infoTable__12[],4,FALSE),"")</f>
        <v/>
      </c>
      <c r="M294" s="4" t="str">
        <f>IFERROR(VLOOKUP(B294,infoTable__13[],4,FALSE),"")</f>
        <v/>
      </c>
      <c r="N294" s="4">
        <f>IFERROR(VLOOKUP(B294,infoTable__14[],4,FALSE),"")</f>
        <v>328959</v>
      </c>
      <c r="O294" s="4">
        <f>IFERROR(VLOOKUP(B294,infoTable__15[],4,FALSE),"")</f>
        <v>565943</v>
      </c>
      <c r="P294" s="4">
        <f>IFERROR(VLOOKUP(B294,infoTable__16[],4,FALSE),"")</f>
        <v>504122</v>
      </c>
    </row>
    <row r="295" spans="1:16" x14ac:dyDescent="0.55000000000000004">
      <c r="A295" t="s">
        <v>1277</v>
      </c>
      <c r="B295" t="s">
        <v>1278</v>
      </c>
      <c r="C295" s="4" t="str">
        <f>IFERROR(VLOOKUP(B295,infoTable10[],4,FALSE),"")</f>
        <v/>
      </c>
      <c r="D295" s="4" t="str">
        <f>IFERROR(VLOOKUP(B295,infoTable__2[],4,FALSE),"")</f>
        <v/>
      </c>
      <c r="E295" s="4" t="str">
        <f>IFERROR(VLOOKUP(B295,infoTable__3[],4,FALSE),"")</f>
        <v/>
      </c>
      <c r="F295" s="4" t="str">
        <f>IFERROR(VLOOKUP(B295,infoTable__4[],4,FALSE),"")</f>
        <v/>
      </c>
      <c r="G295" s="4" t="str">
        <f>IFERROR(VLOOKUP(B295,infoTable[],4,FALSE),"")</f>
        <v/>
      </c>
      <c r="H295" s="4" t="str">
        <f>IFERROR(VLOOKUP(B295,infoTable__6[],4,FALSE),"")</f>
        <v/>
      </c>
      <c r="I295" s="4">
        <f>IFERROR(VLOOKUP(B295,infoTable__28[],4,FALSE),"")</f>
        <v>2751309</v>
      </c>
      <c r="J295" s="4">
        <f>IFERROR(VLOOKUP(B295,infoTable__10[],4,FALSE),"")</f>
        <v>1016875</v>
      </c>
      <c r="K295" s="4" t="str">
        <f>IFERROR(VLOOKUP(B295,infoTable__11[],4,FALSE),"")</f>
        <v/>
      </c>
      <c r="L295" s="4" t="str">
        <f>IFERROR(VLOOKUP(B295,infoTable__12[],4,FALSE),"")</f>
        <v/>
      </c>
      <c r="M295" s="4">
        <f>IFERROR(VLOOKUP(B295,infoTable__13[],4,FALSE),"")</f>
        <v>539100</v>
      </c>
      <c r="N295" s="4">
        <f>IFERROR(VLOOKUP(B295,infoTable__14[],4,FALSE),"")</f>
        <v>1962005</v>
      </c>
      <c r="O295" s="4">
        <f>IFERROR(VLOOKUP(B295,infoTable__15[],4,FALSE),"")</f>
        <v>2378738</v>
      </c>
      <c r="P295" s="4">
        <f>IFERROR(VLOOKUP(B295,infoTable__16[],4,FALSE),"")</f>
        <v>1643397</v>
      </c>
    </row>
    <row r="296" spans="1:16" x14ac:dyDescent="0.55000000000000004">
      <c r="A296" t="s">
        <v>217</v>
      </c>
      <c r="B296" t="s">
        <v>218</v>
      </c>
      <c r="C296" s="4" t="str">
        <f>IFERROR(VLOOKUP(B296,infoTable10[],4,FALSE),"")</f>
        <v/>
      </c>
      <c r="D296" s="4" t="str">
        <f>IFERROR(VLOOKUP(B296,infoTable__2[],4,FALSE),"")</f>
        <v/>
      </c>
      <c r="E296" s="4" t="str">
        <f>IFERROR(VLOOKUP(B296,infoTable__3[],4,FALSE),"")</f>
        <v/>
      </c>
      <c r="F296" s="4" t="str">
        <f>IFERROR(VLOOKUP(B296,infoTable__4[],4,FALSE),"")</f>
        <v/>
      </c>
      <c r="G296" s="4">
        <f>IFERROR(VLOOKUP(B296,infoTable[],4,FALSE),"")</f>
        <v>345069</v>
      </c>
      <c r="H296" s="4">
        <f>IFERROR(VLOOKUP(B296,infoTable__6[],4,FALSE),"")</f>
        <v>163483</v>
      </c>
      <c r="I296" s="4">
        <f>IFERROR(VLOOKUP(B296,infoTable__28[],4,FALSE),"")</f>
        <v>595171</v>
      </c>
      <c r="J296" s="4" t="str">
        <f>IFERROR(VLOOKUP(B296,infoTable__10[],4,FALSE),"")</f>
        <v/>
      </c>
      <c r="K296" s="4" t="str">
        <f>IFERROR(VLOOKUP(B296,infoTable__11[],4,FALSE),"")</f>
        <v/>
      </c>
      <c r="L296" s="4" t="str">
        <f>IFERROR(VLOOKUP(B296,infoTable__12[],4,FALSE),"")</f>
        <v/>
      </c>
      <c r="M296" s="4" t="str">
        <f>IFERROR(VLOOKUP(B296,infoTable__13[],4,FALSE),"")</f>
        <v/>
      </c>
      <c r="N296" s="4" t="str">
        <f>IFERROR(VLOOKUP(B296,infoTable__14[],4,FALSE),"")</f>
        <v/>
      </c>
      <c r="O296" s="4" t="str">
        <f>IFERROR(VLOOKUP(B296,infoTable__15[],4,FALSE),"")</f>
        <v/>
      </c>
      <c r="P296" s="4">
        <f>IFERROR(VLOOKUP(B296,infoTable__16[],4,FALSE),"")</f>
        <v>407075</v>
      </c>
    </row>
    <row r="297" spans="1:16" x14ac:dyDescent="0.55000000000000004">
      <c r="A297" t="s">
        <v>2218</v>
      </c>
      <c r="B297" t="s">
        <v>2219</v>
      </c>
      <c r="C297" s="4" t="str">
        <f>IFERROR(VLOOKUP(B297,infoTable10[],4,FALSE),"")</f>
        <v/>
      </c>
      <c r="D297" s="4" t="str">
        <f>IFERROR(VLOOKUP(B297,infoTable__2[],4,FALSE),"")</f>
        <v/>
      </c>
      <c r="E297" s="4" t="str">
        <f>IFERROR(VLOOKUP(B297,infoTable__3[],4,FALSE),"")</f>
        <v/>
      </c>
      <c r="F297" s="4" t="str">
        <f>IFERROR(VLOOKUP(B297,infoTable__4[],4,FALSE),"")</f>
        <v/>
      </c>
      <c r="G297" s="4" t="str">
        <f>IFERROR(VLOOKUP(B297,infoTable[],4,FALSE),"")</f>
        <v/>
      </c>
      <c r="H297" s="4" t="str">
        <f>IFERROR(VLOOKUP(B297,infoTable__6[],4,FALSE),"")</f>
        <v/>
      </c>
      <c r="I297" s="4" t="str">
        <f>IFERROR(VLOOKUP(B297,infoTable__28[],4,FALSE),"")</f>
        <v/>
      </c>
      <c r="J297" s="4" t="str">
        <f>IFERROR(VLOOKUP(B297,infoTable__10[],4,FALSE),"")</f>
        <v/>
      </c>
      <c r="K297" s="4" t="str">
        <f>IFERROR(VLOOKUP(B297,infoTable__11[],4,FALSE),"")</f>
        <v/>
      </c>
      <c r="L297" s="4">
        <f>IFERROR(VLOOKUP(B297,infoTable__12[],4,FALSE),"")</f>
        <v>479431</v>
      </c>
      <c r="M297" s="4" t="str">
        <f>IFERROR(VLOOKUP(B297,infoTable__13[],4,FALSE),"")</f>
        <v/>
      </c>
      <c r="N297" s="4" t="str">
        <f>IFERROR(VLOOKUP(B297,infoTable__14[],4,FALSE),"")</f>
        <v/>
      </c>
      <c r="O297" s="4" t="str">
        <f>IFERROR(VLOOKUP(B297,infoTable__15[],4,FALSE),"")</f>
        <v/>
      </c>
      <c r="P297" s="4" t="str">
        <f>IFERROR(VLOOKUP(B297,infoTable__16[],4,FALSE),"")</f>
        <v/>
      </c>
    </row>
    <row r="298" spans="1:16" x14ac:dyDescent="0.55000000000000004">
      <c r="A298" t="s">
        <v>2683</v>
      </c>
      <c r="B298" t="s">
        <v>2682</v>
      </c>
      <c r="C298" s="4" t="str">
        <f>IFERROR(VLOOKUP(B298,infoTable10[],4,FALSE),"")</f>
        <v/>
      </c>
      <c r="D298" s="4" t="str">
        <f>IFERROR(VLOOKUP(B298,infoTable__2[],4,FALSE),"")</f>
        <v/>
      </c>
      <c r="E298" s="4" t="str">
        <f>IFERROR(VLOOKUP(B298,infoTable__3[],4,FALSE),"")</f>
        <v/>
      </c>
      <c r="F298" s="4" t="str">
        <f>IFERROR(VLOOKUP(B298,infoTable__4[],4,FALSE),"")</f>
        <v/>
      </c>
      <c r="G298" s="4" t="str">
        <f>IFERROR(VLOOKUP(B298,infoTable[],4,FALSE),"")</f>
        <v/>
      </c>
      <c r="H298" s="4" t="str">
        <f>IFERROR(VLOOKUP(B298,infoTable__6[],4,FALSE),"")</f>
        <v/>
      </c>
      <c r="I298" s="4" t="str">
        <f>IFERROR(VLOOKUP(B298,infoTable__28[],4,FALSE),"")</f>
        <v/>
      </c>
      <c r="J298" s="4" t="str">
        <f>IFERROR(VLOOKUP(B298,infoTable__10[],4,FALSE),"")</f>
        <v/>
      </c>
      <c r="K298" s="4" t="str">
        <f>IFERROR(VLOOKUP(B298,infoTable__11[],4,FALSE),"")</f>
        <v/>
      </c>
      <c r="L298" s="4" t="str">
        <f>IFERROR(VLOOKUP(B298,infoTable__12[],4,FALSE),"")</f>
        <v/>
      </c>
      <c r="M298" s="4" t="str">
        <f>IFERROR(VLOOKUP(B298,infoTable__13[],4,FALSE),"")</f>
        <v/>
      </c>
      <c r="N298" s="4">
        <f>IFERROR(VLOOKUP(B298,infoTable__14[],4,FALSE),"")</f>
        <v>6075405</v>
      </c>
      <c r="O298" s="4">
        <f>IFERROR(VLOOKUP(B298,infoTable__15[],4,FALSE),"")</f>
        <v>2258683</v>
      </c>
      <c r="P298" s="4">
        <f>IFERROR(VLOOKUP(B298,infoTable__16[],4,FALSE),"")</f>
        <v>1298870</v>
      </c>
    </row>
    <row r="299" spans="1:16" x14ac:dyDescent="0.55000000000000004">
      <c r="A299" t="s">
        <v>1911</v>
      </c>
      <c r="B299" t="s">
        <v>1912</v>
      </c>
      <c r="C299" s="4" t="str">
        <f>IFERROR(VLOOKUP(B299,infoTable10[],4,FALSE),"")</f>
        <v/>
      </c>
      <c r="D299" s="4" t="str">
        <f>IFERROR(VLOOKUP(B299,infoTable__2[],4,FALSE),"")</f>
        <v/>
      </c>
      <c r="E299" s="4" t="str">
        <f>IFERROR(VLOOKUP(B299,infoTable__3[],4,FALSE),"")</f>
        <v/>
      </c>
      <c r="F299" s="4" t="str">
        <f>IFERROR(VLOOKUP(B299,infoTable__4[],4,FALSE),"")</f>
        <v/>
      </c>
      <c r="G299" s="4" t="str">
        <f>IFERROR(VLOOKUP(B299,infoTable[],4,FALSE),"")</f>
        <v/>
      </c>
      <c r="H299" s="4" t="str">
        <f>IFERROR(VLOOKUP(B299,infoTable__6[],4,FALSE),"")</f>
        <v/>
      </c>
      <c r="I299" s="4" t="str">
        <f>IFERROR(VLOOKUP(B299,infoTable__28[],4,FALSE),"")</f>
        <v/>
      </c>
      <c r="J299" s="4" t="str">
        <f>IFERROR(VLOOKUP(B299,infoTable__10[],4,FALSE),"")</f>
        <v/>
      </c>
      <c r="K299" s="4">
        <f>IFERROR(VLOOKUP(B299,infoTable__11[],4,FALSE),"")</f>
        <v>72138</v>
      </c>
      <c r="L299" s="4" t="str">
        <f>IFERROR(VLOOKUP(B299,infoTable__12[],4,FALSE),"")</f>
        <v/>
      </c>
      <c r="M299" s="4" t="str">
        <f>IFERROR(VLOOKUP(B299,infoTable__13[],4,FALSE),"")</f>
        <v/>
      </c>
      <c r="N299" s="4" t="str">
        <f>IFERROR(VLOOKUP(B299,infoTable__14[],4,FALSE),"")</f>
        <v/>
      </c>
      <c r="O299" s="4" t="str">
        <f>IFERROR(VLOOKUP(B299,infoTable__15[],4,FALSE),"")</f>
        <v/>
      </c>
      <c r="P299" s="4" t="str">
        <f>IFERROR(VLOOKUP(B299,infoTable__16[],4,FALSE),"")</f>
        <v/>
      </c>
    </row>
    <row r="300" spans="1:16" x14ac:dyDescent="0.55000000000000004">
      <c r="A300" t="s">
        <v>1024</v>
      </c>
      <c r="B300" t="s">
        <v>1025</v>
      </c>
      <c r="C300" s="4" t="str">
        <f>IFERROR(VLOOKUP(B300,infoTable10[],4,FALSE),"")</f>
        <v/>
      </c>
      <c r="D300" s="4" t="str">
        <f>IFERROR(VLOOKUP(B300,infoTable__2[],4,FALSE),"")</f>
        <v/>
      </c>
      <c r="E300" s="4" t="str">
        <f>IFERROR(VLOOKUP(B300,infoTable__3[],4,FALSE),"")</f>
        <v/>
      </c>
      <c r="F300" s="4" t="str">
        <f>IFERROR(VLOOKUP(B300,infoTable__4[],4,FALSE),"")</f>
        <v/>
      </c>
      <c r="G300" s="4" t="str">
        <f>IFERROR(VLOOKUP(B300,infoTable[],4,FALSE),"")</f>
        <v/>
      </c>
      <c r="H300" s="4">
        <f>IFERROR(VLOOKUP(B300,infoTable__6[],4,FALSE),"")</f>
        <v>536108</v>
      </c>
      <c r="I300" s="4" t="str">
        <f>IFERROR(VLOOKUP(B300,infoTable__28[],4,FALSE),"")</f>
        <v/>
      </c>
      <c r="J300" s="4" t="str">
        <f>IFERROR(VLOOKUP(B300,infoTable__10[],4,FALSE),"")</f>
        <v/>
      </c>
      <c r="K300" s="4" t="str">
        <f>IFERROR(VLOOKUP(B300,infoTable__11[],4,FALSE),"")</f>
        <v/>
      </c>
      <c r="L300" s="4" t="str">
        <f>IFERROR(VLOOKUP(B300,infoTable__12[],4,FALSE),"")</f>
        <v/>
      </c>
      <c r="M300" s="4" t="str">
        <f>IFERROR(VLOOKUP(B300,infoTable__13[],4,FALSE),"")</f>
        <v/>
      </c>
      <c r="N300" s="4" t="str">
        <f>IFERROR(VLOOKUP(B300,infoTable__14[],4,FALSE),"")</f>
        <v/>
      </c>
      <c r="O300" s="4">
        <f>IFERROR(VLOOKUP(B300,infoTable__15[],4,FALSE),"")</f>
        <v>1450065</v>
      </c>
      <c r="P300" s="4">
        <f>IFERROR(VLOOKUP(B300,infoTable__16[],4,FALSE),"")</f>
        <v>3787009</v>
      </c>
    </row>
    <row r="301" spans="1:16" x14ac:dyDescent="0.55000000000000004">
      <c r="A301" t="s">
        <v>3067</v>
      </c>
      <c r="B301" t="s">
        <v>3068</v>
      </c>
      <c r="C301" s="4" t="str">
        <f>IFERROR(VLOOKUP(B301,infoTable10[],4,FALSE),"")</f>
        <v/>
      </c>
      <c r="D301" s="4" t="str">
        <f>IFERROR(VLOOKUP(B301,infoTable__2[],4,FALSE),"")</f>
        <v/>
      </c>
      <c r="E301" s="4" t="str">
        <f>IFERROR(VLOOKUP(B301,infoTable__3[],4,FALSE),"")</f>
        <v/>
      </c>
      <c r="F301" s="4" t="str">
        <f>IFERROR(VLOOKUP(B301,infoTable__4[],4,FALSE),"")</f>
        <v/>
      </c>
      <c r="G301" s="4" t="str">
        <f>IFERROR(VLOOKUP(B301,infoTable[],4,FALSE),"")</f>
        <v/>
      </c>
      <c r="H301" s="4" t="str">
        <f>IFERROR(VLOOKUP(B301,infoTable__6[],4,FALSE),"")</f>
        <v/>
      </c>
      <c r="I301" s="4" t="str">
        <f>IFERROR(VLOOKUP(B301,infoTable__28[],4,FALSE),"")</f>
        <v/>
      </c>
      <c r="J301" s="4" t="str">
        <f>IFERROR(VLOOKUP(B301,infoTable__10[],4,FALSE),"")</f>
        <v/>
      </c>
      <c r="K301" s="4" t="str">
        <f>IFERROR(VLOOKUP(B301,infoTable__11[],4,FALSE),"")</f>
        <v/>
      </c>
      <c r="L301" s="4" t="str">
        <f>IFERROR(VLOOKUP(B301,infoTable__12[],4,FALSE),"")</f>
        <v/>
      </c>
      <c r="M301" s="4" t="str">
        <f>IFERROR(VLOOKUP(B301,infoTable__13[],4,FALSE),"")</f>
        <v/>
      </c>
      <c r="N301" s="4" t="str">
        <f>IFERROR(VLOOKUP(B301,infoTable__14[],4,FALSE),"")</f>
        <v/>
      </c>
      <c r="O301" s="4">
        <f>IFERROR(VLOOKUP(B301,infoTable__15[],4,FALSE),"")</f>
        <v>627591</v>
      </c>
      <c r="P301" s="4">
        <f>IFERROR(VLOOKUP(B301,infoTable__16[],4,FALSE),"")</f>
        <v>1144615</v>
      </c>
    </row>
    <row r="302" spans="1:16" x14ac:dyDescent="0.55000000000000004">
      <c r="A302" t="s">
        <v>852</v>
      </c>
      <c r="B302" t="s">
        <v>853</v>
      </c>
      <c r="C302" s="4" t="str">
        <f>IFERROR(VLOOKUP(B302,infoTable10[],4,FALSE),"")</f>
        <v/>
      </c>
      <c r="D302" s="4" t="str">
        <f>IFERROR(VLOOKUP(B302,infoTable__2[],4,FALSE),"")</f>
        <v/>
      </c>
      <c r="E302" s="4" t="str">
        <f>IFERROR(VLOOKUP(B302,infoTable__3[],4,FALSE),"")</f>
        <v/>
      </c>
      <c r="F302" s="4">
        <f>IFERROR(VLOOKUP(B302,infoTable__4[],4,FALSE),"")</f>
        <v>222778</v>
      </c>
      <c r="G302" s="4" t="str">
        <f>IFERROR(VLOOKUP(B302,infoTable[],4,FALSE),"")</f>
        <v/>
      </c>
      <c r="H302" s="4" t="str">
        <f>IFERROR(VLOOKUP(B302,infoTable__6[],4,FALSE),"")</f>
        <v/>
      </c>
      <c r="I302" s="4" t="str">
        <f>IFERROR(VLOOKUP(B302,infoTable__28[],4,FALSE),"")</f>
        <v/>
      </c>
      <c r="J302" s="4" t="str">
        <f>IFERROR(VLOOKUP(B302,infoTable__10[],4,FALSE),"")</f>
        <v/>
      </c>
      <c r="K302" s="4" t="str">
        <f>IFERROR(VLOOKUP(B302,infoTable__11[],4,FALSE),"")</f>
        <v/>
      </c>
      <c r="L302" s="4" t="str">
        <f>IFERROR(VLOOKUP(B302,infoTable__12[],4,FALSE),"")</f>
        <v/>
      </c>
      <c r="M302" s="4" t="str">
        <f>IFERROR(VLOOKUP(B302,infoTable__13[],4,FALSE),"")</f>
        <v/>
      </c>
      <c r="N302" s="4" t="str">
        <f>IFERROR(VLOOKUP(B302,infoTable__14[],4,FALSE),"")</f>
        <v/>
      </c>
      <c r="O302" s="4">
        <f>IFERROR(VLOOKUP(B302,infoTable__15[],4,FALSE),"")</f>
        <v>841824</v>
      </c>
      <c r="P302" s="4">
        <f>IFERROR(VLOOKUP(B302,infoTable__16[],4,FALSE),"")</f>
        <v>1603372</v>
      </c>
    </row>
    <row r="303" spans="1:16" x14ac:dyDescent="0.55000000000000004">
      <c r="A303" t="s">
        <v>582</v>
      </c>
      <c r="B303" t="s">
        <v>583</v>
      </c>
      <c r="C303" s="4" t="str">
        <f>IFERROR(VLOOKUP(B303,infoTable10[],4,FALSE),"")</f>
        <v/>
      </c>
      <c r="D303" s="4">
        <f>IFERROR(VLOOKUP(B303,infoTable__2[],4,FALSE),"")</f>
        <v>197988</v>
      </c>
      <c r="E303" s="4">
        <f>IFERROR(VLOOKUP(B303,infoTable__3[],4,FALSE),"")</f>
        <v>2512956</v>
      </c>
      <c r="F303" s="4">
        <f>IFERROR(VLOOKUP(B303,infoTable__4[],4,FALSE),"")</f>
        <v>487299</v>
      </c>
      <c r="G303" s="4" t="str">
        <f>IFERROR(VLOOKUP(B303,infoTable[],4,FALSE),"")</f>
        <v/>
      </c>
      <c r="H303" s="4" t="str">
        <f>IFERROR(VLOOKUP(B303,infoTable__6[],4,FALSE),"")</f>
        <v/>
      </c>
      <c r="I303" s="4" t="str">
        <f>IFERROR(VLOOKUP(B303,infoTable__28[],4,FALSE),"")</f>
        <v/>
      </c>
      <c r="J303" s="4" t="str">
        <f>IFERROR(VLOOKUP(B303,infoTable__10[],4,FALSE),"")</f>
        <v/>
      </c>
      <c r="K303" s="4" t="str">
        <f>IFERROR(VLOOKUP(B303,infoTable__11[],4,FALSE),"")</f>
        <v/>
      </c>
      <c r="L303" s="4" t="str">
        <f>IFERROR(VLOOKUP(B303,infoTable__12[],4,FALSE),"")</f>
        <v/>
      </c>
      <c r="M303" s="4" t="str">
        <f>IFERROR(VLOOKUP(B303,infoTable__13[],4,FALSE),"")</f>
        <v/>
      </c>
      <c r="N303" s="4" t="str">
        <f>IFERROR(VLOOKUP(B303,infoTable__14[],4,FALSE),"")</f>
        <v/>
      </c>
      <c r="O303" s="4" t="str">
        <f>IFERROR(VLOOKUP(B303,infoTable__15[],4,FALSE),"")</f>
        <v/>
      </c>
      <c r="P303" s="4" t="str">
        <f>IFERROR(VLOOKUP(B303,infoTable__16[],4,FALSE),"")</f>
        <v/>
      </c>
    </row>
    <row r="304" spans="1:16" x14ac:dyDescent="0.55000000000000004">
      <c r="A304" t="s">
        <v>3069</v>
      </c>
      <c r="B304" t="s">
        <v>3070</v>
      </c>
      <c r="C304" s="4" t="str">
        <f>IFERROR(VLOOKUP(B304,infoTable10[],4,FALSE),"")</f>
        <v/>
      </c>
      <c r="D304" s="4" t="str">
        <f>IFERROR(VLOOKUP(B304,infoTable__2[],4,FALSE),"")</f>
        <v/>
      </c>
      <c r="E304" s="4" t="str">
        <f>IFERROR(VLOOKUP(B304,infoTable__3[],4,FALSE),"")</f>
        <v/>
      </c>
      <c r="F304" s="4" t="str">
        <f>IFERROR(VLOOKUP(B304,infoTable__4[],4,FALSE),"")</f>
        <v/>
      </c>
      <c r="G304" s="4" t="str">
        <f>IFERROR(VLOOKUP(B304,infoTable[],4,FALSE),"")</f>
        <v/>
      </c>
      <c r="H304" s="4" t="str">
        <f>IFERROR(VLOOKUP(B304,infoTable__6[],4,FALSE),"")</f>
        <v/>
      </c>
      <c r="I304" s="4" t="str">
        <f>IFERROR(VLOOKUP(B304,infoTable__28[],4,FALSE),"")</f>
        <v/>
      </c>
      <c r="J304" s="4" t="str">
        <f>IFERROR(VLOOKUP(B304,infoTable__10[],4,FALSE),"")</f>
        <v/>
      </c>
      <c r="K304" s="4" t="str">
        <f>IFERROR(VLOOKUP(B304,infoTable__11[],4,FALSE),"")</f>
        <v/>
      </c>
      <c r="L304" s="4" t="str">
        <f>IFERROR(VLOOKUP(B304,infoTable__12[],4,FALSE),"")</f>
        <v/>
      </c>
      <c r="M304" s="4" t="str">
        <f>IFERROR(VLOOKUP(B304,infoTable__13[],4,FALSE),"")</f>
        <v/>
      </c>
      <c r="N304" s="4" t="str">
        <f>IFERROR(VLOOKUP(B304,infoTable__14[],4,FALSE),"")</f>
        <v/>
      </c>
      <c r="O304" s="4">
        <f>IFERROR(VLOOKUP(B304,infoTable__15[],4,FALSE),"")</f>
        <v>799336</v>
      </c>
      <c r="P304" s="4" t="str">
        <f>IFERROR(VLOOKUP(B304,infoTable__16[],4,FALSE),"")</f>
        <v/>
      </c>
    </row>
    <row r="305" spans="1:16" x14ac:dyDescent="0.55000000000000004">
      <c r="A305" t="s">
        <v>2220</v>
      </c>
      <c r="B305" t="s">
        <v>2221</v>
      </c>
      <c r="C305" s="4" t="str">
        <f>IFERROR(VLOOKUP(B305,infoTable10[],4,FALSE),"")</f>
        <v/>
      </c>
      <c r="D305" s="4" t="str">
        <f>IFERROR(VLOOKUP(B305,infoTable__2[],4,FALSE),"")</f>
        <v/>
      </c>
      <c r="E305" s="4" t="str">
        <f>IFERROR(VLOOKUP(B305,infoTable__3[],4,FALSE),"")</f>
        <v/>
      </c>
      <c r="F305" s="4" t="str">
        <f>IFERROR(VLOOKUP(B305,infoTable__4[],4,FALSE),"")</f>
        <v/>
      </c>
      <c r="G305" s="4" t="str">
        <f>IFERROR(VLOOKUP(B305,infoTable[],4,FALSE),"")</f>
        <v/>
      </c>
      <c r="H305" s="4" t="str">
        <f>IFERROR(VLOOKUP(B305,infoTable__6[],4,FALSE),"")</f>
        <v/>
      </c>
      <c r="I305" s="4" t="str">
        <f>IFERROR(VLOOKUP(B305,infoTable__28[],4,FALSE),"")</f>
        <v/>
      </c>
      <c r="J305" s="4" t="str">
        <f>IFERROR(VLOOKUP(B305,infoTable__10[],4,FALSE),"")</f>
        <v/>
      </c>
      <c r="K305" s="4" t="str">
        <f>IFERROR(VLOOKUP(B305,infoTable__11[],4,FALSE),"")</f>
        <v/>
      </c>
      <c r="L305" s="4">
        <f>IFERROR(VLOOKUP(B305,infoTable__12[],4,FALSE),"")</f>
        <v>294458</v>
      </c>
      <c r="M305" s="4" t="str">
        <f>IFERROR(VLOOKUP(B305,infoTable__13[],4,FALSE),"")</f>
        <v/>
      </c>
      <c r="N305" s="4" t="str">
        <f>IFERROR(VLOOKUP(B305,infoTable__14[],4,FALSE),"")</f>
        <v/>
      </c>
      <c r="O305" s="4" t="str">
        <f>IFERROR(VLOOKUP(B305,infoTable__15[],4,FALSE),"")</f>
        <v/>
      </c>
      <c r="P305" s="4" t="str">
        <f>IFERROR(VLOOKUP(B305,infoTable__16[],4,FALSE),"")</f>
        <v/>
      </c>
    </row>
    <row r="306" spans="1:16" x14ac:dyDescent="0.55000000000000004">
      <c r="A306" t="s">
        <v>221</v>
      </c>
      <c r="B306" t="s">
        <v>222</v>
      </c>
      <c r="C306" s="4" t="str">
        <f>IFERROR(VLOOKUP(B306,infoTable10[],4,FALSE),"")</f>
        <v/>
      </c>
      <c r="D306" s="4" t="str">
        <f>IFERROR(VLOOKUP(B306,infoTable__2[],4,FALSE),"")</f>
        <v/>
      </c>
      <c r="E306" s="4">
        <f>IFERROR(VLOOKUP(B306,infoTable__3[],4,FALSE),"")</f>
        <v>5353570</v>
      </c>
      <c r="F306" s="4">
        <f>IFERROR(VLOOKUP(B306,infoTable__4[],4,FALSE),"")</f>
        <v>1171910</v>
      </c>
      <c r="G306" s="4">
        <f>IFERROR(VLOOKUP(B306,infoTable[],4,FALSE),"")</f>
        <v>687166</v>
      </c>
      <c r="H306" s="4">
        <f>IFERROR(VLOOKUP(B306,infoTable__6[],4,FALSE),"")</f>
        <v>289044</v>
      </c>
      <c r="I306" s="4">
        <f>IFERROR(VLOOKUP(B306,infoTable__28[],4,FALSE),"")</f>
        <v>808343</v>
      </c>
      <c r="J306" s="4">
        <f>IFERROR(VLOOKUP(B306,infoTable__10[],4,FALSE),"")</f>
        <v>2551703</v>
      </c>
      <c r="K306" s="4">
        <f>IFERROR(VLOOKUP(B306,infoTable__11[],4,FALSE),"")</f>
        <v>344250</v>
      </c>
      <c r="L306" s="4" t="str">
        <f>IFERROR(VLOOKUP(B306,infoTable__12[],4,FALSE),"")</f>
        <v/>
      </c>
      <c r="M306" s="4" t="str">
        <f>IFERROR(VLOOKUP(B306,infoTable__13[],4,FALSE),"")</f>
        <v/>
      </c>
      <c r="N306" s="4">
        <f>IFERROR(VLOOKUP(B306,infoTable__14[],4,FALSE),"")</f>
        <v>630617</v>
      </c>
      <c r="O306" s="4">
        <f>IFERROR(VLOOKUP(B306,infoTable__15[],4,FALSE),"")</f>
        <v>222067</v>
      </c>
      <c r="P306" s="4">
        <f>IFERROR(VLOOKUP(B306,infoTable__16[],4,FALSE),"")</f>
        <v>237176</v>
      </c>
    </row>
    <row r="307" spans="1:16" x14ac:dyDescent="0.55000000000000004">
      <c r="A307" t="s">
        <v>584</v>
      </c>
      <c r="B307" t="s">
        <v>585</v>
      </c>
      <c r="C307" s="4">
        <f>IFERROR(VLOOKUP(B307,infoTable10[],4,FALSE),"")</f>
        <v>1202097</v>
      </c>
      <c r="D307" s="4">
        <f>IFERROR(VLOOKUP(B307,infoTable__2[],4,FALSE),"")</f>
        <v>1221409</v>
      </c>
      <c r="E307" s="4">
        <f>IFERROR(VLOOKUP(B307,infoTable__3[],4,FALSE),"")</f>
        <v>435272</v>
      </c>
      <c r="F307" s="4">
        <f>IFERROR(VLOOKUP(B307,infoTable__4[],4,FALSE),"")</f>
        <v>283813</v>
      </c>
      <c r="G307" s="4" t="str">
        <f>IFERROR(VLOOKUP(B307,infoTable[],4,FALSE),"")</f>
        <v/>
      </c>
      <c r="H307" s="4" t="str">
        <f>IFERROR(VLOOKUP(B307,infoTable__6[],4,FALSE),"")</f>
        <v/>
      </c>
      <c r="I307" s="4">
        <f>IFERROR(VLOOKUP(B307,infoTable__28[],4,FALSE),"")</f>
        <v>893996</v>
      </c>
      <c r="J307" s="4">
        <f>IFERROR(VLOOKUP(B307,infoTable__10[],4,FALSE),"")</f>
        <v>940488</v>
      </c>
      <c r="K307" s="4" t="str">
        <f>IFERROR(VLOOKUP(B307,infoTable__11[],4,FALSE),"")</f>
        <v/>
      </c>
      <c r="L307" s="4" t="str">
        <f>IFERROR(VLOOKUP(B307,infoTable__12[],4,FALSE),"")</f>
        <v/>
      </c>
      <c r="M307" s="4" t="str">
        <f>IFERROR(VLOOKUP(B307,infoTable__13[],4,FALSE),"")</f>
        <v/>
      </c>
      <c r="N307" s="4" t="str">
        <f>IFERROR(VLOOKUP(B307,infoTable__14[],4,FALSE),"")</f>
        <v/>
      </c>
      <c r="O307" s="4">
        <f>IFERROR(VLOOKUP(B307,infoTable__15[],4,FALSE),"")</f>
        <v>2062165</v>
      </c>
      <c r="P307" s="4">
        <f>IFERROR(VLOOKUP(B307,infoTable__16[],4,FALSE),"")</f>
        <v>1545017</v>
      </c>
    </row>
    <row r="308" spans="1:16" x14ac:dyDescent="0.55000000000000004">
      <c r="A308" t="s">
        <v>223</v>
      </c>
      <c r="B308" t="s">
        <v>224</v>
      </c>
      <c r="C308" s="4" t="str">
        <f>IFERROR(VLOOKUP(B308,infoTable10[],4,FALSE),"")</f>
        <v/>
      </c>
      <c r="D308" s="4" t="str">
        <f>IFERROR(VLOOKUP(B308,infoTable__2[],4,FALSE),"")</f>
        <v/>
      </c>
      <c r="E308" s="4" t="str">
        <f>IFERROR(VLOOKUP(B308,infoTable__3[],4,FALSE),"")</f>
        <v/>
      </c>
      <c r="F308" s="4">
        <f>IFERROR(VLOOKUP(B308,infoTable__4[],4,FALSE),"")</f>
        <v>2053240</v>
      </c>
      <c r="G308" s="4">
        <f>IFERROR(VLOOKUP(B308,infoTable[],4,FALSE),"")</f>
        <v>1922360</v>
      </c>
      <c r="H308" s="4" t="str">
        <f>IFERROR(VLOOKUP(B308,infoTable__6[],4,FALSE),"")</f>
        <v/>
      </c>
      <c r="I308" s="4" t="str">
        <f>IFERROR(VLOOKUP(B308,infoTable__28[],4,FALSE),"")</f>
        <v/>
      </c>
      <c r="J308" s="4">
        <f>IFERROR(VLOOKUP(B308,infoTable__10[],4,FALSE),"")</f>
        <v>357248</v>
      </c>
      <c r="K308" s="4">
        <f>IFERROR(VLOOKUP(B308,infoTable__11[],4,FALSE),"")</f>
        <v>206085</v>
      </c>
      <c r="L308" s="4" t="str">
        <f>IFERROR(VLOOKUP(B308,infoTable__12[],4,FALSE),"")</f>
        <v/>
      </c>
      <c r="M308" s="4">
        <f>IFERROR(VLOOKUP(B308,infoTable__13[],4,FALSE),"")</f>
        <v>484170</v>
      </c>
      <c r="N308" s="4">
        <f>IFERROR(VLOOKUP(B308,infoTable__14[],4,FALSE),"")</f>
        <v>330254</v>
      </c>
      <c r="O308" s="4">
        <f>IFERROR(VLOOKUP(B308,infoTable__15[],4,FALSE),"")</f>
        <v>313392</v>
      </c>
      <c r="P308" s="4" t="str">
        <f>IFERROR(VLOOKUP(B308,infoTable__16[],4,FALSE),"")</f>
        <v/>
      </c>
    </row>
    <row r="309" spans="1:16" x14ac:dyDescent="0.55000000000000004">
      <c r="A309" t="s">
        <v>225</v>
      </c>
      <c r="B309" t="s">
        <v>226</v>
      </c>
      <c r="C309" s="4">
        <f>IFERROR(VLOOKUP(B309,infoTable10[],4,FALSE),"")</f>
        <v>1204691</v>
      </c>
      <c r="D309" s="4">
        <f>IFERROR(VLOOKUP(B309,infoTable__2[],4,FALSE),"")</f>
        <v>2244954</v>
      </c>
      <c r="E309" s="4">
        <f>IFERROR(VLOOKUP(B309,infoTable__3[],4,FALSE),"")</f>
        <v>6696921</v>
      </c>
      <c r="F309" s="4">
        <f>IFERROR(VLOOKUP(B309,infoTable__4[],4,FALSE),"")</f>
        <v>4961193</v>
      </c>
      <c r="G309" s="4">
        <f>IFERROR(VLOOKUP(B309,infoTable[],4,FALSE),"")</f>
        <v>2706701</v>
      </c>
      <c r="H309" s="4">
        <f>IFERROR(VLOOKUP(B309,infoTable__6[],4,FALSE),"")</f>
        <v>2391903</v>
      </c>
      <c r="I309" s="4" t="str">
        <f>IFERROR(VLOOKUP(B309,infoTable__28[],4,FALSE),"")</f>
        <v/>
      </c>
      <c r="J309" s="4" t="str">
        <f>IFERROR(VLOOKUP(B309,infoTable__10[],4,FALSE),"")</f>
        <v/>
      </c>
      <c r="K309" s="4" t="str">
        <f>IFERROR(VLOOKUP(B309,infoTable__11[],4,FALSE),"")</f>
        <v/>
      </c>
      <c r="L309" s="4" t="str">
        <f>IFERROR(VLOOKUP(B309,infoTable__12[],4,FALSE),"")</f>
        <v/>
      </c>
      <c r="M309" s="4" t="str">
        <f>IFERROR(VLOOKUP(B309,infoTable__13[],4,FALSE),"")</f>
        <v/>
      </c>
      <c r="N309" s="4" t="str">
        <f>IFERROR(VLOOKUP(B309,infoTable__14[],4,FALSE),"")</f>
        <v/>
      </c>
      <c r="O309" s="4">
        <f>IFERROR(VLOOKUP(B309,infoTable__15[],4,FALSE),"")</f>
        <v>276490</v>
      </c>
      <c r="P309" s="4">
        <f>IFERROR(VLOOKUP(B309,infoTable__16[],4,FALSE),"")</f>
        <v>436762</v>
      </c>
    </row>
    <row r="310" spans="1:16" x14ac:dyDescent="0.55000000000000004">
      <c r="A310" t="s">
        <v>227</v>
      </c>
      <c r="B310" t="s">
        <v>228</v>
      </c>
      <c r="C310" s="4" t="str">
        <f>IFERROR(VLOOKUP(B310,infoTable10[],4,FALSE),"")</f>
        <v/>
      </c>
      <c r="D310" s="4" t="str">
        <f>IFERROR(VLOOKUP(B310,infoTable__2[],4,FALSE),"")</f>
        <v/>
      </c>
      <c r="E310" s="4" t="str">
        <f>IFERROR(VLOOKUP(B310,infoTable__3[],4,FALSE),"")</f>
        <v/>
      </c>
      <c r="F310" s="4">
        <f>IFERROR(VLOOKUP(B310,infoTable__4[],4,FALSE),"")</f>
        <v>237672</v>
      </c>
      <c r="G310" s="4">
        <f>IFERROR(VLOOKUP(B310,infoTable[],4,FALSE),"")</f>
        <v>405026</v>
      </c>
      <c r="H310" s="4">
        <f>IFERROR(VLOOKUP(B310,infoTable__6[],4,FALSE),"")</f>
        <v>889562</v>
      </c>
      <c r="I310" s="4">
        <f>IFERROR(VLOOKUP(B310,infoTable__28[],4,FALSE),"")</f>
        <v>314711</v>
      </c>
      <c r="J310" s="4" t="str">
        <f>IFERROR(VLOOKUP(B310,infoTable__10[],4,FALSE),"")</f>
        <v/>
      </c>
      <c r="K310" s="4" t="str">
        <f>IFERROR(VLOOKUP(B310,infoTable__11[],4,FALSE),"")</f>
        <v/>
      </c>
      <c r="L310" s="4" t="str">
        <f>IFERROR(VLOOKUP(B310,infoTable__12[],4,FALSE),"")</f>
        <v/>
      </c>
      <c r="M310" s="4" t="str">
        <f>IFERROR(VLOOKUP(B310,infoTable__13[],4,FALSE),"")</f>
        <v/>
      </c>
      <c r="N310" s="4" t="str">
        <f>IFERROR(VLOOKUP(B310,infoTable__14[],4,FALSE),"")</f>
        <v/>
      </c>
      <c r="O310" s="4" t="str">
        <f>IFERROR(VLOOKUP(B310,infoTable__15[],4,FALSE),"")</f>
        <v/>
      </c>
      <c r="P310" s="4" t="str">
        <f>IFERROR(VLOOKUP(B310,infoTable__16[],4,FALSE),"")</f>
        <v/>
      </c>
    </row>
    <row r="311" spans="1:16" x14ac:dyDescent="0.55000000000000004">
      <c r="A311" t="s">
        <v>229</v>
      </c>
      <c r="B311" t="s">
        <v>231</v>
      </c>
      <c r="C311" s="4" t="str">
        <f>IFERROR(VLOOKUP(B311,infoTable10[],4,FALSE),"")</f>
        <v/>
      </c>
      <c r="D311" s="4" t="str">
        <f>IFERROR(VLOOKUP(B311,infoTable__2[],4,FALSE),"")</f>
        <v/>
      </c>
      <c r="E311" s="4" t="str">
        <f>IFERROR(VLOOKUP(B311,infoTable__3[],4,FALSE),"")</f>
        <v/>
      </c>
      <c r="F311" s="4" t="str">
        <f>IFERROR(VLOOKUP(B311,infoTable__4[],4,FALSE),"")</f>
        <v/>
      </c>
      <c r="G311" s="4">
        <f>IFERROR(VLOOKUP(B311,infoTable[],4,FALSE),"")</f>
        <v>440892</v>
      </c>
      <c r="H311" s="4" t="str">
        <f>IFERROR(VLOOKUP(B311,infoTable__6[],4,FALSE),"")</f>
        <v/>
      </c>
      <c r="I311" s="4" t="str">
        <f>IFERROR(VLOOKUP(B311,infoTable__28[],4,FALSE),"")</f>
        <v/>
      </c>
      <c r="J311" s="4" t="str">
        <f>IFERROR(VLOOKUP(B311,infoTable__10[],4,FALSE),"")</f>
        <v/>
      </c>
      <c r="K311" s="4" t="str">
        <f>IFERROR(VLOOKUP(B311,infoTable__11[],4,FALSE),"")</f>
        <v/>
      </c>
      <c r="L311" s="4" t="str">
        <f>IFERROR(VLOOKUP(B311,infoTable__12[],4,FALSE),"")</f>
        <v/>
      </c>
      <c r="M311" s="4">
        <f>IFERROR(VLOOKUP(B311,infoTable__13[],4,FALSE),"")</f>
        <v>1265963</v>
      </c>
      <c r="N311" s="4">
        <f>IFERROR(VLOOKUP(B311,infoTable__14[],4,FALSE),"")</f>
        <v>801741</v>
      </c>
      <c r="O311" s="4">
        <f>IFERROR(VLOOKUP(B311,infoTable__15[],4,FALSE),"")</f>
        <v>1097563</v>
      </c>
      <c r="P311" s="4" t="str">
        <f>IFERROR(VLOOKUP(B311,infoTable__16[],4,FALSE),"")</f>
        <v/>
      </c>
    </row>
    <row r="312" spans="1:16" x14ac:dyDescent="0.55000000000000004">
      <c r="A312" t="s">
        <v>1286</v>
      </c>
      <c r="B312" t="s">
        <v>1287</v>
      </c>
      <c r="C312" s="4" t="str">
        <f>IFERROR(VLOOKUP(B312,infoTable10[],4,FALSE),"")</f>
        <v/>
      </c>
      <c r="D312" s="4" t="str">
        <f>IFERROR(VLOOKUP(B312,infoTable__2[],4,FALSE),"")</f>
        <v/>
      </c>
      <c r="E312" s="4" t="str">
        <f>IFERROR(VLOOKUP(B312,infoTable__3[],4,FALSE),"")</f>
        <v/>
      </c>
      <c r="F312" s="4" t="str">
        <f>IFERROR(VLOOKUP(B312,infoTable__4[],4,FALSE),"")</f>
        <v/>
      </c>
      <c r="G312" s="4" t="str">
        <f>IFERROR(VLOOKUP(B312,infoTable[],4,FALSE),"")</f>
        <v/>
      </c>
      <c r="H312" s="4" t="str">
        <f>IFERROR(VLOOKUP(B312,infoTable__6[],4,FALSE),"")</f>
        <v/>
      </c>
      <c r="I312" s="4">
        <f>IFERROR(VLOOKUP(B312,infoTable__28[],4,FALSE),"")</f>
        <v>685563</v>
      </c>
      <c r="J312" s="4">
        <f>IFERROR(VLOOKUP(B312,infoTable__10[],4,FALSE),"")</f>
        <v>224463</v>
      </c>
      <c r="K312" s="4" t="str">
        <f>IFERROR(VLOOKUP(B312,infoTable__11[],4,FALSE),"")</f>
        <v/>
      </c>
      <c r="L312" s="4" t="str">
        <f>IFERROR(VLOOKUP(B312,infoTable__12[],4,FALSE),"")</f>
        <v/>
      </c>
      <c r="M312" s="4" t="str">
        <f>IFERROR(VLOOKUP(B312,infoTable__13[],4,FALSE),"")</f>
        <v/>
      </c>
      <c r="N312" s="4" t="str">
        <f>IFERROR(VLOOKUP(B312,infoTable__14[],4,FALSE),"")</f>
        <v/>
      </c>
      <c r="O312" s="4" t="str">
        <f>IFERROR(VLOOKUP(B312,infoTable__15[],4,FALSE),"")</f>
        <v/>
      </c>
      <c r="P312" s="4" t="str">
        <f>IFERROR(VLOOKUP(B312,infoTable__16[],4,FALSE),"")</f>
        <v/>
      </c>
    </row>
    <row r="313" spans="1:16" x14ac:dyDescent="0.55000000000000004">
      <c r="A313" t="s">
        <v>2685</v>
      </c>
      <c r="B313" t="s">
        <v>2684</v>
      </c>
      <c r="C313" s="4" t="str">
        <f>IFERROR(VLOOKUP(B313,infoTable10[],4,FALSE),"")</f>
        <v/>
      </c>
      <c r="D313" s="4" t="str">
        <f>IFERROR(VLOOKUP(B313,infoTable__2[],4,FALSE),"")</f>
        <v/>
      </c>
      <c r="E313" s="4" t="str">
        <f>IFERROR(VLOOKUP(B313,infoTable__3[],4,FALSE),"")</f>
        <v/>
      </c>
      <c r="F313" s="4" t="str">
        <f>IFERROR(VLOOKUP(B313,infoTable__4[],4,FALSE),"")</f>
        <v/>
      </c>
      <c r="G313" s="4" t="str">
        <f>IFERROR(VLOOKUP(B313,infoTable[],4,FALSE),"")</f>
        <v/>
      </c>
      <c r="H313" s="4" t="str">
        <f>IFERROR(VLOOKUP(B313,infoTable__6[],4,FALSE),"")</f>
        <v/>
      </c>
      <c r="I313" s="4" t="str">
        <f>IFERROR(VLOOKUP(B313,infoTable__28[],4,FALSE),"")</f>
        <v/>
      </c>
      <c r="J313" s="4" t="str">
        <f>IFERROR(VLOOKUP(B313,infoTable__10[],4,FALSE),"")</f>
        <v/>
      </c>
      <c r="K313" s="4" t="str">
        <f>IFERROR(VLOOKUP(B313,infoTable__11[],4,FALSE),"")</f>
        <v/>
      </c>
      <c r="L313" s="4" t="str">
        <f>IFERROR(VLOOKUP(B313,infoTable__12[],4,FALSE),"")</f>
        <v/>
      </c>
      <c r="M313" s="4" t="str">
        <f>IFERROR(VLOOKUP(B313,infoTable__13[],4,FALSE),"")</f>
        <v/>
      </c>
      <c r="N313" s="4">
        <f>IFERROR(VLOOKUP(B313,infoTable__14[],4,FALSE),"")</f>
        <v>8006150</v>
      </c>
      <c r="O313" s="4">
        <f>IFERROR(VLOOKUP(B313,infoTable__15[],4,FALSE),"")</f>
        <v>6747798</v>
      </c>
      <c r="P313" s="4" t="str">
        <f>IFERROR(VLOOKUP(B313,infoTable__16[],4,FALSE),"")</f>
        <v/>
      </c>
    </row>
    <row r="314" spans="1:16" x14ac:dyDescent="0.55000000000000004">
      <c r="A314" t="s">
        <v>3381</v>
      </c>
      <c r="B314" t="s">
        <v>3382</v>
      </c>
      <c r="C314" s="4" t="str">
        <f>IFERROR(VLOOKUP(B314,infoTable10[],4,FALSE),"")</f>
        <v/>
      </c>
      <c r="D314" s="4" t="str">
        <f>IFERROR(VLOOKUP(B314,infoTable__2[],4,FALSE),"")</f>
        <v/>
      </c>
      <c r="E314" s="4" t="str">
        <f>IFERROR(VLOOKUP(B314,infoTable__3[],4,FALSE),"")</f>
        <v/>
      </c>
      <c r="F314" s="4" t="str">
        <f>IFERROR(VLOOKUP(B314,infoTable__4[],4,FALSE),"")</f>
        <v/>
      </c>
      <c r="G314" s="4" t="str">
        <f>IFERROR(VLOOKUP(B314,infoTable[],4,FALSE),"")</f>
        <v/>
      </c>
      <c r="H314" s="4" t="str">
        <f>IFERROR(VLOOKUP(B314,infoTable__6[],4,FALSE),"")</f>
        <v/>
      </c>
      <c r="I314" s="4" t="str">
        <f>IFERROR(VLOOKUP(B314,infoTable__28[],4,FALSE),"")</f>
        <v/>
      </c>
      <c r="J314" s="4" t="str">
        <f>IFERROR(VLOOKUP(B314,infoTable__10[],4,FALSE),"")</f>
        <v/>
      </c>
      <c r="K314" s="4" t="str">
        <f>IFERROR(VLOOKUP(B314,infoTable__11[],4,FALSE),"")</f>
        <v/>
      </c>
      <c r="L314" s="4" t="str">
        <f>IFERROR(VLOOKUP(B314,infoTable__12[],4,FALSE),"")</f>
        <v/>
      </c>
      <c r="M314" s="4" t="str">
        <f>IFERROR(VLOOKUP(B314,infoTable__13[],4,FALSE),"")</f>
        <v/>
      </c>
      <c r="N314" s="4" t="str">
        <f>IFERROR(VLOOKUP(B314,infoTable__14[],4,FALSE),"")</f>
        <v/>
      </c>
      <c r="O314" s="4" t="str">
        <f>IFERROR(VLOOKUP(B314,infoTable__15[],4,FALSE),"")</f>
        <v/>
      </c>
      <c r="P314" s="4">
        <f>IFERROR(VLOOKUP(B314,infoTable__16[],4,FALSE),"")</f>
        <v>1328100</v>
      </c>
    </row>
    <row r="315" spans="1:16" x14ac:dyDescent="0.55000000000000004">
      <c r="A315" t="s">
        <v>1288</v>
      </c>
      <c r="B315" t="s">
        <v>1289</v>
      </c>
      <c r="C315" s="4" t="str">
        <f>IFERROR(VLOOKUP(B315,infoTable10[],4,FALSE),"")</f>
        <v/>
      </c>
      <c r="D315" s="4" t="str">
        <f>IFERROR(VLOOKUP(B315,infoTable__2[],4,FALSE),"")</f>
        <v/>
      </c>
      <c r="E315" s="4" t="str">
        <f>IFERROR(VLOOKUP(B315,infoTable__3[],4,FALSE),"")</f>
        <v/>
      </c>
      <c r="F315" s="4" t="str">
        <f>IFERROR(VLOOKUP(B315,infoTable__4[],4,FALSE),"")</f>
        <v/>
      </c>
      <c r="G315" s="4" t="str">
        <f>IFERROR(VLOOKUP(B315,infoTable[],4,FALSE),"")</f>
        <v/>
      </c>
      <c r="H315" s="4" t="str">
        <f>IFERROR(VLOOKUP(B315,infoTable__6[],4,FALSE),"")</f>
        <v/>
      </c>
      <c r="I315" s="4">
        <f>IFERROR(VLOOKUP(B315,infoTable__28[],4,FALSE),"")</f>
        <v>314539</v>
      </c>
      <c r="J315" s="4">
        <f>IFERROR(VLOOKUP(B315,infoTable__10[],4,FALSE),"")</f>
        <v>1212050</v>
      </c>
      <c r="K315" s="4">
        <f>IFERROR(VLOOKUP(B315,infoTable__11[],4,FALSE),"")</f>
        <v>465981</v>
      </c>
      <c r="L315" s="4">
        <f>IFERROR(VLOOKUP(B315,infoTable__12[],4,FALSE),"")</f>
        <v>450633</v>
      </c>
      <c r="M315" s="4">
        <f>IFERROR(VLOOKUP(B315,infoTable__13[],4,FALSE),"")</f>
        <v>289711</v>
      </c>
      <c r="N315" s="4" t="str">
        <f>IFERROR(VLOOKUP(B315,infoTable__14[],4,FALSE),"")</f>
        <v/>
      </c>
      <c r="O315" s="4" t="str">
        <f>IFERROR(VLOOKUP(B315,infoTable__15[],4,FALSE),"")</f>
        <v/>
      </c>
      <c r="P315" s="4" t="str">
        <f>IFERROR(VLOOKUP(B315,infoTable__16[],4,FALSE),"")</f>
        <v/>
      </c>
    </row>
    <row r="316" spans="1:16" x14ac:dyDescent="0.55000000000000004">
      <c r="A316" t="s">
        <v>232</v>
      </c>
      <c r="B316" t="s">
        <v>233</v>
      </c>
      <c r="C316" s="4">
        <f>IFERROR(VLOOKUP(B316,infoTable10[],4,FALSE),"")</f>
        <v>389550</v>
      </c>
      <c r="D316" s="4" t="str">
        <f>IFERROR(VLOOKUP(B316,infoTable__2[],4,FALSE),"")</f>
        <v/>
      </c>
      <c r="E316" s="4">
        <f>IFERROR(VLOOKUP(B316,infoTable__3[],4,FALSE),"")</f>
        <v>272555</v>
      </c>
      <c r="F316" s="4">
        <f>IFERROR(VLOOKUP(B316,infoTable__4[],4,FALSE),"")</f>
        <v>1022565</v>
      </c>
      <c r="G316" s="4">
        <f>IFERROR(VLOOKUP(B316,infoTable[],4,FALSE),"")</f>
        <v>1037173</v>
      </c>
      <c r="H316" s="4">
        <f>IFERROR(VLOOKUP(B316,infoTable__6[],4,FALSE),"")</f>
        <v>672494</v>
      </c>
      <c r="I316" s="4" t="str">
        <f>IFERROR(VLOOKUP(B316,infoTable__28[],4,FALSE),"")</f>
        <v/>
      </c>
      <c r="J316" s="4" t="str">
        <f>IFERROR(VLOOKUP(B316,infoTable__10[],4,FALSE),"")</f>
        <v/>
      </c>
      <c r="K316" s="4" t="str">
        <f>IFERROR(VLOOKUP(B316,infoTable__11[],4,FALSE),"")</f>
        <v/>
      </c>
      <c r="L316" s="4" t="str">
        <f>IFERROR(VLOOKUP(B316,infoTable__12[],4,FALSE),"")</f>
        <v/>
      </c>
      <c r="M316" s="4" t="str">
        <f>IFERROR(VLOOKUP(B316,infoTable__13[],4,FALSE),"")</f>
        <v/>
      </c>
      <c r="N316" s="4" t="str">
        <f>IFERROR(VLOOKUP(B316,infoTable__14[],4,FALSE),"")</f>
        <v/>
      </c>
      <c r="O316" s="4" t="str">
        <f>IFERROR(VLOOKUP(B316,infoTable__15[],4,FALSE),"")</f>
        <v/>
      </c>
      <c r="P316" s="4" t="str">
        <f>IFERROR(VLOOKUP(B316,infoTable__16[],4,FALSE),"")</f>
        <v/>
      </c>
    </row>
    <row r="317" spans="1:16" x14ac:dyDescent="0.55000000000000004">
      <c r="A317" t="s">
        <v>1678</v>
      </c>
      <c r="B317" t="s">
        <v>1679</v>
      </c>
      <c r="C317" s="4" t="str">
        <f>IFERROR(VLOOKUP(B317,infoTable10[],4,FALSE),"")</f>
        <v/>
      </c>
      <c r="D317" s="4" t="str">
        <f>IFERROR(VLOOKUP(B317,infoTable__2[],4,FALSE),"")</f>
        <v/>
      </c>
      <c r="E317" s="4" t="str">
        <f>IFERROR(VLOOKUP(B317,infoTable__3[],4,FALSE),"")</f>
        <v/>
      </c>
      <c r="F317" s="4" t="str">
        <f>IFERROR(VLOOKUP(B317,infoTable__4[],4,FALSE),"")</f>
        <v/>
      </c>
      <c r="G317" s="4" t="str">
        <f>IFERROR(VLOOKUP(B317,infoTable[],4,FALSE),"")</f>
        <v/>
      </c>
      <c r="H317" s="4" t="str">
        <f>IFERROR(VLOOKUP(B317,infoTable__6[],4,FALSE),"")</f>
        <v/>
      </c>
      <c r="I317" s="4" t="str">
        <f>IFERROR(VLOOKUP(B317,infoTable__28[],4,FALSE),"")</f>
        <v/>
      </c>
      <c r="J317" s="4">
        <f>IFERROR(VLOOKUP(B317,infoTable__10[],4,FALSE),"")</f>
        <v>281088</v>
      </c>
      <c r="K317" s="4">
        <f>IFERROR(VLOOKUP(B317,infoTable__11[],4,FALSE),"")</f>
        <v>280900</v>
      </c>
      <c r="L317" s="4">
        <f>IFERROR(VLOOKUP(B317,infoTable__12[],4,FALSE),"")</f>
        <v>316237</v>
      </c>
      <c r="M317" s="4">
        <f>IFERROR(VLOOKUP(B317,infoTable__13[],4,FALSE),"")</f>
        <v>273989</v>
      </c>
      <c r="N317" s="4" t="str">
        <f>IFERROR(VLOOKUP(B317,infoTable__14[],4,FALSE),"")</f>
        <v/>
      </c>
      <c r="O317" s="4" t="str">
        <f>IFERROR(VLOOKUP(B317,infoTable__15[],4,FALSE),"")</f>
        <v/>
      </c>
      <c r="P317" s="4" t="str">
        <f>IFERROR(VLOOKUP(B317,infoTable__16[],4,FALSE),"")</f>
        <v/>
      </c>
    </row>
    <row r="318" spans="1:16" x14ac:dyDescent="0.55000000000000004">
      <c r="A318" t="s">
        <v>588</v>
      </c>
      <c r="B318" t="s">
        <v>589</v>
      </c>
      <c r="C318" s="4" t="str">
        <f>IFERROR(VLOOKUP(B318,infoTable10[],4,FALSE),"")</f>
        <v/>
      </c>
      <c r="D318" s="4">
        <f>IFERROR(VLOOKUP(B318,infoTable__2[],4,FALSE),"")</f>
        <v>1345344</v>
      </c>
      <c r="E318" s="4" t="str">
        <f>IFERROR(VLOOKUP(B318,infoTable__3[],4,FALSE),"")</f>
        <v/>
      </c>
      <c r="F318" s="4" t="str">
        <f>IFERROR(VLOOKUP(B318,infoTable__4[],4,FALSE),"")</f>
        <v/>
      </c>
      <c r="G318" s="4" t="str">
        <f>IFERROR(VLOOKUP(B318,infoTable[],4,FALSE),"")</f>
        <v/>
      </c>
      <c r="H318" s="4" t="str">
        <f>IFERROR(VLOOKUP(B318,infoTable__6[],4,FALSE),"")</f>
        <v/>
      </c>
      <c r="I318" s="4" t="str">
        <f>IFERROR(VLOOKUP(B318,infoTable__28[],4,FALSE),"")</f>
        <v/>
      </c>
      <c r="J318" s="4" t="str">
        <f>IFERROR(VLOOKUP(B318,infoTable__10[],4,FALSE),"")</f>
        <v/>
      </c>
      <c r="K318" s="4">
        <f>IFERROR(VLOOKUP(B318,infoTable__11[],4,FALSE),"")</f>
        <v>3273350</v>
      </c>
      <c r="L318" s="4">
        <f>IFERROR(VLOOKUP(B318,infoTable__12[],4,FALSE),"")</f>
        <v>4240687</v>
      </c>
      <c r="M318" s="4">
        <f>IFERROR(VLOOKUP(B318,infoTable__13[],4,FALSE),"")</f>
        <v>4530180</v>
      </c>
      <c r="N318" s="4">
        <f>IFERROR(VLOOKUP(B318,infoTable__14[],4,FALSE),"")</f>
        <v>1058735</v>
      </c>
      <c r="O318" s="4">
        <f>IFERROR(VLOOKUP(B318,infoTable__15[],4,FALSE),"")</f>
        <v>291909</v>
      </c>
      <c r="P318" s="4">
        <f>IFERROR(VLOOKUP(B318,infoTable__16[],4,FALSE),"")</f>
        <v>765814</v>
      </c>
    </row>
    <row r="319" spans="1:16" x14ac:dyDescent="0.55000000000000004">
      <c r="A319" t="s">
        <v>234</v>
      </c>
      <c r="B319" t="s">
        <v>235</v>
      </c>
      <c r="C319" s="4" t="str">
        <f>IFERROR(VLOOKUP(B319,infoTable10[],4,FALSE),"")</f>
        <v/>
      </c>
      <c r="D319" s="4" t="str">
        <f>IFERROR(VLOOKUP(B319,infoTable__2[],4,FALSE),"")</f>
        <v/>
      </c>
      <c r="E319" s="4" t="str">
        <f>IFERROR(VLOOKUP(B319,infoTable__3[],4,FALSE),"")</f>
        <v/>
      </c>
      <c r="F319" s="4" t="str">
        <f>IFERROR(VLOOKUP(B319,infoTable__4[],4,FALSE),"")</f>
        <v/>
      </c>
      <c r="G319" s="4">
        <f>IFERROR(VLOOKUP(B319,infoTable[],4,FALSE),"")</f>
        <v>684063</v>
      </c>
      <c r="H319" s="4">
        <f>IFERROR(VLOOKUP(B319,infoTable__6[],4,FALSE),"")</f>
        <v>949023</v>
      </c>
      <c r="I319" s="4">
        <f>IFERROR(VLOOKUP(B319,infoTable__28[],4,FALSE),"")</f>
        <v>569333</v>
      </c>
      <c r="J319" s="4">
        <f>IFERROR(VLOOKUP(B319,infoTable__10[],4,FALSE),"")</f>
        <v>228650</v>
      </c>
      <c r="K319" s="4">
        <f>IFERROR(VLOOKUP(B319,infoTable__11[],4,FALSE),"")</f>
        <v>214682</v>
      </c>
      <c r="L319" s="4" t="str">
        <f>IFERROR(VLOOKUP(B319,infoTable__12[],4,FALSE),"")</f>
        <v/>
      </c>
      <c r="M319" s="4" t="str">
        <f>IFERROR(VLOOKUP(B319,infoTable__13[],4,FALSE),"")</f>
        <v/>
      </c>
      <c r="N319" s="4" t="str">
        <f>IFERROR(VLOOKUP(B319,infoTable__14[],4,FALSE),"")</f>
        <v/>
      </c>
      <c r="O319" s="4" t="str">
        <f>IFERROR(VLOOKUP(B319,infoTable__15[],4,FALSE),"")</f>
        <v/>
      </c>
      <c r="P319" s="4">
        <f>IFERROR(VLOOKUP(B319,infoTable__16[],4,FALSE),"")</f>
        <v>1140202</v>
      </c>
    </row>
    <row r="320" spans="1:16" x14ac:dyDescent="0.55000000000000004">
      <c r="A320" t="s">
        <v>854</v>
      </c>
      <c r="B320" t="s">
        <v>855</v>
      </c>
      <c r="C320" s="4" t="str">
        <f>IFERROR(VLOOKUP(B320,infoTable10[],4,FALSE),"")</f>
        <v/>
      </c>
      <c r="D320" s="4" t="str">
        <f>IFERROR(VLOOKUP(B320,infoTable__2[],4,FALSE),"")</f>
        <v/>
      </c>
      <c r="E320" s="4" t="str">
        <f>IFERROR(VLOOKUP(B320,infoTable__3[],4,FALSE),"")</f>
        <v/>
      </c>
      <c r="F320" s="4">
        <f>IFERROR(VLOOKUP(B320,infoTable__4[],4,FALSE),"")</f>
        <v>251703</v>
      </c>
      <c r="G320" s="4" t="str">
        <f>IFERROR(VLOOKUP(B320,infoTable[],4,FALSE),"")</f>
        <v/>
      </c>
      <c r="H320" s="4" t="str">
        <f>IFERROR(VLOOKUP(B320,infoTable__6[],4,FALSE),"")</f>
        <v/>
      </c>
      <c r="I320" s="4" t="str">
        <f>IFERROR(VLOOKUP(B320,infoTable__28[],4,FALSE),"")</f>
        <v/>
      </c>
      <c r="J320" s="4" t="str">
        <f>IFERROR(VLOOKUP(B320,infoTable__10[],4,FALSE),"")</f>
        <v/>
      </c>
      <c r="K320" s="4" t="str">
        <f>IFERROR(VLOOKUP(B320,infoTable__11[],4,FALSE),"")</f>
        <v/>
      </c>
      <c r="L320" s="4" t="str">
        <f>IFERROR(VLOOKUP(B320,infoTable__12[],4,FALSE),"")</f>
        <v/>
      </c>
      <c r="M320" s="4" t="str">
        <f>IFERROR(VLOOKUP(B320,infoTable__13[],4,FALSE),"")</f>
        <v/>
      </c>
      <c r="N320" s="4" t="str">
        <f>IFERROR(VLOOKUP(B320,infoTable__14[],4,FALSE),"")</f>
        <v/>
      </c>
      <c r="O320" s="4" t="str">
        <f>IFERROR(VLOOKUP(B320,infoTable__15[],4,FALSE),"")</f>
        <v/>
      </c>
      <c r="P320" s="4" t="str">
        <f>IFERROR(VLOOKUP(B320,infoTable__16[],4,FALSE),"")</f>
        <v/>
      </c>
    </row>
    <row r="321" spans="1:16" x14ac:dyDescent="0.55000000000000004">
      <c r="A321" t="s">
        <v>3385</v>
      </c>
      <c r="B321" t="s">
        <v>3386</v>
      </c>
      <c r="C321" s="4" t="str">
        <f>IFERROR(VLOOKUP(B321,infoTable10[],4,FALSE),"")</f>
        <v/>
      </c>
      <c r="D321" s="4" t="str">
        <f>IFERROR(VLOOKUP(B321,infoTable__2[],4,FALSE),"")</f>
        <v/>
      </c>
      <c r="E321" s="4" t="str">
        <f>IFERROR(VLOOKUP(B321,infoTable__3[],4,FALSE),"")</f>
        <v/>
      </c>
      <c r="F321" s="4" t="str">
        <f>IFERROR(VLOOKUP(B321,infoTable__4[],4,FALSE),"")</f>
        <v/>
      </c>
      <c r="G321" s="4" t="str">
        <f>IFERROR(VLOOKUP(B321,infoTable[],4,FALSE),"")</f>
        <v/>
      </c>
      <c r="H321" s="4" t="str">
        <f>IFERROR(VLOOKUP(B321,infoTable__6[],4,FALSE),"")</f>
        <v/>
      </c>
      <c r="I321" s="4" t="str">
        <f>IFERROR(VLOOKUP(B321,infoTable__28[],4,FALSE),"")</f>
        <v/>
      </c>
      <c r="J321" s="4" t="str">
        <f>IFERROR(VLOOKUP(B321,infoTable__10[],4,FALSE),"")</f>
        <v/>
      </c>
      <c r="K321" s="4" t="str">
        <f>IFERROR(VLOOKUP(B321,infoTable__11[],4,FALSE),"")</f>
        <v/>
      </c>
      <c r="L321" s="4" t="str">
        <f>IFERROR(VLOOKUP(B321,infoTable__12[],4,FALSE),"")</f>
        <v/>
      </c>
      <c r="M321" s="4" t="str">
        <f>IFERROR(VLOOKUP(B321,infoTable__13[],4,FALSE),"")</f>
        <v/>
      </c>
      <c r="N321" s="4" t="str">
        <f>IFERROR(VLOOKUP(B321,infoTable__14[],4,FALSE),"")</f>
        <v/>
      </c>
      <c r="O321" s="4" t="str">
        <f>IFERROR(VLOOKUP(B321,infoTable__15[],4,FALSE),"")</f>
        <v/>
      </c>
      <c r="P321" s="4">
        <f>IFERROR(VLOOKUP(B321,infoTable__16[],4,FALSE),"")</f>
        <v>583933</v>
      </c>
    </row>
    <row r="322" spans="1:16" x14ac:dyDescent="0.55000000000000004">
      <c r="A322" t="s">
        <v>1292</v>
      </c>
      <c r="B322" t="s">
        <v>1293</v>
      </c>
      <c r="C322" s="4" t="str">
        <f>IFERROR(VLOOKUP(B322,infoTable10[],4,FALSE),"")</f>
        <v/>
      </c>
      <c r="D322" s="4" t="str">
        <f>IFERROR(VLOOKUP(B322,infoTable__2[],4,FALSE),"")</f>
        <v/>
      </c>
      <c r="E322" s="4" t="str">
        <f>IFERROR(VLOOKUP(B322,infoTable__3[],4,FALSE),"")</f>
        <v/>
      </c>
      <c r="F322" s="4" t="str">
        <f>IFERROR(VLOOKUP(B322,infoTable__4[],4,FALSE),"")</f>
        <v/>
      </c>
      <c r="G322" s="4" t="str">
        <f>IFERROR(VLOOKUP(B322,infoTable[],4,FALSE),"")</f>
        <v/>
      </c>
      <c r="H322" s="4" t="str">
        <f>IFERROR(VLOOKUP(B322,infoTable__6[],4,FALSE),"")</f>
        <v/>
      </c>
      <c r="I322" s="4">
        <f>IFERROR(VLOOKUP(B322,infoTable__28[],4,FALSE),"")</f>
        <v>207177</v>
      </c>
      <c r="J322" s="4" t="str">
        <f>IFERROR(VLOOKUP(B322,infoTable__10[],4,FALSE),"")</f>
        <v/>
      </c>
      <c r="K322" s="4" t="str">
        <f>IFERROR(VLOOKUP(B322,infoTable__11[],4,FALSE),"")</f>
        <v/>
      </c>
      <c r="L322" s="4" t="str">
        <f>IFERROR(VLOOKUP(B322,infoTable__12[],4,FALSE),"")</f>
        <v/>
      </c>
      <c r="M322" s="4" t="str">
        <f>IFERROR(VLOOKUP(B322,infoTable__13[],4,FALSE),"")</f>
        <v/>
      </c>
      <c r="N322" s="4" t="str">
        <f>IFERROR(VLOOKUP(B322,infoTable__14[],4,FALSE),"")</f>
        <v/>
      </c>
      <c r="O322" s="4" t="str">
        <f>IFERROR(VLOOKUP(B322,infoTable__15[],4,FALSE),"")</f>
        <v/>
      </c>
      <c r="P322" s="4" t="str">
        <f>IFERROR(VLOOKUP(B322,infoTable__16[],4,FALSE),"")</f>
        <v/>
      </c>
    </row>
    <row r="323" spans="1:16" x14ac:dyDescent="0.55000000000000004">
      <c r="A323" t="s">
        <v>1680</v>
      </c>
      <c r="B323" t="s">
        <v>1681</v>
      </c>
      <c r="C323" s="4" t="str">
        <f>IFERROR(VLOOKUP(B323,infoTable10[],4,FALSE),"")</f>
        <v/>
      </c>
      <c r="D323" s="4" t="str">
        <f>IFERROR(VLOOKUP(B323,infoTable__2[],4,FALSE),"")</f>
        <v/>
      </c>
      <c r="E323" s="4" t="str">
        <f>IFERROR(VLOOKUP(B323,infoTable__3[],4,FALSE),"")</f>
        <v/>
      </c>
      <c r="F323" s="4" t="str">
        <f>IFERROR(VLOOKUP(B323,infoTable__4[],4,FALSE),"")</f>
        <v/>
      </c>
      <c r="G323" s="4" t="str">
        <f>IFERROR(VLOOKUP(B323,infoTable[],4,FALSE),"")</f>
        <v/>
      </c>
      <c r="H323" s="4" t="str">
        <f>IFERROR(VLOOKUP(B323,infoTable__6[],4,FALSE),"")</f>
        <v/>
      </c>
      <c r="I323" s="4" t="str">
        <f>IFERROR(VLOOKUP(B323,infoTable__28[],4,FALSE),"")</f>
        <v/>
      </c>
      <c r="J323" s="4">
        <f>IFERROR(VLOOKUP(B323,infoTable__10[],4,FALSE),"")</f>
        <v>704568</v>
      </c>
      <c r="K323" s="4" t="str">
        <f>IFERROR(VLOOKUP(B323,infoTable__11[],4,FALSE),"")</f>
        <v/>
      </c>
      <c r="L323" s="4" t="str">
        <f>IFERROR(VLOOKUP(B323,infoTable__12[],4,FALSE),"")</f>
        <v/>
      </c>
      <c r="M323" s="4" t="str">
        <f>IFERROR(VLOOKUP(B323,infoTable__13[],4,FALSE),"")</f>
        <v/>
      </c>
      <c r="N323" s="4" t="str">
        <f>IFERROR(VLOOKUP(B323,infoTable__14[],4,FALSE),"")</f>
        <v/>
      </c>
      <c r="O323" s="4" t="str">
        <f>IFERROR(VLOOKUP(B323,infoTable__15[],4,FALSE),"")</f>
        <v/>
      </c>
      <c r="P323" s="4" t="str">
        <f>IFERROR(VLOOKUP(B323,infoTable__16[],4,FALSE),"")</f>
        <v/>
      </c>
    </row>
    <row r="324" spans="1:16" x14ac:dyDescent="0.55000000000000004">
      <c r="A324" t="s">
        <v>1508</v>
      </c>
      <c r="B324" t="s">
        <v>1509</v>
      </c>
      <c r="C324" s="4">
        <f>IFERROR(VLOOKUP(B324,infoTable10[],4,FALSE),"")</f>
        <v>546079</v>
      </c>
      <c r="D324" s="4" t="str">
        <f>IFERROR(VLOOKUP(B324,infoTable__2[],4,FALSE),"")</f>
        <v/>
      </c>
      <c r="E324" s="4" t="str">
        <f>IFERROR(VLOOKUP(B324,infoTable__3[],4,FALSE),"")</f>
        <v/>
      </c>
      <c r="F324" s="4" t="str">
        <f>IFERROR(VLOOKUP(B324,infoTable__4[],4,FALSE),"")</f>
        <v/>
      </c>
      <c r="G324" s="4" t="str">
        <f>IFERROR(VLOOKUP(B324,infoTable[],4,FALSE),"")</f>
        <v/>
      </c>
      <c r="H324" s="4" t="str">
        <f>IFERROR(VLOOKUP(B324,infoTable__6[],4,FALSE),"")</f>
        <v/>
      </c>
      <c r="I324" s="4" t="str">
        <f>IFERROR(VLOOKUP(B324,infoTable__28[],4,FALSE),"")</f>
        <v/>
      </c>
      <c r="J324" s="4" t="str">
        <f>IFERROR(VLOOKUP(B324,infoTable__10[],4,FALSE),"")</f>
        <v/>
      </c>
      <c r="K324" s="4" t="str">
        <f>IFERROR(VLOOKUP(B324,infoTable__11[],4,FALSE),"")</f>
        <v/>
      </c>
      <c r="L324" s="4" t="str">
        <f>IFERROR(VLOOKUP(B324,infoTable__12[],4,FALSE),"")</f>
        <v/>
      </c>
      <c r="M324" s="4" t="str">
        <f>IFERROR(VLOOKUP(B324,infoTable__13[],4,FALSE),"")</f>
        <v/>
      </c>
      <c r="N324" s="4" t="str">
        <f>IFERROR(VLOOKUP(B324,infoTable__14[],4,FALSE),"")</f>
        <v/>
      </c>
      <c r="O324" s="4" t="str">
        <f>IFERROR(VLOOKUP(B324,infoTable__15[],4,FALSE),"")</f>
        <v/>
      </c>
      <c r="P324" s="4" t="str">
        <f>IFERROR(VLOOKUP(B324,infoTable__16[],4,FALSE),"")</f>
        <v/>
      </c>
    </row>
    <row r="325" spans="1:16" x14ac:dyDescent="0.55000000000000004">
      <c r="A325" t="s">
        <v>590</v>
      </c>
      <c r="B325" t="s">
        <v>591</v>
      </c>
      <c r="C325" s="4" t="str">
        <f>IFERROR(VLOOKUP(B325,infoTable10[],4,FALSE),"")</f>
        <v/>
      </c>
      <c r="D325" s="4">
        <f>IFERROR(VLOOKUP(B325,infoTable__2[],4,FALSE),"")</f>
        <v>1586754</v>
      </c>
      <c r="E325" s="4" t="str">
        <f>IFERROR(VLOOKUP(B325,infoTable__3[],4,FALSE),"")</f>
        <v/>
      </c>
      <c r="F325" s="4" t="str">
        <f>IFERROR(VLOOKUP(B325,infoTable__4[],4,FALSE),"")</f>
        <v/>
      </c>
      <c r="G325" s="4" t="str">
        <f>IFERROR(VLOOKUP(B325,infoTable[],4,FALSE),"")</f>
        <v/>
      </c>
      <c r="H325" s="4" t="str">
        <f>IFERROR(VLOOKUP(B325,infoTable__6[],4,FALSE),"")</f>
        <v/>
      </c>
      <c r="I325" s="4" t="str">
        <f>IFERROR(VLOOKUP(B325,infoTable__28[],4,FALSE),"")</f>
        <v/>
      </c>
      <c r="J325" s="4" t="str">
        <f>IFERROR(VLOOKUP(B325,infoTable__10[],4,FALSE),"")</f>
        <v/>
      </c>
      <c r="K325" s="4" t="str">
        <f>IFERROR(VLOOKUP(B325,infoTable__11[],4,FALSE),"")</f>
        <v/>
      </c>
      <c r="L325" s="4" t="str">
        <f>IFERROR(VLOOKUP(B325,infoTable__12[],4,FALSE),"")</f>
        <v/>
      </c>
      <c r="M325" s="4" t="str">
        <f>IFERROR(VLOOKUP(B325,infoTable__13[],4,FALSE),"")</f>
        <v/>
      </c>
      <c r="N325" s="4" t="str">
        <f>IFERROR(VLOOKUP(B325,infoTable__14[],4,FALSE),"")</f>
        <v/>
      </c>
      <c r="O325" s="4">
        <f>IFERROR(VLOOKUP(B325,infoTable__15[],4,FALSE),"")</f>
        <v>2249588</v>
      </c>
      <c r="P325" s="4">
        <f>IFERROR(VLOOKUP(B325,infoTable__16[],4,FALSE),"")</f>
        <v>1847945</v>
      </c>
    </row>
    <row r="326" spans="1:16" x14ac:dyDescent="0.55000000000000004">
      <c r="A326" t="s">
        <v>236</v>
      </c>
      <c r="B326" t="s">
        <v>237</v>
      </c>
      <c r="C326" s="4" t="str">
        <f>IFERROR(VLOOKUP(B326,infoTable10[],4,FALSE),"")</f>
        <v/>
      </c>
      <c r="D326" s="4" t="str">
        <f>IFERROR(VLOOKUP(B326,infoTable__2[],4,FALSE),"")</f>
        <v/>
      </c>
      <c r="E326" s="4" t="str">
        <f>IFERROR(VLOOKUP(B326,infoTable__3[],4,FALSE),"")</f>
        <v/>
      </c>
      <c r="F326" s="4" t="str">
        <f>IFERROR(VLOOKUP(B326,infoTable__4[],4,FALSE),"")</f>
        <v/>
      </c>
      <c r="G326" s="4">
        <f>IFERROR(VLOOKUP(B326,infoTable[],4,FALSE),"")</f>
        <v>230514</v>
      </c>
      <c r="H326" s="4" t="str">
        <f>IFERROR(VLOOKUP(B326,infoTable__6[],4,FALSE),"")</f>
        <v/>
      </c>
      <c r="I326" s="4" t="str">
        <f>IFERROR(VLOOKUP(B326,infoTable__28[],4,FALSE),"")</f>
        <v/>
      </c>
      <c r="J326" s="4" t="str">
        <f>IFERROR(VLOOKUP(B326,infoTable__10[],4,FALSE),"")</f>
        <v/>
      </c>
      <c r="K326" s="4" t="str">
        <f>IFERROR(VLOOKUP(B326,infoTable__11[],4,FALSE),"")</f>
        <v/>
      </c>
      <c r="L326" s="4" t="str">
        <f>IFERROR(VLOOKUP(B326,infoTable__12[],4,FALSE),"")</f>
        <v/>
      </c>
      <c r="M326" s="4" t="str">
        <f>IFERROR(VLOOKUP(B326,infoTable__13[],4,FALSE),"")</f>
        <v/>
      </c>
      <c r="N326" s="4" t="str">
        <f>IFERROR(VLOOKUP(B326,infoTable__14[],4,FALSE),"")</f>
        <v/>
      </c>
      <c r="O326" s="4" t="str">
        <f>IFERROR(VLOOKUP(B326,infoTable__15[],4,FALSE),"")</f>
        <v/>
      </c>
      <c r="P326" s="4" t="str">
        <f>IFERROR(VLOOKUP(B326,infoTable__16[],4,FALSE),"")</f>
        <v/>
      </c>
    </row>
    <row r="327" spans="1:16" x14ac:dyDescent="0.55000000000000004">
      <c r="A327" t="s">
        <v>238</v>
      </c>
      <c r="B327" t="s">
        <v>239</v>
      </c>
      <c r="C327" s="4" t="str">
        <f>IFERROR(VLOOKUP(B327,infoTable10[],4,FALSE),"")</f>
        <v/>
      </c>
      <c r="D327" s="4" t="str">
        <f>IFERROR(VLOOKUP(B327,infoTable__2[],4,FALSE),"")</f>
        <v/>
      </c>
      <c r="E327" s="4" t="str">
        <f>IFERROR(VLOOKUP(B327,infoTable__3[],4,FALSE),"")</f>
        <v/>
      </c>
      <c r="F327" s="4">
        <f>IFERROR(VLOOKUP(B327,infoTable__4[],4,FALSE),"")</f>
        <v>1268632</v>
      </c>
      <c r="G327" s="4">
        <f>IFERROR(VLOOKUP(B327,infoTable[],4,FALSE),"")</f>
        <v>1886688</v>
      </c>
      <c r="H327" s="4">
        <f>IFERROR(VLOOKUP(B327,infoTable__6[],4,FALSE),"")</f>
        <v>356064</v>
      </c>
      <c r="I327" s="4" t="str">
        <f>IFERROR(VLOOKUP(B327,infoTable__28[],4,FALSE),"")</f>
        <v/>
      </c>
      <c r="J327" s="4" t="str">
        <f>IFERROR(VLOOKUP(B327,infoTable__10[],4,FALSE),"")</f>
        <v/>
      </c>
      <c r="K327" s="4" t="str">
        <f>IFERROR(VLOOKUP(B327,infoTable__11[],4,FALSE),"")</f>
        <v/>
      </c>
      <c r="L327" s="4" t="str">
        <f>IFERROR(VLOOKUP(B327,infoTable__12[],4,FALSE),"")</f>
        <v/>
      </c>
      <c r="M327" s="4" t="str">
        <f>IFERROR(VLOOKUP(B327,infoTable__13[],4,FALSE),"")</f>
        <v/>
      </c>
      <c r="N327" s="4" t="str">
        <f>IFERROR(VLOOKUP(B327,infoTable__14[],4,FALSE),"")</f>
        <v/>
      </c>
      <c r="O327" s="4" t="str">
        <f>IFERROR(VLOOKUP(B327,infoTable__15[],4,FALSE),"")</f>
        <v/>
      </c>
      <c r="P327" s="4" t="str">
        <f>IFERROR(VLOOKUP(B327,infoTable__16[],4,FALSE),"")</f>
        <v/>
      </c>
    </row>
    <row r="328" spans="1:16" x14ac:dyDescent="0.55000000000000004">
      <c r="A328" t="s">
        <v>856</v>
      </c>
      <c r="B328" t="s">
        <v>857</v>
      </c>
      <c r="C328" s="4" t="str">
        <f>IFERROR(VLOOKUP(B328,infoTable10[],4,FALSE),"")</f>
        <v/>
      </c>
      <c r="D328" s="4" t="str">
        <f>IFERROR(VLOOKUP(B328,infoTable__2[],4,FALSE),"")</f>
        <v/>
      </c>
      <c r="E328" s="4" t="str">
        <f>IFERROR(VLOOKUP(B328,infoTable__3[],4,FALSE),"")</f>
        <v/>
      </c>
      <c r="F328" s="4">
        <f>IFERROR(VLOOKUP(B328,infoTable__4[],4,FALSE),"")</f>
        <v>975206</v>
      </c>
      <c r="G328" s="4" t="str">
        <f>IFERROR(VLOOKUP(B328,infoTable[],4,FALSE),"")</f>
        <v/>
      </c>
      <c r="H328" s="4" t="str">
        <f>IFERROR(VLOOKUP(B328,infoTable__6[],4,FALSE),"")</f>
        <v/>
      </c>
      <c r="I328" s="4" t="str">
        <f>IFERROR(VLOOKUP(B328,infoTable__28[],4,FALSE),"")</f>
        <v/>
      </c>
      <c r="J328" s="4" t="str">
        <f>IFERROR(VLOOKUP(B328,infoTable__10[],4,FALSE),"")</f>
        <v/>
      </c>
      <c r="K328" s="4" t="str">
        <f>IFERROR(VLOOKUP(B328,infoTable__11[],4,FALSE),"")</f>
        <v/>
      </c>
      <c r="L328" s="4" t="str">
        <f>IFERROR(VLOOKUP(B328,infoTable__12[],4,FALSE),"")</f>
        <v/>
      </c>
      <c r="M328" s="4" t="str">
        <f>IFERROR(VLOOKUP(B328,infoTable__13[],4,FALSE),"")</f>
        <v/>
      </c>
      <c r="N328" s="4" t="str">
        <f>IFERROR(VLOOKUP(B328,infoTable__14[],4,FALSE),"")</f>
        <v/>
      </c>
      <c r="O328" s="4" t="str">
        <f>IFERROR(VLOOKUP(B328,infoTable__15[],4,FALSE),"")</f>
        <v/>
      </c>
      <c r="P328" s="4" t="str">
        <f>IFERROR(VLOOKUP(B328,infoTable__16[],4,FALSE),"")</f>
        <v/>
      </c>
    </row>
    <row r="329" spans="1:16" x14ac:dyDescent="0.55000000000000004">
      <c r="A329" t="s">
        <v>3387</v>
      </c>
      <c r="B329" t="s">
        <v>3388</v>
      </c>
      <c r="C329" s="4" t="str">
        <f>IFERROR(VLOOKUP(B329,infoTable10[],4,FALSE),"")</f>
        <v/>
      </c>
      <c r="D329" s="4" t="str">
        <f>IFERROR(VLOOKUP(B329,infoTable__2[],4,FALSE),"")</f>
        <v/>
      </c>
      <c r="E329" s="4" t="str">
        <f>IFERROR(VLOOKUP(B329,infoTable__3[],4,FALSE),"")</f>
        <v/>
      </c>
      <c r="F329" s="4" t="str">
        <f>IFERROR(VLOOKUP(B329,infoTable__4[],4,FALSE),"")</f>
        <v/>
      </c>
      <c r="G329" s="4" t="str">
        <f>IFERROR(VLOOKUP(B329,infoTable[],4,FALSE),"")</f>
        <v/>
      </c>
      <c r="H329" s="4" t="str">
        <f>IFERROR(VLOOKUP(B329,infoTable__6[],4,FALSE),"")</f>
        <v/>
      </c>
      <c r="I329" s="4" t="str">
        <f>IFERROR(VLOOKUP(B329,infoTable__28[],4,FALSE),"")</f>
        <v/>
      </c>
      <c r="J329" s="4" t="str">
        <f>IFERROR(VLOOKUP(B329,infoTable__10[],4,FALSE),"")</f>
        <v/>
      </c>
      <c r="K329" s="4" t="str">
        <f>IFERROR(VLOOKUP(B329,infoTable__11[],4,FALSE),"")</f>
        <v/>
      </c>
      <c r="L329" s="4" t="str">
        <f>IFERROR(VLOOKUP(B329,infoTable__12[],4,FALSE),"")</f>
        <v/>
      </c>
      <c r="M329" s="4" t="str">
        <f>IFERROR(VLOOKUP(B329,infoTable__13[],4,FALSE),"")</f>
        <v/>
      </c>
      <c r="N329" s="4" t="str">
        <f>IFERROR(VLOOKUP(B329,infoTable__14[],4,FALSE),"")</f>
        <v/>
      </c>
      <c r="O329" s="4" t="str">
        <f>IFERROR(VLOOKUP(B329,infoTable__15[],4,FALSE),"")</f>
        <v/>
      </c>
      <c r="P329" s="4">
        <f>IFERROR(VLOOKUP(B329,infoTable__16[],4,FALSE),"")</f>
        <v>394138</v>
      </c>
    </row>
    <row r="330" spans="1:16" x14ac:dyDescent="0.55000000000000004">
      <c r="A330" t="s">
        <v>240</v>
      </c>
      <c r="B330" t="s">
        <v>241</v>
      </c>
      <c r="C330" s="4" t="str">
        <f>IFERROR(VLOOKUP(B330,infoTable10[],4,FALSE),"")</f>
        <v/>
      </c>
      <c r="D330" s="4" t="str">
        <f>IFERROR(VLOOKUP(B330,infoTable__2[],4,FALSE),"")</f>
        <v/>
      </c>
      <c r="E330" s="4" t="str">
        <f>IFERROR(VLOOKUP(B330,infoTable__3[],4,FALSE),"")</f>
        <v/>
      </c>
      <c r="F330" s="4">
        <f>IFERROR(VLOOKUP(B330,infoTable__4[],4,FALSE),"")</f>
        <v>146217</v>
      </c>
      <c r="G330" s="4">
        <f>IFERROR(VLOOKUP(B330,infoTable[],4,FALSE),"")</f>
        <v>920788</v>
      </c>
      <c r="H330" s="4">
        <f>IFERROR(VLOOKUP(B330,infoTable__6[],4,FALSE),"")</f>
        <v>973609</v>
      </c>
      <c r="I330" s="4">
        <f>IFERROR(VLOOKUP(B330,infoTable__28[],4,FALSE),"")</f>
        <v>1244563</v>
      </c>
      <c r="J330" s="4">
        <f>IFERROR(VLOOKUP(B330,infoTable__10[],4,FALSE),"")</f>
        <v>743929</v>
      </c>
      <c r="K330" s="4">
        <f>IFERROR(VLOOKUP(B330,infoTable__11[],4,FALSE),"")</f>
        <v>399604</v>
      </c>
      <c r="L330" s="4">
        <f>IFERROR(VLOOKUP(B330,infoTable__12[],4,FALSE),"")</f>
        <v>421428</v>
      </c>
      <c r="M330" s="4" t="str">
        <f>IFERROR(VLOOKUP(B330,infoTable__13[],4,FALSE),"")</f>
        <v/>
      </c>
      <c r="N330" s="4" t="str">
        <f>IFERROR(VLOOKUP(B330,infoTable__14[],4,FALSE),"")</f>
        <v/>
      </c>
      <c r="O330" s="4" t="str">
        <f>IFERROR(VLOOKUP(B330,infoTable__15[],4,FALSE),"")</f>
        <v/>
      </c>
      <c r="P330" s="4" t="str">
        <f>IFERROR(VLOOKUP(B330,infoTable__16[],4,FALSE),"")</f>
        <v/>
      </c>
    </row>
    <row r="331" spans="1:16" x14ac:dyDescent="0.55000000000000004">
      <c r="A331" t="s">
        <v>242</v>
      </c>
      <c r="B331" t="s">
        <v>243</v>
      </c>
      <c r="C331" s="4">
        <f>IFERROR(VLOOKUP(B331,infoTable10[],4,FALSE),"")</f>
        <v>1200396</v>
      </c>
      <c r="D331" s="4">
        <f>IFERROR(VLOOKUP(B331,infoTable__2[],4,FALSE),"")</f>
        <v>2789742</v>
      </c>
      <c r="E331" s="4" t="str">
        <f>IFERROR(VLOOKUP(B331,infoTable__3[],4,FALSE),"")</f>
        <v/>
      </c>
      <c r="F331" s="4">
        <f>IFERROR(VLOOKUP(B331,infoTable__4[],4,FALSE),"")</f>
        <v>3006938</v>
      </c>
      <c r="G331" s="4">
        <f>IFERROR(VLOOKUP(B331,infoTable[],4,FALSE),"")</f>
        <v>4176611</v>
      </c>
      <c r="H331" s="4">
        <f>IFERROR(VLOOKUP(B331,infoTable__6[],4,FALSE),"")</f>
        <v>3158326</v>
      </c>
      <c r="I331" s="4">
        <f>IFERROR(VLOOKUP(B331,infoTable__28[],4,FALSE),"")</f>
        <v>1641254</v>
      </c>
      <c r="J331" s="4">
        <f>IFERROR(VLOOKUP(B331,infoTable__10[],4,FALSE),"")</f>
        <v>1564962</v>
      </c>
      <c r="K331" s="4">
        <f>IFERROR(VLOOKUP(B331,infoTable__11[],4,FALSE),"")</f>
        <v>1208448</v>
      </c>
      <c r="L331" s="4">
        <f>IFERROR(VLOOKUP(B331,infoTable__12[],4,FALSE),"")</f>
        <v>190814</v>
      </c>
      <c r="M331" s="4" t="str">
        <f>IFERROR(VLOOKUP(B331,infoTable__13[],4,FALSE),"")</f>
        <v/>
      </c>
      <c r="N331" s="4" t="str">
        <f>IFERROR(VLOOKUP(B331,infoTable__14[],4,FALSE),"")</f>
        <v/>
      </c>
      <c r="O331" s="4" t="str">
        <f>IFERROR(VLOOKUP(B331,infoTable__15[],4,FALSE),"")</f>
        <v/>
      </c>
      <c r="P331" s="4" t="str">
        <f>IFERROR(VLOOKUP(B331,infoTable__16[],4,FALSE),"")</f>
        <v/>
      </c>
    </row>
    <row r="332" spans="1:16" x14ac:dyDescent="0.55000000000000004">
      <c r="A332" t="s">
        <v>3071</v>
      </c>
      <c r="B332" t="s">
        <v>3072</v>
      </c>
      <c r="C332" s="4" t="str">
        <f>IFERROR(VLOOKUP(B332,infoTable10[],4,FALSE),"")</f>
        <v/>
      </c>
      <c r="D332" s="4" t="str">
        <f>IFERROR(VLOOKUP(B332,infoTable__2[],4,FALSE),"")</f>
        <v/>
      </c>
      <c r="E332" s="4" t="str">
        <f>IFERROR(VLOOKUP(B332,infoTable__3[],4,FALSE),"")</f>
        <v/>
      </c>
      <c r="F332" s="4" t="str">
        <f>IFERROR(VLOOKUP(B332,infoTable__4[],4,FALSE),"")</f>
        <v/>
      </c>
      <c r="G332" s="4" t="str">
        <f>IFERROR(VLOOKUP(B332,infoTable[],4,FALSE),"")</f>
        <v/>
      </c>
      <c r="H332" s="4" t="str">
        <f>IFERROR(VLOOKUP(B332,infoTable__6[],4,FALSE),"")</f>
        <v/>
      </c>
      <c r="I332" s="4" t="str">
        <f>IFERROR(VLOOKUP(B332,infoTable__28[],4,FALSE),"")</f>
        <v/>
      </c>
      <c r="J332" s="4" t="str">
        <f>IFERROR(VLOOKUP(B332,infoTable__10[],4,FALSE),"")</f>
        <v/>
      </c>
      <c r="K332" s="4" t="str">
        <f>IFERROR(VLOOKUP(B332,infoTable__11[],4,FALSE),"")</f>
        <v/>
      </c>
      <c r="L332" s="4" t="str">
        <f>IFERROR(VLOOKUP(B332,infoTable__12[],4,FALSE),"")</f>
        <v/>
      </c>
      <c r="M332" s="4" t="str">
        <f>IFERROR(VLOOKUP(B332,infoTable__13[],4,FALSE),"")</f>
        <v/>
      </c>
      <c r="N332" s="4" t="str">
        <f>IFERROR(VLOOKUP(B332,infoTable__14[],4,FALSE),"")</f>
        <v/>
      </c>
      <c r="O332" s="4">
        <f>IFERROR(VLOOKUP(B332,infoTable__15[],4,FALSE),"")</f>
        <v>185296</v>
      </c>
      <c r="P332" s="4" t="str">
        <f>IFERROR(VLOOKUP(B332,infoTable__16[],4,FALSE),"")</f>
        <v/>
      </c>
    </row>
    <row r="333" spans="1:16" x14ac:dyDescent="0.55000000000000004">
      <c r="A333" t="s">
        <v>1576</v>
      </c>
      <c r="B333" t="s">
        <v>247</v>
      </c>
      <c r="C333" s="4" t="str">
        <f>IFERROR(VLOOKUP(B333,infoTable10[],4,FALSE),"")</f>
        <v/>
      </c>
      <c r="D333" s="4" t="str">
        <f>IFERROR(VLOOKUP(B333,infoTable__2[],4,FALSE),"")</f>
        <v/>
      </c>
      <c r="E333" s="4" t="str">
        <f>IFERROR(VLOOKUP(B333,infoTable__3[],4,FALSE),"")</f>
        <v/>
      </c>
      <c r="F333" s="4" t="str">
        <f>IFERROR(VLOOKUP(B333,infoTable__4[],4,FALSE),"")</f>
        <v/>
      </c>
      <c r="G333" s="4">
        <f>IFERROR(VLOOKUP(B333,infoTable[],4,FALSE),"")</f>
        <v>654485</v>
      </c>
      <c r="H333" s="4" t="str">
        <f>IFERROR(VLOOKUP(B333,infoTable__6[],4,FALSE),"")</f>
        <v/>
      </c>
      <c r="I333" s="4">
        <f>IFERROR(VLOOKUP(B333,infoTable__28[],4,FALSE),"")</f>
        <v>503346</v>
      </c>
      <c r="J333" s="4">
        <f>IFERROR(VLOOKUP(B333,infoTable__10[],4,FALSE),"")</f>
        <v>586761</v>
      </c>
      <c r="K333" s="4">
        <f>IFERROR(VLOOKUP(B333,infoTable__11[],4,FALSE),"")</f>
        <v>843739</v>
      </c>
      <c r="L333" s="4" t="str">
        <f>IFERROR(VLOOKUP(B333,infoTable__12[],4,FALSE),"")</f>
        <v/>
      </c>
      <c r="M333" s="4" t="str">
        <f>IFERROR(VLOOKUP(B333,infoTable__13[],4,FALSE),"")</f>
        <v/>
      </c>
      <c r="N333" s="4">
        <f>IFERROR(VLOOKUP(B333,infoTable__14[],4,FALSE),"")</f>
        <v>8005613</v>
      </c>
      <c r="O333" s="4">
        <f>IFERROR(VLOOKUP(B333,infoTable__15[],4,FALSE),"")</f>
        <v>7366526</v>
      </c>
      <c r="P333" s="4">
        <f>IFERROR(VLOOKUP(B333,infoTable__16[],4,FALSE),"")</f>
        <v>4453831</v>
      </c>
    </row>
    <row r="334" spans="1:16" x14ac:dyDescent="0.55000000000000004">
      <c r="A334" t="s">
        <v>3073</v>
      </c>
      <c r="B334" t="s">
        <v>3074</v>
      </c>
      <c r="C334" s="4" t="str">
        <f>IFERROR(VLOOKUP(B334,infoTable10[],4,FALSE),"")</f>
        <v/>
      </c>
      <c r="D334" s="4" t="str">
        <f>IFERROR(VLOOKUP(B334,infoTable__2[],4,FALSE),"")</f>
        <v/>
      </c>
      <c r="E334" s="4" t="str">
        <f>IFERROR(VLOOKUP(B334,infoTable__3[],4,FALSE),"")</f>
        <v/>
      </c>
      <c r="F334" s="4" t="str">
        <f>IFERROR(VLOOKUP(B334,infoTable__4[],4,FALSE),"")</f>
        <v/>
      </c>
      <c r="G334" s="4" t="str">
        <f>IFERROR(VLOOKUP(B334,infoTable[],4,FALSE),"")</f>
        <v/>
      </c>
      <c r="H334" s="4" t="str">
        <f>IFERROR(VLOOKUP(B334,infoTable__6[],4,FALSE),"")</f>
        <v/>
      </c>
      <c r="I334" s="4" t="str">
        <f>IFERROR(VLOOKUP(B334,infoTable__28[],4,FALSE),"")</f>
        <v/>
      </c>
      <c r="J334" s="4" t="str">
        <f>IFERROR(VLOOKUP(B334,infoTable__10[],4,FALSE),"")</f>
        <v/>
      </c>
      <c r="K334" s="4" t="str">
        <f>IFERROR(VLOOKUP(B334,infoTable__11[],4,FALSE),"")</f>
        <v/>
      </c>
      <c r="L334" s="4" t="str">
        <f>IFERROR(VLOOKUP(B334,infoTable__12[],4,FALSE),"")</f>
        <v/>
      </c>
      <c r="M334" s="4" t="str">
        <f>IFERROR(VLOOKUP(B334,infoTable__13[],4,FALSE),"")</f>
        <v/>
      </c>
      <c r="N334" s="4" t="str">
        <f>IFERROR(VLOOKUP(B334,infoTable__14[],4,FALSE),"")</f>
        <v/>
      </c>
      <c r="O334" s="4">
        <f>IFERROR(VLOOKUP(B334,infoTable__15[],4,FALSE),"")</f>
        <v>720310</v>
      </c>
      <c r="P334" s="4" t="str">
        <f>IFERROR(VLOOKUP(B334,infoTable__16[],4,FALSE),"")</f>
        <v/>
      </c>
    </row>
    <row r="335" spans="1:16" x14ac:dyDescent="0.55000000000000004">
      <c r="A335" t="s">
        <v>1294</v>
      </c>
      <c r="B335" t="s">
        <v>1295</v>
      </c>
      <c r="C335" s="4" t="str">
        <f>IFERROR(VLOOKUP(B335,infoTable10[],4,FALSE),"")</f>
        <v/>
      </c>
      <c r="D335" s="4" t="str">
        <f>IFERROR(VLOOKUP(B335,infoTable__2[],4,FALSE),"")</f>
        <v/>
      </c>
      <c r="E335" s="4" t="str">
        <f>IFERROR(VLOOKUP(B335,infoTable__3[],4,FALSE),"")</f>
        <v/>
      </c>
      <c r="F335" s="4" t="str">
        <f>IFERROR(VLOOKUP(B335,infoTable__4[],4,FALSE),"")</f>
        <v/>
      </c>
      <c r="G335" s="4" t="str">
        <f>IFERROR(VLOOKUP(B335,infoTable[],4,FALSE),"")</f>
        <v/>
      </c>
      <c r="H335" s="4" t="str">
        <f>IFERROR(VLOOKUP(B335,infoTable__6[],4,FALSE),"")</f>
        <v/>
      </c>
      <c r="I335" s="4">
        <f>IFERROR(VLOOKUP(B335,infoTable__28[],4,FALSE),"")</f>
        <v>209540</v>
      </c>
      <c r="J335" s="4" t="str">
        <f>IFERROR(VLOOKUP(B335,infoTable__10[],4,FALSE),"")</f>
        <v/>
      </c>
      <c r="K335" s="4" t="str">
        <f>IFERROR(VLOOKUP(B335,infoTable__11[],4,FALSE),"")</f>
        <v/>
      </c>
      <c r="L335" s="4" t="str">
        <f>IFERROR(VLOOKUP(B335,infoTable__12[],4,FALSE),"")</f>
        <v/>
      </c>
      <c r="M335" s="4" t="str">
        <f>IFERROR(VLOOKUP(B335,infoTable__13[],4,FALSE),"")</f>
        <v/>
      </c>
      <c r="N335" s="4" t="str">
        <f>IFERROR(VLOOKUP(B335,infoTable__14[],4,FALSE),"")</f>
        <v/>
      </c>
      <c r="O335" s="4">
        <f>IFERROR(VLOOKUP(B335,infoTable__15[],4,FALSE),"")</f>
        <v>272374</v>
      </c>
      <c r="P335" s="4">
        <f>IFERROR(VLOOKUP(B335,infoTable__16[],4,FALSE),"")</f>
        <v>1501514</v>
      </c>
    </row>
    <row r="336" spans="1:16" x14ac:dyDescent="0.55000000000000004">
      <c r="A336" t="s">
        <v>594</v>
      </c>
      <c r="B336" t="s">
        <v>595</v>
      </c>
      <c r="C336" s="4" t="str">
        <f>IFERROR(VLOOKUP(B336,infoTable10[],4,FALSE),"")</f>
        <v/>
      </c>
      <c r="D336" s="4">
        <f>IFERROR(VLOOKUP(B336,infoTable__2[],4,FALSE),"")</f>
        <v>2346108</v>
      </c>
      <c r="E336" s="4" t="str">
        <f>IFERROR(VLOOKUP(B336,infoTable__3[],4,FALSE),"")</f>
        <v/>
      </c>
      <c r="F336" s="4" t="str">
        <f>IFERROR(VLOOKUP(B336,infoTable__4[],4,FALSE),"")</f>
        <v/>
      </c>
      <c r="G336" s="4" t="str">
        <f>IFERROR(VLOOKUP(B336,infoTable[],4,FALSE),"")</f>
        <v/>
      </c>
      <c r="H336" s="4" t="str">
        <f>IFERROR(VLOOKUP(B336,infoTable__6[],4,FALSE),"")</f>
        <v/>
      </c>
      <c r="I336" s="4" t="str">
        <f>IFERROR(VLOOKUP(B336,infoTable__28[],4,FALSE),"")</f>
        <v/>
      </c>
      <c r="J336" s="4" t="str">
        <f>IFERROR(VLOOKUP(B336,infoTable__10[],4,FALSE),"")</f>
        <v/>
      </c>
      <c r="K336" s="4" t="str">
        <f>IFERROR(VLOOKUP(B336,infoTable__11[],4,FALSE),"")</f>
        <v/>
      </c>
      <c r="L336" s="4" t="str">
        <f>IFERROR(VLOOKUP(B336,infoTable__12[],4,FALSE),"")</f>
        <v/>
      </c>
      <c r="M336" s="4" t="str">
        <f>IFERROR(VLOOKUP(B336,infoTable__13[],4,FALSE),"")</f>
        <v/>
      </c>
      <c r="N336" s="4">
        <f>IFERROR(VLOOKUP(B336,infoTable__14[],4,FALSE),"")</f>
        <v>473448</v>
      </c>
      <c r="O336" s="4" t="str">
        <f>IFERROR(VLOOKUP(B336,infoTable__15[],4,FALSE),"")</f>
        <v/>
      </c>
      <c r="P336" s="4" t="str">
        <f>IFERROR(VLOOKUP(B336,infoTable__16[],4,FALSE),"")</f>
        <v/>
      </c>
    </row>
    <row r="337" spans="1:16" x14ac:dyDescent="0.55000000000000004">
      <c r="A337" t="s">
        <v>752</v>
      </c>
      <c r="B337" t="s">
        <v>753</v>
      </c>
      <c r="C337" s="4" t="str">
        <f>IFERROR(VLOOKUP(B337,infoTable10[],4,FALSE),"")</f>
        <v/>
      </c>
      <c r="D337" s="4" t="str">
        <f>IFERROR(VLOOKUP(B337,infoTable__2[],4,FALSE),"")</f>
        <v/>
      </c>
      <c r="E337" s="4">
        <f>IFERROR(VLOOKUP(B337,infoTable__3[],4,FALSE),"")</f>
        <v>408750</v>
      </c>
      <c r="F337" s="4" t="str">
        <f>IFERROR(VLOOKUP(B337,infoTable__4[],4,FALSE),"")</f>
        <v/>
      </c>
      <c r="G337" s="4" t="str">
        <f>IFERROR(VLOOKUP(B337,infoTable[],4,FALSE),"")</f>
        <v/>
      </c>
      <c r="H337" s="4">
        <f>IFERROR(VLOOKUP(B337,infoTable__6[],4,FALSE),"")</f>
        <v>715572</v>
      </c>
      <c r="I337" s="4">
        <f>IFERROR(VLOOKUP(B337,infoTable__28[],4,FALSE),"")</f>
        <v>135737</v>
      </c>
      <c r="J337" s="4" t="str">
        <f>IFERROR(VLOOKUP(B337,infoTable__10[],4,FALSE),"")</f>
        <v/>
      </c>
      <c r="K337" s="4" t="str">
        <f>IFERROR(VLOOKUP(B337,infoTable__11[],4,FALSE),"")</f>
        <v/>
      </c>
      <c r="L337" s="4">
        <f>IFERROR(VLOOKUP(B337,infoTable__12[],4,FALSE),"")</f>
        <v>421279</v>
      </c>
      <c r="M337" s="4" t="str">
        <f>IFERROR(VLOOKUP(B337,infoTable__13[],4,FALSE),"")</f>
        <v/>
      </c>
      <c r="N337" s="4" t="str">
        <f>IFERROR(VLOOKUP(B337,infoTable__14[],4,FALSE),"")</f>
        <v/>
      </c>
      <c r="O337" s="4" t="str">
        <f>IFERROR(VLOOKUP(B337,infoTable__15[],4,FALSE),"")</f>
        <v/>
      </c>
      <c r="P337" s="4" t="str">
        <f>IFERROR(VLOOKUP(B337,infoTable__16[],4,FALSE),"")</f>
        <v/>
      </c>
    </row>
    <row r="338" spans="1:16" x14ac:dyDescent="0.55000000000000004">
      <c r="A338" t="s">
        <v>252</v>
      </c>
      <c r="B338" t="s">
        <v>253</v>
      </c>
      <c r="C338" s="4" t="str">
        <f>IFERROR(VLOOKUP(B338,infoTable10[],4,FALSE),"")</f>
        <v/>
      </c>
      <c r="D338" s="4" t="str">
        <f>IFERROR(VLOOKUP(B338,infoTable__2[],4,FALSE),"")</f>
        <v/>
      </c>
      <c r="E338" s="4" t="str">
        <f>IFERROR(VLOOKUP(B338,infoTable__3[],4,FALSE),"")</f>
        <v/>
      </c>
      <c r="F338" s="4">
        <f>IFERROR(VLOOKUP(B338,infoTable__4[],4,FALSE),"")</f>
        <v>2661864</v>
      </c>
      <c r="G338" s="4">
        <f>IFERROR(VLOOKUP(B338,infoTable[],4,FALSE),"")</f>
        <v>3921579</v>
      </c>
      <c r="H338" s="4" t="str">
        <f>IFERROR(VLOOKUP(B338,infoTable__6[],4,FALSE),"")</f>
        <v/>
      </c>
      <c r="I338" s="4" t="str">
        <f>IFERROR(VLOOKUP(B338,infoTable__28[],4,FALSE),"")</f>
        <v/>
      </c>
      <c r="J338" s="4" t="str">
        <f>IFERROR(VLOOKUP(B338,infoTable__10[],4,FALSE),"")</f>
        <v/>
      </c>
      <c r="K338" s="4" t="str">
        <f>IFERROR(VLOOKUP(B338,infoTable__11[],4,FALSE),"")</f>
        <v/>
      </c>
      <c r="L338" s="4" t="str">
        <f>IFERROR(VLOOKUP(B338,infoTable__12[],4,FALSE),"")</f>
        <v/>
      </c>
      <c r="M338" s="4" t="str">
        <f>IFERROR(VLOOKUP(B338,infoTable__13[],4,FALSE),"")</f>
        <v/>
      </c>
      <c r="N338" s="4" t="str">
        <f>IFERROR(VLOOKUP(B338,infoTable__14[],4,FALSE),"")</f>
        <v/>
      </c>
      <c r="O338" s="4" t="str">
        <f>IFERROR(VLOOKUP(B338,infoTable__15[],4,FALSE),"")</f>
        <v/>
      </c>
      <c r="P338" s="4">
        <f>IFERROR(VLOOKUP(B338,infoTable__16[],4,FALSE),"")</f>
        <v>1067099</v>
      </c>
    </row>
    <row r="339" spans="1:16" x14ac:dyDescent="0.55000000000000004">
      <c r="A339" t="s">
        <v>1918</v>
      </c>
      <c r="B339" t="s">
        <v>1919</v>
      </c>
      <c r="C339" s="4" t="str">
        <f>IFERROR(VLOOKUP(B339,infoTable10[],4,FALSE),"")</f>
        <v/>
      </c>
      <c r="D339" s="4" t="str">
        <f>IFERROR(VLOOKUP(B339,infoTable__2[],4,FALSE),"")</f>
        <v/>
      </c>
      <c r="E339" s="4" t="str">
        <f>IFERROR(VLOOKUP(B339,infoTable__3[],4,FALSE),"")</f>
        <v/>
      </c>
      <c r="F339" s="4" t="str">
        <f>IFERROR(VLOOKUP(B339,infoTable__4[],4,FALSE),"")</f>
        <v/>
      </c>
      <c r="G339" s="4" t="str">
        <f>IFERROR(VLOOKUP(B339,infoTable[],4,FALSE),"")</f>
        <v/>
      </c>
      <c r="H339" s="4" t="str">
        <f>IFERROR(VLOOKUP(B339,infoTable__6[],4,FALSE),"")</f>
        <v/>
      </c>
      <c r="I339" s="4" t="str">
        <f>IFERROR(VLOOKUP(B339,infoTable__28[],4,FALSE),"")</f>
        <v/>
      </c>
      <c r="J339" s="4" t="str">
        <f>IFERROR(VLOOKUP(B339,infoTable__10[],4,FALSE),"")</f>
        <v/>
      </c>
      <c r="K339" s="4">
        <f>IFERROR(VLOOKUP(B339,infoTable__11[],4,FALSE),"")</f>
        <v>394602</v>
      </c>
      <c r="L339" s="4" t="str">
        <f>IFERROR(VLOOKUP(B339,infoTable__12[],4,FALSE),"")</f>
        <v/>
      </c>
      <c r="M339" s="4" t="str">
        <f>IFERROR(VLOOKUP(B339,infoTable__13[],4,FALSE),"")</f>
        <v/>
      </c>
      <c r="N339" s="4" t="str">
        <f>IFERROR(VLOOKUP(B339,infoTable__14[],4,FALSE),"")</f>
        <v/>
      </c>
      <c r="O339" s="4" t="str">
        <f>IFERROR(VLOOKUP(B339,infoTable__15[],4,FALSE),"")</f>
        <v/>
      </c>
      <c r="P339" s="4" t="str">
        <f>IFERROR(VLOOKUP(B339,infoTable__16[],4,FALSE),"")</f>
        <v/>
      </c>
    </row>
    <row r="340" spans="1:16" x14ac:dyDescent="0.55000000000000004">
      <c r="A340" t="s">
        <v>1577</v>
      </c>
      <c r="B340" t="s">
        <v>1297</v>
      </c>
      <c r="C340" s="4" t="str">
        <f>IFERROR(VLOOKUP(B340,infoTable10[],4,FALSE),"")</f>
        <v/>
      </c>
      <c r="D340" s="4" t="str">
        <f>IFERROR(VLOOKUP(B340,infoTable__2[],4,FALSE),"")</f>
        <v/>
      </c>
      <c r="E340" s="4" t="str">
        <f>IFERROR(VLOOKUP(B340,infoTable__3[],4,FALSE),"")</f>
        <v/>
      </c>
      <c r="F340" s="4" t="str">
        <f>IFERROR(VLOOKUP(B340,infoTable__4[],4,FALSE),"")</f>
        <v/>
      </c>
      <c r="G340" s="4" t="str">
        <f>IFERROR(VLOOKUP(B340,infoTable[],4,FALSE),"")</f>
        <v/>
      </c>
      <c r="H340" s="4" t="str">
        <f>IFERROR(VLOOKUP(B340,infoTable__6[],4,FALSE),"")</f>
        <v/>
      </c>
      <c r="I340" s="4">
        <f>IFERROR(VLOOKUP(B340,infoTable__28[],4,FALSE),"")</f>
        <v>753647</v>
      </c>
      <c r="J340" s="4">
        <f>IFERROR(VLOOKUP(B340,infoTable__10[],4,FALSE),"")</f>
        <v>1063414</v>
      </c>
      <c r="K340" s="4">
        <f>IFERROR(VLOOKUP(B340,infoTable__11[],4,FALSE),"")</f>
        <v>1585871</v>
      </c>
      <c r="L340" s="4">
        <f>IFERROR(VLOOKUP(B340,infoTable__12[],4,FALSE),"")</f>
        <v>1716890</v>
      </c>
      <c r="M340" s="4">
        <f>IFERROR(VLOOKUP(B340,infoTable__13[],4,FALSE),"")</f>
        <v>1033428</v>
      </c>
      <c r="N340" s="4" t="str">
        <f>IFERROR(VLOOKUP(B340,infoTable__14[],4,FALSE),"")</f>
        <v/>
      </c>
      <c r="O340" s="4" t="str">
        <f>IFERROR(VLOOKUP(B340,infoTable__15[],4,FALSE),"")</f>
        <v/>
      </c>
      <c r="P340" s="4">
        <f>IFERROR(VLOOKUP(B340,infoTable__16[],4,FALSE),"")</f>
        <v>2165606</v>
      </c>
    </row>
    <row r="341" spans="1:16" x14ac:dyDescent="0.55000000000000004">
      <c r="A341" t="s">
        <v>1684</v>
      </c>
      <c r="B341" t="s">
        <v>1685</v>
      </c>
      <c r="C341" s="4" t="str">
        <f>IFERROR(VLOOKUP(B341,infoTable10[],4,FALSE),"")</f>
        <v/>
      </c>
      <c r="D341" s="4" t="str">
        <f>IFERROR(VLOOKUP(B341,infoTable__2[],4,FALSE),"")</f>
        <v/>
      </c>
      <c r="E341" s="4" t="str">
        <f>IFERROR(VLOOKUP(B341,infoTable__3[],4,FALSE),"")</f>
        <v/>
      </c>
      <c r="F341" s="4" t="str">
        <f>IFERROR(VLOOKUP(B341,infoTable__4[],4,FALSE),"")</f>
        <v/>
      </c>
      <c r="G341" s="4" t="str">
        <f>IFERROR(VLOOKUP(B341,infoTable[],4,FALSE),"")</f>
        <v/>
      </c>
      <c r="H341" s="4" t="str">
        <f>IFERROR(VLOOKUP(B341,infoTable__6[],4,FALSE),"")</f>
        <v/>
      </c>
      <c r="I341" s="4" t="str">
        <f>IFERROR(VLOOKUP(B341,infoTable__28[],4,FALSE),"")</f>
        <v/>
      </c>
      <c r="J341" s="4">
        <f>IFERROR(VLOOKUP(B341,infoTable__10[],4,FALSE),"")</f>
        <v>401738</v>
      </c>
      <c r="K341" s="4" t="str">
        <f>IFERROR(VLOOKUP(B341,infoTable__11[],4,FALSE),"")</f>
        <v/>
      </c>
      <c r="L341" s="4" t="str">
        <f>IFERROR(VLOOKUP(B341,infoTable__12[],4,FALSE),"")</f>
        <v/>
      </c>
      <c r="M341" s="4">
        <f>IFERROR(VLOOKUP(B341,infoTable__13[],4,FALSE),"")</f>
        <v>470601</v>
      </c>
      <c r="N341" s="4" t="str">
        <f>IFERROR(VLOOKUP(B341,infoTable__14[],4,FALSE),"")</f>
        <v/>
      </c>
      <c r="O341" s="4" t="str">
        <f>IFERROR(VLOOKUP(B341,infoTable__15[],4,FALSE),"")</f>
        <v/>
      </c>
      <c r="P341" s="4" t="str">
        <f>IFERROR(VLOOKUP(B341,infoTable__16[],4,FALSE),"")</f>
        <v/>
      </c>
    </row>
    <row r="342" spans="1:16" x14ac:dyDescent="0.55000000000000004">
      <c r="A342" t="s">
        <v>1298</v>
      </c>
      <c r="B342" t="s">
        <v>1299</v>
      </c>
      <c r="C342" s="4" t="str">
        <f>IFERROR(VLOOKUP(B342,infoTable10[],4,FALSE),"")</f>
        <v/>
      </c>
      <c r="D342" s="4" t="str">
        <f>IFERROR(VLOOKUP(B342,infoTable__2[],4,FALSE),"")</f>
        <v/>
      </c>
      <c r="E342" s="4" t="str">
        <f>IFERROR(VLOOKUP(B342,infoTable__3[],4,FALSE),"")</f>
        <v/>
      </c>
      <c r="F342" s="4" t="str">
        <f>IFERROR(VLOOKUP(B342,infoTable__4[],4,FALSE),"")</f>
        <v/>
      </c>
      <c r="G342" s="4" t="str">
        <f>IFERROR(VLOOKUP(B342,infoTable[],4,FALSE),"")</f>
        <v/>
      </c>
      <c r="H342" s="4" t="str">
        <f>IFERROR(VLOOKUP(B342,infoTable__6[],4,FALSE),"")</f>
        <v/>
      </c>
      <c r="I342" s="4">
        <f>IFERROR(VLOOKUP(B342,infoTable__28[],4,FALSE),"")</f>
        <v>219961</v>
      </c>
      <c r="J342" s="4">
        <f>IFERROR(VLOOKUP(B342,infoTable__10[],4,FALSE),"")</f>
        <v>239817</v>
      </c>
      <c r="K342" s="4" t="str">
        <f>IFERROR(VLOOKUP(B342,infoTable__11[],4,FALSE),"")</f>
        <v/>
      </c>
      <c r="L342" s="4" t="str">
        <f>IFERROR(VLOOKUP(B342,infoTable__12[],4,FALSE),"")</f>
        <v/>
      </c>
      <c r="M342" s="4" t="str">
        <f>IFERROR(VLOOKUP(B342,infoTable__13[],4,FALSE),"")</f>
        <v/>
      </c>
      <c r="N342" s="4" t="str">
        <f>IFERROR(VLOOKUP(B342,infoTable__14[],4,FALSE),"")</f>
        <v/>
      </c>
      <c r="O342" s="4" t="str">
        <f>IFERROR(VLOOKUP(B342,infoTable__15[],4,FALSE),"")</f>
        <v/>
      </c>
      <c r="P342" s="4" t="str">
        <f>IFERROR(VLOOKUP(B342,infoTable__16[],4,FALSE),"")</f>
        <v/>
      </c>
    </row>
    <row r="343" spans="1:16" x14ac:dyDescent="0.55000000000000004">
      <c r="A343" t="s">
        <v>596</v>
      </c>
      <c r="B343" t="s">
        <v>597</v>
      </c>
      <c r="C343" s="4" t="str">
        <f>IFERROR(VLOOKUP(B343,infoTable10[],4,FALSE),"")</f>
        <v/>
      </c>
      <c r="D343" s="4">
        <f>IFERROR(VLOOKUP(B343,infoTable__2[],4,FALSE),"")</f>
        <v>1798317</v>
      </c>
      <c r="E343" s="4" t="str">
        <f>IFERROR(VLOOKUP(B343,infoTable__3[],4,FALSE),"")</f>
        <v/>
      </c>
      <c r="F343" s="4" t="str">
        <f>IFERROR(VLOOKUP(B343,infoTable__4[],4,FALSE),"")</f>
        <v/>
      </c>
      <c r="G343" s="4" t="str">
        <f>IFERROR(VLOOKUP(B343,infoTable[],4,FALSE),"")</f>
        <v/>
      </c>
      <c r="H343" s="4">
        <f>IFERROR(VLOOKUP(B343,infoTable__6[],4,FALSE),"")</f>
        <v>210624</v>
      </c>
      <c r="I343" s="4">
        <f>IFERROR(VLOOKUP(B343,infoTable__28[],4,FALSE),"")</f>
        <v>986867</v>
      </c>
      <c r="J343" s="4">
        <f>IFERROR(VLOOKUP(B343,infoTable__10[],4,FALSE),"")</f>
        <v>1514216</v>
      </c>
      <c r="K343" s="4">
        <f>IFERROR(VLOOKUP(B343,infoTable__11[],4,FALSE),"")</f>
        <v>445662</v>
      </c>
      <c r="L343" s="4" t="str">
        <f>IFERROR(VLOOKUP(B343,infoTable__12[],4,FALSE),"")</f>
        <v/>
      </c>
      <c r="M343" s="4">
        <f>IFERROR(VLOOKUP(B343,infoTable__13[],4,FALSE),"")</f>
        <v>262012</v>
      </c>
      <c r="N343" s="4" t="str">
        <f>IFERROR(VLOOKUP(B343,infoTable__14[],4,FALSE),"")</f>
        <v/>
      </c>
      <c r="O343" s="4" t="str">
        <f>IFERROR(VLOOKUP(B343,infoTable__15[],4,FALSE),"")</f>
        <v/>
      </c>
      <c r="P343" s="4" t="str">
        <f>IFERROR(VLOOKUP(B343,infoTable__16[],4,FALSE),"")</f>
        <v/>
      </c>
    </row>
    <row r="344" spans="1:16" x14ac:dyDescent="0.55000000000000004">
      <c r="A344" t="s">
        <v>3391</v>
      </c>
      <c r="B344" t="s">
        <v>3392</v>
      </c>
      <c r="C344" s="4" t="str">
        <f>IFERROR(VLOOKUP(B344,infoTable10[],4,FALSE),"")</f>
        <v/>
      </c>
      <c r="D344" s="4" t="str">
        <f>IFERROR(VLOOKUP(B344,infoTable__2[],4,FALSE),"")</f>
        <v/>
      </c>
      <c r="E344" s="4" t="str">
        <f>IFERROR(VLOOKUP(B344,infoTable__3[],4,FALSE),"")</f>
        <v/>
      </c>
      <c r="F344" s="4" t="str">
        <f>IFERROR(VLOOKUP(B344,infoTable__4[],4,FALSE),"")</f>
        <v/>
      </c>
      <c r="G344" s="4" t="str">
        <f>IFERROR(VLOOKUP(B344,infoTable[],4,FALSE),"")</f>
        <v/>
      </c>
      <c r="H344" s="4" t="str">
        <f>IFERROR(VLOOKUP(B344,infoTable__6[],4,FALSE),"")</f>
        <v/>
      </c>
      <c r="I344" s="4" t="str">
        <f>IFERROR(VLOOKUP(B344,infoTable__28[],4,FALSE),"")</f>
        <v/>
      </c>
      <c r="J344" s="4" t="str">
        <f>IFERROR(VLOOKUP(B344,infoTable__10[],4,FALSE),"")</f>
        <v/>
      </c>
      <c r="K344" s="4" t="str">
        <f>IFERROR(VLOOKUP(B344,infoTable__11[],4,FALSE),"")</f>
        <v/>
      </c>
      <c r="L344" s="4" t="str">
        <f>IFERROR(VLOOKUP(B344,infoTable__12[],4,FALSE),"")</f>
        <v/>
      </c>
      <c r="M344" s="4" t="str">
        <f>IFERROR(VLOOKUP(B344,infoTable__13[],4,FALSE),"")</f>
        <v/>
      </c>
      <c r="N344" s="4" t="str">
        <f>IFERROR(VLOOKUP(B344,infoTable__14[],4,FALSE),"")</f>
        <v/>
      </c>
      <c r="O344" s="4" t="str">
        <f>IFERROR(VLOOKUP(B344,infoTable__15[],4,FALSE),"")</f>
        <v/>
      </c>
      <c r="P344" s="4">
        <f>IFERROR(VLOOKUP(B344,infoTable__16[],4,FALSE),"")</f>
        <v>659719</v>
      </c>
    </row>
    <row r="345" spans="1:16" x14ac:dyDescent="0.55000000000000004">
      <c r="A345" t="s">
        <v>3077</v>
      </c>
      <c r="B345" t="s">
        <v>3078</v>
      </c>
      <c r="C345" s="4" t="str">
        <f>IFERROR(VLOOKUP(B345,infoTable10[],4,FALSE),"")</f>
        <v/>
      </c>
      <c r="D345" s="4" t="str">
        <f>IFERROR(VLOOKUP(B345,infoTable__2[],4,FALSE),"")</f>
        <v/>
      </c>
      <c r="E345" s="4" t="str">
        <f>IFERROR(VLOOKUP(B345,infoTable__3[],4,FALSE),"")</f>
        <v/>
      </c>
      <c r="F345" s="4" t="str">
        <f>IFERROR(VLOOKUP(B345,infoTable__4[],4,FALSE),"")</f>
        <v/>
      </c>
      <c r="G345" s="4" t="str">
        <f>IFERROR(VLOOKUP(B345,infoTable[],4,FALSE),"")</f>
        <v/>
      </c>
      <c r="H345" s="4" t="str">
        <f>IFERROR(VLOOKUP(B345,infoTable__6[],4,FALSE),"")</f>
        <v/>
      </c>
      <c r="I345" s="4" t="str">
        <f>IFERROR(VLOOKUP(B345,infoTable__28[],4,FALSE),"")</f>
        <v/>
      </c>
      <c r="J345" s="4" t="str">
        <f>IFERROR(VLOOKUP(B345,infoTable__10[],4,FALSE),"")</f>
        <v/>
      </c>
      <c r="K345" s="4" t="str">
        <f>IFERROR(VLOOKUP(B345,infoTable__11[],4,FALSE),"")</f>
        <v/>
      </c>
      <c r="L345" s="4" t="str">
        <f>IFERROR(VLOOKUP(B345,infoTable__12[],4,FALSE),"")</f>
        <v/>
      </c>
      <c r="M345" s="4" t="str">
        <f>IFERROR(VLOOKUP(B345,infoTable__13[],4,FALSE),"")</f>
        <v/>
      </c>
      <c r="N345" s="4" t="str">
        <f>IFERROR(VLOOKUP(B345,infoTable__14[],4,FALSE),"")</f>
        <v/>
      </c>
      <c r="O345" s="4">
        <f>IFERROR(VLOOKUP(B345,infoTable__15[],4,FALSE),"")</f>
        <v>2466503</v>
      </c>
      <c r="P345" s="4">
        <f>IFERROR(VLOOKUP(B345,infoTable__16[],4,FALSE),"")</f>
        <v>3751160</v>
      </c>
    </row>
    <row r="346" spans="1:16" x14ac:dyDescent="0.55000000000000004">
      <c r="A346" t="s">
        <v>2490</v>
      </c>
      <c r="B346" t="s">
        <v>2491</v>
      </c>
      <c r="C346" s="4" t="str">
        <f>IFERROR(VLOOKUP(B346,infoTable10[],4,FALSE),"")</f>
        <v/>
      </c>
      <c r="D346" s="4" t="str">
        <f>IFERROR(VLOOKUP(B346,infoTable__2[],4,FALSE),"")</f>
        <v/>
      </c>
      <c r="E346" s="4" t="str">
        <f>IFERROR(VLOOKUP(B346,infoTable__3[],4,FALSE),"")</f>
        <v/>
      </c>
      <c r="F346" s="4" t="str">
        <f>IFERROR(VLOOKUP(B346,infoTable__4[],4,FALSE),"")</f>
        <v/>
      </c>
      <c r="G346" s="4" t="str">
        <f>IFERROR(VLOOKUP(B346,infoTable[],4,FALSE),"")</f>
        <v/>
      </c>
      <c r="H346" s="4" t="str">
        <f>IFERROR(VLOOKUP(B346,infoTable__6[],4,FALSE),"")</f>
        <v/>
      </c>
      <c r="I346" s="4" t="str">
        <f>IFERROR(VLOOKUP(B346,infoTable__28[],4,FALSE),"")</f>
        <v/>
      </c>
      <c r="J346" s="4" t="str">
        <f>IFERROR(VLOOKUP(B346,infoTable__10[],4,FALSE),"")</f>
        <v/>
      </c>
      <c r="K346" s="4" t="str">
        <f>IFERROR(VLOOKUP(B346,infoTable__11[],4,FALSE),"")</f>
        <v/>
      </c>
      <c r="L346" s="4" t="str">
        <f>IFERROR(VLOOKUP(B346,infoTable__12[],4,FALSE),"")</f>
        <v/>
      </c>
      <c r="M346" s="4">
        <f>IFERROR(VLOOKUP(B346,infoTable__13[],4,FALSE),"")</f>
        <v>1207346</v>
      </c>
      <c r="N346" s="4" t="str">
        <f>IFERROR(VLOOKUP(B346,infoTable__14[],4,FALSE),"")</f>
        <v/>
      </c>
      <c r="O346" s="4" t="str">
        <f>IFERROR(VLOOKUP(B346,infoTable__15[],4,FALSE),"")</f>
        <v/>
      </c>
      <c r="P346" s="4" t="str">
        <f>IFERROR(VLOOKUP(B346,infoTable__16[],4,FALSE),"")</f>
        <v/>
      </c>
    </row>
    <row r="347" spans="1:16" x14ac:dyDescent="0.55000000000000004">
      <c r="A347" t="s">
        <v>3393</v>
      </c>
      <c r="B347" t="s">
        <v>3394</v>
      </c>
      <c r="C347" s="4" t="str">
        <f>IFERROR(VLOOKUP(B347,infoTable10[],4,FALSE),"")</f>
        <v/>
      </c>
      <c r="D347" s="4" t="str">
        <f>IFERROR(VLOOKUP(B347,infoTable__2[],4,FALSE),"")</f>
        <v/>
      </c>
      <c r="E347" s="4" t="str">
        <f>IFERROR(VLOOKUP(B347,infoTable__3[],4,FALSE),"")</f>
        <v/>
      </c>
      <c r="F347" s="4" t="str">
        <f>IFERROR(VLOOKUP(B347,infoTable__4[],4,FALSE),"")</f>
        <v/>
      </c>
      <c r="G347" s="4" t="str">
        <f>IFERROR(VLOOKUP(B347,infoTable[],4,FALSE),"")</f>
        <v/>
      </c>
      <c r="H347" s="4" t="str">
        <f>IFERROR(VLOOKUP(B347,infoTable__6[],4,FALSE),"")</f>
        <v/>
      </c>
      <c r="I347" s="4" t="str">
        <f>IFERROR(VLOOKUP(B347,infoTable__28[],4,FALSE),"")</f>
        <v/>
      </c>
      <c r="J347" s="4" t="str">
        <f>IFERROR(VLOOKUP(B347,infoTable__10[],4,FALSE),"")</f>
        <v/>
      </c>
      <c r="K347" s="4" t="str">
        <f>IFERROR(VLOOKUP(B347,infoTable__11[],4,FALSE),"")</f>
        <v/>
      </c>
      <c r="L347" s="4" t="str">
        <f>IFERROR(VLOOKUP(B347,infoTable__12[],4,FALSE),"")</f>
        <v/>
      </c>
      <c r="M347" s="4" t="str">
        <f>IFERROR(VLOOKUP(B347,infoTable__13[],4,FALSE),"")</f>
        <v/>
      </c>
      <c r="N347" s="4" t="str">
        <f>IFERROR(VLOOKUP(B347,infoTable__14[],4,FALSE),"")</f>
        <v/>
      </c>
      <c r="O347" s="4" t="str">
        <f>IFERROR(VLOOKUP(B347,infoTable__15[],4,FALSE),"")</f>
        <v/>
      </c>
      <c r="P347" s="4">
        <f>IFERROR(VLOOKUP(B347,infoTable__16[],4,FALSE),"")</f>
        <v>272388</v>
      </c>
    </row>
    <row r="348" spans="1:16" x14ac:dyDescent="0.55000000000000004">
      <c r="A348" t="s">
        <v>2687</v>
      </c>
      <c r="B348" t="s">
        <v>2686</v>
      </c>
      <c r="C348" s="4" t="str">
        <f>IFERROR(VLOOKUP(B348,infoTable10[],4,FALSE),"")</f>
        <v/>
      </c>
      <c r="D348" s="4" t="str">
        <f>IFERROR(VLOOKUP(B348,infoTable__2[],4,FALSE),"")</f>
        <v/>
      </c>
      <c r="E348" s="4" t="str">
        <f>IFERROR(VLOOKUP(B348,infoTable__3[],4,FALSE),"")</f>
        <v/>
      </c>
      <c r="F348" s="4" t="str">
        <f>IFERROR(VLOOKUP(B348,infoTable__4[],4,FALSE),"")</f>
        <v/>
      </c>
      <c r="G348" s="4" t="str">
        <f>IFERROR(VLOOKUP(B348,infoTable[],4,FALSE),"")</f>
        <v/>
      </c>
      <c r="H348" s="4" t="str">
        <f>IFERROR(VLOOKUP(B348,infoTable__6[],4,FALSE),"")</f>
        <v/>
      </c>
      <c r="I348" s="4" t="str">
        <f>IFERROR(VLOOKUP(B348,infoTable__28[],4,FALSE),"")</f>
        <v/>
      </c>
      <c r="J348" s="4" t="str">
        <f>IFERROR(VLOOKUP(B348,infoTable__10[],4,FALSE),"")</f>
        <v/>
      </c>
      <c r="K348" s="4" t="str">
        <f>IFERROR(VLOOKUP(B348,infoTable__11[],4,FALSE),"")</f>
        <v/>
      </c>
      <c r="L348" s="4" t="str">
        <f>IFERROR(VLOOKUP(B348,infoTable__12[],4,FALSE),"")</f>
        <v/>
      </c>
      <c r="M348" s="4" t="str">
        <f>IFERROR(VLOOKUP(B348,infoTable__13[],4,FALSE),"")</f>
        <v/>
      </c>
      <c r="N348" s="4">
        <f>IFERROR(VLOOKUP(B348,infoTable__14[],4,FALSE),"")</f>
        <v>544984</v>
      </c>
      <c r="O348" s="4">
        <f>IFERROR(VLOOKUP(B348,infoTable__15[],4,FALSE),"")</f>
        <v>5337467</v>
      </c>
      <c r="P348" s="4" t="str">
        <f>IFERROR(VLOOKUP(B348,infoTable__16[],4,FALSE),"")</f>
        <v/>
      </c>
    </row>
    <row r="349" spans="1:16" x14ac:dyDescent="0.55000000000000004">
      <c r="A349" t="s">
        <v>598</v>
      </c>
      <c r="B349" t="s">
        <v>599</v>
      </c>
      <c r="C349" s="4" t="str">
        <f>IFERROR(VLOOKUP(B349,infoTable10[],4,FALSE),"")</f>
        <v/>
      </c>
      <c r="D349" s="4">
        <f>IFERROR(VLOOKUP(B349,infoTable__2[],4,FALSE),"")</f>
        <v>551728</v>
      </c>
      <c r="E349" s="4">
        <f>IFERROR(VLOOKUP(B349,infoTable__3[],4,FALSE),"")</f>
        <v>1497406</v>
      </c>
      <c r="F349" s="4">
        <f>IFERROR(VLOOKUP(B349,infoTable__4[],4,FALSE),"")</f>
        <v>708201</v>
      </c>
      <c r="G349" s="4" t="str">
        <f>IFERROR(VLOOKUP(B349,infoTable[],4,FALSE),"")</f>
        <v/>
      </c>
      <c r="H349" s="4" t="str">
        <f>IFERROR(VLOOKUP(B349,infoTable__6[],4,FALSE),"")</f>
        <v/>
      </c>
      <c r="I349" s="4" t="str">
        <f>IFERROR(VLOOKUP(B349,infoTable__28[],4,FALSE),"")</f>
        <v/>
      </c>
      <c r="J349" s="4" t="str">
        <f>IFERROR(VLOOKUP(B349,infoTable__10[],4,FALSE),"")</f>
        <v/>
      </c>
      <c r="K349" s="4" t="str">
        <f>IFERROR(VLOOKUP(B349,infoTable__11[],4,FALSE),"")</f>
        <v/>
      </c>
      <c r="L349" s="4" t="str">
        <f>IFERROR(VLOOKUP(B349,infoTable__12[],4,FALSE),"")</f>
        <v/>
      </c>
      <c r="M349" s="4" t="str">
        <f>IFERROR(VLOOKUP(B349,infoTable__13[],4,FALSE),"")</f>
        <v/>
      </c>
      <c r="N349" s="4" t="str">
        <f>IFERROR(VLOOKUP(B349,infoTable__14[],4,FALSE),"")</f>
        <v/>
      </c>
      <c r="O349" s="4" t="str">
        <f>IFERROR(VLOOKUP(B349,infoTable__15[],4,FALSE),"")</f>
        <v/>
      </c>
      <c r="P349" s="4">
        <f>IFERROR(VLOOKUP(B349,infoTable__16[],4,FALSE),"")</f>
        <v>756470</v>
      </c>
    </row>
    <row r="350" spans="1:16" x14ac:dyDescent="0.55000000000000004">
      <c r="A350" t="s">
        <v>256</v>
      </c>
      <c r="B350" t="s">
        <v>257</v>
      </c>
      <c r="C350" s="4" t="str">
        <f>IFERROR(VLOOKUP(B350,infoTable10[],4,FALSE),"")</f>
        <v/>
      </c>
      <c r="D350" s="4">
        <f>IFERROR(VLOOKUP(B350,infoTable__2[],4,FALSE),"")</f>
        <v>1705428</v>
      </c>
      <c r="E350" s="4" t="str">
        <f>IFERROR(VLOOKUP(B350,infoTable__3[],4,FALSE),"")</f>
        <v/>
      </c>
      <c r="F350" s="4" t="str">
        <f>IFERROR(VLOOKUP(B350,infoTable__4[],4,FALSE),"")</f>
        <v/>
      </c>
      <c r="G350" s="4">
        <f>IFERROR(VLOOKUP(B350,infoTable[],4,FALSE),"")</f>
        <v>5856029</v>
      </c>
      <c r="H350" s="4">
        <f>IFERROR(VLOOKUP(B350,infoTable__6[],4,FALSE),"")</f>
        <v>312684</v>
      </c>
      <c r="I350" s="4" t="str">
        <f>IFERROR(VLOOKUP(B350,infoTable__28[],4,FALSE),"")</f>
        <v/>
      </c>
      <c r="J350" s="4" t="str">
        <f>IFERROR(VLOOKUP(B350,infoTable__10[],4,FALSE),"")</f>
        <v/>
      </c>
      <c r="K350" s="4">
        <f>IFERROR(VLOOKUP(B350,infoTable__11[],4,FALSE),"")</f>
        <v>907346</v>
      </c>
      <c r="L350" s="4" t="str">
        <f>IFERROR(VLOOKUP(B350,infoTable__12[],4,FALSE),"")</f>
        <v/>
      </c>
      <c r="M350" s="4" t="str">
        <f>IFERROR(VLOOKUP(B350,infoTable__13[],4,FALSE),"")</f>
        <v/>
      </c>
      <c r="N350" s="4" t="str">
        <f>IFERROR(VLOOKUP(B350,infoTable__14[],4,FALSE),"")</f>
        <v/>
      </c>
      <c r="O350" s="4">
        <f>IFERROR(VLOOKUP(B350,infoTable__15[],4,FALSE),"")</f>
        <v>6144557</v>
      </c>
      <c r="P350" s="4">
        <f>IFERROR(VLOOKUP(B350,infoTable__16[],4,FALSE),"")</f>
        <v>5526985</v>
      </c>
    </row>
    <row r="351" spans="1:16" x14ac:dyDescent="0.55000000000000004">
      <c r="A351" t="s">
        <v>2494</v>
      </c>
      <c r="B351" t="s">
        <v>2495</v>
      </c>
      <c r="C351" s="4" t="str">
        <f>IFERROR(VLOOKUP(B351,infoTable10[],4,FALSE),"")</f>
        <v/>
      </c>
      <c r="D351" s="4" t="str">
        <f>IFERROR(VLOOKUP(B351,infoTable__2[],4,FALSE),"")</f>
        <v/>
      </c>
      <c r="E351" s="4" t="str">
        <f>IFERROR(VLOOKUP(B351,infoTable__3[],4,FALSE),"")</f>
        <v/>
      </c>
      <c r="F351" s="4" t="str">
        <f>IFERROR(VLOOKUP(B351,infoTable__4[],4,FALSE),"")</f>
        <v/>
      </c>
      <c r="G351" s="4" t="str">
        <f>IFERROR(VLOOKUP(B351,infoTable[],4,FALSE),"")</f>
        <v/>
      </c>
      <c r="H351" s="4" t="str">
        <f>IFERROR(VLOOKUP(B351,infoTable__6[],4,FALSE),"")</f>
        <v/>
      </c>
      <c r="I351" s="4" t="str">
        <f>IFERROR(VLOOKUP(B351,infoTable__28[],4,FALSE),"")</f>
        <v/>
      </c>
      <c r="J351" s="4" t="str">
        <f>IFERROR(VLOOKUP(B351,infoTable__10[],4,FALSE),"")</f>
        <v/>
      </c>
      <c r="K351" s="4" t="str">
        <f>IFERROR(VLOOKUP(B351,infoTable__11[],4,FALSE),"")</f>
        <v/>
      </c>
      <c r="L351" s="4" t="str">
        <f>IFERROR(VLOOKUP(B351,infoTable__12[],4,FALSE),"")</f>
        <v/>
      </c>
      <c r="M351" s="4">
        <f>IFERROR(VLOOKUP(B351,infoTable__13[],4,FALSE),"")</f>
        <v>913966</v>
      </c>
      <c r="N351" s="4">
        <f>IFERROR(VLOOKUP(B351,infoTable__14[],4,FALSE),"")</f>
        <v>1032349</v>
      </c>
      <c r="O351" s="4">
        <f>IFERROR(VLOOKUP(B351,infoTable__15[],4,FALSE),"")</f>
        <v>896904</v>
      </c>
      <c r="P351" s="4">
        <f>IFERROR(VLOOKUP(B351,infoTable__16[],4,FALSE),"")</f>
        <v>1139912</v>
      </c>
    </row>
    <row r="352" spans="1:16" x14ac:dyDescent="0.55000000000000004">
      <c r="A352" t="s">
        <v>1686</v>
      </c>
      <c r="B352" t="s">
        <v>1687</v>
      </c>
      <c r="C352" s="4" t="str">
        <f>IFERROR(VLOOKUP(B352,infoTable10[],4,FALSE),"")</f>
        <v/>
      </c>
      <c r="D352" s="4" t="str">
        <f>IFERROR(VLOOKUP(B352,infoTable__2[],4,FALSE),"")</f>
        <v/>
      </c>
      <c r="E352" s="4" t="str">
        <f>IFERROR(VLOOKUP(B352,infoTable__3[],4,FALSE),"")</f>
        <v/>
      </c>
      <c r="F352" s="4" t="str">
        <f>IFERROR(VLOOKUP(B352,infoTable__4[],4,FALSE),"")</f>
        <v/>
      </c>
      <c r="G352" s="4" t="str">
        <f>IFERROR(VLOOKUP(B352,infoTable[],4,FALSE),"")</f>
        <v/>
      </c>
      <c r="H352" s="4" t="str">
        <f>IFERROR(VLOOKUP(B352,infoTable__6[],4,FALSE),"")</f>
        <v/>
      </c>
      <c r="I352" s="4" t="str">
        <f>IFERROR(VLOOKUP(B352,infoTable__28[],4,FALSE),"")</f>
        <v/>
      </c>
      <c r="J352" s="4">
        <f>IFERROR(VLOOKUP(B352,infoTable__10[],4,FALSE),"")</f>
        <v>236021</v>
      </c>
      <c r="K352" s="4">
        <f>IFERROR(VLOOKUP(B352,infoTable__11[],4,FALSE),"")</f>
        <v>294899</v>
      </c>
      <c r="L352" s="4">
        <f>IFERROR(VLOOKUP(B352,infoTable__12[],4,FALSE),"")</f>
        <v>8816435</v>
      </c>
      <c r="M352" s="4">
        <f>IFERROR(VLOOKUP(B352,infoTable__13[],4,FALSE),"")</f>
        <v>4468005</v>
      </c>
      <c r="N352" s="4">
        <f>IFERROR(VLOOKUP(B352,infoTable__14[],4,FALSE),"")</f>
        <v>1928219</v>
      </c>
      <c r="O352" s="4">
        <f>IFERROR(VLOOKUP(B352,infoTable__15[],4,FALSE),"")</f>
        <v>1358977</v>
      </c>
      <c r="P352" s="4">
        <f>IFERROR(VLOOKUP(B352,infoTable__16[],4,FALSE),"")</f>
        <v>1126248</v>
      </c>
    </row>
    <row r="353" spans="1:16" x14ac:dyDescent="0.55000000000000004">
      <c r="A353" t="s">
        <v>260</v>
      </c>
      <c r="B353" t="s">
        <v>261</v>
      </c>
      <c r="C353" s="4" t="str">
        <f>IFERROR(VLOOKUP(B353,infoTable10[],4,FALSE),"")</f>
        <v/>
      </c>
      <c r="D353" s="4" t="str">
        <f>IFERROR(VLOOKUP(B353,infoTable__2[],4,FALSE),"")</f>
        <v/>
      </c>
      <c r="E353" s="4" t="str">
        <f>IFERROR(VLOOKUP(B353,infoTable__3[],4,FALSE),"")</f>
        <v/>
      </c>
      <c r="F353" s="4">
        <f>IFERROR(VLOOKUP(B353,infoTable__4[],4,FALSE),"")</f>
        <v>4799905</v>
      </c>
      <c r="G353" s="4">
        <f>IFERROR(VLOOKUP(B353,infoTable[],4,FALSE),"")</f>
        <v>649624</v>
      </c>
      <c r="H353" s="4" t="str">
        <f>IFERROR(VLOOKUP(B353,infoTable__6[],4,FALSE),"")</f>
        <v/>
      </c>
      <c r="I353" s="4" t="str">
        <f>IFERROR(VLOOKUP(B353,infoTable__28[],4,FALSE),"")</f>
        <v/>
      </c>
      <c r="J353" s="4" t="str">
        <f>IFERROR(VLOOKUP(B353,infoTable__10[],4,FALSE),"")</f>
        <v/>
      </c>
      <c r="K353" s="4" t="str">
        <f>IFERROR(VLOOKUP(B353,infoTable__11[],4,FALSE),"")</f>
        <v/>
      </c>
      <c r="L353" s="4" t="str">
        <f>IFERROR(VLOOKUP(B353,infoTable__12[],4,FALSE),"")</f>
        <v/>
      </c>
      <c r="M353" s="4" t="str">
        <f>IFERROR(VLOOKUP(B353,infoTable__13[],4,FALSE),"")</f>
        <v/>
      </c>
      <c r="N353" s="4" t="str">
        <f>IFERROR(VLOOKUP(B353,infoTable__14[],4,FALSE),"")</f>
        <v/>
      </c>
      <c r="O353" s="4">
        <f>IFERROR(VLOOKUP(B353,infoTable__15[],4,FALSE),"")</f>
        <v>1730807</v>
      </c>
      <c r="P353" s="4">
        <f>IFERROR(VLOOKUP(B353,infoTable__16[],4,FALSE),"")</f>
        <v>1211224</v>
      </c>
    </row>
    <row r="354" spans="1:16" x14ac:dyDescent="0.55000000000000004">
      <c r="A354" t="s">
        <v>1028</v>
      </c>
      <c r="B354" t="s">
        <v>1029</v>
      </c>
      <c r="C354" s="4" t="str">
        <f>IFERROR(VLOOKUP(B354,infoTable10[],4,FALSE),"")</f>
        <v/>
      </c>
      <c r="D354" s="4" t="str">
        <f>IFERROR(VLOOKUP(B354,infoTable__2[],4,FALSE),"")</f>
        <v/>
      </c>
      <c r="E354" s="4" t="str">
        <f>IFERROR(VLOOKUP(B354,infoTable__3[],4,FALSE),"")</f>
        <v/>
      </c>
      <c r="F354" s="4" t="str">
        <f>IFERROR(VLOOKUP(B354,infoTable__4[],4,FALSE),"")</f>
        <v/>
      </c>
      <c r="G354" s="4" t="str">
        <f>IFERROR(VLOOKUP(B354,infoTable[],4,FALSE),"")</f>
        <v/>
      </c>
      <c r="H354" s="4">
        <f>IFERROR(VLOOKUP(B354,infoTable__6[],4,FALSE),"")</f>
        <v>187509</v>
      </c>
      <c r="I354" s="4">
        <f>IFERROR(VLOOKUP(B354,infoTable__28[],4,FALSE),"")</f>
        <v>2600807</v>
      </c>
      <c r="J354" s="4">
        <f>IFERROR(VLOOKUP(B354,infoTable__10[],4,FALSE),"")</f>
        <v>1278614</v>
      </c>
      <c r="K354" s="4">
        <f>IFERROR(VLOOKUP(B354,infoTable__11[],4,FALSE),"")</f>
        <v>386378</v>
      </c>
      <c r="L354" s="4" t="str">
        <f>IFERROR(VLOOKUP(B354,infoTable__12[],4,FALSE),"")</f>
        <v/>
      </c>
      <c r="M354" s="4" t="str">
        <f>IFERROR(VLOOKUP(B354,infoTable__13[],4,FALSE),"")</f>
        <v/>
      </c>
      <c r="N354" s="4">
        <f>IFERROR(VLOOKUP(B354,infoTable__14[],4,FALSE),"")</f>
        <v>536967</v>
      </c>
      <c r="O354" s="4">
        <f>IFERROR(VLOOKUP(B354,infoTable__15[],4,FALSE),"")</f>
        <v>400553</v>
      </c>
      <c r="P354" s="4" t="str">
        <f>IFERROR(VLOOKUP(B354,infoTable__16[],4,FALSE),"")</f>
        <v/>
      </c>
    </row>
    <row r="355" spans="1:16" x14ac:dyDescent="0.55000000000000004">
      <c r="A355" t="s">
        <v>1688</v>
      </c>
      <c r="B355" t="s">
        <v>1689</v>
      </c>
      <c r="C355" s="4" t="str">
        <f>IFERROR(VLOOKUP(B355,infoTable10[],4,FALSE),"")</f>
        <v/>
      </c>
      <c r="D355" s="4" t="str">
        <f>IFERROR(VLOOKUP(B355,infoTable__2[],4,FALSE),"")</f>
        <v/>
      </c>
      <c r="E355" s="4" t="str">
        <f>IFERROR(VLOOKUP(B355,infoTable__3[],4,FALSE),"")</f>
        <v/>
      </c>
      <c r="F355" s="4" t="str">
        <f>IFERROR(VLOOKUP(B355,infoTable__4[],4,FALSE),"")</f>
        <v/>
      </c>
      <c r="G355" s="4" t="str">
        <f>IFERROR(VLOOKUP(B355,infoTable[],4,FALSE),"")</f>
        <v/>
      </c>
      <c r="H355" s="4" t="str">
        <f>IFERROR(VLOOKUP(B355,infoTable__6[],4,FALSE),"")</f>
        <v/>
      </c>
      <c r="I355" s="4" t="str">
        <f>IFERROR(VLOOKUP(B355,infoTable__28[],4,FALSE),"")</f>
        <v/>
      </c>
      <c r="J355" s="4">
        <f>IFERROR(VLOOKUP(B355,infoTable__10[],4,FALSE),"")</f>
        <v>817378</v>
      </c>
      <c r="K355" s="4">
        <f>IFERROR(VLOOKUP(B355,infoTable__11[],4,FALSE),"")</f>
        <v>446679</v>
      </c>
      <c r="L355" s="4" t="str">
        <f>IFERROR(VLOOKUP(B355,infoTable__12[],4,FALSE),"")</f>
        <v/>
      </c>
      <c r="M355" s="4" t="str">
        <f>IFERROR(VLOOKUP(B355,infoTable__13[],4,FALSE),"")</f>
        <v/>
      </c>
      <c r="N355" s="4" t="str">
        <f>IFERROR(VLOOKUP(B355,infoTable__14[],4,FALSE),"")</f>
        <v/>
      </c>
      <c r="O355" s="4" t="str">
        <f>IFERROR(VLOOKUP(B355,infoTable__15[],4,FALSE),"")</f>
        <v/>
      </c>
      <c r="P355" s="4">
        <f>IFERROR(VLOOKUP(B355,infoTable__16[],4,FALSE),"")</f>
        <v>1042477</v>
      </c>
    </row>
    <row r="356" spans="1:16" x14ac:dyDescent="0.55000000000000004">
      <c r="A356" t="s">
        <v>1030</v>
      </c>
      <c r="B356" t="s">
        <v>1031</v>
      </c>
      <c r="C356" s="4" t="str">
        <f>IFERROR(VLOOKUP(B356,infoTable10[],4,FALSE),"")</f>
        <v/>
      </c>
      <c r="D356" s="4" t="str">
        <f>IFERROR(VLOOKUP(B356,infoTable__2[],4,FALSE),"")</f>
        <v/>
      </c>
      <c r="E356" s="4" t="str">
        <f>IFERROR(VLOOKUP(B356,infoTable__3[],4,FALSE),"")</f>
        <v/>
      </c>
      <c r="F356" s="4" t="str">
        <f>IFERROR(VLOOKUP(B356,infoTable__4[],4,FALSE),"")</f>
        <v/>
      </c>
      <c r="G356" s="4" t="str">
        <f>IFERROR(VLOOKUP(B356,infoTable[],4,FALSE),"")</f>
        <v/>
      </c>
      <c r="H356" s="4">
        <f>IFERROR(VLOOKUP(B356,infoTable__6[],4,FALSE),"")</f>
        <v>1717651</v>
      </c>
      <c r="I356" s="4" t="str">
        <f>IFERROR(VLOOKUP(B356,infoTable__28[],4,FALSE),"")</f>
        <v/>
      </c>
      <c r="J356" s="4">
        <f>IFERROR(VLOOKUP(B356,infoTable__10[],4,FALSE),"")</f>
        <v>1610940</v>
      </c>
      <c r="K356" s="4">
        <f>IFERROR(VLOOKUP(B356,infoTable__11[],4,FALSE),"")</f>
        <v>1812758</v>
      </c>
      <c r="L356" s="4">
        <f>IFERROR(VLOOKUP(B356,infoTable__12[],4,FALSE),"")</f>
        <v>1262936</v>
      </c>
      <c r="M356" s="4" t="str">
        <f>IFERROR(VLOOKUP(B356,infoTable__13[],4,FALSE),"")</f>
        <v/>
      </c>
      <c r="N356" s="4" t="str">
        <f>IFERROR(VLOOKUP(B356,infoTable__14[],4,FALSE),"")</f>
        <v/>
      </c>
      <c r="O356" s="4" t="str">
        <f>IFERROR(VLOOKUP(B356,infoTable__15[],4,FALSE),"")</f>
        <v/>
      </c>
      <c r="P356" s="4" t="str">
        <f>IFERROR(VLOOKUP(B356,infoTable__16[],4,FALSE),"")</f>
        <v/>
      </c>
    </row>
    <row r="357" spans="1:16" x14ac:dyDescent="0.55000000000000004">
      <c r="A357" t="s">
        <v>1300</v>
      </c>
      <c r="B357" t="s">
        <v>1301</v>
      </c>
      <c r="C357" s="4" t="str">
        <f>IFERROR(VLOOKUP(B357,infoTable10[],4,FALSE),"")</f>
        <v/>
      </c>
      <c r="D357" s="4" t="str">
        <f>IFERROR(VLOOKUP(B357,infoTable__2[],4,FALSE),"")</f>
        <v/>
      </c>
      <c r="E357" s="4" t="str">
        <f>IFERROR(VLOOKUP(B357,infoTable__3[],4,FALSE),"")</f>
        <v/>
      </c>
      <c r="F357" s="4" t="str">
        <f>IFERROR(VLOOKUP(B357,infoTable__4[],4,FALSE),"")</f>
        <v/>
      </c>
      <c r="G357" s="4" t="str">
        <f>IFERROR(VLOOKUP(B357,infoTable[],4,FALSE),"")</f>
        <v/>
      </c>
      <c r="H357" s="4" t="str">
        <f>IFERROR(VLOOKUP(B357,infoTable__6[],4,FALSE),"")</f>
        <v/>
      </c>
      <c r="I357" s="4">
        <f>IFERROR(VLOOKUP(B357,infoTable__28[],4,FALSE),"")</f>
        <v>1002080</v>
      </c>
      <c r="J357" s="4" t="str">
        <f>IFERROR(VLOOKUP(B357,infoTable__10[],4,FALSE),"")</f>
        <v/>
      </c>
      <c r="K357" s="4" t="str">
        <f>IFERROR(VLOOKUP(B357,infoTable__11[],4,FALSE),"")</f>
        <v/>
      </c>
      <c r="L357" s="4">
        <f>IFERROR(VLOOKUP(B357,infoTable__12[],4,FALSE),"")</f>
        <v>2362170</v>
      </c>
      <c r="M357" s="4">
        <f>IFERROR(VLOOKUP(B357,infoTable__13[],4,FALSE),"")</f>
        <v>569805</v>
      </c>
      <c r="N357" s="4">
        <f>IFERROR(VLOOKUP(B357,infoTable__14[],4,FALSE),"")</f>
        <v>240701</v>
      </c>
      <c r="O357" s="4" t="str">
        <f>IFERROR(VLOOKUP(B357,infoTable__15[],4,FALSE),"")</f>
        <v/>
      </c>
      <c r="P357" s="4">
        <f>IFERROR(VLOOKUP(B357,infoTable__16[],4,FALSE),"")</f>
        <v>1402354</v>
      </c>
    </row>
    <row r="358" spans="1:16" x14ac:dyDescent="0.55000000000000004">
      <c r="A358" t="s">
        <v>1302</v>
      </c>
      <c r="B358" t="s">
        <v>1303</v>
      </c>
      <c r="C358" s="4" t="str">
        <f>IFERROR(VLOOKUP(B358,infoTable10[],4,FALSE),"")</f>
        <v/>
      </c>
      <c r="D358" s="4" t="str">
        <f>IFERROR(VLOOKUP(B358,infoTable__2[],4,FALSE),"")</f>
        <v/>
      </c>
      <c r="E358" s="4" t="str">
        <f>IFERROR(VLOOKUP(B358,infoTable__3[],4,FALSE),"")</f>
        <v/>
      </c>
      <c r="F358" s="4" t="str">
        <f>IFERROR(VLOOKUP(B358,infoTable__4[],4,FALSE),"")</f>
        <v/>
      </c>
      <c r="G358" s="4" t="str">
        <f>IFERROR(VLOOKUP(B358,infoTable[],4,FALSE),"")</f>
        <v/>
      </c>
      <c r="H358" s="4" t="str">
        <f>IFERROR(VLOOKUP(B358,infoTable__6[],4,FALSE),"")</f>
        <v/>
      </c>
      <c r="I358" s="4">
        <f>IFERROR(VLOOKUP(B358,infoTable__28[],4,FALSE),"")</f>
        <v>1182877</v>
      </c>
      <c r="J358" s="4" t="str">
        <f>IFERROR(VLOOKUP(B358,infoTable__10[],4,FALSE),"")</f>
        <v/>
      </c>
      <c r="K358" s="4">
        <f>IFERROR(VLOOKUP(B358,infoTable__11[],4,FALSE),"")</f>
        <v>888726</v>
      </c>
      <c r="L358" s="4" t="str">
        <f>IFERROR(VLOOKUP(B358,infoTable__12[],4,FALSE),"")</f>
        <v/>
      </c>
      <c r="M358" s="4" t="str">
        <f>IFERROR(VLOOKUP(B358,infoTable__13[],4,FALSE),"")</f>
        <v/>
      </c>
      <c r="N358" s="4">
        <f>IFERROR(VLOOKUP(B358,infoTable__14[],4,FALSE),"")</f>
        <v>2084756</v>
      </c>
      <c r="O358" s="4">
        <f>IFERROR(VLOOKUP(B358,infoTable__15[],4,FALSE),"")</f>
        <v>4410708</v>
      </c>
      <c r="P358" s="4" t="str">
        <f>IFERROR(VLOOKUP(B358,infoTable__16[],4,FALSE),"")</f>
        <v/>
      </c>
    </row>
    <row r="359" spans="1:16" x14ac:dyDescent="0.55000000000000004">
      <c r="A359" t="s">
        <v>1032</v>
      </c>
      <c r="B359" t="s">
        <v>1033</v>
      </c>
      <c r="C359" s="4" t="str">
        <f>IFERROR(VLOOKUP(B359,infoTable10[],4,FALSE),"")</f>
        <v/>
      </c>
      <c r="D359" s="4" t="str">
        <f>IFERROR(VLOOKUP(B359,infoTable__2[],4,FALSE),"")</f>
        <v/>
      </c>
      <c r="E359" s="4" t="str">
        <f>IFERROR(VLOOKUP(B359,infoTable__3[],4,FALSE),"")</f>
        <v/>
      </c>
      <c r="F359" s="4" t="str">
        <f>IFERROR(VLOOKUP(B359,infoTable__4[],4,FALSE),"")</f>
        <v/>
      </c>
      <c r="G359" s="4" t="str">
        <f>IFERROR(VLOOKUP(B359,infoTable[],4,FALSE),"")</f>
        <v/>
      </c>
      <c r="H359" s="4">
        <f>IFERROR(VLOOKUP(B359,infoTable__6[],4,FALSE),"")</f>
        <v>212249</v>
      </c>
      <c r="I359" s="4" t="str">
        <f>IFERROR(VLOOKUP(B359,infoTable__28[],4,FALSE),"")</f>
        <v/>
      </c>
      <c r="J359" s="4" t="str">
        <f>IFERROR(VLOOKUP(B359,infoTable__10[],4,FALSE),"")</f>
        <v/>
      </c>
      <c r="K359" s="4" t="str">
        <f>IFERROR(VLOOKUP(B359,infoTable__11[],4,FALSE),"")</f>
        <v/>
      </c>
      <c r="L359" s="4" t="str">
        <f>IFERROR(VLOOKUP(B359,infoTable__12[],4,FALSE),"")</f>
        <v/>
      </c>
      <c r="M359" s="4" t="str">
        <f>IFERROR(VLOOKUP(B359,infoTable__13[],4,FALSE),"")</f>
        <v/>
      </c>
      <c r="N359" s="4" t="str">
        <f>IFERROR(VLOOKUP(B359,infoTable__14[],4,FALSE),"")</f>
        <v/>
      </c>
      <c r="O359" s="4" t="str">
        <f>IFERROR(VLOOKUP(B359,infoTable__15[],4,FALSE),"")</f>
        <v/>
      </c>
      <c r="P359" s="4" t="str">
        <f>IFERROR(VLOOKUP(B359,infoTable__16[],4,FALSE),"")</f>
        <v/>
      </c>
    </row>
    <row r="360" spans="1:16" x14ac:dyDescent="0.55000000000000004">
      <c r="A360" t="s">
        <v>1034</v>
      </c>
      <c r="B360" t="s">
        <v>1035</v>
      </c>
      <c r="C360" s="4" t="str">
        <f>IFERROR(VLOOKUP(B360,infoTable10[],4,FALSE),"")</f>
        <v/>
      </c>
      <c r="D360" s="4" t="str">
        <f>IFERROR(VLOOKUP(B360,infoTable__2[],4,FALSE),"")</f>
        <v/>
      </c>
      <c r="E360" s="4" t="str">
        <f>IFERROR(VLOOKUP(B360,infoTable__3[],4,FALSE),"")</f>
        <v/>
      </c>
      <c r="F360" s="4" t="str">
        <f>IFERROR(VLOOKUP(B360,infoTable__4[],4,FALSE),"")</f>
        <v/>
      </c>
      <c r="G360" s="4" t="str">
        <f>IFERROR(VLOOKUP(B360,infoTable[],4,FALSE),"")</f>
        <v/>
      </c>
      <c r="H360" s="4">
        <f>IFERROR(VLOOKUP(B360,infoTable__6[],4,FALSE),"")</f>
        <v>201936</v>
      </c>
      <c r="I360" s="4" t="str">
        <f>IFERROR(VLOOKUP(B360,infoTable__28[],4,FALSE),"")</f>
        <v/>
      </c>
      <c r="J360" s="4" t="str">
        <f>IFERROR(VLOOKUP(B360,infoTable__10[],4,FALSE),"")</f>
        <v/>
      </c>
      <c r="K360" s="4" t="str">
        <f>IFERROR(VLOOKUP(B360,infoTable__11[],4,FALSE),"")</f>
        <v/>
      </c>
      <c r="L360" s="4">
        <f>IFERROR(VLOOKUP(B360,infoTable__12[],4,FALSE),"")</f>
        <v>215892</v>
      </c>
      <c r="M360" s="4" t="str">
        <f>IFERROR(VLOOKUP(B360,infoTable__13[],4,FALSE),"")</f>
        <v/>
      </c>
      <c r="N360" s="4" t="str">
        <f>IFERROR(VLOOKUP(B360,infoTable__14[],4,FALSE),"")</f>
        <v/>
      </c>
      <c r="O360" s="4" t="str">
        <f>IFERROR(VLOOKUP(B360,infoTable__15[],4,FALSE),"")</f>
        <v/>
      </c>
      <c r="P360" s="4" t="str">
        <f>IFERROR(VLOOKUP(B360,infoTable__16[],4,FALSE),"")</f>
        <v/>
      </c>
    </row>
    <row r="361" spans="1:16" x14ac:dyDescent="0.55000000000000004">
      <c r="A361" t="s">
        <v>3079</v>
      </c>
      <c r="B361" t="s">
        <v>3080</v>
      </c>
      <c r="C361" s="4" t="str">
        <f>IFERROR(VLOOKUP(B361,infoTable10[],4,FALSE),"")</f>
        <v/>
      </c>
      <c r="D361" s="4" t="str">
        <f>IFERROR(VLOOKUP(B361,infoTable__2[],4,FALSE),"")</f>
        <v/>
      </c>
      <c r="E361" s="4" t="str">
        <f>IFERROR(VLOOKUP(B361,infoTable__3[],4,FALSE),"")</f>
        <v/>
      </c>
      <c r="F361" s="4" t="str">
        <f>IFERROR(VLOOKUP(B361,infoTable__4[],4,FALSE),"")</f>
        <v/>
      </c>
      <c r="G361" s="4" t="str">
        <f>IFERROR(VLOOKUP(B361,infoTable[],4,FALSE),"")</f>
        <v/>
      </c>
      <c r="H361" s="4" t="str">
        <f>IFERROR(VLOOKUP(B361,infoTable__6[],4,FALSE),"")</f>
        <v/>
      </c>
      <c r="I361" s="4" t="str">
        <f>IFERROR(VLOOKUP(B361,infoTable__28[],4,FALSE),"")</f>
        <v/>
      </c>
      <c r="J361" s="4" t="str">
        <f>IFERROR(VLOOKUP(B361,infoTable__10[],4,FALSE),"")</f>
        <v/>
      </c>
      <c r="K361" s="4" t="str">
        <f>IFERROR(VLOOKUP(B361,infoTable__11[],4,FALSE),"")</f>
        <v/>
      </c>
      <c r="L361" s="4" t="str">
        <f>IFERROR(VLOOKUP(B361,infoTable__12[],4,FALSE),"")</f>
        <v/>
      </c>
      <c r="M361" s="4" t="str">
        <f>IFERROR(VLOOKUP(B361,infoTable__13[],4,FALSE),"")</f>
        <v/>
      </c>
      <c r="N361" s="4" t="str">
        <f>IFERROR(VLOOKUP(B361,infoTable__14[],4,FALSE),"")</f>
        <v/>
      </c>
      <c r="O361" s="4">
        <f>IFERROR(VLOOKUP(B361,infoTable__15[],4,FALSE),"")</f>
        <v>344848</v>
      </c>
      <c r="P361" s="4">
        <f>IFERROR(VLOOKUP(B361,infoTable__16[],4,FALSE),"")</f>
        <v>374285</v>
      </c>
    </row>
    <row r="362" spans="1:16" x14ac:dyDescent="0.55000000000000004">
      <c r="A362" t="s">
        <v>2226</v>
      </c>
      <c r="B362" t="s">
        <v>2227</v>
      </c>
      <c r="C362" s="4" t="str">
        <f>IFERROR(VLOOKUP(B362,infoTable10[],4,FALSE),"")</f>
        <v/>
      </c>
      <c r="D362" s="4" t="str">
        <f>IFERROR(VLOOKUP(B362,infoTable__2[],4,FALSE),"")</f>
        <v/>
      </c>
      <c r="E362" s="4" t="str">
        <f>IFERROR(VLOOKUP(B362,infoTable__3[],4,FALSE),"")</f>
        <v/>
      </c>
      <c r="F362" s="4" t="str">
        <f>IFERROR(VLOOKUP(B362,infoTable__4[],4,FALSE),"")</f>
        <v/>
      </c>
      <c r="G362" s="4" t="str">
        <f>IFERROR(VLOOKUP(B362,infoTable[],4,FALSE),"")</f>
        <v/>
      </c>
      <c r="H362" s="4" t="str">
        <f>IFERROR(VLOOKUP(B362,infoTable__6[],4,FALSE),"")</f>
        <v/>
      </c>
      <c r="I362" s="4" t="str">
        <f>IFERROR(VLOOKUP(B362,infoTable__28[],4,FALSE),"")</f>
        <v/>
      </c>
      <c r="J362" s="4" t="str">
        <f>IFERROR(VLOOKUP(B362,infoTable__10[],4,FALSE),"")</f>
        <v/>
      </c>
      <c r="K362" s="4" t="str">
        <f>IFERROR(VLOOKUP(B362,infoTable__11[],4,FALSE),"")</f>
        <v/>
      </c>
      <c r="L362" s="4">
        <f>IFERROR(VLOOKUP(B362,infoTable__12[],4,FALSE),"")</f>
        <v>233662</v>
      </c>
      <c r="M362" s="4">
        <f>IFERROR(VLOOKUP(B362,infoTable__13[],4,FALSE),"")</f>
        <v>331725</v>
      </c>
      <c r="N362" s="4">
        <f>IFERROR(VLOOKUP(B362,infoTable__14[],4,FALSE),"")</f>
        <v>296649</v>
      </c>
      <c r="O362" s="4" t="str">
        <f>IFERROR(VLOOKUP(B362,infoTable__15[],4,FALSE),"")</f>
        <v/>
      </c>
      <c r="P362" s="4" t="str">
        <f>IFERROR(VLOOKUP(B362,infoTable__16[],4,FALSE),"")</f>
        <v/>
      </c>
    </row>
    <row r="363" spans="1:16" x14ac:dyDescent="0.55000000000000004">
      <c r="A363" t="s">
        <v>2502</v>
      </c>
      <c r="B363" t="s">
        <v>2503</v>
      </c>
      <c r="C363" s="4" t="str">
        <f>IFERROR(VLOOKUP(B363,infoTable10[],4,FALSE),"")</f>
        <v/>
      </c>
      <c r="D363" s="4" t="str">
        <f>IFERROR(VLOOKUP(B363,infoTable__2[],4,FALSE),"")</f>
        <v/>
      </c>
      <c r="E363" s="4" t="str">
        <f>IFERROR(VLOOKUP(B363,infoTable__3[],4,FALSE),"")</f>
        <v/>
      </c>
      <c r="F363" s="4" t="str">
        <f>IFERROR(VLOOKUP(B363,infoTable__4[],4,FALSE),"")</f>
        <v/>
      </c>
      <c r="G363" s="4" t="str">
        <f>IFERROR(VLOOKUP(B363,infoTable[],4,FALSE),"")</f>
        <v/>
      </c>
      <c r="H363" s="4" t="str">
        <f>IFERROR(VLOOKUP(B363,infoTable__6[],4,FALSE),"")</f>
        <v/>
      </c>
      <c r="I363" s="4" t="str">
        <f>IFERROR(VLOOKUP(B363,infoTable__28[],4,FALSE),"")</f>
        <v/>
      </c>
      <c r="J363" s="4" t="str">
        <f>IFERROR(VLOOKUP(B363,infoTable__10[],4,FALSE),"")</f>
        <v/>
      </c>
      <c r="K363" s="4" t="str">
        <f>IFERROR(VLOOKUP(B363,infoTable__11[],4,FALSE),"")</f>
        <v/>
      </c>
      <c r="L363" s="4" t="str">
        <f>IFERROR(VLOOKUP(B363,infoTable__12[],4,FALSE),"")</f>
        <v/>
      </c>
      <c r="M363" s="4">
        <f>IFERROR(VLOOKUP(B363,infoTable__13[],4,FALSE),"")</f>
        <v>1502188</v>
      </c>
      <c r="N363" s="4">
        <f>IFERROR(VLOOKUP(B363,infoTable__14[],4,FALSE),"")</f>
        <v>1586608</v>
      </c>
      <c r="O363" s="4" t="str">
        <f>IFERROR(VLOOKUP(B363,infoTable__15[],4,FALSE),"")</f>
        <v/>
      </c>
      <c r="P363" s="4" t="str">
        <f>IFERROR(VLOOKUP(B363,infoTable__16[],4,FALSE),"")</f>
        <v/>
      </c>
    </row>
    <row r="364" spans="1:16" x14ac:dyDescent="0.55000000000000004">
      <c r="A364" t="s">
        <v>602</v>
      </c>
      <c r="B364" t="s">
        <v>603</v>
      </c>
      <c r="C364" s="4">
        <f>IFERROR(VLOOKUP(B364,infoTable10[],4,FALSE),"")</f>
        <v>1927002</v>
      </c>
      <c r="D364" s="4">
        <f>IFERROR(VLOOKUP(B364,infoTable__2[],4,FALSE),"")</f>
        <v>2106543</v>
      </c>
      <c r="E364" s="4">
        <f>IFERROR(VLOOKUP(B364,infoTable__3[],4,FALSE),"")</f>
        <v>2147897</v>
      </c>
      <c r="F364" s="4">
        <f>IFERROR(VLOOKUP(B364,infoTable__4[],4,FALSE),"")</f>
        <v>810634</v>
      </c>
      <c r="G364" s="4" t="str">
        <f>IFERROR(VLOOKUP(B364,infoTable[],4,FALSE),"")</f>
        <v/>
      </c>
      <c r="H364" s="4" t="str">
        <f>IFERROR(VLOOKUP(B364,infoTable__6[],4,FALSE),"")</f>
        <v/>
      </c>
      <c r="I364" s="4" t="str">
        <f>IFERROR(VLOOKUP(B364,infoTable__28[],4,FALSE),"")</f>
        <v/>
      </c>
      <c r="J364" s="4" t="str">
        <f>IFERROR(VLOOKUP(B364,infoTable__10[],4,FALSE),"")</f>
        <v/>
      </c>
      <c r="K364" s="4">
        <f>IFERROR(VLOOKUP(B364,infoTable__11[],4,FALSE),"")</f>
        <v>648488</v>
      </c>
      <c r="L364" s="4">
        <f>IFERROR(VLOOKUP(B364,infoTable__12[],4,FALSE),"")</f>
        <v>1571556</v>
      </c>
      <c r="M364" s="4" t="str">
        <f>IFERROR(VLOOKUP(B364,infoTable__13[],4,FALSE),"")</f>
        <v/>
      </c>
      <c r="N364" s="4" t="str">
        <f>IFERROR(VLOOKUP(B364,infoTable__14[],4,FALSE),"")</f>
        <v/>
      </c>
      <c r="O364" s="4" t="str">
        <f>IFERROR(VLOOKUP(B364,infoTable__15[],4,FALSE),"")</f>
        <v/>
      </c>
      <c r="P364" s="4" t="str">
        <f>IFERROR(VLOOKUP(B364,infoTable__16[],4,FALSE),"")</f>
        <v/>
      </c>
    </row>
    <row r="365" spans="1:16" x14ac:dyDescent="0.55000000000000004">
      <c r="A365" t="s">
        <v>2689</v>
      </c>
      <c r="B365" t="s">
        <v>2688</v>
      </c>
      <c r="C365" s="4" t="str">
        <f>IFERROR(VLOOKUP(B365,infoTable10[],4,FALSE),"")</f>
        <v/>
      </c>
      <c r="D365" s="4" t="str">
        <f>IFERROR(VLOOKUP(B365,infoTable__2[],4,FALSE),"")</f>
        <v/>
      </c>
      <c r="E365" s="4" t="str">
        <f>IFERROR(VLOOKUP(B365,infoTable__3[],4,FALSE),"")</f>
        <v/>
      </c>
      <c r="F365" s="4" t="str">
        <f>IFERROR(VLOOKUP(B365,infoTable__4[],4,FALSE),"")</f>
        <v/>
      </c>
      <c r="G365" s="4" t="str">
        <f>IFERROR(VLOOKUP(B365,infoTable[],4,FALSE),"")</f>
        <v/>
      </c>
      <c r="H365" s="4" t="str">
        <f>IFERROR(VLOOKUP(B365,infoTable__6[],4,FALSE),"")</f>
        <v/>
      </c>
      <c r="I365" s="4" t="str">
        <f>IFERROR(VLOOKUP(B365,infoTable__28[],4,FALSE),"")</f>
        <v/>
      </c>
      <c r="J365" s="4" t="str">
        <f>IFERROR(VLOOKUP(B365,infoTable__10[],4,FALSE),"")</f>
        <v/>
      </c>
      <c r="K365" s="4" t="str">
        <f>IFERROR(VLOOKUP(B365,infoTable__11[],4,FALSE),"")</f>
        <v/>
      </c>
      <c r="L365" s="4" t="str">
        <f>IFERROR(VLOOKUP(B365,infoTable__12[],4,FALSE),"")</f>
        <v/>
      </c>
      <c r="M365" s="4" t="str">
        <f>IFERROR(VLOOKUP(B365,infoTable__13[],4,FALSE),"")</f>
        <v/>
      </c>
      <c r="N365" s="4">
        <f>IFERROR(VLOOKUP(B365,infoTable__14[],4,FALSE),"")</f>
        <v>415271</v>
      </c>
      <c r="O365" s="4" t="str">
        <f>IFERROR(VLOOKUP(B365,infoTable__15[],4,FALSE),"")</f>
        <v/>
      </c>
      <c r="P365" s="4" t="str">
        <f>IFERROR(VLOOKUP(B365,infoTable__16[],4,FALSE),"")</f>
        <v/>
      </c>
    </row>
    <row r="366" spans="1:16" x14ac:dyDescent="0.55000000000000004">
      <c r="A366" t="s">
        <v>264</v>
      </c>
      <c r="B366" t="s">
        <v>265</v>
      </c>
      <c r="C366" s="4" t="str">
        <f>IFERROR(VLOOKUP(B366,infoTable10[],4,FALSE),"")</f>
        <v/>
      </c>
      <c r="D366" s="4" t="str">
        <f>IFERROR(VLOOKUP(B366,infoTable__2[],4,FALSE),"")</f>
        <v/>
      </c>
      <c r="E366" s="4" t="str">
        <f>IFERROR(VLOOKUP(B366,infoTable__3[],4,FALSE),"")</f>
        <v/>
      </c>
      <c r="F366" s="4">
        <f>IFERROR(VLOOKUP(B366,infoTable__4[],4,FALSE),"")</f>
        <v>670887</v>
      </c>
      <c r="G366" s="4">
        <f>IFERROR(VLOOKUP(B366,infoTable[],4,FALSE),"")</f>
        <v>3193469</v>
      </c>
      <c r="H366" s="4">
        <f>IFERROR(VLOOKUP(B366,infoTable__6[],4,FALSE),"")</f>
        <v>4903011</v>
      </c>
      <c r="I366" s="4">
        <f>IFERROR(VLOOKUP(B366,infoTable__28[],4,FALSE),"")</f>
        <v>1254856</v>
      </c>
      <c r="J366" s="4">
        <f>IFERROR(VLOOKUP(B366,infoTable__10[],4,FALSE),"")</f>
        <v>876094</v>
      </c>
      <c r="K366" s="4">
        <f>IFERROR(VLOOKUP(B366,infoTable__11[],4,FALSE),"")</f>
        <v>406502</v>
      </c>
      <c r="L366" s="4" t="str">
        <f>IFERROR(VLOOKUP(B366,infoTable__12[],4,FALSE),"")</f>
        <v/>
      </c>
      <c r="M366" s="4" t="str">
        <f>IFERROR(VLOOKUP(B366,infoTable__13[],4,FALSE),"")</f>
        <v/>
      </c>
      <c r="N366" s="4" t="str">
        <f>IFERROR(VLOOKUP(B366,infoTable__14[],4,FALSE),"")</f>
        <v/>
      </c>
      <c r="O366" s="4">
        <f>IFERROR(VLOOKUP(B366,infoTable__15[],4,FALSE),"")</f>
        <v>933072</v>
      </c>
      <c r="P366" s="4">
        <f>IFERROR(VLOOKUP(B366,infoTable__16[],4,FALSE),"")</f>
        <v>453474</v>
      </c>
    </row>
    <row r="367" spans="1:16" x14ac:dyDescent="0.55000000000000004">
      <c r="A367" t="s">
        <v>2496</v>
      </c>
      <c r="B367" t="s">
        <v>2497</v>
      </c>
      <c r="C367" s="4" t="str">
        <f>IFERROR(VLOOKUP(B367,infoTable10[],4,FALSE),"")</f>
        <v/>
      </c>
      <c r="D367" s="4" t="str">
        <f>IFERROR(VLOOKUP(B367,infoTable__2[],4,FALSE),"")</f>
        <v/>
      </c>
      <c r="E367" s="4" t="str">
        <f>IFERROR(VLOOKUP(B367,infoTable__3[],4,FALSE),"")</f>
        <v/>
      </c>
      <c r="F367" s="4" t="str">
        <f>IFERROR(VLOOKUP(B367,infoTable__4[],4,FALSE),"")</f>
        <v/>
      </c>
      <c r="G367" s="4" t="str">
        <f>IFERROR(VLOOKUP(B367,infoTable[],4,FALSE),"")</f>
        <v/>
      </c>
      <c r="H367" s="4" t="str">
        <f>IFERROR(VLOOKUP(B367,infoTable__6[],4,FALSE),"")</f>
        <v/>
      </c>
      <c r="I367" s="4" t="str">
        <f>IFERROR(VLOOKUP(B367,infoTable__28[],4,FALSE),"")</f>
        <v/>
      </c>
      <c r="J367" s="4" t="str">
        <f>IFERROR(VLOOKUP(B367,infoTable__10[],4,FALSE),"")</f>
        <v/>
      </c>
      <c r="K367" s="4" t="str">
        <f>IFERROR(VLOOKUP(B367,infoTable__11[],4,FALSE),"")</f>
        <v/>
      </c>
      <c r="L367" s="4" t="str">
        <f>IFERROR(VLOOKUP(B367,infoTable__12[],4,FALSE),"")</f>
        <v/>
      </c>
      <c r="M367" s="4">
        <f>IFERROR(VLOOKUP(B367,infoTable__13[],4,FALSE),"")</f>
        <v>163628</v>
      </c>
      <c r="N367" s="4">
        <f>IFERROR(VLOOKUP(B367,infoTable__14[],4,FALSE),"")</f>
        <v>1387693</v>
      </c>
      <c r="O367" s="4">
        <f>IFERROR(VLOOKUP(B367,infoTable__15[],4,FALSE),"")</f>
        <v>698272</v>
      </c>
      <c r="P367" s="4" t="str">
        <f>IFERROR(VLOOKUP(B367,infoTable__16[],4,FALSE),"")</f>
        <v/>
      </c>
    </row>
    <row r="368" spans="1:16" x14ac:dyDescent="0.55000000000000004">
      <c r="A368" t="s">
        <v>606</v>
      </c>
      <c r="B368" t="s">
        <v>607</v>
      </c>
      <c r="C368" s="4" t="str">
        <f>IFERROR(VLOOKUP(B368,infoTable10[],4,FALSE),"")</f>
        <v/>
      </c>
      <c r="D368" s="4">
        <f>IFERROR(VLOOKUP(B368,infoTable__2[],4,FALSE),"")</f>
        <v>2433804</v>
      </c>
      <c r="E368" s="4" t="str">
        <f>IFERROR(VLOOKUP(B368,infoTable__3[],4,FALSE),"")</f>
        <v/>
      </c>
      <c r="F368" s="4" t="str">
        <f>IFERROR(VLOOKUP(B368,infoTable__4[],4,FALSE),"")</f>
        <v/>
      </c>
      <c r="G368" s="4" t="str">
        <f>IFERROR(VLOOKUP(B368,infoTable[],4,FALSE),"")</f>
        <v/>
      </c>
      <c r="H368" s="4" t="str">
        <f>IFERROR(VLOOKUP(B368,infoTable__6[],4,FALSE),"")</f>
        <v/>
      </c>
      <c r="I368" s="4">
        <f>IFERROR(VLOOKUP(B368,infoTable__28[],4,FALSE),"")</f>
        <v>2959504</v>
      </c>
      <c r="J368" s="4">
        <f>IFERROR(VLOOKUP(B368,infoTable__10[],4,FALSE),"")</f>
        <v>4901363</v>
      </c>
      <c r="K368" s="4" t="str">
        <f>IFERROR(VLOOKUP(B368,infoTable__11[],4,FALSE),"")</f>
        <v/>
      </c>
      <c r="L368" s="4" t="str">
        <f>IFERROR(VLOOKUP(B368,infoTable__12[],4,FALSE),"")</f>
        <v/>
      </c>
      <c r="M368" s="4" t="str">
        <f>IFERROR(VLOOKUP(B368,infoTable__13[],4,FALSE),"")</f>
        <v/>
      </c>
      <c r="N368" s="4" t="str">
        <f>IFERROR(VLOOKUP(B368,infoTable__14[],4,FALSE),"")</f>
        <v/>
      </c>
      <c r="O368" s="4" t="str">
        <f>IFERROR(VLOOKUP(B368,infoTable__15[],4,FALSE),"")</f>
        <v/>
      </c>
      <c r="P368" s="4" t="str">
        <f>IFERROR(VLOOKUP(B368,infoTable__16[],4,FALSE),"")</f>
        <v/>
      </c>
    </row>
    <row r="369" spans="1:16" x14ac:dyDescent="0.55000000000000004">
      <c r="A369" t="s">
        <v>756</v>
      </c>
      <c r="B369" t="s">
        <v>757</v>
      </c>
      <c r="C369" s="4" t="str">
        <f>IFERROR(VLOOKUP(B369,infoTable10[],4,FALSE),"")</f>
        <v/>
      </c>
      <c r="D369" s="4" t="str">
        <f>IFERROR(VLOOKUP(B369,infoTable__2[],4,FALSE),"")</f>
        <v/>
      </c>
      <c r="E369" s="4">
        <f>IFERROR(VLOOKUP(B369,infoTable__3[],4,FALSE),"")</f>
        <v>4421401</v>
      </c>
      <c r="F369" s="4">
        <f>IFERROR(VLOOKUP(B369,infoTable__4[],4,FALSE),"")</f>
        <v>3549845</v>
      </c>
      <c r="G369" s="4" t="str">
        <f>IFERROR(VLOOKUP(B369,infoTable[],4,FALSE),"")</f>
        <v/>
      </c>
      <c r="H369" s="4">
        <f>IFERROR(VLOOKUP(B369,infoTable__6[],4,FALSE),"")</f>
        <v>4189795</v>
      </c>
      <c r="I369" s="4">
        <f>IFERROR(VLOOKUP(B369,infoTable__28[],4,FALSE),"")</f>
        <v>203387</v>
      </c>
      <c r="J369" s="4" t="str">
        <f>IFERROR(VLOOKUP(B369,infoTable__10[],4,FALSE),"")</f>
        <v/>
      </c>
      <c r="K369" s="4" t="str">
        <f>IFERROR(VLOOKUP(B369,infoTable__11[],4,FALSE),"")</f>
        <v/>
      </c>
      <c r="L369" s="4" t="str">
        <f>IFERROR(VLOOKUP(B369,infoTable__12[],4,FALSE),"")</f>
        <v/>
      </c>
      <c r="M369" s="4" t="str">
        <f>IFERROR(VLOOKUP(B369,infoTable__13[],4,FALSE),"")</f>
        <v/>
      </c>
      <c r="N369" s="4" t="str">
        <f>IFERROR(VLOOKUP(B369,infoTable__14[],4,FALSE),"")</f>
        <v/>
      </c>
      <c r="O369" s="4" t="str">
        <f>IFERROR(VLOOKUP(B369,infoTable__15[],4,FALSE),"")</f>
        <v/>
      </c>
      <c r="P369" s="4" t="str">
        <f>IFERROR(VLOOKUP(B369,infoTable__16[],4,FALSE),"")</f>
        <v/>
      </c>
    </row>
    <row r="370" spans="1:16" x14ac:dyDescent="0.55000000000000004">
      <c r="A370" t="s">
        <v>2498</v>
      </c>
      <c r="B370" t="s">
        <v>2499</v>
      </c>
      <c r="C370" s="4" t="str">
        <f>IFERROR(VLOOKUP(B370,infoTable10[],4,FALSE),"")</f>
        <v/>
      </c>
      <c r="D370" s="4" t="str">
        <f>IFERROR(VLOOKUP(B370,infoTable__2[],4,FALSE),"")</f>
        <v/>
      </c>
      <c r="E370" s="4" t="str">
        <f>IFERROR(VLOOKUP(B370,infoTable__3[],4,FALSE),"")</f>
        <v/>
      </c>
      <c r="F370" s="4" t="str">
        <f>IFERROR(VLOOKUP(B370,infoTable__4[],4,FALSE),"")</f>
        <v/>
      </c>
      <c r="G370" s="4" t="str">
        <f>IFERROR(VLOOKUP(B370,infoTable[],4,FALSE),"")</f>
        <v/>
      </c>
      <c r="H370" s="4" t="str">
        <f>IFERROR(VLOOKUP(B370,infoTable__6[],4,FALSE),"")</f>
        <v/>
      </c>
      <c r="I370" s="4" t="str">
        <f>IFERROR(VLOOKUP(B370,infoTable__28[],4,FALSE),"")</f>
        <v/>
      </c>
      <c r="J370" s="4" t="str">
        <f>IFERROR(VLOOKUP(B370,infoTable__10[],4,FALSE),"")</f>
        <v/>
      </c>
      <c r="K370" s="4" t="str">
        <f>IFERROR(VLOOKUP(B370,infoTable__11[],4,FALSE),"")</f>
        <v/>
      </c>
      <c r="L370" s="4" t="str">
        <f>IFERROR(VLOOKUP(B370,infoTable__12[],4,FALSE),"")</f>
        <v/>
      </c>
      <c r="M370" s="4">
        <f>IFERROR(VLOOKUP(B370,infoTable__13[],4,FALSE),"")</f>
        <v>320697</v>
      </c>
      <c r="N370" s="4">
        <f>IFERROR(VLOOKUP(B370,infoTable__14[],4,FALSE),"")</f>
        <v>1040233</v>
      </c>
      <c r="O370" s="4">
        <f>IFERROR(VLOOKUP(B370,infoTable__15[],4,FALSE),"")</f>
        <v>409585</v>
      </c>
      <c r="P370" s="4" t="str">
        <f>IFERROR(VLOOKUP(B370,infoTable__16[],4,FALSE),"")</f>
        <v/>
      </c>
    </row>
    <row r="371" spans="1:16" x14ac:dyDescent="0.55000000000000004">
      <c r="A371" t="s">
        <v>3403</v>
      </c>
      <c r="B371" t="s">
        <v>3404</v>
      </c>
      <c r="C371" s="4" t="str">
        <f>IFERROR(VLOOKUP(B371,infoTable10[],4,FALSE),"")</f>
        <v/>
      </c>
      <c r="D371" s="4" t="str">
        <f>IFERROR(VLOOKUP(B371,infoTable__2[],4,FALSE),"")</f>
        <v/>
      </c>
      <c r="E371" s="4" t="str">
        <f>IFERROR(VLOOKUP(B371,infoTable__3[],4,FALSE),"")</f>
        <v/>
      </c>
      <c r="F371" s="4" t="str">
        <f>IFERROR(VLOOKUP(B371,infoTable__4[],4,FALSE),"")</f>
        <v/>
      </c>
      <c r="G371" s="4" t="str">
        <f>IFERROR(VLOOKUP(B371,infoTable[],4,FALSE),"")</f>
        <v/>
      </c>
      <c r="H371" s="4" t="str">
        <f>IFERROR(VLOOKUP(B371,infoTable__6[],4,FALSE),"")</f>
        <v/>
      </c>
      <c r="I371" s="4" t="str">
        <f>IFERROR(VLOOKUP(B371,infoTable__28[],4,FALSE),"")</f>
        <v/>
      </c>
      <c r="J371" s="4" t="str">
        <f>IFERROR(VLOOKUP(B371,infoTable__10[],4,FALSE),"")</f>
        <v/>
      </c>
      <c r="K371" s="4" t="str">
        <f>IFERROR(VLOOKUP(B371,infoTable__11[],4,FALSE),"")</f>
        <v/>
      </c>
      <c r="L371" s="4" t="str">
        <f>IFERROR(VLOOKUP(B371,infoTable__12[],4,FALSE),"")</f>
        <v/>
      </c>
      <c r="M371" s="4" t="str">
        <f>IFERROR(VLOOKUP(B371,infoTable__13[],4,FALSE),"")</f>
        <v/>
      </c>
      <c r="N371" s="4" t="str">
        <f>IFERROR(VLOOKUP(B371,infoTable__14[],4,FALSE),"")</f>
        <v/>
      </c>
      <c r="O371" s="4" t="str">
        <f>IFERROR(VLOOKUP(B371,infoTable__15[],4,FALSE),"")</f>
        <v/>
      </c>
      <c r="P371" s="4">
        <f>IFERROR(VLOOKUP(B371,infoTable__16[],4,FALSE),"")</f>
        <v>592610</v>
      </c>
    </row>
    <row r="372" spans="1:16" x14ac:dyDescent="0.55000000000000004">
      <c r="A372" t="s">
        <v>2236</v>
      </c>
      <c r="B372" t="s">
        <v>2237</v>
      </c>
      <c r="C372" s="4" t="str">
        <f>IFERROR(VLOOKUP(B372,infoTable10[],4,FALSE),"")</f>
        <v/>
      </c>
      <c r="D372" s="4" t="str">
        <f>IFERROR(VLOOKUP(B372,infoTable__2[],4,FALSE),"")</f>
        <v/>
      </c>
      <c r="E372" s="4" t="str">
        <f>IFERROR(VLOOKUP(B372,infoTable__3[],4,FALSE),"")</f>
        <v/>
      </c>
      <c r="F372" s="4" t="str">
        <f>IFERROR(VLOOKUP(B372,infoTable__4[],4,FALSE),"")</f>
        <v/>
      </c>
      <c r="G372" s="4" t="str">
        <f>IFERROR(VLOOKUP(B372,infoTable[],4,FALSE),"")</f>
        <v/>
      </c>
      <c r="H372" s="4" t="str">
        <f>IFERROR(VLOOKUP(B372,infoTable__6[],4,FALSE),"")</f>
        <v/>
      </c>
      <c r="I372" s="4" t="str">
        <f>IFERROR(VLOOKUP(B372,infoTable__28[],4,FALSE),"")</f>
        <v/>
      </c>
      <c r="J372" s="4" t="str">
        <f>IFERROR(VLOOKUP(B372,infoTable__10[],4,FALSE),"")</f>
        <v/>
      </c>
      <c r="K372" s="4" t="str">
        <f>IFERROR(VLOOKUP(B372,infoTable__11[],4,FALSE),"")</f>
        <v/>
      </c>
      <c r="L372" s="4">
        <f>IFERROR(VLOOKUP(B372,infoTable__12[],4,FALSE),"")</f>
        <v>1356697</v>
      </c>
      <c r="M372" s="4" t="str">
        <f>IFERROR(VLOOKUP(B372,infoTable__13[],4,FALSE),"")</f>
        <v/>
      </c>
      <c r="N372" s="4" t="str">
        <f>IFERROR(VLOOKUP(B372,infoTable__14[],4,FALSE),"")</f>
        <v/>
      </c>
      <c r="O372" s="4" t="str">
        <f>IFERROR(VLOOKUP(B372,infoTable__15[],4,FALSE),"")</f>
        <v/>
      </c>
      <c r="P372" s="4" t="str">
        <f>IFERROR(VLOOKUP(B372,infoTable__16[],4,FALSE),"")</f>
        <v/>
      </c>
    </row>
    <row r="373" spans="1:16" x14ac:dyDescent="0.55000000000000004">
      <c r="A373" t="s">
        <v>1690</v>
      </c>
      <c r="B373" t="s">
        <v>1691</v>
      </c>
      <c r="C373" s="4" t="str">
        <f>IFERROR(VLOOKUP(B373,infoTable10[],4,FALSE),"")</f>
        <v/>
      </c>
      <c r="D373" s="4" t="str">
        <f>IFERROR(VLOOKUP(B373,infoTable__2[],4,FALSE),"")</f>
        <v/>
      </c>
      <c r="E373" s="4" t="str">
        <f>IFERROR(VLOOKUP(B373,infoTable__3[],4,FALSE),"")</f>
        <v/>
      </c>
      <c r="F373" s="4" t="str">
        <f>IFERROR(VLOOKUP(B373,infoTable__4[],4,FALSE),"")</f>
        <v/>
      </c>
      <c r="G373" s="4" t="str">
        <f>IFERROR(VLOOKUP(B373,infoTable[],4,FALSE),"")</f>
        <v/>
      </c>
      <c r="H373" s="4" t="str">
        <f>IFERROR(VLOOKUP(B373,infoTable__6[],4,FALSE),"")</f>
        <v/>
      </c>
      <c r="I373" s="4" t="str">
        <f>IFERROR(VLOOKUP(B373,infoTable__28[],4,FALSE),"")</f>
        <v/>
      </c>
      <c r="J373" s="4">
        <f>IFERROR(VLOOKUP(B373,infoTable__10[],4,FALSE),"")</f>
        <v>2456683</v>
      </c>
      <c r="K373" s="4">
        <f>IFERROR(VLOOKUP(B373,infoTable__11[],4,FALSE),"")</f>
        <v>211450</v>
      </c>
      <c r="L373" s="4" t="str">
        <f>IFERROR(VLOOKUP(B373,infoTable__12[],4,FALSE),"")</f>
        <v/>
      </c>
      <c r="M373" s="4" t="str">
        <f>IFERROR(VLOOKUP(B373,infoTable__13[],4,FALSE),"")</f>
        <v/>
      </c>
      <c r="N373" s="4">
        <f>IFERROR(VLOOKUP(B373,infoTable__14[],4,FALSE),"")</f>
        <v>281919</v>
      </c>
      <c r="O373" s="4" t="str">
        <f>IFERROR(VLOOKUP(B373,infoTable__15[],4,FALSE),"")</f>
        <v/>
      </c>
      <c r="P373" s="4" t="str">
        <f>IFERROR(VLOOKUP(B373,infoTable__16[],4,FALSE),"")</f>
        <v/>
      </c>
    </row>
    <row r="374" spans="1:16" x14ac:dyDescent="0.55000000000000004">
      <c r="A374" t="s">
        <v>2692</v>
      </c>
      <c r="B374" t="s">
        <v>2691</v>
      </c>
      <c r="C374" s="4" t="str">
        <f>IFERROR(VLOOKUP(B374,infoTable10[],4,FALSE),"")</f>
        <v/>
      </c>
      <c r="D374" s="4" t="str">
        <f>IFERROR(VLOOKUP(B374,infoTable__2[],4,FALSE),"")</f>
        <v/>
      </c>
      <c r="E374" s="4" t="str">
        <f>IFERROR(VLOOKUP(B374,infoTable__3[],4,FALSE),"")</f>
        <v/>
      </c>
      <c r="F374" s="4" t="str">
        <f>IFERROR(VLOOKUP(B374,infoTable__4[],4,FALSE),"")</f>
        <v/>
      </c>
      <c r="G374" s="4" t="str">
        <f>IFERROR(VLOOKUP(B374,infoTable[],4,FALSE),"")</f>
        <v/>
      </c>
      <c r="H374" s="4" t="str">
        <f>IFERROR(VLOOKUP(B374,infoTable__6[],4,FALSE),"")</f>
        <v/>
      </c>
      <c r="I374" s="4" t="str">
        <f>IFERROR(VLOOKUP(B374,infoTable__28[],4,FALSE),"")</f>
        <v/>
      </c>
      <c r="J374" s="4" t="str">
        <f>IFERROR(VLOOKUP(B374,infoTable__10[],4,FALSE),"")</f>
        <v/>
      </c>
      <c r="K374" s="4" t="str">
        <f>IFERROR(VLOOKUP(B374,infoTable__11[],4,FALSE),"")</f>
        <v/>
      </c>
      <c r="L374" s="4" t="str">
        <f>IFERROR(VLOOKUP(B374,infoTable__12[],4,FALSE),"")</f>
        <v/>
      </c>
      <c r="M374" s="4" t="str">
        <f>IFERROR(VLOOKUP(B374,infoTable__13[],4,FALSE),"")</f>
        <v/>
      </c>
      <c r="N374" s="4">
        <f>IFERROR(VLOOKUP(B374,infoTable__14[],4,FALSE),"")</f>
        <v>411291</v>
      </c>
      <c r="O374" s="4" t="str">
        <f>IFERROR(VLOOKUP(B374,infoTable__15[],4,FALSE),"")</f>
        <v/>
      </c>
      <c r="P374" s="4" t="str">
        <f>IFERROR(VLOOKUP(B374,infoTable__16[],4,FALSE),"")</f>
        <v/>
      </c>
    </row>
    <row r="375" spans="1:16" x14ac:dyDescent="0.55000000000000004">
      <c r="A375" t="s">
        <v>1692</v>
      </c>
      <c r="B375" t="s">
        <v>1693</v>
      </c>
      <c r="C375" s="4" t="str">
        <f>IFERROR(VLOOKUP(B375,infoTable10[],4,FALSE),"")</f>
        <v/>
      </c>
      <c r="D375" s="4" t="str">
        <f>IFERROR(VLOOKUP(B375,infoTable__2[],4,FALSE),"")</f>
        <v/>
      </c>
      <c r="E375" s="4" t="str">
        <f>IFERROR(VLOOKUP(B375,infoTable__3[],4,FALSE),"")</f>
        <v/>
      </c>
      <c r="F375" s="4" t="str">
        <f>IFERROR(VLOOKUP(B375,infoTable__4[],4,FALSE),"")</f>
        <v/>
      </c>
      <c r="G375" s="4" t="str">
        <f>IFERROR(VLOOKUP(B375,infoTable[],4,FALSE),"")</f>
        <v/>
      </c>
      <c r="H375" s="4" t="str">
        <f>IFERROR(VLOOKUP(B375,infoTable__6[],4,FALSE),"")</f>
        <v/>
      </c>
      <c r="I375" s="4" t="str">
        <f>IFERROR(VLOOKUP(B375,infoTable__28[],4,FALSE),"")</f>
        <v/>
      </c>
      <c r="J375" s="4">
        <f>IFERROR(VLOOKUP(B375,infoTable__10[],4,FALSE),"")</f>
        <v>1499798</v>
      </c>
      <c r="K375" s="4">
        <f>IFERROR(VLOOKUP(B375,infoTable__11[],4,FALSE),"")</f>
        <v>799293</v>
      </c>
      <c r="L375" s="4">
        <f>IFERROR(VLOOKUP(B375,infoTable__12[],4,FALSE),"")</f>
        <v>619665</v>
      </c>
      <c r="M375" s="4">
        <f>IFERROR(VLOOKUP(B375,infoTable__13[],4,FALSE),"")</f>
        <v>583274</v>
      </c>
      <c r="N375" s="4">
        <f>IFERROR(VLOOKUP(B375,infoTable__14[],4,FALSE),"")</f>
        <v>284705</v>
      </c>
      <c r="O375" s="4" t="str">
        <f>IFERROR(VLOOKUP(B375,infoTable__15[],4,FALSE),"")</f>
        <v/>
      </c>
      <c r="P375" s="4" t="str">
        <f>IFERROR(VLOOKUP(B375,infoTable__16[],4,FALSE),"")</f>
        <v/>
      </c>
    </row>
    <row r="376" spans="1:16" x14ac:dyDescent="0.55000000000000004">
      <c r="A376" t="s">
        <v>1304</v>
      </c>
      <c r="B376" t="s">
        <v>1305</v>
      </c>
      <c r="C376" s="4" t="str">
        <f>IFERROR(VLOOKUP(B376,infoTable10[],4,FALSE),"")</f>
        <v/>
      </c>
      <c r="D376" s="4" t="str">
        <f>IFERROR(VLOOKUP(B376,infoTable__2[],4,FALSE),"")</f>
        <v/>
      </c>
      <c r="E376" s="4" t="str">
        <f>IFERROR(VLOOKUP(B376,infoTable__3[],4,FALSE),"")</f>
        <v/>
      </c>
      <c r="F376" s="4" t="str">
        <f>IFERROR(VLOOKUP(B376,infoTable__4[],4,FALSE),"")</f>
        <v/>
      </c>
      <c r="G376" s="4" t="str">
        <f>IFERROR(VLOOKUP(B376,infoTable[],4,FALSE),"")</f>
        <v/>
      </c>
      <c r="H376" s="4" t="str">
        <f>IFERROR(VLOOKUP(B376,infoTable__6[],4,FALSE),"")</f>
        <v/>
      </c>
      <c r="I376" s="4">
        <f>IFERROR(VLOOKUP(B376,infoTable__28[],4,FALSE),"")</f>
        <v>1212862</v>
      </c>
      <c r="J376" s="4">
        <f>IFERROR(VLOOKUP(B376,infoTable__10[],4,FALSE),"")</f>
        <v>348431</v>
      </c>
      <c r="K376" s="4">
        <f>IFERROR(VLOOKUP(B376,infoTable__11[],4,FALSE),"")</f>
        <v>353893</v>
      </c>
      <c r="L376" s="4" t="str">
        <f>IFERROR(VLOOKUP(B376,infoTable__12[],4,FALSE),"")</f>
        <v/>
      </c>
      <c r="M376" s="4" t="str">
        <f>IFERROR(VLOOKUP(B376,infoTable__13[],4,FALSE),"")</f>
        <v/>
      </c>
      <c r="N376" s="4" t="str">
        <f>IFERROR(VLOOKUP(B376,infoTable__14[],4,FALSE),"")</f>
        <v/>
      </c>
      <c r="O376" s="4" t="str">
        <f>IFERROR(VLOOKUP(B376,infoTable__15[],4,FALSE),"")</f>
        <v/>
      </c>
      <c r="P376" s="4" t="str">
        <f>IFERROR(VLOOKUP(B376,infoTable__16[],4,FALSE),"")</f>
        <v/>
      </c>
    </row>
    <row r="377" spans="1:16" x14ac:dyDescent="0.55000000000000004">
      <c r="A377" t="s">
        <v>268</v>
      </c>
      <c r="B377" t="s">
        <v>269</v>
      </c>
      <c r="C377" s="4" t="str">
        <f>IFERROR(VLOOKUP(B377,infoTable10[],4,FALSE),"")</f>
        <v/>
      </c>
      <c r="D377" s="4">
        <f>IFERROR(VLOOKUP(B377,infoTable__2[],4,FALSE),"")</f>
        <v>500639</v>
      </c>
      <c r="E377" s="4">
        <f>IFERROR(VLOOKUP(B377,infoTable__3[],4,FALSE),"")</f>
        <v>1735629</v>
      </c>
      <c r="F377" s="4">
        <f>IFERROR(VLOOKUP(B377,infoTable__4[],4,FALSE),"")</f>
        <v>1230223</v>
      </c>
      <c r="G377" s="4">
        <f>IFERROR(VLOOKUP(B377,infoTable[],4,FALSE),"")</f>
        <v>872774</v>
      </c>
      <c r="H377" s="4" t="str">
        <f>IFERROR(VLOOKUP(B377,infoTable__6[],4,FALSE),"")</f>
        <v/>
      </c>
      <c r="I377" s="4" t="str">
        <f>IFERROR(VLOOKUP(B377,infoTable__28[],4,FALSE),"")</f>
        <v/>
      </c>
      <c r="J377" s="4" t="str">
        <f>IFERROR(VLOOKUP(B377,infoTable__10[],4,FALSE),"")</f>
        <v/>
      </c>
      <c r="K377" s="4" t="str">
        <f>IFERROR(VLOOKUP(B377,infoTable__11[],4,FALSE),"")</f>
        <v/>
      </c>
      <c r="L377" s="4" t="str">
        <f>IFERROR(VLOOKUP(B377,infoTable__12[],4,FALSE),"")</f>
        <v/>
      </c>
      <c r="M377" s="4" t="str">
        <f>IFERROR(VLOOKUP(B377,infoTable__13[],4,FALSE),"")</f>
        <v/>
      </c>
      <c r="N377" s="4" t="str">
        <f>IFERROR(VLOOKUP(B377,infoTable__14[],4,FALSE),"")</f>
        <v/>
      </c>
      <c r="O377" s="4" t="str">
        <f>IFERROR(VLOOKUP(B377,infoTable__15[],4,FALSE),"")</f>
        <v/>
      </c>
      <c r="P377" s="4" t="str">
        <f>IFERROR(VLOOKUP(B377,infoTable__16[],4,FALSE),"")</f>
        <v/>
      </c>
    </row>
    <row r="378" spans="1:16" x14ac:dyDescent="0.55000000000000004">
      <c r="A378" t="s">
        <v>3405</v>
      </c>
      <c r="B378" t="s">
        <v>3406</v>
      </c>
      <c r="C378" s="4" t="str">
        <f>IFERROR(VLOOKUP(B378,infoTable10[],4,FALSE),"")</f>
        <v/>
      </c>
      <c r="D378" s="4" t="str">
        <f>IFERROR(VLOOKUP(B378,infoTable__2[],4,FALSE),"")</f>
        <v/>
      </c>
      <c r="E378" s="4" t="str">
        <f>IFERROR(VLOOKUP(B378,infoTable__3[],4,FALSE),"")</f>
        <v/>
      </c>
      <c r="F378" s="4" t="str">
        <f>IFERROR(VLOOKUP(B378,infoTable__4[],4,FALSE),"")</f>
        <v/>
      </c>
      <c r="G378" s="4" t="str">
        <f>IFERROR(VLOOKUP(B378,infoTable[],4,FALSE),"")</f>
        <v/>
      </c>
      <c r="H378" s="4" t="str">
        <f>IFERROR(VLOOKUP(B378,infoTable__6[],4,FALSE),"")</f>
        <v/>
      </c>
      <c r="I378" s="4" t="str">
        <f>IFERROR(VLOOKUP(B378,infoTable__28[],4,FALSE),"")</f>
        <v/>
      </c>
      <c r="J378" s="4" t="str">
        <f>IFERROR(VLOOKUP(B378,infoTable__10[],4,FALSE),"")</f>
        <v/>
      </c>
      <c r="K378" s="4" t="str">
        <f>IFERROR(VLOOKUP(B378,infoTable__11[],4,FALSE),"")</f>
        <v/>
      </c>
      <c r="L378" s="4" t="str">
        <f>IFERROR(VLOOKUP(B378,infoTable__12[],4,FALSE),"")</f>
        <v/>
      </c>
      <c r="M378" s="4" t="str">
        <f>IFERROR(VLOOKUP(B378,infoTable__13[],4,FALSE),"")</f>
        <v/>
      </c>
      <c r="N378" s="4" t="str">
        <f>IFERROR(VLOOKUP(B378,infoTable__14[],4,FALSE),"")</f>
        <v/>
      </c>
      <c r="O378" s="4" t="str">
        <f>IFERROR(VLOOKUP(B378,infoTable__15[],4,FALSE),"")</f>
        <v/>
      </c>
      <c r="P378" s="4">
        <f>IFERROR(VLOOKUP(B378,infoTable__16[],4,FALSE),"")</f>
        <v>303612</v>
      </c>
    </row>
    <row r="379" spans="1:16" x14ac:dyDescent="0.55000000000000004">
      <c r="A379" t="s">
        <v>1306</v>
      </c>
      <c r="B379" t="s">
        <v>1307</v>
      </c>
      <c r="C379" s="4" t="str">
        <f>IFERROR(VLOOKUP(B379,infoTable10[],4,FALSE),"")</f>
        <v/>
      </c>
      <c r="D379" s="4" t="str">
        <f>IFERROR(VLOOKUP(B379,infoTable__2[],4,FALSE),"")</f>
        <v/>
      </c>
      <c r="E379" s="4" t="str">
        <f>IFERROR(VLOOKUP(B379,infoTable__3[],4,FALSE),"")</f>
        <v/>
      </c>
      <c r="F379" s="4" t="str">
        <f>IFERROR(VLOOKUP(B379,infoTable__4[],4,FALSE),"")</f>
        <v/>
      </c>
      <c r="G379" s="4" t="str">
        <f>IFERROR(VLOOKUP(B379,infoTable[],4,FALSE),"")</f>
        <v/>
      </c>
      <c r="H379" s="4" t="str">
        <f>IFERROR(VLOOKUP(B379,infoTable__6[],4,FALSE),"")</f>
        <v/>
      </c>
      <c r="I379" s="4">
        <f>IFERROR(VLOOKUP(B379,infoTable__28[],4,FALSE),"")</f>
        <v>759918</v>
      </c>
      <c r="J379" s="4">
        <f>IFERROR(VLOOKUP(B379,infoTable__10[],4,FALSE),"")</f>
        <v>910849</v>
      </c>
      <c r="K379" s="4" t="str">
        <f>IFERROR(VLOOKUP(B379,infoTable__11[],4,FALSE),"")</f>
        <v/>
      </c>
      <c r="L379" s="4" t="str">
        <f>IFERROR(VLOOKUP(B379,infoTable__12[],4,FALSE),"")</f>
        <v/>
      </c>
      <c r="M379" s="4" t="str">
        <f>IFERROR(VLOOKUP(B379,infoTable__13[],4,FALSE),"")</f>
        <v/>
      </c>
      <c r="N379" s="4" t="str">
        <f>IFERROR(VLOOKUP(B379,infoTable__14[],4,FALSE),"")</f>
        <v/>
      </c>
      <c r="O379" s="4" t="str">
        <f>IFERROR(VLOOKUP(B379,infoTable__15[],4,FALSE),"")</f>
        <v/>
      </c>
      <c r="P379" s="4" t="str">
        <f>IFERROR(VLOOKUP(B379,infoTable__16[],4,FALSE),"")</f>
        <v/>
      </c>
    </row>
    <row r="380" spans="1:16" x14ac:dyDescent="0.55000000000000004">
      <c r="A380" t="s">
        <v>3409</v>
      </c>
      <c r="B380" t="s">
        <v>3410</v>
      </c>
      <c r="C380" s="4" t="str">
        <f>IFERROR(VLOOKUP(B380,infoTable10[],4,FALSE),"")</f>
        <v/>
      </c>
      <c r="D380" s="4" t="str">
        <f>IFERROR(VLOOKUP(B380,infoTable__2[],4,FALSE),"")</f>
        <v/>
      </c>
      <c r="E380" s="4" t="str">
        <f>IFERROR(VLOOKUP(B380,infoTable__3[],4,FALSE),"")</f>
        <v/>
      </c>
      <c r="F380" s="4" t="str">
        <f>IFERROR(VLOOKUP(B380,infoTable__4[],4,FALSE),"")</f>
        <v/>
      </c>
      <c r="G380" s="4" t="str">
        <f>IFERROR(VLOOKUP(B380,infoTable[],4,FALSE),"")</f>
        <v/>
      </c>
      <c r="H380" s="4" t="str">
        <f>IFERROR(VLOOKUP(B380,infoTable__6[],4,FALSE),"")</f>
        <v/>
      </c>
      <c r="I380" s="4" t="str">
        <f>IFERROR(VLOOKUP(B380,infoTable__28[],4,FALSE),"")</f>
        <v/>
      </c>
      <c r="J380" s="4" t="str">
        <f>IFERROR(VLOOKUP(B380,infoTable__10[],4,FALSE),"")</f>
        <v/>
      </c>
      <c r="K380" s="4" t="str">
        <f>IFERROR(VLOOKUP(B380,infoTable__11[],4,FALSE),"")</f>
        <v/>
      </c>
      <c r="L380" s="4" t="str">
        <f>IFERROR(VLOOKUP(B380,infoTable__12[],4,FALSE),"")</f>
        <v/>
      </c>
      <c r="M380" s="4" t="str">
        <f>IFERROR(VLOOKUP(B380,infoTable__13[],4,FALSE),"")</f>
        <v/>
      </c>
      <c r="N380" s="4" t="str">
        <f>IFERROR(VLOOKUP(B380,infoTable__14[],4,FALSE),"")</f>
        <v/>
      </c>
      <c r="O380" s="4" t="str">
        <f>IFERROR(VLOOKUP(B380,infoTable__15[],4,FALSE),"")</f>
        <v/>
      </c>
      <c r="P380" s="4">
        <f>IFERROR(VLOOKUP(B380,infoTable__16[],4,FALSE),"")</f>
        <v>310579</v>
      </c>
    </row>
    <row r="381" spans="1:16" x14ac:dyDescent="0.55000000000000004">
      <c r="A381" t="s">
        <v>2694</v>
      </c>
      <c r="B381" t="s">
        <v>2693</v>
      </c>
      <c r="C381" s="4" t="str">
        <f>IFERROR(VLOOKUP(B381,infoTable10[],4,FALSE),"")</f>
        <v/>
      </c>
      <c r="D381" s="4" t="str">
        <f>IFERROR(VLOOKUP(B381,infoTable__2[],4,FALSE),"")</f>
        <v/>
      </c>
      <c r="E381" s="4" t="str">
        <f>IFERROR(VLOOKUP(B381,infoTable__3[],4,FALSE),"")</f>
        <v/>
      </c>
      <c r="F381" s="4" t="str">
        <f>IFERROR(VLOOKUP(B381,infoTable__4[],4,FALSE),"")</f>
        <v/>
      </c>
      <c r="G381" s="4" t="str">
        <f>IFERROR(VLOOKUP(B381,infoTable[],4,FALSE),"")</f>
        <v/>
      </c>
      <c r="H381" s="4" t="str">
        <f>IFERROR(VLOOKUP(B381,infoTable__6[],4,FALSE),"")</f>
        <v/>
      </c>
      <c r="I381" s="4" t="str">
        <f>IFERROR(VLOOKUP(B381,infoTable__28[],4,FALSE),"")</f>
        <v/>
      </c>
      <c r="J381" s="4" t="str">
        <f>IFERROR(VLOOKUP(B381,infoTable__10[],4,FALSE),"")</f>
        <v/>
      </c>
      <c r="K381" s="4" t="str">
        <f>IFERROR(VLOOKUP(B381,infoTable__11[],4,FALSE),"")</f>
        <v/>
      </c>
      <c r="L381" s="4" t="str">
        <f>IFERROR(VLOOKUP(B381,infoTable__12[],4,FALSE),"")</f>
        <v/>
      </c>
      <c r="M381" s="4" t="str">
        <f>IFERROR(VLOOKUP(B381,infoTable__13[],4,FALSE),"")</f>
        <v/>
      </c>
      <c r="N381" s="4">
        <f>IFERROR(VLOOKUP(B381,infoTable__14[],4,FALSE),"")</f>
        <v>634758</v>
      </c>
      <c r="O381" s="4">
        <f>IFERROR(VLOOKUP(B381,infoTable__15[],4,FALSE),"")</f>
        <v>1705374</v>
      </c>
      <c r="P381" s="4">
        <f>IFERROR(VLOOKUP(B381,infoTable__16[],4,FALSE),"")</f>
        <v>697859</v>
      </c>
    </row>
    <row r="382" spans="1:16" x14ac:dyDescent="0.55000000000000004">
      <c r="A382" t="s">
        <v>3083</v>
      </c>
      <c r="B382" t="s">
        <v>3084</v>
      </c>
      <c r="C382" s="4" t="str">
        <f>IFERROR(VLOOKUP(B382,infoTable10[],4,FALSE),"")</f>
        <v/>
      </c>
      <c r="D382" s="4" t="str">
        <f>IFERROR(VLOOKUP(B382,infoTable__2[],4,FALSE),"")</f>
        <v/>
      </c>
      <c r="E382" s="4" t="str">
        <f>IFERROR(VLOOKUP(B382,infoTable__3[],4,FALSE),"")</f>
        <v/>
      </c>
      <c r="F382" s="4" t="str">
        <f>IFERROR(VLOOKUP(B382,infoTable__4[],4,FALSE),"")</f>
        <v/>
      </c>
      <c r="G382" s="4" t="str">
        <f>IFERROR(VLOOKUP(B382,infoTable[],4,FALSE),"")</f>
        <v/>
      </c>
      <c r="H382" s="4" t="str">
        <f>IFERROR(VLOOKUP(B382,infoTable__6[],4,FALSE),"")</f>
        <v/>
      </c>
      <c r="I382" s="4" t="str">
        <f>IFERROR(VLOOKUP(B382,infoTable__28[],4,FALSE),"")</f>
        <v/>
      </c>
      <c r="J382" s="4" t="str">
        <f>IFERROR(VLOOKUP(B382,infoTable__10[],4,FALSE),"")</f>
        <v/>
      </c>
      <c r="K382" s="4" t="str">
        <f>IFERROR(VLOOKUP(B382,infoTable__11[],4,FALSE),"")</f>
        <v/>
      </c>
      <c r="L382" s="4" t="str">
        <f>IFERROR(VLOOKUP(B382,infoTable__12[],4,FALSE),"")</f>
        <v/>
      </c>
      <c r="M382" s="4" t="str">
        <f>IFERROR(VLOOKUP(B382,infoTable__13[],4,FALSE),"")</f>
        <v/>
      </c>
      <c r="N382" s="4" t="str">
        <f>IFERROR(VLOOKUP(B382,infoTable__14[],4,FALSE),"")</f>
        <v/>
      </c>
      <c r="O382" s="4">
        <f>IFERROR(VLOOKUP(B382,infoTable__15[],4,FALSE),"")</f>
        <v>1734291</v>
      </c>
      <c r="P382" s="4">
        <f>IFERROR(VLOOKUP(B382,infoTable__16[],4,FALSE),"")</f>
        <v>2379685</v>
      </c>
    </row>
    <row r="383" spans="1:16" x14ac:dyDescent="0.55000000000000004">
      <c r="A383" t="s">
        <v>1310</v>
      </c>
      <c r="B383" t="s">
        <v>1311</v>
      </c>
      <c r="C383" s="4" t="str">
        <f>IFERROR(VLOOKUP(B383,infoTable10[],4,FALSE),"")</f>
        <v/>
      </c>
      <c r="D383" s="4" t="str">
        <f>IFERROR(VLOOKUP(B383,infoTable__2[],4,FALSE),"")</f>
        <v/>
      </c>
      <c r="E383" s="4" t="str">
        <f>IFERROR(VLOOKUP(B383,infoTable__3[],4,FALSE),"")</f>
        <v/>
      </c>
      <c r="F383" s="4" t="str">
        <f>IFERROR(VLOOKUP(B383,infoTable__4[],4,FALSE),"")</f>
        <v/>
      </c>
      <c r="G383" s="4" t="str">
        <f>IFERROR(VLOOKUP(B383,infoTable[],4,FALSE),"")</f>
        <v/>
      </c>
      <c r="H383" s="4" t="str">
        <f>IFERROR(VLOOKUP(B383,infoTable__6[],4,FALSE),"")</f>
        <v/>
      </c>
      <c r="I383" s="4">
        <f>IFERROR(VLOOKUP(B383,infoTable__28[],4,FALSE),"")</f>
        <v>1893272</v>
      </c>
      <c r="J383" s="4">
        <f>IFERROR(VLOOKUP(B383,infoTable__10[],4,FALSE),"")</f>
        <v>4389493</v>
      </c>
      <c r="K383" s="4">
        <f>IFERROR(VLOOKUP(B383,infoTable__11[],4,FALSE),"")</f>
        <v>2105976</v>
      </c>
      <c r="L383" s="4">
        <f>IFERROR(VLOOKUP(B383,infoTable__12[],4,FALSE),"")</f>
        <v>1885794</v>
      </c>
      <c r="M383" s="4">
        <f>IFERROR(VLOOKUP(B383,infoTable__13[],4,FALSE),"")</f>
        <v>3022648</v>
      </c>
      <c r="N383" s="4">
        <f>IFERROR(VLOOKUP(B383,infoTable__14[],4,FALSE),"")</f>
        <v>1984065</v>
      </c>
      <c r="O383" s="4" t="str">
        <f>IFERROR(VLOOKUP(B383,infoTable__15[],4,FALSE),"")</f>
        <v/>
      </c>
      <c r="P383" s="4" t="str">
        <f>IFERROR(VLOOKUP(B383,infoTable__16[],4,FALSE),"")</f>
        <v/>
      </c>
    </row>
    <row r="384" spans="1:16" x14ac:dyDescent="0.55000000000000004">
      <c r="A384" t="s">
        <v>1519</v>
      </c>
      <c r="B384" t="s">
        <v>1520</v>
      </c>
      <c r="C384" s="4">
        <f>IFERROR(VLOOKUP(B384,infoTable10[],4,FALSE),"")</f>
        <v>870108</v>
      </c>
      <c r="D384" s="4" t="str">
        <f>IFERROR(VLOOKUP(B384,infoTable__2[],4,FALSE),"")</f>
        <v/>
      </c>
      <c r="E384" s="4" t="str">
        <f>IFERROR(VLOOKUP(B384,infoTable__3[],4,FALSE),"")</f>
        <v/>
      </c>
      <c r="F384" s="4" t="str">
        <f>IFERROR(VLOOKUP(B384,infoTable__4[],4,FALSE),"")</f>
        <v/>
      </c>
      <c r="G384" s="4" t="str">
        <f>IFERROR(VLOOKUP(B384,infoTable[],4,FALSE),"")</f>
        <v/>
      </c>
      <c r="H384" s="4" t="str">
        <f>IFERROR(VLOOKUP(B384,infoTable__6[],4,FALSE),"")</f>
        <v/>
      </c>
      <c r="I384" s="4" t="str">
        <f>IFERROR(VLOOKUP(B384,infoTable__28[],4,FALSE),"")</f>
        <v/>
      </c>
      <c r="J384" s="4" t="str">
        <f>IFERROR(VLOOKUP(B384,infoTable__10[],4,FALSE),"")</f>
        <v/>
      </c>
      <c r="K384" s="4" t="str">
        <f>IFERROR(VLOOKUP(B384,infoTable__11[],4,FALSE),"")</f>
        <v/>
      </c>
      <c r="L384" s="4">
        <f>IFERROR(VLOOKUP(B384,infoTable__12[],4,FALSE),"")</f>
        <v>281599</v>
      </c>
      <c r="M384" s="4">
        <f>IFERROR(VLOOKUP(B384,infoTable__13[],4,FALSE),"")</f>
        <v>247129</v>
      </c>
      <c r="N384" s="4">
        <f>IFERROR(VLOOKUP(B384,infoTable__14[],4,FALSE),"")</f>
        <v>61593</v>
      </c>
      <c r="O384" s="4" t="str">
        <f>IFERROR(VLOOKUP(B384,infoTable__15[],4,FALSE),"")</f>
        <v/>
      </c>
      <c r="P384" s="4" t="str">
        <f>IFERROR(VLOOKUP(B384,infoTable__16[],4,FALSE),"")</f>
        <v/>
      </c>
    </row>
    <row r="385" spans="1:16" x14ac:dyDescent="0.55000000000000004">
      <c r="A385" t="s">
        <v>1314</v>
      </c>
      <c r="B385" t="s">
        <v>1315</v>
      </c>
      <c r="C385" s="4" t="str">
        <f>IFERROR(VLOOKUP(B385,infoTable10[],4,FALSE),"")</f>
        <v/>
      </c>
      <c r="D385" s="4" t="str">
        <f>IFERROR(VLOOKUP(B385,infoTable__2[],4,FALSE),"")</f>
        <v/>
      </c>
      <c r="E385" s="4" t="str">
        <f>IFERROR(VLOOKUP(B385,infoTable__3[],4,FALSE),"")</f>
        <v/>
      </c>
      <c r="F385" s="4" t="str">
        <f>IFERROR(VLOOKUP(B385,infoTable__4[],4,FALSE),"")</f>
        <v/>
      </c>
      <c r="G385" s="4" t="str">
        <f>IFERROR(VLOOKUP(B385,infoTable[],4,FALSE),"")</f>
        <v/>
      </c>
      <c r="H385" s="4" t="str">
        <f>IFERROR(VLOOKUP(B385,infoTable__6[],4,FALSE),"")</f>
        <v/>
      </c>
      <c r="I385" s="4">
        <f>IFERROR(VLOOKUP(B385,infoTable__28[],4,FALSE),"")</f>
        <v>211973</v>
      </c>
      <c r="J385" s="4">
        <f>IFERROR(VLOOKUP(B385,infoTable__10[],4,FALSE),"")</f>
        <v>1488191</v>
      </c>
      <c r="K385" s="4">
        <f>IFERROR(VLOOKUP(B385,infoTable__11[],4,FALSE),"")</f>
        <v>820176</v>
      </c>
      <c r="L385" s="4">
        <f>IFERROR(VLOOKUP(B385,infoTable__12[],4,FALSE),"")</f>
        <v>252832</v>
      </c>
      <c r="M385" s="4" t="str">
        <f>IFERROR(VLOOKUP(B385,infoTable__13[],4,FALSE),"")</f>
        <v/>
      </c>
      <c r="N385" s="4" t="str">
        <f>IFERROR(VLOOKUP(B385,infoTable__14[],4,FALSE),"")</f>
        <v/>
      </c>
      <c r="O385" s="4" t="str">
        <f>IFERROR(VLOOKUP(B385,infoTable__15[],4,FALSE),"")</f>
        <v/>
      </c>
      <c r="P385" s="4" t="str">
        <f>IFERROR(VLOOKUP(B385,infoTable__16[],4,FALSE),"")</f>
        <v/>
      </c>
    </row>
    <row r="386" spans="1:16" x14ac:dyDescent="0.55000000000000004">
      <c r="A386" t="s">
        <v>1939</v>
      </c>
      <c r="B386" t="s">
        <v>1940</v>
      </c>
      <c r="C386" s="4" t="str">
        <f>IFERROR(VLOOKUP(B386,infoTable10[],4,FALSE),"")</f>
        <v/>
      </c>
      <c r="D386" s="4" t="str">
        <f>IFERROR(VLOOKUP(B386,infoTable__2[],4,FALSE),"")</f>
        <v/>
      </c>
      <c r="E386" s="4" t="str">
        <f>IFERROR(VLOOKUP(B386,infoTable__3[],4,FALSE),"")</f>
        <v/>
      </c>
      <c r="F386" s="4" t="str">
        <f>IFERROR(VLOOKUP(B386,infoTable__4[],4,FALSE),"")</f>
        <v/>
      </c>
      <c r="G386" s="4" t="str">
        <f>IFERROR(VLOOKUP(B386,infoTable[],4,FALSE),"")</f>
        <v/>
      </c>
      <c r="H386" s="4" t="str">
        <f>IFERROR(VLOOKUP(B386,infoTable__6[],4,FALSE),"")</f>
        <v/>
      </c>
      <c r="I386" s="4" t="str">
        <f>IFERROR(VLOOKUP(B386,infoTable__28[],4,FALSE),"")</f>
        <v/>
      </c>
      <c r="J386" s="4" t="str">
        <f>IFERROR(VLOOKUP(B386,infoTable__10[],4,FALSE),"")</f>
        <v/>
      </c>
      <c r="K386" s="4">
        <f>IFERROR(VLOOKUP(B386,infoTable__11[],4,FALSE),"")</f>
        <v>1155010</v>
      </c>
      <c r="L386" s="4">
        <f>IFERROR(VLOOKUP(B386,infoTable__12[],4,FALSE),"")</f>
        <v>363693</v>
      </c>
      <c r="M386" s="4" t="str">
        <f>IFERROR(VLOOKUP(B386,infoTable__13[],4,FALSE),"")</f>
        <v/>
      </c>
      <c r="N386" s="4" t="str">
        <f>IFERROR(VLOOKUP(B386,infoTable__14[],4,FALSE),"")</f>
        <v/>
      </c>
      <c r="O386" s="4" t="str">
        <f>IFERROR(VLOOKUP(B386,infoTable__15[],4,FALSE),"")</f>
        <v/>
      </c>
      <c r="P386" s="4" t="str">
        <f>IFERROR(VLOOKUP(B386,infoTable__16[],4,FALSE),"")</f>
        <v/>
      </c>
    </row>
    <row r="387" spans="1:16" x14ac:dyDescent="0.55000000000000004">
      <c r="A387" t="s">
        <v>1931</v>
      </c>
      <c r="B387" t="s">
        <v>1933</v>
      </c>
      <c r="C387" s="4" t="str">
        <f>IFERROR(VLOOKUP(B387,infoTable10[],4,FALSE),"")</f>
        <v/>
      </c>
      <c r="D387" s="4" t="str">
        <f>IFERROR(VLOOKUP(B387,infoTable__2[],4,FALSE),"")</f>
        <v/>
      </c>
      <c r="E387" s="4" t="str">
        <f>IFERROR(VLOOKUP(B387,infoTable__3[],4,FALSE),"")</f>
        <v/>
      </c>
      <c r="F387" s="4" t="str">
        <f>IFERROR(VLOOKUP(B387,infoTable__4[],4,FALSE),"")</f>
        <v/>
      </c>
      <c r="G387" s="4" t="str">
        <f>IFERROR(VLOOKUP(B387,infoTable[],4,FALSE),"")</f>
        <v/>
      </c>
      <c r="H387" s="4" t="str">
        <f>IFERROR(VLOOKUP(B387,infoTable__6[],4,FALSE),"")</f>
        <v/>
      </c>
      <c r="I387" s="4" t="str">
        <f>IFERROR(VLOOKUP(B387,infoTable__28[],4,FALSE),"")</f>
        <v/>
      </c>
      <c r="J387" s="4" t="str">
        <f>IFERROR(VLOOKUP(B387,infoTable__10[],4,FALSE),"")</f>
        <v/>
      </c>
      <c r="K387" s="4">
        <f>IFERROR(VLOOKUP(B387,infoTable__11[],4,FALSE),"")</f>
        <v>905991</v>
      </c>
      <c r="L387" s="4">
        <f>IFERROR(VLOOKUP(B387,infoTable__12[],4,FALSE),"")</f>
        <v>464167</v>
      </c>
      <c r="M387" s="4" t="str">
        <f>IFERROR(VLOOKUP(B387,infoTable__13[],4,FALSE),"")</f>
        <v/>
      </c>
      <c r="N387" s="4" t="str">
        <f>IFERROR(VLOOKUP(B387,infoTable__14[],4,FALSE),"")</f>
        <v/>
      </c>
      <c r="O387" s="4">
        <f>IFERROR(VLOOKUP(B387,infoTable__15[],4,FALSE),"")</f>
        <v>725571</v>
      </c>
      <c r="P387" s="4">
        <f>IFERROR(VLOOKUP(B387,infoTable__16[],4,FALSE),"")</f>
        <v>2133750</v>
      </c>
    </row>
    <row r="388" spans="1:16" x14ac:dyDescent="0.55000000000000004">
      <c r="A388" t="s">
        <v>2245</v>
      </c>
      <c r="B388" t="s">
        <v>2246</v>
      </c>
      <c r="C388" s="4" t="str">
        <f>IFERROR(VLOOKUP(B388,infoTable10[],4,FALSE),"")</f>
        <v/>
      </c>
      <c r="D388" s="4" t="str">
        <f>IFERROR(VLOOKUP(B388,infoTable__2[],4,FALSE),"")</f>
        <v/>
      </c>
      <c r="E388" s="4" t="str">
        <f>IFERROR(VLOOKUP(B388,infoTable__3[],4,FALSE),"")</f>
        <v/>
      </c>
      <c r="F388" s="4" t="str">
        <f>IFERROR(VLOOKUP(B388,infoTable__4[],4,FALSE),"")</f>
        <v/>
      </c>
      <c r="G388" s="4" t="str">
        <f>IFERROR(VLOOKUP(B388,infoTable[],4,FALSE),"")</f>
        <v/>
      </c>
      <c r="H388" s="4" t="str">
        <f>IFERROR(VLOOKUP(B388,infoTable__6[],4,FALSE),"")</f>
        <v/>
      </c>
      <c r="I388" s="4" t="str">
        <f>IFERROR(VLOOKUP(B388,infoTable__28[],4,FALSE),"")</f>
        <v/>
      </c>
      <c r="J388" s="4" t="str">
        <f>IFERROR(VLOOKUP(B388,infoTable__10[],4,FALSE),"")</f>
        <v/>
      </c>
      <c r="K388" s="4" t="str">
        <f>IFERROR(VLOOKUP(B388,infoTable__11[],4,FALSE),"")</f>
        <v/>
      </c>
      <c r="L388" s="4">
        <f>IFERROR(VLOOKUP(B388,infoTable__12[],4,FALSE),"")</f>
        <v>212669</v>
      </c>
      <c r="M388" s="4">
        <f>IFERROR(VLOOKUP(B388,infoTable__13[],4,FALSE),"")</f>
        <v>462053</v>
      </c>
      <c r="N388" s="4">
        <f>IFERROR(VLOOKUP(B388,infoTable__14[],4,FALSE),"")</f>
        <v>178065</v>
      </c>
      <c r="O388" s="4">
        <f>IFERROR(VLOOKUP(B388,infoTable__15[],4,FALSE),"")</f>
        <v>1473278</v>
      </c>
      <c r="P388" s="4" t="str">
        <f>IFERROR(VLOOKUP(B388,infoTable__16[],4,FALSE),"")</f>
        <v/>
      </c>
    </row>
    <row r="389" spans="1:16" x14ac:dyDescent="0.55000000000000004">
      <c r="A389" t="s">
        <v>278</v>
      </c>
      <c r="B389" t="s">
        <v>279</v>
      </c>
      <c r="C389" s="4" t="str">
        <f>IFERROR(VLOOKUP(B389,infoTable10[],4,FALSE),"")</f>
        <v/>
      </c>
      <c r="D389" s="4" t="str">
        <f>IFERROR(VLOOKUP(B389,infoTable__2[],4,FALSE),"")</f>
        <v/>
      </c>
      <c r="E389" s="4" t="str">
        <f>IFERROR(VLOOKUP(B389,infoTable__3[],4,FALSE),"")</f>
        <v/>
      </c>
      <c r="F389" s="4" t="str">
        <f>IFERROR(VLOOKUP(B389,infoTable__4[],4,FALSE),"")</f>
        <v/>
      </c>
      <c r="G389" s="4">
        <f>IFERROR(VLOOKUP(B389,infoTable[],4,FALSE),"")</f>
        <v>231475</v>
      </c>
      <c r="H389" s="4" t="str">
        <f>IFERROR(VLOOKUP(B389,infoTable__6[],4,FALSE),"")</f>
        <v/>
      </c>
      <c r="I389" s="4" t="str">
        <f>IFERROR(VLOOKUP(B389,infoTable__28[],4,FALSE),"")</f>
        <v/>
      </c>
      <c r="J389" s="4" t="str">
        <f>IFERROR(VLOOKUP(B389,infoTable__10[],4,FALSE),"")</f>
        <v/>
      </c>
      <c r="K389" s="4" t="str">
        <f>IFERROR(VLOOKUP(B389,infoTable__11[],4,FALSE),"")</f>
        <v/>
      </c>
      <c r="L389" s="4" t="str">
        <f>IFERROR(VLOOKUP(B389,infoTable__12[],4,FALSE),"")</f>
        <v/>
      </c>
      <c r="M389" s="4" t="str">
        <f>IFERROR(VLOOKUP(B389,infoTable__13[],4,FALSE),"")</f>
        <v/>
      </c>
      <c r="N389" s="4" t="str">
        <f>IFERROR(VLOOKUP(B389,infoTable__14[],4,FALSE),"")</f>
        <v/>
      </c>
      <c r="O389" s="4" t="str">
        <f>IFERROR(VLOOKUP(B389,infoTable__15[],4,FALSE),"")</f>
        <v/>
      </c>
      <c r="P389" s="4" t="str">
        <f>IFERROR(VLOOKUP(B389,infoTable__16[],4,FALSE),"")</f>
        <v/>
      </c>
    </row>
    <row r="390" spans="1:16" x14ac:dyDescent="0.55000000000000004">
      <c r="A390" t="s">
        <v>760</v>
      </c>
      <c r="B390" t="s">
        <v>761</v>
      </c>
      <c r="C390" s="4" t="str">
        <f>IFERROR(VLOOKUP(B390,infoTable10[],4,FALSE),"")</f>
        <v/>
      </c>
      <c r="D390" s="4" t="str">
        <f>IFERROR(VLOOKUP(B390,infoTable__2[],4,FALSE),"")</f>
        <v/>
      </c>
      <c r="E390" s="4">
        <f>IFERROR(VLOOKUP(B390,infoTable__3[],4,FALSE),"")</f>
        <v>3652563</v>
      </c>
      <c r="F390" s="4" t="str">
        <f>IFERROR(VLOOKUP(B390,infoTable__4[],4,FALSE),"")</f>
        <v/>
      </c>
      <c r="G390" s="4" t="str">
        <f>IFERROR(VLOOKUP(B390,infoTable[],4,FALSE),"")</f>
        <v/>
      </c>
      <c r="H390" s="4" t="str">
        <f>IFERROR(VLOOKUP(B390,infoTable__6[],4,FALSE),"")</f>
        <v/>
      </c>
      <c r="I390" s="4">
        <f>IFERROR(VLOOKUP(B390,infoTable__28[],4,FALSE),"")</f>
        <v>319768</v>
      </c>
      <c r="J390" s="4" t="str">
        <f>IFERROR(VLOOKUP(B390,infoTable__10[],4,FALSE),"")</f>
        <v/>
      </c>
      <c r="K390" s="4" t="str">
        <f>IFERROR(VLOOKUP(B390,infoTable__11[],4,FALSE),"")</f>
        <v/>
      </c>
      <c r="L390" s="4" t="str">
        <f>IFERROR(VLOOKUP(B390,infoTable__12[],4,FALSE),"")</f>
        <v/>
      </c>
      <c r="M390" s="4">
        <f>IFERROR(VLOOKUP(B390,infoTable__13[],4,FALSE),"")</f>
        <v>426389</v>
      </c>
      <c r="N390" s="4" t="str">
        <f>IFERROR(VLOOKUP(B390,infoTable__14[],4,FALSE),"")</f>
        <v/>
      </c>
      <c r="O390" s="4" t="str">
        <f>IFERROR(VLOOKUP(B390,infoTable__15[],4,FALSE),"")</f>
        <v/>
      </c>
      <c r="P390" s="4" t="str">
        <f>IFERROR(VLOOKUP(B390,infoTable__16[],4,FALSE),"")</f>
        <v/>
      </c>
    </row>
    <row r="391" spans="1:16" x14ac:dyDescent="0.55000000000000004">
      <c r="A391" t="s">
        <v>2509</v>
      </c>
      <c r="B391" t="s">
        <v>2510</v>
      </c>
      <c r="C391" s="4" t="str">
        <f>IFERROR(VLOOKUP(B391,infoTable10[],4,FALSE),"")</f>
        <v/>
      </c>
      <c r="D391" s="4" t="str">
        <f>IFERROR(VLOOKUP(B391,infoTable__2[],4,FALSE),"")</f>
        <v/>
      </c>
      <c r="E391" s="4" t="str">
        <f>IFERROR(VLOOKUP(B391,infoTable__3[],4,FALSE),"")</f>
        <v/>
      </c>
      <c r="F391" s="4" t="str">
        <f>IFERROR(VLOOKUP(B391,infoTable__4[],4,FALSE),"")</f>
        <v/>
      </c>
      <c r="G391" s="4" t="str">
        <f>IFERROR(VLOOKUP(B391,infoTable[],4,FALSE),"")</f>
        <v/>
      </c>
      <c r="H391" s="4" t="str">
        <f>IFERROR(VLOOKUP(B391,infoTable__6[],4,FALSE),"")</f>
        <v/>
      </c>
      <c r="I391" s="4" t="str">
        <f>IFERROR(VLOOKUP(B391,infoTable__28[],4,FALSE),"")</f>
        <v/>
      </c>
      <c r="J391" s="4" t="str">
        <f>IFERROR(VLOOKUP(B391,infoTable__10[],4,FALSE),"")</f>
        <v/>
      </c>
      <c r="K391" s="4" t="str">
        <f>IFERROR(VLOOKUP(B391,infoTable__11[],4,FALSE),"")</f>
        <v/>
      </c>
      <c r="L391" s="4" t="str">
        <f>IFERROR(VLOOKUP(B391,infoTable__12[],4,FALSE),"")</f>
        <v/>
      </c>
      <c r="M391" s="4">
        <f>IFERROR(VLOOKUP(B391,infoTable__13[],4,FALSE),"")</f>
        <v>301853</v>
      </c>
      <c r="N391" s="4" t="str">
        <f>IFERROR(VLOOKUP(B391,infoTable__14[],4,FALSE),"")</f>
        <v/>
      </c>
      <c r="O391" s="4" t="str">
        <f>IFERROR(VLOOKUP(B391,infoTable__15[],4,FALSE),"")</f>
        <v/>
      </c>
      <c r="P391" s="4">
        <f>IFERROR(VLOOKUP(B391,infoTable__16[],4,FALSE),"")</f>
        <v>694889</v>
      </c>
    </row>
    <row r="392" spans="1:16" x14ac:dyDescent="0.55000000000000004">
      <c r="A392" t="s">
        <v>3085</v>
      </c>
      <c r="B392" t="s">
        <v>3086</v>
      </c>
      <c r="C392" s="4" t="str">
        <f>IFERROR(VLOOKUP(B392,infoTable10[],4,FALSE),"")</f>
        <v/>
      </c>
      <c r="D392" s="4" t="str">
        <f>IFERROR(VLOOKUP(B392,infoTable__2[],4,FALSE),"")</f>
        <v/>
      </c>
      <c r="E392" s="4" t="str">
        <f>IFERROR(VLOOKUP(B392,infoTable__3[],4,FALSE),"")</f>
        <v/>
      </c>
      <c r="F392" s="4" t="str">
        <f>IFERROR(VLOOKUP(B392,infoTable__4[],4,FALSE),"")</f>
        <v/>
      </c>
      <c r="G392" s="4" t="str">
        <f>IFERROR(VLOOKUP(B392,infoTable[],4,FALSE),"")</f>
        <v/>
      </c>
      <c r="H392" s="4" t="str">
        <f>IFERROR(VLOOKUP(B392,infoTable__6[],4,FALSE),"")</f>
        <v/>
      </c>
      <c r="I392" s="4" t="str">
        <f>IFERROR(VLOOKUP(B392,infoTable__28[],4,FALSE),"")</f>
        <v/>
      </c>
      <c r="J392" s="4" t="str">
        <f>IFERROR(VLOOKUP(B392,infoTable__10[],4,FALSE),"")</f>
        <v/>
      </c>
      <c r="K392" s="4" t="str">
        <f>IFERROR(VLOOKUP(B392,infoTable__11[],4,FALSE),"")</f>
        <v/>
      </c>
      <c r="L392" s="4" t="str">
        <f>IFERROR(VLOOKUP(B392,infoTable__12[],4,FALSE),"")</f>
        <v/>
      </c>
      <c r="M392" s="4" t="str">
        <f>IFERROR(VLOOKUP(B392,infoTable__13[],4,FALSE),"")</f>
        <v/>
      </c>
      <c r="N392" s="4" t="str">
        <f>IFERROR(VLOOKUP(B392,infoTable__14[],4,FALSE),"")</f>
        <v/>
      </c>
      <c r="O392" s="4">
        <f>IFERROR(VLOOKUP(B392,infoTable__15[],4,FALSE),"")</f>
        <v>3821703</v>
      </c>
      <c r="P392" s="4">
        <f>IFERROR(VLOOKUP(B392,infoTable__16[],4,FALSE),"")</f>
        <v>4468622</v>
      </c>
    </row>
    <row r="393" spans="1:16" x14ac:dyDescent="0.55000000000000004">
      <c r="A393" t="s">
        <v>1040</v>
      </c>
      <c r="B393" t="s">
        <v>1041</v>
      </c>
      <c r="C393" s="4" t="str">
        <f>IFERROR(VLOOKUP(B393,infoTable10[],4,FALSE),"")</f>
        <v/>
      </c>
      <c r="D393" s="4" t="str">
        <f>IFERROR(VLOOKUP(B393,infoTable__2[],4,FALSE),"")</f>
        <v/>
      </c>
      <c r="E393" s="4" t="str">
        <f>IFERROR(VLOOKUP(B393,infoTable__3[],4,FALSE),"")</f>
        <v/>
      </c>
      <c r="F393" s="4" t="str">
        <f>IFERROR(VLOOKUP(B393,infoTable__4[],4,FALSE),"")</f>
        <v/>
      </c>
      <c r="G393" s="4" t="str">
        <f>IFERROR(VLOOKUP(B393,infoTable[],4,FALSE),"")</f>
        <v/>
      </c>
      <c r="H393" s="4">
        <f>IFERROR(VLOOKUP(B393,infoTable__6[],4,FALSE),"")</f>
        <v>2833341</v>
      </c>
      <c r="I393" s="4">
        <f>IFERROR(VLOOKUP(B393,infoTable__28[],4,FALSE),"")</f>
        <v>340530</v>
      </c>
      <c r="J393" s="4" t="str">
        <f>IFERROR(VLOOKUP(B393,infoTable__10[],4,FALSE),"")</f>
        <v/>
      </c>
      <c r="K393" s="4" t="str">
        <f>IFERROR(VLOOKUP(B393,infoTable__11[],4,FALSE),"")</f>
        <v/>
      </c>
      <c r="L393" s="4" t="str">
        <f>IFERROR(VLOOKUP(B393,infoTable__12[],4,FALSE),"")</f>
        <v/>
      </c>
      <c r="M393" s="4" t="str">
        <f>IFERROR(VLOOKUP(B393,infoTable__13[],4,FALSE),"")</f>
        <v/>
      </c>
      <c r="N393" s="4" t="str">
        <f>IFERROR(VLOOKUP(B393,infoTable__14[],4,FALSE),"")</f>
        <v/>
      </c>
      <c r="O393" s="4" t="str">
        <f>IFERROR(VLOOKUP(B393,infoTable__15[],4,FALSE),"")</f>
        <v/>
      </c>
      <c r="P393" s="4" t="str">
        <f>IFERROR(VLOOKUP(B393,infoTable__16[],4,FALSE),"")</f>
        <v/>
      </c>
    </row>
    <row r="394" spans="1:16" x14ac:dyDescent="0.55000000000000004">
      <c r="A394" t="s">
        <v>3089</v>
      </c>
      <c r="B394" t="s">
        <v>3090</v>
      </c>
      <c r="C394" s="4" t="str">
        <f>IFERROR(VLOOKUP(B394,infoTable10[],4,FALSE),"")</f>
        <v/>
      </c>
      <c r="D394" s="4" t="str">
        <f>IFERROR(VLOOKUP(B394,infoTable__2[],4,FALSE),"")</f>
        <v/>
      </c>
      <c r="E394" s="4" t="str">
        <f>IFERROR(VLOOKUP(B394,infoTable__3[],4,FALSE),"")</f>
        <v/>
      </c>
      <c r="F394" s="4" t="str">
        <f>IFERROR(VLOOKUP(B394,infoTable__4[],4,FALSE),"")</f>
        <v/>
      </c>
      <c r="G394" s="4" t="str">
        <f>IFERROR(VLOOKUP(B394,infoTable[],4,FALSE),"")</f>
        <v/>
      </c>
      <c r="H394" s="4" t="str">
        <f>IFERROR(VLOOKUP(B394,infoTable__6[],4,FALSE),"")</f>
        <v/>
      </c>
      <c r="I394" s="4" t="str">
        <f>IFERROR(VLOOKUP(B394,infoTable__28[],4,FALSE),"")</f>
        <v/>
      </c>
      <c r="J394" s="4" t="str">
        <f>IFERROR(VLOOKUP(B394,infoTable__10[],4,FALSE),"")</f>
        <v/>
      </c>
      <c r="K394" s="4" t="str">
        <f>IFERROR(VLOOKUP(B394,infoTable__11[],4,FALSE),"")</f>
        <v/>
      </c>
      <c r="L394" s="4" t="str">
        <f>IFERROR(VLOOKUP(B394,infoTable__12[],4,FALSE),"")</f>
        <v/>
      </c>
      <c r="M394" s="4" t="str">
        <f>IFERROR(VLOOKUP(B394,infoTable__13[],4,FALSE),"")</f>
        <v/>
      </c>
      <c r="N394" s="4" t="str">
        <f>IFERROR(VLOOKUP(B394,infoTable__14[],4,FALSE),"")</f>
        <v/>
      </c>
      <c r="O394" s="4">
        <f>IFERROR(VLOOKUP(B394,infoTable__15[],4,FALSE),"")</f>
        <v>69467</v>
      </c>
      <c r="P394" s="4">
        <f>IFERROR(VLOOKUP(B394,infoTable__16[],4,FALSE),"")</f>
        <v>861152</v>
      </c>
    </row>
    <row r="395" spans="1:16" x14ac:dyDescent="0.55000000000000004">
      <c r="A395" t="s">
        <v>1694</v>
      </c>
      <c r="B395" t="s">
        <v>1695</v>
      </c>
      <c r="C395" s="4" t="str">
        <f>IFERROR(VLOOKUP(B395,infoTable10[],4,FALSE),"")</f>
        <v/>
      </c>
      <c r="D395" s="4" t="str">
        <f>IFERROR(VLOOKUP(B395,infoTable__2[],4,FALSE),"")</f>
        <v/>
      </c>
      <c r="E395" s="4" t="str">
        <f>IFERROR(VLOOKUP(B395,infoTable__3[],4,FALSE),"")</f>
        <v/>
      </c>
      <c r="F395" s="4" t="str">
        <f>IFERROR(VLOOKUP(B395,infoTable__4[],4,FALSE),"")</f>
        <v/>
      </c>
      <c r="G395" s="4" t="str">
        <f>IFERROR(VLOOKUP(B395,infoTable[],4,FALSE),"")</f>
        <v/>
      </c>
      <c r="H395" s="4" t="str">
        <f>IFERROR(VLOOKUP(B395,infoTable__6[],4,FALSE),"")</f>
        <v/>
      </c>
      <c r="I395" s="4" t="str">
        <f>IFERROR(VLOOKUP(B395,infoTable__28[],4,FALSE),"")</f>
        <v/>
      </c>
      <c r="J395" s="4">
        <f>IFERROR(VLOOKUP(B395,infoTable__10[],4,FALSE),"")</f>
        <v>787016</v>
      </c>
      <c r="K395" s="4" t="str">
        <f>IFERROR(VLOOKUP(B395,infoTable__11[],4,FALSE),"")</f>
        <v/>
      </c>
      <c r="L395" s="4" t="str">
        <f>IFERROR(VLOOKUP(B395,infoTable__12[],4,FALSE),"")</f>
        <v/>
      </c>
      <c r="M395" s="4">
        <f>IFERROR(VLOOKUP(B395,infoTable__13[],4,FALSE),"")</f>
        <v>1666718</v>
      </c>
      <c r="N395" s="4">
        <f>IFERROR(VLOOKUP(B395,infoTable__14[],4,FALSE),"")</f>
        <v>5491690</v>
      </c>
      <c r="O395" s="4">
        <f>IFERROR(VLOOKUP(B395,infoTable__15[],4,FALSE),"")</f>
        <v>1047665</v>
      </c>
      <c r="P395" s="4">
        <f>IFERROR(VLOOKUP(B395,infoTable__16[],4,FALSE),"")</f>
        <v>1156023</v>
      </c>
    </row>
    <row r="396" spans="1:16" x14ac:dyDescent="0.55000000000000004">
      <c r="A396" t="s">
        <v>1327</v>
      </c>
      <c r="B396" t="s">
        <v>1328</v>
      </c>
      <c r="C396" s="4" t="str">
        <f>IFERROR(VLOOKUP(B396,infoTable10[],4,FALSE),"")</f>
        <v/>
      </c>
      <c r="D396" s="4" t="str">
        <f>IFERROR(VLOOKUP(B396,infoTable__2[],4,FALSE),"")</f>
        <v/>
      </c>
      <c r="E396" s="4" t="str">
        <f>IFERROR(VLOOKUP(B396,infoTable__3[],4,FALSE),"")</f>
        <v/>
      </c>
      <c r="F396" s="4" t="str">
        <f>IFERROR(VLOOKUP(B396,infoTable__4[],4,FALSE),"")</f>
        <v/>
      </c>
      <c r="G396" s="4" t="str">
        <f>IFERROR(VLOOKUP(B396,infoTable[],4,FALSE),"")</f>
        <v/>
      </c>
      <c r="H396" s="4" t="str">
        <f>IFERROR(VLOOKUP(B396,infoTable__6[],4,FALSE),"")</f>
        <v/>
      </c>
      <c r="I396" s="4">
        <f>IFERROR(VLOOKUP(B396,infoTable__28[],4,FALSE),"")</f>
        <v>901358</v>
      </c>
      <c r="J396" s="4">
        <f>IFERROR(VLOOKUP(B396,infoTable__10[],4,FALSE),"")</f>
        <v>442364</v>
      </c>
      <c r="K396" s="4" t="str">
        <f>IFERROR(VLOOKUP(B396,infoTable__11[],4,FALSE),"")</f>
        <v/>
      </c>
      <c r="L396" s="4" t="str">
        <f>IFERROR(VLOOKUP(B396,infoTable__12[],4,FALSE),"")</f>
        <v/>
      </c>
      <c r="M396" s="4" t="str">
        <f>IFERROR(VLOOKUP(B396,infoTable__13[],4,FALSE),"")</f>
        <v/>
      </c>
      <c r="N396" s="4" t="str">
        <f>IFERROR(VLOOKUP(B396,infoTable__14[],4,FALSE),"")</f>
        <v/>
      </c>
      <c r="O396" s="4" t="str">
        <f>IFERROR(VLOOKUP(B396,infoTable__15[],4,FALSE),"")</f>
        <v/>
      </c>
      <c r="P396" s="4" t="str">
        <f>IFERROR(VLOOKUP(B396,infoTable__16[],4,FALSE),"")</f>
        <v/>
      </c>
    </row>
    <row r="397" spans="1:16" x14ac:dyDescent="0.55000000000000004">
      <c r="A397" t="s">
        <v>2696</v>
      </c>
      <c r="B397" t="s">
        <v>2695</v>
      </c>
      <c r="C397" s="4" t="str">
        <f>IFERROR(VLOOKUP(B397,infoTable10[],4,FALSE),"")</f>
        <v/>
      </c>
      <c r="D397" s="4" t="str">
        <f>IFERROR(VLOOKUP(B397,infoTable__2[],4,FALSE),"")</f>
        <v/>
      </c>
      <c r="E397" s="4" t="str">
        <f>IFERROR(VLOOKUP(B397,infoTable__3[],4,FALSE),"")</f>
        <v/>
      </c>
      <c r="F397" s="4" t="str">
        <f>IFERROR(VLOOKUP(B397,infoTable__4[],4,FALSE),"")</f>
        <v/>
      </c>
      <c r="G397" s="4" t="str">
        <f>IFERROR(VLOOKUP(B397,infoTable[],4,FALSE),"")</f>
        <v/>
      </c>
      <c r="H397" s="4" t="str">
        <f>IFERROR(VLOOKUP(B397,infoTable__6[],4,FALSE),"")</f>
        <v/>
      </c>
      <c r="I397" s="4" t="str">
        <f>IFERROR(VLOOKUP(B397,infoTable__28[],4,FALSE),"")</f>
        <v/>
      </c>
      <c r="J397" s="4" t="str">
        <f>IFERROR(VLOOKUP(B397,infoTable__10[],4,FALSE),"")</f>
        <v/>
      </c>
      <c r="K397" s="4" t="str">
        <f>IFERROR(VLOOKUP(B397,infoTable__11[],4,FALSE),"")</f>
        <v/>
      </c>
      <c r="L397" s="4" t="str">
        <f>IFERROR(VLOOKUP(B397,infoTable__12[],4,FALSE),"")</f>
        <v/>
      </c>
      <c r="M397" s="4" t="str">
        <f>IFERROR(VLOOKUP(B397,infoTable__13[],4,FALSE),"")</f>
        <v/>
      </c>
      <c r="N397" s="4">
        <f>IFERROR(VLOOKUP(B397,infoTable__14[],4,FALSE),"")</f>
        <v>720762</v>
      </c>
      <c r="O397" s="4" t="str">
        <f>IFERROR(VLOOKUP(B397,infoTable__15[],4,FALSE),"")</f>
        <v/>
      </c>
      <c r="P397" s="4" t="str">
        <f>IFERROR(VLOOKUP(B397,infoTable__16[],4,FALSE),"")</f>
        <v/>
      </c>
    </row>
    <row r="398" spans="1:16" x14ac:dyDescent="0.55000000000000004">
      <c r="A398" t="s">
        <v>1333</v>
      </c>
      <c r="B398" t="s">
        <v>1334</v>
      </c>
      <c r="C398" s="4" t="str">
        <f>IFERROR(VLOOKUP(B398,infoTable10[],4,FALSE),"")</f>
        <v/>
      </c>
      <c r="D398" s="4" t="str">
        <f>IFERROR(VLOOKUP(B398,infoTable__2[],4,FALSE),"")</f>
        <v/>
      </c>
      <c r="E398" s="4" t="str">
        <f>IFERROR(VLOOKUP(B398,infoTable__3[],4,FALSE),"")</f>
        <v/>
      </c>
      <c r="F398" s="4" t="str">
        <f>IFERROR(VLOOKUP(B398,infoTable__4[],4,FALSE),"")</f>
        <v/>
      </c>
      <c r="G398" s="4" t="str">
        <f>IFERROR(VLOOKUP(B398,infoTable[],4,FALSE),"")</f>
        <v/>
      </c>
      <c r="H398" s="4" t="str">
        <f>IFERROR(VLOOKUP(B398,infoTable__6[],4,FALSE),"")</f>
        <v/>
      </c>
      <c r="I398" s="4">
        <f>IFERROR(VLOOKUP(B398,infoTable__28[],4,FALSE),"")</f>
        <v>842322</v>
      </c>
      <c r="J398" s="4">
        <f>IFERROR(VLOOKUP(B398,infoTable__10[],4,FALSE),"")</f>
        <v>581834</v>
      </c>
      <c r="K398" s="4">
        <f>IFERROR(VLOOKUP(B398,infoTable__11[],4,FALSE),"")</f>
        <v>2526820</v>
      </c>
      <c r="L398" s="4">
        <f>IFERROR(VLOOKUP(B398,infoTable__12[],4,FALSE),"")</f>
        <v>623381</v>
      </c>
      <c r="M398" s="4" t="str">
        <f>IFERROR(VLOOKUP(B398,infoTable__13[],4,FALSE),"")</f>
        <v/>
      </c>
      <c r="N398" s="4" t="str">
        <f>IFERROR(VLOOKUP(B398,infoTable__14[],4,FALSE),"")</f>
        <v/>
      </c>
      <c r="O398" s="4" t="str">
        <f>IFERROR(VLOOKUP(B398,infoTable__15[],4,FALSE),"")</f>
        <v/>
      </c>
      <c r="P398" s="4" t="str">
        <f>IFERROR(VLOOKUP(B398,infoTable__16[],4,FALSE),"")</f>
        <v/>
      </c>
    </row>
    <row r="399" spans="1:16" x14ac:dyDescent="0.55000000000000004">
      <c r="A399" t="s">
        <v>3427</v>
      </c>
      <c r="B399" t="s">
        <v>3428</v>
      </c>
      <c r="C399" s="4" t="str">
        <f>IFERROR(VLOOKUP(B399,infoTable10[],4,FALSE),"")</f>
        <v/>
      </c>
      <c r="D399" s="4" t="str">
        <f>IFERROR(VLOOKUP(B399,infoTable__2[],4,FALSE),"")</f>
        <v/>
      </c>
      <c r="E399" s="4" t="str">
        <f>IFERROR(VLOOKUP(B399,infoTable__3[],4,FALSE),"")</f>
        <v/>
      </c>
      <c r="F399" s="4" t="str">
        <f>IFERROR(VLOOKUP(B399,infoTable__4[],4,FALSE),"")</f>
        <v/>
      </c>
      <c r="G399" s="4" t="str">
        <f>IFERROR(VLOOKUP(B399,infoTable[],4,FALSE),"")</f>
        <v/>
      </c>
      <c r="H399" s="4" t="str">
        <f>IFERROR(VLOOKUP(B399,infoTable__6[],4,FALSE),"")</f>
        <v/>
      </c>
      <c r="I399" s="4" t="str">
        <f>IFERROR(VLOOKUP(B399,infoTable__28[],4,FALSE),"")</f>
        <v/>
      </c>
      <c r="J399" s="4" t="str">
        <f>IFERROR(VLOOKUP(B399,infoTable__10[],4,FALSE),"")</f>
        <v/>
      </c>
      <c r="K399" s="4" t="str">
        <f>IFERROR(VLOOKUP(B399,infoTable__11[],4,FALSE),"")</f>
        <v/>
      </c>
      <c r="L399" s="4" t="str">
        <f>IFERROR(VLOOKUP(B399,infoTable__12[],4,FALSE),"")</f>
        <v/>
      </c>
      <c r="M399" s="4" t="str">
        <f>IFERROR(VLOOKUP(B399,infoTable__13[],4,FALSE),"")</f>
        <v/>
      </c>
      <c r="N399" s="4" t="str">
        <f>IFERROR(VLOOKUP(B399,infoTable__14[],4,FALSE),"")</f>
        <v/>
      </c>
      <c r="O399" s="4" t="str">
        <f>IFERROR(VLOOKUP(B399,infoTable__15[],4,FALSE),"")</f>
        <v/>
      </c>
      <c r="P399" s="4">
        <f>IFERROR(VLOOKUP(B399,infoTable__16[],4,FALSE),"")</f>
        <v>1208614</v>
      </c>
    </row>
    <row r="400" spans="1:16" x14ac:dyDescent="0.55000000000000004">
      <c r="A400" t="s">
        <v>622</v>
      </c>
      <c r="B400" t="s">
        <v>623</v>
      </c>
      <c r="C400" s="4" t="str">
        <f>IFERROR(VLOOKUP(B400,infoTable10[],4,FALSE),"")</f>
        <v/>
      </c>
      <c r="D400" s="4">
        <f>IFERROR(VLOOKUP(B400,infoTable__2[],4,FALSE),"")</f>
        <v>1281251</v>
      </c>
      <c r="E400" s="4">
        <f>IFERROR(VLOOKUP(B400,infoTable__3[],4,FALSE),"")</f>
        <v>9300641</v>
      </c>
      <c r="F400" s="4">
        <f>IFERROR(VLOOKUP(B400,infoTable__4[],4,FALSE),"")</f>
        <v>1606257</v>
      </c>
      <c r="G400" s="4" t="str">
        <f>IFERROR(VLOOKUP(B400,infoTable[],4,FALSE),"")</f>
        <v/>
      </c>
      <c r="H400" s="4" t="str">
        <f>IFERROR(VLOOKUP(B400,infoTable__6[],4,FALSE),"")</f>
        <v/>
      </c>
      <c r="I400" s="4" t="str">
        <f>IFERROR(VLOOKUP(B400,infoTable__28[],4,FALSE),"")</f>
        <v/>
      </c>
      <c r="J400" s="4" t="str">
        <f>IFERROR(VLOOKUP(B400,infoTable__10[],4,FALSE),"")</f>
        <v/>
      </c>
      <c r="K400" s="4" t="str">
        <f>IFERROR(VLOOKUP(B400,infoTable__11[],4,FALSE),"")</f>
        <v/>
      </c>
      <c r="L400" s="4" t="str">
        <f>IFERROR(VLOOKUP(B400,infoTable__12[],4,FALSE),"")</f>
        <v/>
      </c>
      <c r="M400" s="4" t="str">
        <f>IFERROR(VLOOKUP(B400,infoTable__13[],4,FALSE),"")</f>
        <v/>
      </c>
      <c r="N400" s="4" t="str">
        <f>IFERROR(VLOOKUP(B400,infoTable__14[],4,FALSE),"")</f>
        <v/>
      </c>
      <c r="O400" s="4" t="str">
        <f>IFERROR(VLOOKUP(B400,infoTable__15[],4,FALSE),"")</f>
        <v/>
      </c>
      <c r="P400" s="4" t="str">
        <f>IFERROR(VLOOKUP(B400,infoTable__16[],4,FALSE),"")</f>
        <v/>
      </c>
    </row>
    <row r="401" spans="1:16" x14ac:dyDescent="0.55000000000000004">
      <c r="A401" t="s">
        <v>2698</v>
      </c>
      <c r="B401" t="s">
        <v>2697</v>
      </c>
      <c r="C401" s="4" t="str">
        <f>IFERROR(VLOOKUP(B401,infoTable10[],4,FALSE),"")</f>
        <v/>
      </c>
      <c r="D401" s="4" t="str">
        <f>IFERROR(VLOOKUP(B401,infoTable__2[],4,FALSE),"")</f>
        <v/>
      </c>
      <c r="E401" s="4" t="str">
        <f>IFERROR(VLOOKUP(B401,infoTable__3[],4,FALSE),"")</f>
        <v/>
      </c>
      <c r="F401" s="4" t="str">
        <f>IFERROR(VLOOKUP(B401,infoTable__4[],4,FALSE),"")</f>
        <v/>
      </c>
      <c r="G401" s="4" t="str">
        <f>IFERROR(VLOOKUP(B401,infoTable[],4,FALSE),"")</f>
        <v/>
      </c>
      <c r="H401" s="4" t="str">
        <f>IFERROR(VLOOKUP(B401,infoTable__6[],4,FALSE),"")</f>
        <v/>
      </c>
      <c r="I401" s="4" t="str">
        <f>IFERROR(VLOOKUP(B401,infoTable__28[],4,FALSE),"")</f>
        <v/>
      </c>
      <c r="J401" s="4" t="str">
        <f>IFERROR(VLOOKUP(B401,infoTable__10[],4,FALSE),"")</f>
        <v/>
      </c>
      <c r="K401" s="4" t="str">
        <f>IFERROR(VLOOKUP(B401,infoTable__11[],4,FALSE),"")</f>
        <v/>
      </c>
      <c r="L401" s="4" t="str">
        <f>IFERROR(VLOOKUP(B401,infoTable__12[],4,FALSE),"")</f>
        <v/>
      </c>
      <c r="M401" s="4" t="str">
        <f>IFERROR(VLOOKUP(B401,infoTable__13[],4,FALSE),"")</f>
        <v/>
      </c>
      <c r="N401" s="4">
        <f>IFERROR(VLOOKUP(B401,infoTable__14[],4,FALSE),"")</f>
        <v>798134</v>
      </c>
      <c r="O401" s="4">
        <f>IFERROR(VLOOKUP(B401,infoTable__15[],4,FALSE),"")</f>
        <v>424526</v>
      </c>
      <c r="P401" s="4">
        <f>IFERROR(VLOOKUP(B401,infoTable__16[],4,FALSE),"")</f>
        <v>367921</v>
      </c>
    </row>
    <row r="402" spans="1:16" x14ac:dyDescent="0.55000000000000004">
      <c r="A402" t="s">
        <v>2700</v>
      </c>
      <c r="B402" t="s">
        <v>2699</v>
      </c>
      <c r="C402" s="4" t="str">
        <f>IFERROR(VLOOKUP(B402,infoTable10[],4,FALSE),"")</f>
        <v/>
      </c>
      <c r="D402" s="4" t="str">
        <f>IFERROR(VLOOKUP(B402,infoTable__2[],4,FALSE),"")</f>
        <v/>
      </c>
      <c r="E402" s="4" t="str">
        <f>IFERROR(VLOOKUP(B402,infoTable__3[],4,FALSE),"")</f>
        <v/>
      </c>
      <c r="F402" s="4" t="str">
        <f>IFERROR(VLOOKUP(B402,infoTable__4[],4,FALSE),"")</f>
        <v/>
      </c>
      <c r="G402" s="4" t="str">
        <f>IFERROR(VLOOKUP(B402,infoTable[],4,FALSE),"")</f>
        <v/>
      </c>
      <c r="H402" s="4" t="str">
        <f>IFERROR(VLOOKUP(B402,infoTable__6[],4,FALSE),"")</f>
        <v/>
      </c>
      <c r="I402" s="4" t="str">
        <f>IFERROR(VLOOKUP(B402,infoTable__28[],4,FALSE),"")</f>
        <v/>
      </c>
      <c r="J402" s="4" t="str">
        <f>IFERROR(VLOOKUP(B402,infoTable__10[],4,FALSE),"")</f>
        <v/>
      </c>
      <c r="K402" s="4" t="str">
        <f>IFERROR(VLOOKUP(B402,infoTable__11[],4,FALSE),"")</f>
        <v/>
      </c>
      <c r="L402" s="4" t="str">
        <f>IFERROR(VLOOKUP(B402,infoTable__12[],4,FALSE),"")</f>
        <v/>
      </c>
      <c r="M402" s="4" t="str">
        <f>IFERROR(VLOOKUP(B402,infoTable__13[],4,FALSE),"")</f>
        <v/>
      </c>
      <c r="N402" s="4">
        <f>IFERROR(VLOOKUP(B402,infoTable__14[],4,FALSE),"")</f>
        <v>561844</v>
      </c>
      <c r="O402" s="4" t="str">
        <f>IFERROR(VLOOKUP(B402,infoTable__15[],4,FALSE),"")</f>
        <v/>
      </c>
      <c r="P402" s="4" t="str">
        <f>IFERROR(VLOOKUP(B402,infoTable__16[],4,FALSE),"")</f>
        <v/>
      </c>
    </row>
    <row r="403" spans="1:16" x14ac:dyDescent="0.55000000000000004">
      <c r="A403" t="s">
        <v>2702</v>
      </c>
      <c r="B403" t="s">
        <v>2701</v>
      </c>
      <c r="C403" s="4" t="str">
        <f>IFERROR(VLOOKUP(B403,infoTable10[],4,FALSE),"")</f>
        <v/>
      </c>
      <c r="D403" s="4" t="str">
        <f>IFERROR(VLOOKUP(B403,infoTable__2[],4,FALSE),"")</f>
        <v/>
      </c>
      <c r="E403" s="4" t="str">
        <f>IFERROR(VLOOKUP(B403,infoTable__3[],4,FALSE),"")</f>
        <v/>
      </c>
      <c r="F403" s="4" t="str">
        <f>IFERROR(VLOOKUP(B403,infoTable__4[],4,FALSE),"")</f>
        <v/>
      </c>
      <c r="G403" s="4" t="str">
        <f>IFERROR(VLOOKUP(B403,infoTable[],4,FALSE),"")</f>
        <v/>
      </c>
      <c r="H403" s="4" t="str">
        <f>IFERROR(VLOOKUP(B403,infoTable__6[],4,FALSE),"")</f>
        <v/>
      </c>
      <c r="I403" s="4" t="str">
        <f>IFERROR(VLOOKUP(B403,infoTable__28[],4,FALSE),"")</f>
        <v/>
      </c>
      <c r="J403" s="4" t="str">
        <f>IFERROR(VLOOKUP(B403,infoTable__10[],4,FALSE),"")</f>
        <v/>
      </c>
      <c r="K403" s="4" t="str">
        <f>IFERROR(VLOOKUP(B403,infoTable__11[],4,FALSE),"")</f>
        <v/>
      </c>
      <c r="L403" s="4" t="str">
        <f>IFERROR(VLOOKUP(B403,infoTable__12[],4,FALSE),"")</f>
        <v/>
      </c>
      <c r="M403" s="4" t="str">
        <f>IFERROR(VLOOKUP(B403,infoTable__13[],4,FALSE),"")</f>
        <v/>
      </c>
      <c r="N403" s="4">
        <f>IFERROR(VLOOKUP(B403,infoTable__14[],4,FALSE),"")</f>
        <v>886010</v>
      </c>
      <c r="O403" s="4" t="str">
        <f>IFERROR(VLOOKUP(B403,infoTable__15[],4,FALSE),"")</f>
        <v/>
      </c>
      <c r="P403" s="4" t="str">
        <f>IFERROR(VLOOKUP(B403,infoTable__16[],4,FALSE),"")</f>
        <v/>
      </c>
    </row>
    <row r="404" spans="1:16" x14ac:dyDescent="0.55000000000000004">
      <c r="A404" t="s">
        <v>3435</v>
      </c>
      <c r="B404" t="s">
        <v>3436</v>
      </c>
      <c r="C404" s="4" t="str">
        <f>IFERROR(VLOOKUP(B404,infoTable10[],4,FALSE),"")</f>
        <v/>
      </c>
      <c r="D404" s="4" t="str">
        <f>IFERROR(VLOOKUP(B404,infoTable__2[],4,FALSE),"")</f>
        <v/>
      </c>
      <c r="E404" s="4" t="str">
        <f>IFERROR(VLOOKUP(B404,infoTable__3[],4,FALSE),"")</f>
        <v/>
      </c>
      <c r="F404" s="4" t="str">
        <f>IFERROR(VLOOKUP(B404,infoTable__4[],4,FALSE),"")</f>
        <v/>
      </c>
      <c r="G404" s="4" t="str">
        <f>IFERROR(VLOOKUP(B404,infoTable[],4,FALSE),"")</f>
        <v/>
      </c>
      <c r="H404" s="4" t="str">
        <f>IFERROR(VLOOKUP(B404,infoTable__6[],4,FALSE),"")</f>
        <v/>
      </c>
      <c r="I404" s="4" t="str">
        <f>IFERROR(VLOOKUP(B404,infoTable__28[],4,FALSE),"")</f>
        <v/>
      </c>
      <c r="J404" s="4" t="str">
        <f>IFERROR(VLOOKUP(B404,infoTable__10[],4,FALSE),"")</f>
        <v/>
      </c>
      <c r="K404" s="4" t="str">
        <f>IFERROR(VLOOKUP(B404,infoTable__11[],4,FALSE),"")</f>
        <v/>
      </c>
      <c r="L404" s="4" t="str">
        <f>IFERROR(VLOOKUP(B404,infoTable__12[],4,FALSE),"")</f>
        <v/>
      </c>
      <c r="M404" s="4" t="str">
        <f>IFERROR(VLOOKUP(B404,infoTable__13[],4,FALSE),"")</f>
        <v/>
      </c>
      <c r="N404" s="4" t="str">
        <f>IFERROR(VLOOKUP(B404,infoTable__14[],4,FALSE),"")</f>
        <v/>
      </c>
      <c r="O404" s="4" t="str">
        <f>IFERROR(VLOOKUP(B404,infoTable__15[],4,FALSE),"")</f>
        <v/>
      </c>
      <c r="P404" s="4">
        <f>IFERROR(VLOOKUP(B404,infoTable__16[],4,FALSE),"")</f>
        <v>713783</v>
      </c>
    </row>
    <row r="405" spans="1:16" x14ac:dyDescent="0.55000000000000004">
      <c r="A405" t="s">
        <v>2704</v>
      </c>
      <c r="B405" t="s">
        <v>2703</v>
      </c>
      <c r="C405" s="4" t="str">
        <f>IFERROR(VLOOKUP(B405,infoTable10[],4,FALSE),"")</f>
        <v/>
      </c>
      <c r="D405" s="4" t="str">
        <f>IFERROR(VLOOKUP(B405,infoTable__2[],4,FALSE),"")</f>
        <v/>
      </c>
      <c r="E405" s="4" t="str">
        <f>IFERROR(VLOOKUP(B405,infoTable__3[],4,FALSE),"")</f>
        <v/>
      </c>
      <c r="F405" s="4" t="str">
        <f>IFERROR(VLOOKUP(B405,infoTable__4[],4,FALSE),"")</f>
        <v/>
      </c>
      <c r="G405" s="4" t="str">
        <f>IFERROR(VLOOKUP(B405,infoTable[],4,FALSE),"")</f>
        <v/>
      </c>
      <c r="H405" s="4" t="str">
        <f>IFERROR(VLOOKUP(B405,infoTable__6[],4,FALSE),"")</f>
        <v/>
      </c>
      <c r="I405" s="4" t="str">
        <f>IFERROR(VLOOKUP(B405,infoTable__28[],4,FALSE),"")</f>
        <v/>
      </c>
      <c r="J405" s="4" t="str">
        <f>IFERROR(VLOOKUP(B405,infoTable__10[],4,FALSE),"")</f>
        <v/>
      </c>
      <c r="K405" s="4" t="str">
        <f>IFERROR(VLOOKUP(B405,infoTable__11[],4,FALSE),"")</f>
        <v/>
      </c>
      <c r="L405" s="4" t="str">
        <f>IFERROR(VLOOKUP(B405,infoTable__12[],4,FALSE),"")</f>
        <v/>
      </c>
      <c r="M405" s="4" t="str">
        <f>IFERROR(VLOOKUP(B405,infoTable__13[],4,FALSE),"")</f>
        <v/>
      </c>
      <c r="N405" s="4">
        <f>IFERROR(VLOOKUP(B405,infoTable__14[],4,FALSE),"")</f>
        <v>271716</v>
      </c>
      <c r="O405" s="4" t="str">
        <f>IFERROR(VLOOKUP(B405,infoTable__15[],4,FALSE),"")</f>
        <v/>
      </c>
      <c r="P405" s="4" t="str">
        <f>IFERROR(VLOOKUP(B405,infoTable__16[],4,FALSE),"")</f>
        <v/>
      </c>
    </row>
    <row r="406" spans="1:16" x14ac:dyDescent="0.55000000000000004">
      <c r="A406" t="s">
        <v>2706</v>
      </c>
      <c r="B406" t="s">
        <v>2705</v>
      </c>
      <c r="C406" s="4" t="str">
        <f>IFERROR(VLOOKUP(B406,infoTable10[],4,FALSE),"")</f>
        <v/>
      </c>
      <c r="D406" s="4" t="str">
        <f>IFERROR(VLOOKUP(B406,infoTable__2[],4,FALSE),"")</f>
        <v/>
      </c>
      <c r="E406" s="4" t="str">
        <f>IFERROR(VLOOKUP(B406,infoTable__3[],4,FALSE),"")</f>
        <v/>
      </c>
      <c r="F406" s="4" t="str">
        <f>IFERROR(VLOOKUP(B406,infoTable__4[],4,FALSE),"")</f>
        <v/>
      </c>
      <c r="G406" s="4" t="str">
        <f>IFERROR(VLOOKUP(B406,infoTable[],4,FALSE),"")</f>
        <v/>
      </c>
      <c r="H406" s="4" t="str">
        <f>IFERROR(VLOOKUP(B406,infoTable__6[],4,FALSE),"")</f>
        <v/>
      </c>
      <c r="I406" s="4" t="str">
        <f>IFERROR(VLOOKUP(B406,infoTable__28[],4,FALSE),"")</f>
        <v/>
      </c>
      <c r="J406" s="4" t="str">
        <f>IFERROR(VLOOKUP(B406,infoTable__10[],4,FALSE),"")</f>
        <v/>
      </c>
      <c r="K406" s="4" t="str">
        <f>IFERROR(VLOOKUP(B406,infoTable__11[],4,FALSE),"")</f>
        <v/>
      </c>
      <c r="L406" s="4" t="str">
        <f>IFERROR(VLOOKUP(B406,infoTable__12[],4,FALSE),"")</f>
        <v/>
      </c>
      <c r="M406" s="4" t="str">
        <f>IFERROR(VLOOKUP(B406,infoTable__13[],4,FALSE),"")</f>
        <v/>
      </c>
      <c r="N406" s="4">
        <f>IFERROR(VLOOKUP(B406,infoTable__14[],4,FALSE),"")</f>
        <v>659641</v>
      </c>
      <c r="O406" s="4" t="str">
        <f>IFERROR(VLOOKUP(B406,infoTable__15[],4,FALSE),"")</f>
        <v/>
      </c>
      <c r="P406" s="4" t="str">
        <f>IFERROR(VLOOKUP(B406,infoTable__16[],4,FALSE),"")</f>
        <v/>
      </c>
    </row>
    <row r="407" spans="1:16" x14ac:dyDescent="0.55000000000000004">
      <c r="A407" t="s">
        <v>1803</v>
      </c>
      <c r="B407" t="s">
        <v>1804</v>
      </c>
      <c r="C407" s="4" t="str">
        <f>IFERROR(VLOOKUP(B407,infoTable10[],4,FALSE),"")</f>
        <v/>
      </c>
      <c r="D407" s="4" t="str">
        <f>IFERROR(VLOOKUP(B407,infoTable__2[],4,FALSE),"")</f>
        <v/>
      </c>
      <c r="E407" s="4" t="str">
        <f>IFERROR(VLOOKUP(B407,infoTable__3[],4,FALSE),"")</f>
        <v/>
      </c>
      <c r="F407" s="4" t="str">
        <f>IFERROR(VLOOKUP(B407,infoTable__4[],4,FALSE),"")</f>
        <v/>
      </c>
      <c r="G407" s="4" t="str">
        <f>IFERROR(VLOOKUP(B407,infoTable[],4,FALSE),"")</f>
        <v/>
      </c>
      <c r="H407" s="4" t="str">
        <f>IFERROR(VLOOKUP(B407,infoTable__6[],4,FALSE),"")</f>
        <v/>
      </c>
      <c r="I407" s="4" t="str">
        <f>IFERROR(VLOOKUP(B407,infoTable__28[],4,FALSE),"")</f>
        <v/>
      </c>
      <c r="J407" s="4">
        <f>IFERROR(VLOOKUP(B407,infoTable__10[],4,FALSE),"")</f>
        <v>2135403</v>
      </c>
      <c r="K407" s="4">
        <f>IFERROR(VLOOKUP(B407,infoTable__11[],4,FALSE),"")</f>
        <v>253266</v>
      </c>
      <c r="L407" s="4" t="str">
        <f>IFERROR(VLOOKUP(B407,infoTable__12[],4,FALSE),"")</f>
        <v/>
      </c>
      <c r="M407" s="4">
        <f>IFERROR(VLOOKUP(B407,infoTable__13[],4,FALSE),"")</f>
        <v>326225</v>
      </c>
      <c r="N407" s="4" t="str">
        <f>IFERROR(VLOOKUP(B407,infoTable__14[],4,FALSE),"")</f>
        <v/>
      </c>
      <c r="O407" s="4" t="str">
        <f>IFERROR(VLOOKUP(B407,infoTable__15[],4,FALSE),"")</f>
        <v/>
      </c>
      <c r="P407" s="4" t="str">
        <f>IFERROR(VLOOKUP(B407,infoTable__16[],4,FALSE),"")</f>
        <v/>
      </c>
    </row>
    <row r="408" spans="1:16" x14ac:dyDescent="0.55000000000000004">
      <c r="A408" t="s">
        <v>624</v>
      </c>
      <c r="B408" t="s">
        <v>625</v>
      </c>
      <c r="C408" s="4">
        <f>IFERROR(VLOOKUP(B408,infoTable10[],4,FALSE),"")</f>
        <v>578811</v>
      </c>
      <c r="D408" s="4">
        <f>IFERROR(VLOOKUP(B408,infoTable__2[],4,FALSE),"")</f>
        <v>2181491</v>
      </c>
      <c r="E408" s="4" t="str">
        <f>IFERROR(VLOOKUP(B408,infoTable__3[],4,FALSE),"")</f>
        <v/>
      </c>
      <c r="F408" s="4" t="str">
        <f>IFERROR(VLOOKUP(B408,infoTable__4[],4,FALSE),"")</f>
        <v/>
      </c>
      <c r="G408" s="4" t="str">
        <f>IFERROR(VLOOKUP(B408,infoTable[],4,FALSE),"")</f>
        <v/>
      </c>
      <c r="H408" s="4" t="str">
        <f>IFERROR(VLOOKUP(B408,infoTable__6[],4,FALSE),"")</f>
        <v/>
      </c>
      <c r="I408" s="4" t="str">
        <f>IFERROR(VLOOKUP(B408,infoTable__28[],4,FALSE),"")</f>
        <v/>
      </c>
      <c r="J408" s="4" t="str">
        <f>IFERROR(VLOOKUP(B408,infoTable__10[],4,FALSE),"")</f>
        <v/>
      </c>
      <c r="K408" s="4" t="str">
        <f>IFERROR(VLOOKUP(B408,infoTable__11[],4,FALSE),"")</f>
        <v/>
      </c>
      <c r="L408" s="4" t="str">
        <f>IFERROR(VLOOKUP(B408,infoTable__12[],4,FALSE),"")</f>
        <v/>
      </c>
      <c r="M408" s="4" t="str">
        <f>IFERROR(VLOOKUP(B408,infoTable__13[],4,FALSE),"")</f>
        <v/>
      </c>
      <c r="N408" s="4" t="str">
        <f>IFERROR(VLOOKUP(B408,infoTable__14[],4,FALSE),"")</f>
        <v/>
      </c>
      <c r="O408" s="4" t="str">
        <f>IFERROR(VLOOKUP(B408,infoTable__15[],4,FALSE),"")</f>
        <v/>
      </c>
      <c r="P408" s="4">
        <f>IFERROR(VLOOKUP(B408,infoTable__16[],4,FALSE),"")</f>
        <v>781799</v>
      </c>
    </row>
    <row r="409" spans="1:16" x14ac:dyDescent="0.55000000000000004">
      <c r="A409" t="s">
        <v>1329</v>
      </c>
      <c r="B409" t="s">
        <v>1330</v>
      </c>
      <c r="C409" s="4" t="str">
        <f>IFERROR(VLOOKUP(B409,infoTable10[],4,FALSE),"")</f>
        <v/>
      </c>
      <c r="D409" s="4" t="str">
        <f>IFERROR(VLOOKUP(B409,infoTable__2[],4,FALSE),"")</f>
        <v/>
      </c>
      <c r="E409" s="4" t="str">
        <f>IFERROR(VLOOKUP(B409,infoTable__3[],4,FALSE),"")</f>
        <v/>
      </c>
      <c r="F409" s="4" t="str">
        <f>IFERROR(VLOOKUP(B409,infoTable__4[],4,FALSE),"")</f>
        <v/>
      </c>
      <c r="G409" s="4" t="str">
        <f>IFERROR(VLOOKUP(B409,infoTable[],4,FALSE),"")</f>
        <v/>
      </c>
      <c r="H409" s="4" t="str">
        <f>IFERROR(VLOOKUP(B409,infoTable__6[],4,FALSE),"")</f>
        <v/>
      </c>
      <c r="I409" s="4">
        <f>IFERROR(VLOOKUP(B409,infoTable__28[],4,FALSE),"")</f>
        <v>2441135</v>
      </c>
      <c r="J409" s="4">
        <f>IFERROR(VLOOKUP(B409,infoTable__10[],4,FALSE),"")</f>
        <v>3909941</v>
      </c>
      <c r="K409" s="4" t="str">
        <f>IFERROR(VLOOKUP(B409,infoTable__11[],4,FALSE),"")</f>
        <v/>
      </c>
      <c r="L409" s="4" t="str">
        <f>IFERROR(VLOOKUP(B409,infoTable__12[],4,FALSE),"")</f>
        <v/>
      </c>
      <c r="M409" s="4" t="str">
        <f>IFERROR(VLOOKUP(B409,infoTable__13[],4,FALSE),"")</f>
        <v/>
      </c>
      <c r="N409" s="4" t="str">
        <f>IFERROR(VLOOKUP(B409,infoTable__14[],4,FALSE),"")</f>
        <v/>
      </c>
      <c r="O409" s="4" t="str">
        <f>IFERROR(VLOOKUP(B409,infoTable__15[],4,FALSE),"")</f>
        <v/>
      </c>
      <c r="P409" s="4" t="str">
        <f>IFERROR(VLOOKUP(B409,infoTable__16[],4,FALSE),"")</f>
        <v/>
      </c>
    </row>
    <row r="410" spans="1:16" x14ac:dyDescent="0.55000000000000004">
      <c r="A410" t="s">
        <v>3420</v>
      </c>
      <c r="B410" t="s">
        <v>3421</v>
      </c>
      <c r="C410" s="4" t="str">
        <f>IFERROR(VLOOKUP(B410,infoTable10[],4,FALSE),"")</f>
        <v/>
      </c>
      <c r="D410" s="4" t="str">
        <f>IFERROR(VLOOKUP(B410,infoTable__2[],4,FALSE),"")</f>
        <v/>
      </c>
      <c r="E410" s="4" t="str">
        <f>IFERROR(VLOOKUP(B410,infoTable__3[],4,FALSE),"")</f>
        <v/>
      </c>
      <c r="F410" s="4" t="str">
        <f>IFERROR(VLOOKUP(B410,infoTable__4[],4,FALSE),"")</f>
        <v/>
      </c>
      <c r="G410" s="4" t="str">
        <f>IFERROR(VLOOKUP(B410,infoTable[],4,FALSE),"")</f>
        <v/>
      </c>
      <c r="H410" s="4" t="str">
        <f>IFERROR(VLOOKUP(B410,infoTable__6[],4,FALSE),"")</f>
        <v/>
      </c>
      <c r="I410" s="4" t="str">
        <f>IFERROR(VLOOKUP(B410,infoTable__28[],4,FALSE),"")</f>
        <v/>
      </c>
      <c r="J410" s="4" t="str">
        <f>IFERROR(VLOOKUP(B410,infoTable__10[],4,FALSE),"")</f>
        <v/>
      </c>
      <c r="K410" s="4" t="str">
        <f>IFERROR(VLOOKUP(B410,infoTable__11[],4,FALSE),"")</f>
        <v/>
      </c>
      <c r="L410" s="4" t="str">
        <f>IFERROR(VLOOKUP(B410,infoTable__12[],4,FALSE),"")</f>
        <v/>
      </c>
      <c r="M410" s="4" t="str">
        <f>IFERROR(VLOOKUP(B410,infoTable__13[],4,FALSE),"")</f>
        <v/>
      </c>
      <c r="N410" s="4" t="str">
        <f>IFERROR(VLOOKUP(B410,infoTable__14[],4,FALSE),"")</f>
        <v/>
      </c>
      <c r="O410" s="4" t="str">
        <f>IFERROR(VLOOKUP(B410,infoTable__15[],4,FALSE),"")</f>
        <v/>
      </c>
      <c r="P410" s="4">
        <f>IFERROR(VLOOKUP(B410,infoTable__16[],4,FALSE),"")</f>
        <v>3677153</v>
      </c>
    </row>
    <row r="411" spans="1:16" x14ac:dyDescent="0.55000000000000004">
      <c r="A411" t="s">
        <v>1044</v>
      </c>
      <c r="B411" t="s">
        <v>1045</v>
      </c>
      <c r="C411" s="4" t="str">
        <f>IFERROR(VLOOKUP(B411,infoTable10[],4,FALSE),"")</f>
        <v/>
      </c>
      <c r="D411" s="4" t="str">
        <f>IFERROR(VLOOKUP(B411,infoTable__2[],4,FALSE),"")</f>
        <v/>
      </c>
      <c r="E411" s="4" t="str">
        <f>IFERROR(VLOOKUP(B411,infoTable__3[],4,FALSE),"")</f>
        <v/>
      </c>
      <c r="F411" s="4" t="str">
        <f>IFERROR(VLOOKUP(B411,infoTable__4[],4,FALSE),"")</f>
        <v/>
      </c>
      <c r="G411" s="4" t="str">
        <f>IFERROR(VLOOKUP(B411,infoTable[],4,FALSE),"")</f>
        <v/>
      </c>
      <c r="H411" s="4">
        <f>IFERROR(VLOOKUP(B411,infoTable__6[],4,FALSE),"")</f>
        <v>930422</v>
      </c>
      <c r="I411" s="4" t="str">
        <f>IFERROR(VLOOKUP(B411,infoTable__28[],4,FALSE),"")</f>
        <v/>
      </c>
      <c r="J411" s="4" t="str">
        <f>IFERROR(VLOOKUP(B411,infoTable__10[],4,FALSE),"")</f>
        <v/>
      </c>
      <c r="K411" s="4" t="str">
        <f>IFERROR(VLOOKUP(B411,infoTable__11[],4,FALSE),"")</f>
        <v/>
      </c>
      <c r="L411" s="4" t="str">
        <f>IFERROR(VLOOKUP(B411,infoTable__12[],4,FALSE),"")</f>
        <v/>
      </c>
      <c r="M411" s="4">
        <f>IFERROR(VLOOKUP(B411,infoTable__13[],4,FALSE),"")</f>
        <v>667617</v>
      </c>
      <c r="N411" s="4">
        <f>IFERROR(VLOOKUP(B411,infoTable__14[],4,FALSE),"")</f>
        <v>368831</v>
      </c>
      <c r="O411" s="4" t="str">
        <f>IFERROR(VLOOKUP(B411,infoTable__15[],4,FALSE),"")</f>
        <v/>
      </c>
      <c r="P411" s="4" t="str">
        <f>IFERROR(VLOOKUP(B411,infoTable__16[],4,FALSE),"")</f>
        <v/>
      </c>
    </row>
    <row r="412" spans="1:16" x14ac:dyDescent="0.55000000000000004">
      <c r="A412" t="s">
        <v>3091</v>
      </c>
      <c r="B412" t="s">
        <v>3092</v>
      </c>
      <c r="C412" s="4" t="str">
        <f>IFERROR(VLOOKUP(B412,infoTable10[],4,FALSE),"")</f>
        <v/>
      </c>
      <c r="D412" s="4" t="str">
        <f>IFERROR(VLOOKUP(B412,infoTable__2[],4,FALSE),"")</f>
        <v/>
      </c>
      <c r="E412" s="4" t="str">
        <f>IFERROR(VLOOKUP(B412,infoTable__3[],4,FALSE),"")</f>
        <v/>
      </c>
      <c r="F412" s="4" t="str">
        <f>IFERROR(VLOOKUP(B412,infoTable__4[],4,FALSE),"")</f>
        <v/>
      </c>
      <c r="G412" s="4" t="str">
        <f>IFERROR(VLOOKUP(B412,infoTable[],4,FALSE),"")</f>
        <v/>
      </c>
      <c r="H412" s="4" t="str">
        <f>IFERROR(VLOOKUP(B412,infoTable__6[],4,FALSE),"")</f>
        <v/>
      </c>
      <c r="I412" s="4" t="str">
        <f>IFERROR(VLOOKUP(B412,infoTable__28[],4,FALSE),"")</f>
        <v/>
      </c>
      <c r="J412" s="4" t="str">
        <f>IFERROR(VLOOKUP(B412,infoTable__10[],4,FALSE),"")</f>
        <v/>
      </c>
      <c r="K412" s="4" t="str">
        <f>IFERROR(VLOOKUP(B412,infoTable__11[],4,FALSE),"")</f>
        <v/>
      </c>
      <c r="L412" s="4" t="str">
        <f>IFERROR(VLOOKUP(B412,infoTable__12[],4,FALSE),"")</f>
        <v/>
      </c>
      <c r="M412" s="4" t="str">
        <f>IFERROR(VLOOKUP(B412,infoTable__13[],4,FALSE),"")</f>
        <v/>
      </c>
      <c r="N412" s="4" t="str">
        <f>IFERROR(VLOOKUP(B412,infoTable__14[],4,FALSE),"")</f>
        <v/>
      </c>
      <c r="O412" s="4">
        <f>IFERROR(VLOOKUP(B412,infoTable__15[],4,FALSE),"")</f>
        <v>572647</v>
      </c>
      <c r="P412" s="4">
        <f>IFERROR(VLOOKUP(B412,infoTable__16[],4,FALSE),"")</f>
        <v>849998</v>
      </c>
    </row>
    <row r="413" spans="1:16" x14ac:dyDescent="0.55000000000000004">
      <c r="A413" t="s">
        <v>2247</v>
      </c>
      <c r="B413" t="s">
        <v>2248</v>
      </c>
      <c r="C413" s="4" t="str">
        <f>IFERROR(VLOOKUP(B413,infoTable10[],4,FALSE),"")</f>
        <v/>
      </c>
      <c r="D413" s="4" t="str">
        <f>IFERROR(VLOOKUP(B413,infoTable__2[],4,FALSE),"")</f>
        <v/>
      </c>
      <c r="E413" s="4" t="str">
        <f>IFERROR(VLOOKUP(B413,infoTable__3[],4,FALSE),"")</f>
        <v/>
      </c>
      <c r="F413" s="4" t="str">
        <f>IFERROR(VLOOKUP(B413,infoTable__4[],4,FALSE),"")</f>
        <v/>
      </c>
      <c r="G413" s="4" t="str">
        <f>IFERROR(VLOOKUP(B413,infoTable[],4,FALSE),"")</f>
        <v/>
      </c>
      <c r="H413" s="4" t="str">
        <f>IFERROR(VLOOKUP(B413,infoTable__6[],4,FALSE),"")</f>
        <v/>
      </c>
      <c r="I413" s="4" t="str">
        <f>IFERROR(VLOOKUP(B413,infoTable__28[],4,FALSE),"")</f>
        <v/>
      </c>
      <c r="J413" s="4" t="str">
        <f>IFERROR(VLOOKUP(B413,infoTable__10[],4,FALSE),"")</f>
        <v/>
      </c>
      <c r="K413" s="4" t="str">
        <f>IFERROR(VLOOKUP(B413,infoTable__11[],4,FALSE),"")</f>
        <v/>
      </c>
      <c r="L413" s="4">
        <f>IFERROR(VLOOKUP(B413,infoTable__12[],4,FALSE),"")</f>
        <v>1307229</v>
      </c>
      <c r="M413" s="4">
        <f>IFERROR(VLOOKUP(B413,infoTable__13[],4,FALSE),"")</f>
        <v>291236</v>
      </c>
      <c r="N413" s="4" t="str">
        <f>IFERROR(VLOOKUP(B413,infoTable__14[],4,FALSE),"")</f>
        <v/>
      </c>
      <c r="O413" s="4" t="str">
        <f>IFERROR(VLOOKUP(B413,infoTable__15[],4,FALSE),"")</f>
        <v/>
      </c>
      <c r="P413" s="4">
        <f>IFERROR(VLOOKUP(B413,infoTable__16[],4,FALSE),"")</f>
        <v>788073</v>
      </c>
    </row>
    <row r="414" spans="1:16" x14ac:dyDescent="0.55000000000000004">
      <c r="A414" t="s">
        <v>1046</v>
      </c>
      <c r="B414" t="s">
        <v>1047</v>
      </c>
      <c r="C414" s="4" t="str">
        <f>IFERROR(VLOOKUP(B414,infoTable10[],4,FALSE),"")</f>
        <v/>
      </c>
      <c r="D414" s="4" t="str">
        <f>IFERROR(VLOOKUP(B414,infoTable__2[],4,FALSE),"")</f>
        <v/>
      </c>
      <c r="E414" s="4" t="str">
        <f>IFERROR(VLOOKUP(B414,infoTable__3[],4,FALSE),"")</f>
        <v/>
      </c>
      <c r="F414" s="4" t="str">
        <f>IFERROR(VLOOKUP(B414,infoTable__4[],4,FALSE),"")</f>
        <v/>
      </c>
      <c r="G414" s="4" t="str">
        <f>IFERROR(VLOOKUP(B414,infoTable[],4,FALSE),"")</f>
        <v/>
      </c>
      <c r="H414" s="4">
        <f>IFERROR(VLOOKUP(B414,infoTable__6[],4,FALSE),"")</f>
        <v>226785</v>
      </c>
      <c r="I414" s="4" t="str">
        <f>IFERROR(VLOOKUP(B414,infoTable__28[],4,FALSE),"")</f>
        <v/>
      </c>
      <c r="J414" s="4" t="str">
        <f>IFERROR(VLOOKUP(B414,infoTable__10[],4,FALSE),"")</f>
        <v/>
      </c>
      <c r="K414" s="4" t="str">
        <f>IFERROR(VLOOKUP(B414,infoTable__11[],4,FALSE),"")</f>
        <v/>
      </c>
      <c r="L414" s="4" t="str">
        <f>IFERROR(VLOOKUP(B414,infoTable__12[],4,FALSE),"")</f>
        <v/>
      </c>
      <c r="M414" s="4" t="str">
        <f>IFERROR(VLOOKUP(B414,infoTable__13[],4,FALSE),"")</f>
        <v/>
      </c>
      <c r="N414" s="4" t="str">
        <f>IFERROR(VLOOKUP(B414,infoTable__14[],4,FALSE),"")</f>
        <v/>
      </c>
      <c r="O414" s="4">
        <f>IFERROR(VLOOKUP(B414,infoTable__15[],4,FALSE),"")</f>
        <v>469070</v>
      </c>
      <c r="P414" s="4">
        <f>IFERROR(VLOOKUP(B414,infoTable__16[],4,FALSE),"")</f>
        <v>649782</v>
      </c>
    </row>
    <row r="415" spans="1:16" x14ac:dyDescent="0.55000000000000004">
      <c r="A415" t="s">
        <v>1941</v>
      </c>
      <c r="B415" t="s">
        <v>1943</v>
      </c>
      <c r="C415" s="4" t="str">
        <f>IFERROR(VLOOKUP(B415,infoTable10[],4,FALSE),"")</f>
        <v/>
      </c>
      <c r="D415" s="4" t="str">
        <f>IFERROR(VLOOKUP(B415,infoTable__2[],4,FALSE),"")</f>
        <v/>
      </c>
      <c r="E415" s="4" t="str">
        <f>IFERROR(VLOOKUP(B415,infoTable__3[],4,FALSE),"")</f>
        <v/>
      </c>
      <c r="F415" s="4" t="str">
        <f>IFERROR(VLOOKUP(B415,infoTable__4[],4,FALSE),"")</f>
        <v/>
      </c>
      <c r="G415" s="4" t="str">
        <f>IFERROR(VLOOKUP(B415,infoTable[],4,FALSE),"")</f>
        <v/>
      </c>
      <c r="H415" s="4" t="str">
        <f>IFERROR(VLOOKUP(B415,infoTable__6[],4,FALSE),"")</f>
        <v/>
      </c>
      <c r="I415" s="4" t="str">
        <f>IFERROR(VLOOKUP(B415,infoTable__28[],4,FALSE),"")</f>
        <v/>
      </c>
      <c r="J415" s="4" t="str">
        <f>IFERROR(VLOOKUP(B415,infoTable__10[],4,FALSE),"")</f>
        <v/>
      </c>
      <c r="K415" s="4">
        <f>IFERROR(VLOOKUP(B415,infoTable__11[],4,FALSE),"")</f>
        <v>423469</v>
      </c>
      <c r="L415" s="4">
        <f>IFERROR(VLOOKUP(B415,infoTable__12[],4,FALSE),"")</f>
        <v>489313</v>
      </c>
      <c r="M415" s="4">
        <f>IFERROR(VLOOKUP(B415,infoTable__13[],4,FALSE),"")</f>
        <v>435099</v>
      </c>
      <c r="N415" s="4">
        <f>IFERROR(VLOOKUP(B415,infoTable__14[],4,FALSE),"")</f>
        <v>524996</v>
      </c>
      <c r="O415" s="4" t="str">
        <f>IFERROR(VLOOKUP(B415,infoTable__15[],4,FALSE),"")</f>
        <v/>
      </c>
      <c r="P415" s="4" t="str">
        <f>IFERROR(VLOOKUP(B415,infoTable__16[],4,FALSE),"")</f>
        <v/>
      </c>
    </row>
    <row r="416" spans="1:16" x14ac:dyDescent="0.55000000000000004">
      <c r="A416" t="s">
        <v>1941</v>
      </c>
      <c r="B416" t="s">
        <v>3096</v>
      </c>
      <c r="C416" s="4" t="str">
        <f>IFERROR(VLOOKUP(B416,infoTable10[],4,FALSE),"")</f>
        <v/>
      </c>
      <c r="D416" s="4" t="str">
        <f>IFERROR(VLOOKUP(B416,infoTable__2[],4,FALSE),"")</f>
        <v/>
      </c>
      <c r="E416" s="4" t="str">
        <f>IFERROR(VLOOKUP(B416,infoTable__3[],4,FALSE),"")</f>
        <v/>
      </c>
      <c r="F416" s="4" t="str">
        <f>IFERROR(VLOOKUP(B416,infoTable__4[],4,FALSE),"")</f>
        <v/>
      </c>
      <c r="G416" s="4" t="str">
        <f>IFERROR(VLOOKUP(B416,infoTable[],4,FALSE),"")</f>
        <v/>
      </c>
      <c r="H416" s="4" t="str">
        <f>IFERROR(VLOOKUP(B416,infoTable__6[],4,FALSE),"")</f>
        <v/>
      </c>
      <c r="I416" s="4" t="str">
        <f>IFERROR(VLOOKUP(B416,infoTable__28[],4,FALSE),"")</f>
        <v/>
      </c>
      <c r="J416" s="4" t="str">
        <f>IFERROR(VLOOKUP(B416,infoTable__10[],4,FALSE),"")</f>
        <v/>
      </c>
      <c r="K416" s="4" t="str">
        <f>IFERROR(VLOOKUP(B416,infoTable__11[],4,FALSE),"")</f>
        <v/>
      </c>
      <c r="L416" s="4" t="str">
        <f>IFERROR(VLOOKUP(B416,infoTable__12[],4,FALSE),"")</f>
        <v/>
      </c>
      <c r="M416" s="4" t="str">
        <f>IFERROR(VLOOKUP(B416,infoTable__13[],4,FALSE),"")</f>
        <v/>
      </c>
      <c r="N416" s="4" t="str">
        <f>IFERROR(VLOOKUP(B416,infoTable__14[],4,FALSE),"")</f>
        <v/>
      </c>
      <c r="O416" s="4">
        <f>IFERROR(VLOOKUP(B416,infoTable__15[],4,FALSE),"")</f>
        <v>651644</v>
      </c>
      <c r="P416" s="4">
        <f>IFERROR(VLOOKUP(B416,infoTable__16[],4,FALSE),"")</f>
        <v>429606</v>
      </c>
    </row>
    <row r="417" spans="1:16" x14ac:dyDescent="0.55000000000000004">
      <c r="A417" t="s">
        <v>2708</v>
      </c>
      <c r="B417" t="s">
        <v>2707</v>
      </c>
      <c r="C417" s="4" t="str">
        <f>IFERROR(VLOOKUP(B417,infoTable10[],4,FALSE),"")</f>
        <v/>
      </c>
      <c r="D417" s="4" t="str">
        <f>IFERROR(VLOOKUP(B417,infoTable__2[],4,FALSE),"")</f>
        <v/>
      </c>
      <c r="E417" s="4" t="str">
        <f>IFERROR(VLOOKUP(B417,infoTable__3[],4,FALSE),"")</f>
        <v/>
      </c>
      <c r="F417" s="4" t="str">
        <f>IFERROR(VLOOKUP(B417,infoTable__4[],4,FALSE),"")</f>
        <v/>
      </c>
      <c r="G417" s="4" t="str">
        <f>IFERROR(VLOOKUP(B417,infoTable[],4,FALSE),"")</f>
        <v/>
      </c>
      <c r="H417" s="4" t="str">
        <f>IFERROR(VLOOKUP(B417,infoTable__6[],4,FALSE),"")</f>
        <v/>
      </c>
      <c r="I417" s="4" t="str">
        <f>IFERROR(VLOOKUP(B417,infoTable__28[],4,FALSE),"")</f>
        <v/>
      </c>
      <c r="J417" s="4" t="str">
        <f>IFERROR(VLOOKUP(B417,infoTable__10[],4,FALSE),"")</f>
        <v/>
      </c>
      <c r="K417" s="4" t="str">
        <f>IFERROR(VLOOKUP(B417,infoTable__11[],4,FALSE),"")</f>
        <v/>
      </c>
      <c r="L417" s="4" t="str">
        <f>IFERROR(VLOOKUP(B417,infoTable__12[],4,FALSE),"")</f>
        <v/>
      </c>
      <c r="M417" s="4" t="str">
        <f>IFERROR(VLOOKUP(B417,infoTable__13[],4,FALSE),"")</f>
        <v/>
      </c>
      <c r="N417" s="4">
        <f>IFERROR(VLOOKUP(B417,infoTable__14[],4,FALSE),"")</f>
        <v>232372</v>
      </c>
      <c r="O417" s="4" t="str">
        <f>IFERROR(VLOOKUP(B417,infoTable__15[],4,FALSE),"")</f>
        <v/>
      </c>
      <c r="P417" s="4" t="str">
        <f>IFERROR(VLOOKUP(B417,infoTable__16[],4,FALSE),"")</f>
        <v/>
      </c>
    </row>
    <row r="418" spans="1:16" x14ac:dyDescent="0.55000000000000004">
      <c r="A418" t="s">
        <v>2513</v>
      </c>
      <c r="B418" t="s">
        <v>2514</v>
      </c>
      <c r="C418" s="4" t="str">
        <f>IFERROR(VLOOKUP(B418,infoTable10[],4,FALSE),"")</f>
        <v/>
      </c>
      <c r="D418" s="4" t="str">
        <f>IFERROR(VLOOKUP(B418,infoTable__2[],4,FALSE),"")</f>
        <v/>
      </c>
      <c r="E418" s="4" t="str">
        <f>IFERROR(VLOOKUP(B418,infoTable__3[],4,FALSE),"")</f>
        <v/>
      </c>
      <c r="F418" s="4" t="str">
        <f>IFERROR(VLOOKUP(B418,infoTable__4[],4,FALSE),"")</f>
        <v/>
      </c>
      <c r="G418" s="4" t="str">
        <f>IFERROR(VLOOKUP(B418,infoTable[],4,FALSE),"")</f>
        <v/>
      </c>
      <c r="H418" s="4" t="str">
        <f>IFERROR(VLOOKUP(B418,infoTable__6[],4,FALSE),"")</f>
        <v/>
      </c>
      <c r="I418" s="4" t="str">
        <f>IFERROR(VLOOKUP(B418,infoTable__28[],4,FALSE),"")</f>
        <v/>
      </c>
      <c r="J418" s="4" t="str">
        <f>IFERROR(VLOOKUP(B418,infoTable__10[],4,FALSE),"")</f>
        <v/>
      </c>
      <c r="K418" s="4" t="str">
        <f>IFERROR(VLOOKUP(B418,infoTable__11[],4,FALSE),"")</f>
        <v/>
      </c>
      <c r="L418" s="4" t="str">
        <f>IFERROR(VLOOKUP(B418,infoTable__12[],4,FALSE),"")</f>
        <v/>
      </c>
      <c r="M418" s="4">
        <f>IFERROR(VLOOKUP(B418,infoTable__13[],4,FALSE),"")</f>
        <v>343998</v>
      </c>
      <c r="N418" s="4" t="str">
        <f>IFERROR(VLOOKUP(B418,infoTable__14[],4,FALSE),"")</f>
        <v/>
      </c>
      <c r="O418" s="4" t="str">
        <f>IFERROR(VLOOKUP(B418,infoTable__15[],4,FALSE),"")</f>
        <v/>
      </c>
      <c r="P418" s="4">
        <f>IFERROR(VLOOKUP(B418,infoTable__16[],4,FALSE),"")</f>
        <v>201691</v>
      </c>
    </row>
    <row r="419" spans="1:16" x14ac:dyDescent="0.55000000000000004">
      <c r="A419" t="s">
        <v>865</v>
      </c>
      <c r="B419" t="s">
        <v>866</v>
      </c>
      <c r="C419" s="4" t="str">
        <f>IFERROR(VLOOKUP(B419,infoTable10[],4,FALSE),"")</f>
        <v/>
      </c>
      <c r="D419" s="4" t="str">
        <f>IFERROR(VLOOKUP(B419,infoTable__2[],4,FALSE),"")</f>
        <v/>
      </c>
      <c r="E419" s="4" t="str">
        <f>IFERROR(VLOOKUP(B419,infoTable__3[],4,FALSE),"")</f>
        <v/>
      </c>
      <c r="F419" s="4">
        <f>IFERROR(VLOOKUP(B419,infoTable__4[],4,FALSE),"")</f>
        <v>615723</v>
      </c>
      <c r="G419" s="4" t="str">
        <f>IFERROR(VLOOKUP(B419,infoTable[],4,FALSE),"")</f>
        <v/>
      </c>
      <c r="H419" s="4" t="str">
        <f>IFERROR(VLOOKUP(B419,infoTable__6[],4,FALSE),"")</f>
        <v/>
      </c>
      <c r="I419" s="4" t="str">
        <f>IFERROR(VLOOKUP(B419,infoTable__28[],4,FALSE),"")</f>
        <v/>
      </c>
      <c r="J419" s="4" t="str">
        <f>IFERROR(VLOOKUP(B419,infoTable__10[],4,FALSE),"")</f>
        <v/>
      </c>
      <c r="K419" s="4" t="str">
        <f>IFERROR(VLOOKUP(B419,infoTable__11[],4,FALSE),"")</f>
        <v/>
      </c>
      <c r="L419" s="4" t="str">
        <f>IFERROR(VLOOKUP(B419,infoTable__12[],4,FALSE),"")</f>
        <v/>
      </c>
      <c r="M419" s="4" t="str">
        <f>IFERROR(VLOOKUP(B419,infoTable__13[],4,FALSE),"")</f>
        <v/>
      </c>
      <c r="N419" s="4" t="str">
        <f>IFERROR(VLOOKUP(B419,infoTable__14[],4,FALSE),"")</f>
        <v/>
      </c>
      <c r="O419" s="4" t="str">
        <f>IFERROR(VLOOKUP(B419,infoTable__15[],4,FALSE),"")</f>
        <v/>
      </c>
      <c r="P419" s="4" t="str">
        <f>IFERROR(VLOOKUP(B419,infoTable__16[],4,FALSE),"")</f>
        <v/>
      </c>
    </row>
    <row r="420" spans="1:16" x14ac:dyDescent="0.55000000000000004">
      <c r="A420" t="s">
        <v>1331</v>
      </c>
      <c r="B420" t="s">
        <v>1332</v>
      </c>
      <c r="C420" s="4" t="str">
        <f>IFERROR(VLOOKUP(B420,infoTable10[],4,FALSE),"")</f>
        <v/>
      </c>
      <c r="D420" s="4" t="str">
        <f>IFERROR(VLOOKUP(B420,infoTable__2[],4,FALSE),"")</f>
        <v/>
      </c>
      <c r="E420" s="4" t="str">
        <f>IFERROR(VLOOKUP(B420,infoTable__3[],4,FALSE),"")</f>
        <v/>
      </c>
      <c r="F420" s="4" t="str">
        <f>IFERROR(VLOOKUP(B420,infoTable__4[],4,FALSE),"")</f>
        <v/>
      </c>
      <c r="G420" s="4" t="str">
        <f>IFERROR(VLOOKUP(B420,infoTable[],4,FALSE),"")</f>
        <v/>
      </c>
      <c r="H420" s="4" t="str">
        <f>IFERROR(VLOOKUP(B420,infoTable__6[],4,FALSE),"")</f>
        <v/>
      </c>
      <c r="I420" s="4">
        <f>IFERROR(VLOOKUP(B420,infoTable__28[],4,FALSE),"")</f>
        <v>1298207</v>
      </c>
      <c r="J420" s="4">
        <f>IFERROR(VLOOKUP(B420,infoTable__10[],4,FALSE),"")</f>
        <v>496976</v>
      </c>
      <c r="K420" s="4">
        <f>IFERROR(VLOOKUP(B420,infoTable__11[],4,FALSE),"")</f>
        <v>500130</v>
      </c>
      <c r="L420" s="4">
        <f>IFERROR(VLOOKUP(B420,infoTable__12[],4,FALSE),"")</f>
        <v>894374</v>
      </c>
      <c r="M420" s="4" t="str">
        <f>IFERROR(VLOOKUP(B420,infoTable__13[],4,FALSE),"")</f>
        <v/>
      </c>
      <c r="N420" s="4" t="str">
        <f>IFERROR(VLOOKUP(B420,infoTable__14[],4,FALSE),"")</f>
        <v/>
      </c>
      <c r="O420" s="4" t="str">
        <f>IFERROR(VLOOKUP(B420,infoTable__15[],4,FALSE),"")</f>
        <v/>
      </c>
      <c r="P420" s="4">
        <f>IFERROR(VLOOKUP(B420,infoTable__16[],4,FALSE),"")</f>
        <v>2202882</v>
      </c>
    </row>
    <row r="421" spans="1:16" x14ac:dyDescent="0.55000000000000004">
      <c r="A421" t="s">
        <v>1526</v>
      </c>
      <c r="B421" t="s">
        <v>1527</v>
      </c>
      <c r="C421" s="4">
        <f>IFERROR(VLOOKUP(B421,infoTable10[],4,FALSE),"")</f>
        <v>79864</v>
      </c>
      <c r="D421" s="4" t="str">
        <f>IFERROR(VLOOKUP(B421,infoTable__2[],4,FALSE),"")</f>
        <v/>
      </c>
      <c r="E421" s="4" t="str">
        <f>IFERROR(VLOOKUP(B421,infoTable__3[],4,FALSE),"")</f>
        <v/>
      </c>
      <c r="F421" s="4" t="str">
        <f>IFERROR(VLOOKUP(B421,infoTable__4[],4,FALSE),"")</f>
        <v/>
      </c>
      <c r="G421" s="4" t="str">
        <f>IFERROR(VLOOKUP(B421,infoTable[],4,FALSE),"")</f>
        <v/>
      </c>
      <c r="H421" s="4" t="str">
        <f>IFERROR(VLOOKUP(B421,infoTable__6[],4,FALSE),"")</f>
        <v/>
      </c>
      <c r="I421" s="4" t="str">
        <f>IFERROR(VLOOKUP(B421,infoTable__28[],4,FALSE),"")</f>
        <v/>
      </c>
      <c r="J421" s="4" t="str">
        <f>IFERROR(VLOOKUP(B421,infoTable__10[],4,FALSE),"")</f>
        <v/>
      </c>
      <c r="K421" s="4">
        <f>IFERROR(VLOOKUP(B421,infoTable__11[],4,FALSE),"")</f>
        <v>126902</v>
      </c>
      <c r="L421" s="4">
        <f>IFERROR(VLOOKUP(B421,infoTable__12[],4,FALSE),"")</f>
        <v>273771</v>
      </c>
      <c r="M421" s="4">
        <f>IFERROR(VLOOKUP(B421,infoTable__13[],4,FALSE),"")</f>
        <v>373417</v>
      </c>
      <c r="N421" s="4">
        <f>IFERROR(VLOOKUP(B421,infoTable__14[],4,FALSE),"")</f>
        <v>247181</v>
      </c>
      <c r="O421" s="4">
        <f>IFERROR(VLOOKUP(B421,infoTable__15[],4,FALSE),"")</f>
        <v>539193</v>
      </c>
      <c r="P421" s="4">
        <f>IFERROR(VLOOKUP(B421,infoTable__16[],4,FALSE),"")</f>
        <v>1422787</v>
      </c>
    </row>
    <row r="422" spans="1:16" x14ac:dyDescent="0.55000000000000004">
      <c r="A422" t="s">
        <v>762</v>
      </c>
      <c r="B422" t="s">
        <v>763</v>
      </c>
      <c r="C422" s="4" t="str">
        <f>IFERROR(VLOOKUP(B422,infoTable10[],4,FALSE),"")</f>
        <v/>
      </c>
      <c r="D422" s="4" t="str">
        <f>IFERROR(VLOOKUP(B422,infoTable__2[],4,FALSE),"")</f>
        <v/>
      </c>
      <c r="E422" s="4">
        <f>IFERROR(VLOOKUP(B422,infoTable__3[],4,FALSE),"")</f>
        <v>1403677</v>
      </c>
      <c r="F422" s="4">
        <f>IFERROR(VLOOKUP(B422,infoTable__4[],4,FALSE),"")</f>
        <v>545918</v>
      </c>
      <c r="G422" s="4" t="str">
        <f>IFERROR(VLOOKUP(B422,infoTable[],4,FALSE),"")</f>
        <v/>
      </c>
      <c r="H422" s="4" t="str">
        <f>IFERROR(VLOOKUP(B422,infoTable__6[],4,FALSE),"")</f>
        <v/>
      </c>
      <c r="I422" s="4" t="str">
        <f>IFERROR(VLOOKUP(B422,infoTable__28[],4,FALSE),"")</f>
        <v/>
      </c>
      <c r="J422" s="4" t="str">
        <f>IFERROR(VLOOKUP(B422,infoTable__10[],4,FALSE),"")</f>
        <v/>
      </c>
      <c r="K422" s="4" t="str">
        <f>IFERROR(VLOOKUP(B422,infoTable__11[],4,FALSE),"")</f>
        <v/>
      </c>
      <c r="L422" s="4" t="str">
        <f>IFERROR(VLOOKUP(B422,infoTable__12[],4,FALSE),"")</f>
        <v/>
      </c>
      <c r="M422" s="4" t="str">
        <f>IFERROR(VLOOKUP(B422,infoTable__13[],4,FALSE),"")</f>
        <v/>
      </c>
      <c r="N422" s="4" t="str">
        <f>IFERROR(VLOOKUP(B422,infoTable__14[],4,FALSE),"")</f>
        <v/>
      </c>
      <c r="O422" s="4" t="str">
        <f>IFERROR(VLOOKUP(B422,infoTable__15[],4,FALSE),"")</f>
        <v/>
      </c>
      <c r="P422" s="4" t="str">
        <f>IFERROR(VLOOKUP(B422,infoTable__16[],4,FALSE),"")</f>
        <v/>
      </c>
    </row>
    <row r="423" spans="1:16" x14ac:dyDescent="0.55000000000000004">
      <c r="A423" t="s">
        <v>288</v>
      </c>
      <c r="B423" t="s">
        <v>290</v>
      </c>
      <c r="C423" s="4" t="str">
        <f>IFERROR(VLOOKUP(B423,infoTable10[],4,FALSE),"")</f>
        <v/>
      </c>
      <c r="D423" s="4" t="str">
        <f>IFERROR(VLOOKUP(B423,infoTable__2[],4,FALSE),"")</f>
        <v/>
      </c>
      <c r="E423" s="4">
        <f>IFERROR(VLOOKUP(B423,infoTable__3[],4,FALSE),"")</f>
        <v>1486495</v>
      </c>
      <c r="F423" s="4" t="str">
        <f>IFERROR(VLOOKUP(B423,infoTable__4[],4,FALSE),"")</f>
        <v/>
      </c>
      <c r="G423" s="4">
        <f>IFERROR(VLOOKUP(B423,infoTable[],4,FALSE),"")</f>
        <v>420413</v>
      </c>
      <c r="H423" s="4" t="str">
        <f>IFERROR(VLOOKUP(B423,infoTable__6[],4,FALSE),"")</f>
        <v/>
      </c>
      <c r="I423" s="4" t="str">
        <f>IFERROR(VLOOKUP(B423,infoTable__28[],4,FALSE),"")</f>
        <v/>
      </c>
      <c r="J423" s="4" t="str">
        <f>IFERROR(VLOOKUP(B423,infoTable__10[],4,FALSE),"")</f>
        <v/>
      </c>
      <c r="K423" s="4" t="str">
        <f>IFERROR(VLOOKUP(B423,infoTable__11[],4,FALSE),"")</f>
        <v/>
      </c>
      <c r="L423" s="4" t="str">
        <f>IFERROR(VLOOKUP(B423,infoTable__12[],4,FALSE),"")</f>
        <v/>
      </c>
      <c r="M423" s="4" t="str">
        <f>IFERROR(VLOOKUP(B423,infoTable__13[],4,FALSE),"")</f>
        <v/>
      </c>
      <c r="N423" s="4" t="str">
        <f>IFERROR(VLOOKUP(B423,infoTable__14[],4,FALSE),"")</f>
        <v/>
      </c>
      <c r="O423" s="4" t="str">
        <f>IFERROR(VLOOKUP(B423,infoTable__15[],4,FALSE),"")</f>
        <v/>
      </c>
      <c r="P423" s="4" t="str">
        <f>IFERROR(VLOOKUP(B423,infoTable__16[],4,FALSE),"")</f>
        <v/>
      </c>
    </row>
    <row r="424" spans="1:16" x14ac:dyDescent="0.55000000000000004">
      <c r="A424" t="s">
        <v>291</v>
      </c>
      <c r="B424" t="s">
        <v>292</v>
      </c>
      <c r="C424" s="4" t="str">
        <f>IFERROR(VLOOKUP(B424,infoTable10[],4,FALSE),"")</f>
        <v/>
      </c>
      <c r="D424" s="4" t="str">
        <f>IFERROR(VLOOKUP(B424,infoTable__2[],4,FALSE),"")</f>
        <v/>
      </c>
      <c r="E424" s="4" t="str">
        <f>IFERROR(VLOOKUP(B424,infoTable__3[],4,FALSE),"")</f>
        <v/>
      </c>
      <c r="F424" s="4" t="str">
        <f>IFERROR(VLOOKUP(B424,infoTable__4[],4,FALSE),"")</f>
        <v/>
      </c>
      <c r="G424" s="4">
        <f>IFERROR(VLOOKUP(B424,infoTable[],4,FALSE),"")</f>
        <v>771503</v>
      </c>
      <c r="H424" s="4">
        <f>IFERROR(VLOOKUP(B424,infoTable__6[],4,FALSE),"")</f>
        <v>292135</v>
      </c>
      <c r="I424" s="4" t="str">
        <f>IFERROR(VLOOKUP(B424,infoTable__28[],4,FALSE),"")</f>
        <v/>
      </c>
      <c r="J424" s="4" t="str">
        <f>IFERROR(VLOOKUP(B424,infoTable__10[],4,FALSE),"")</f>
        <v/>
      </c>
      <c r="K424" s="4" t="str">
        <f>IFERROR(VLOOKUP(B424,infoTable__11[],4,FALSE),"")</f>
        <v/>
      </c>
      <c r="L424" s="4" t="str">
        <f>IFERROR(VLOOKUP(B424,infoTable__12[],4,FALSE),"")</f>
        <v/>
      </c>
      <c r="M424" s="4" t="str">
        <f>IFERROR(VLOOKUP(B424,infoTable__13[],4,FALSE),"")</f>
        <v/>
      </c>
      <c r="N424" s="4" t="str">
        <f>IFERROR(VLOOKUP(B424,infoTable__14[],4,FALSE),"")</f>
        <v/>
      </c>
      <c r="O424" s="4" t="str">
        <f>IFERROR(VLOOKUP(B424,infoTable__15[],4,FALSE),"")</f>
        <v/>
      </c>
      <c r="P424" s="4" t="str">
        <f>IFERROR(VLOOKUP(B424,infoTable__16[],4,FALSE),"")</f>
        <v/>
      </c>
    </row>
    <row r="425" spans="1:16" x14ac:dyDescent="0.55000000000000004">
      <c r="A425" t="s">
        <v>1944</v>
      </c>
      <c r="B425" t="s">
        <v>1945</v>
      </c>
      <c r="C425" s="4" t="str">
        <f>IFERROR(VLOOKUP(B425,infoTable10[],4,FALSE),"")</f>
        <v/>
      </c>
      <c r="D425" s="4" t="str">
        <f>IFERROR(VLOOKUP(B425,infoTable__2[],4,FALSE),"")</f>
        <v/>
      </c>
      <c r="E425" s="4" t="str">
        <f>IFERROR(VLOOKUP(B425,infoTable__3[],4,FALSE),"")</f>
        <v/>
      </c>
      <c r="F425" s="4" t="str">
        <f>IFERROR(VLOOKUP(B425,infoTable__4[],4,FALSE),"")</f>
        <v/>
      </c>
      <c r="G425" s="4" t="str">
        <f>IFERROR(VLOOKUP(B425,infoTable[],4,FALSE),"")</f>
        <v/>
      </c>
      <c r="H425" s="4" t="str">
        <f>IFERROR(VLOOKUP(B425,infoTable__6[],4,FALSE),"")</f>
        <v/>
      </c>
      <c r="I425" s="4" t="str">
        <f>IFERROR(VLOOKUP(B425,infoTable__28[],4,FALSE),"")</f>
        <v/>
      </c>
      <c r="J425" s="4" t="str">
        <f>IFERROR(VLOOKUP(B425,infoTable__10[],4,FALSE),"")</f>
        <v/>
      </c>
      <c r="K425" s="4">
        <f>IFERROR(VLOOKUP(B425,infoTable__11[],4,FALSE),"")</f>
        <v>1257900</v>
      </c>
      <c r="L425" s="4">
        <f>IFERROR(VLOOKUP(B425,infoTable__12[],4,FALSE),"")</f>
        <v>1073020</v>
      </c>
      <c r="M425" s="4" t="str">
        <f>IFERROR(VLOOKUP(B425,infoTable__13[],4,FALSE),"")</f>
        <v/>
      </c>
      <c r="N425" s="4" t="str">
        <f>IFERROR(VLOOKUP(B425,infoTable__14[],4,FALSE),"")</f>
        <v/>
      </c>
      <c r="O425" s="4">
        <f>IFERROR(VLOOKUP(B425,infoTable__15[],4,FALSE),"")</f>
        <v>356617</v>
      </c>
      <c r="P425" s="4" t="str">
        <f>IFERROR(VLOOKUP(B425,infoTable__16[],4,FALSE),"")</f>
        <v/>
      </c>
    </row>
    <row r="426" spans="1:16" x14ac:dyDescent="0.55000000000000004">
      <c r="A426" t="s">
        <v>1048</v>
      </c>
      <c r="B426" t="s">
        <v>1049</v>
      </c>
      <c r="C426" s="4" t="str">
        <f>IFERROR(VLOOKUP(B426,infoTable10[],4,FALSE),"")</f>
        <v/>
      </c>
      <c r="D426" s="4" t="str">
        <f>IFERROR(VLOOKUP(B426,infoTable__2[],4,FALSE),"")</f>
        <v/>
      </c>
      <c r="E426" s="4" t="str">
        <f>IFERROR(VLOOKUP(B426,infoTable__3[],4,FALSE),"")</f>
        <v/>
      </c>
      <c r="F426" s="4" t="str">
        <f>IFERROR(VLOOKUP(B426,infoTable__4[],4,FALSE),"")</f>
        <v/>
      </c>
      <c r="G426" s="4" t="str">
        <f>IFERROR(VLOOKUP(B426,infoTable[],4,FALSE),"")</f>
        <v/>
      </c>
      <c r="H426" s="4">
        <f>IFERROR(VLOOKUP(B426,infoTable__6[],4,FALSE),"")</f>
        <v>1057171</v>
      </c>
      <c r="I426" s="4" t="str">
        <f>IFERROR(VLOOKUP(B426,infoTable__28[],4,FALSE),"")</f>
        <v/>
      </c>
      <c r="J426" s="4" t="str">
        <f>IFERROR(VLOOKUP(B426,infoTable__10[],4,FALSE),"")</f>
        <v/>
      </c>
      <c r="K426" s="4" t="str">
        <f>IFERROR(VLOOKUP(B426,infoTable__11[],4,FALSE),"")</f>
        <v/>
      </c>
      <c r="L426" s="4">
        <f>IFERROR(VLOOKUP(B426,infoTable__12[],4,FALSE),"")</f>
        <v>783872</v>
      </c>
      <c r="M426" s="4">
        <f>IFERROR(VLOOKUP(B426,infoTable__13[],4,FALSE),"")</f>
        <v>906167</v>
      </c>
      <c r="N426" s="4">
        <f>IFERROR(VLOOKUP(B426,infoTable__14[],4,FALSE),"")</f>
        <v>1712269</v>
      </c>
      <c r="O426" s="4">
        <f>IFERROR(VLOOKUP(B426,infoTable__15[],4,FALSE),"")</f>
        <v>224010</v>
      </c>
      <c r="P426" s="4">
        <f>IFERROR(VLOOKUP(B426,infoTable__16[],4,FALSE),"")</f>
        <v>1185460</v>
      </c>
    </row>
    <row r="427" spans="1:16" x14ac:dyDescent="0.55000000000000004">
      <c r="A427" t="s">
        <v>867</v>
      </c>
      <c r="B427" t="s">
        <v>868</v>
      </c>
      <c r="C427" s="4" t="str">
        <f>IFERROR(VLOOKUP(B427,infoTable10[],4,FALSE),"")</f>
        <v/>
      </c>
      <c r="D427" s="4" t="str">
        <f>IFERROR(VLOOKUP(B427,infoTable__2[],4,FALSE),"")</f>
        <v/>
      </c>
      <c r="E427" s="4" t="str">
        <f>IFERROR(VLOOKUP(B427,infoTable__3[],4,FALSE),"")</f>
        <v/>
      </c>
      <c r="F427" s="4">
        <f>IFERROR(VLOOKUP(B427,infoTable__4[],4,FALSE),"")</f>
        <v>294827</v>
      </c>
      <c r="G427" s="4" t="str">
        <f>IFERROR(VLOOKUP(B427,infoTable[],4,FALSE),"")</f>
        <v/>
      </c>
      <c r="H427" s="4" t="str">
        <f>IFERROR(VLOOKUP(B427,infoTable__6[],4,FALSE),"")</f>
        <v/>
      </c>
      <c r="I427" s="4" t="str">
        <f>IFERROR(VLOOKUP(B427,infoTable__28[],4,FALSE),"")</f>
        <v/>
      </c>
      <c r="J427" s="4" t="str">
        <f>IFERROR(VLOOKUP(B427,infoTable__10[],4,FALSE),"")</f>
        <v/>
      </c>
      <c r="K427" s="4" t="str">
        <f>IFERROR(VLOOKUP(B427,infoTable__11[],4,FALSE),"")</f>
        <v/>
      </c>
      <c r="L427" s="4" t="str">
        <f>IFERROR(VLOOKUP(B427,infoTable__12[],4,FALSE),"")</f>
        <v/>
      </c>
      <c r="M427" s="4" t="str">
        <f>IFERROR(VLOOKUP(B427,infoTable__13[],4,FALSE),"")</f>
        <v/>
      </c>
      <c r="N427" s="4" t="str">
        <f>IFERROR(VLOOKUP(B427,infoTable__14[],4,FALSE),"")</f>
        <v/>
      </c>
      <c r="O427" s="4" t="str">
        <f>IFERROR(VLOOKUP(B427,infoTable__15[],4,FALSE),"")</f>
        <v/>
      </c>
      <c r="P427" s="4" t="str">
        <f>IFERROR(VLOOKUP(B427,infoTable__16[],4,FALSE),"")</f>
        <v/>
      </c>
    </row>
    <row r="428" spans="1:16" x14ac:dyDescent="0.55000000000000004">
      <c r="A428" t="s">
        <v>1050</v>
      </c>
      <c r="B428" t="s">
        <v>1051</v>
      </c>
      <c r="C428" s="4" t="str">
        <f>IFERROR(VLOOKUP(B428,infoTable10[],4,FALSE),"")</f>
        <v/>
      </c>
      <c r="D428" s="4" t="str">
        <f>IFERROR(VLOOKUP(B428,infoTable__2[],4,FALSE),"")</f>
        <v/>
      </c>
      <c r="E428" s="4" t="str">
        <f>IFERROR(VLOOKUP(B428,infoTable__3[],4,FALSE),"")</f>
        <v/>
      </c>
      <c r="F428" s="4" t="str">
        <f>IFERROR(VLOOKUP(B428,infoTable__4[],4,FALSE),"")</f>
        <v/>
      </c>
      <c r="G428" s="4" t="str">
        <f>IFERROR(VLOOKUP(B428,infoTable[],4,FALSE),"")</f>
        <v/>
      </c>
      <c r="H428" s="4">
        <f>IFERROR(VLOOKUP(B428,infoTable__6[],4,FALSE),"")</f>
        <v>315225</v>
      </c>
      <c r="I428" s="4" t="str">
        <f>IFERROR(VLOOKUP(B428,infoTable__28[],4,FALSE),"")</f>
        <v/>
      </c>
      <c r="J428" s="4" t="str">
        <f>IFERROR(VLOOKUP(B428,infoTable__10[],4,FALSE),"")</f>
        <v/>
      </c>
      <c r="K428" s="4" t="str">
        <f>IFERROR(VLOOKUP(B428,infoTable__11[],4,FALSE),"")</f>
        <v/>
      </c>
      <c r="L428" s="4">
        <f>IFERROR(VLOOKUP(B428,infoTable__12[],4,FALSE),"")</f>
        <v>3457982</v>
      </c>
      <c r="M428" s="4">
        <f>IFERROR(VLOOKUP(B428,infoTable__13[],4,FALSE),"")</f>
        <v>242222</v>
      </c>
      <c r="N428" s="4">
        <f>IFERROR(VLOOKUP(B428,infoTable__14[],4,FALSE),"")</f>
        <v>1029371</v>
      </c>
      <c r="O428" s="4" t="str">
        <f>IFERROR(VLOOKUP(B428,infoTable__15[],4,FALSE),"")</f>
        <v/>
      </c>
      <c r="P428" s="4">
        <f>IFERROR(VLOOKUP(B428,infoTable__16[],4,FALSE),"")</f>
        <v>1053452</v>
      </c>
    </row>
    <row r="429" spans="1:16" x14ac:dyDescent="0.55000000000000004">
      <c r="A429" t="s">
        <v>2519</v>
      </c>
      <c r="B429" t="s">
        <v>2520</v>
      </c>
      <c r="C429" s="4" t="str">
        <f>IFERROR(VLOOKUP(B429,infoTable10[],4,FALSE),"")</f>
        <v/>
      </c>
      <c r="D429" s="4" t="str">
        <f>IFERROR(VLOOKUP(B429,infoTable__2[],4,FALSE),"")</f>
        <v/>
      </c>
      <c r="E429" s="4" t="str">
        <f>IFERROR(VLOOKUP(B429,infoTable__3[],4,FALSE),"")</f>
        <v/>
      </c>
      <c r="F429" s="4" t="str">
        <f>IFERROR(VLOOKUP(B429,infoTable__4[],4,FALSE),"")</f>
        <v/>
      </c>
      <c r="G429" s="4" t="str">
        <f>IFERROR(VLOOKUP(B429,infoTable[],4,FALSE),"")</f>
        <v/>
      </c>
      <c r="H429" s="4" t="str">
        <f>IFERROR(VLOOKUP(B429,infoTable__6[],4,FALSE),"")</f>
        <v/>
      </c>
      <c r="I429" s="4" t="str">
        <f>IFERROR(VLOOKUP(B429,infoTable__28[],4,FALSE),"")</f>
        <v/>
      </c>
      <c r="J429" s="4" t="str">
        <f>IFERROR(VLOOKUP(B429,infoTable__10[],4,FALSE),"")</f>
        <v/>
      </c>
      <c r="K429" s="4" t="str">
        <f>IFERROR(VLOOKUP(B429,infoTable__11[],4,FALSE),"")</f>
        <v/>
      </c>
      <c r="L429" s="4" t="str">
        <f>IFERROR(VLOOKUP(B429,infoTable__12[],4,FALSE),"")</f>
        <v/>
      </c>
      <c r="M429" s="4">
        <f>IFERROR(VLOOKUP(B429,infoTable__13[],4,FALSE),"")</f>
        <v>294421</v>
      </c>
      <c r="N429" s="4" t="str">
        <f>IFERROR(VLOOKUP(B429,infoTable__14[],4,FALSE),"")</f>
        <v/>
      </c>
      <c r="O429" s="4" t="str">
        <f>IFERROR(VLOOKUP(B429,infoTable__15[],4,FALSE),"")</f>
        <v/>
      </c>
      <c r="P429" s="4" t="str">
        <f>IFERROR(VLOOKUP(B429,infoTable__16[],4,FALSE),"")</f>
        <v/>
      </c>
    </row>
    <row r="430" spans="1:16" x14ac:dyDescent="0.55000000000000004">
      <c r="A430" t="s">
        <v>3429</v>
      </c>
      <c r="B430" t="s">
        <v>3430</v>
      </c>
      <c r="C430" s="4" t="str">
        <f>IFERROR(VLOOKUP(B430,infoTable10[],4,FALSE),"")</f>
        <v/>
      </c>
      <c r="D430" s="4" t="str">
        <f>IFERROR(VLOOKUP(B430,infoTable__2[],4,FALSE),"")</f>
        <v/>
      </c>
      <c r="E430" s="4" t="str">
        <f>IFERROR(VLOOKUP(B430,infoTable__3[],4,FALSE),"")</f>
        <v/>
      </c>
      <c r="F430" s="4" t="str">
        <f>IFERROR(VLOOKUP(B430,infoTable__4[],4,FALSE),"")</f>
        <v/>
      </c>
      <c r="G430" s="4" t="str">
        <f>IFERROR(VLOOKUP(B430,infoTable[],4,FALSE),"")</f>
        <v/>
      </c>
      <c r="H430" s="4" t="str">
        <f>IFERROR(VLOOKUP(B430,infoTable__6[],4,FALSE),"")</f>
        <v/>
      </c>
      <c r="I430" s="4" t="str">
        <f>IFERROR(VLOOKUP(B430,infoTable__28[],4,FALSE),"")</f>
        <v/>
      </c>
      <c r="J430" s="4" t="str">
        <f>IFERROR(VLOOKUP(B430,infoTable__10[],4,FALSE),"")</f>
        <v/>
      </c>
      <c r="K430" s="4" t="str">
        <f>IFERROR(VLOOKUP(B430,infoTable__11[],4,FALSE),"")</f>
        <v/>
      </c>
      <c r="L430" s="4" t="str">
        <f>IFERROR(VLOOKUP(B430,infoTable__12[],4,FALSE),"")</f>
        <v/>
      </c>
      <c r="M430" s="4" t="str">
        <f>IFERROR(VLOOKUP(B430,infoTable__13[],4,FALSE),"")</f>
        <v/>
      </c>
      <c r="N430" s="4" t="str">
        <f>IFERROR(VLOOKUP(B430,infoTable__14[],4,FALSE),"")</f>
        <v/>
      </c>
      <c r="O430" s="4" t="str">
        <f>IFERROR(VLOOKUP(B430,infoTable__15[],4,FALSE),"")</f>
        <v/>
      </c>
      <c r="P430" s="4">
        <f>IFERROR(VLOOKUP(B430,infoTable__16[],4,FALSE),"")</f>
        <v>714518</v>
      </c>
    </row>
    <row r="431" spans="1:16" x14ac:dyDescent="0.55000000000000004">
      <c r="A431" t="s">
        <v>293</v>
      </c>
      <c r="B431" t="s">
        <v>294</v>
      </c>
      <c r="C431" s="4" t="str">
        <f>IFERROR(VLOOKUP(B431,infoTable10[],4,FALSE),"")</f>
        <v/>
      </c>
      <c r="D431" s="4" t="str">
        <f>IFERROR(VLOOKUP(B431,infoTable__2[],4,FALSE),"")</f>
        <v/>
      </c>
      <c r="E431" s="4">
        <f>IFERROR(VLOOKUP(B431,infoTable__3[],4,FALSE),"")</f>
        <v>1017951</v>
      </c>
      <c r="F431" s="4">
        <f>IFERROR(VLOOKUP(B431,infoTable__4[],4,FALSE),"")</f>
        <v>1245731</v>
      </c>
      <c r="G431" s="4">
        <f>IFERROR(VLOOKUP(B431,infoTable[],4,FALSE),"")</f>
        <v>389020</v>
      </c>
      <c r="H431" s="4" t="str">
        <f>IFERROR(VLOOKUP(B431,infoTable__6[],4,FALSE),"")</f>
        <v/>
      </c>
      <c r="I431" s="4">
        <f>IFERROR(VLOOKUP(B431,infoTable__28[],4,FALSE),"")</f>
        <v>44250</v>
      </c>
      <c r="J431" s="4" t="str">
        <f>IFERROR(VLOOKUP(B431,infoTable__10[],4,FALSE),"")</f>
        <v/>
      </c>
      <c r="K431" s="4" t="str">
        <f>IFERROR(VLOOKUP(B431,infoTable__11[],4,FALSE),"")</f>
        <v/>
      </c>
      <c r="L431" s="4" t="str">
        <f>IFERROR(VLOOKUP(B431,infoTable__12[],4,FALSE),"")</f>
        <v/>
      </c>
      <c r="M431" s="4" t="str">
        <f>IFERROR(VLOOKUP(B431,infoTable__13[],4,FALSE),"")</f>
        <v/>
      </c>
      <c r="N431" s="4">
        <f>IFERROR(VLOOKUP(B431,infoTable__14[],4,FALSE),"")</f>
        <v>653047</v>
      </c>
      <c r="O431" s="4">
        <f>IFERROR(VLOOKUP(B431,infoTable__15[],4,FALSE),"")</f>
        <v>289471</v>
      </c>
      <c r="P431" s="4">
        <f>IFERROR(VLOOKUP(B431,infoTable__16[],4,FALSE),"")</f>
        <v>114571</v>
      </c>
    </row>
    <row r="432" spans="1:16" x14ac:dyDescent="0.55000000000000004">
      <c r="A432" t="s">
        <v>2529</v>
      </c>
      <c r="B432" t="s">
        <v>2530</v>
      </c>
      <c r="C432" s="4" t="str">
        <f>IFERROR(VLOOKUP(B432,infoTable10[],4,FALSE),"")</f>
        <v/>
      </c>
      <c r="D432" s="4" t="str">
        <f>IFERROR(VLOOKUP(B432,infoTable__2[],4,FALSE),"")</f>
        <v/>
      </c>
      <c r="E432" s="4" t="str">
        <f>IFERROR(VLOOKUP(B432,infoTable__3[],4,FALSE),"")</f>
        <v/>
      </c>
      <c r="F432" s="4" t="str">
        <f>IFERROR(VLOOKUP(B432,infoTable__4[],4,FALSE),"")</f>
        <v/>
      </c>
      <c r="G432" s="4" t="str">
        <f>IFERROR(VLOOKUP(B432,infoTable[],4,FALSE),"")</f>
        <v/>
      </c>
      <c r="H432" s="4" t="str">
        <f>IFERROR(VLOOKUP(B432,infoTable__6[],4,FALSE),"")</f>
        <v/>
      </c>
      <c r="I432" s="4" t="str">
        <f>IFERROR(VLOOKUP(B432,infoTable__28[],4,FALSE),"")</f>
        <v/>
      </c>
      <c r="J432" s="4" t="str">
        <f>IFERROR(VLOOKUP(B432,infoTable__10[],4,FALSE),"")</f>
        <v/>
      </c>
      <c r="K432" s="4" t="str">
        <f>IFERROR(VLOOKUP(B432,infoTable__11[],4,FALSE),"")</f>
        <v/>
      </c>
      <c r="L432" s="4" t="str">
        <f>IFERROR(VLOOKUP(B432,infoTable__12[],4,FALSE),"")</f>
        <v/>
      </c>
      <c r="M432" s="4">
        <f>IFERROR(VLOOKUP(B432,infoTable__13[],4,FALSE),"")</f>
        <v>367334</v>
      </c>
      <c r="N432" s="4">
        <f>IFERROR(VLOOKUP(B432,infoTable__14[],4,FALSE),"")</f>
        <v>476398</v>
      </c>
      <c r="O432" s="4">
        <f>IFERROR(VLOOKUP(B432,infoTable__15[],4,FALSE),"")</f>
        <v>553093</v>
      </c>
      <c r="P432" s="4" t="str">
        <f>IFERROR(VLOOKUP(B432,infoTable__16[],4,FALSE),"")</f>
        <v/>
      </c>
    </row>
    <row r="433" spans="1:16" x14ac:dyDescent="0.55000000000000004">
      <c r="A433" t="s">
        <v>1353</v>
      </c>
      <c r="B433" t="s">
        <v>1354</v>
      </c>
      <c r="C433" s="4" t="str">
        <f>IFERROR(VLOOKUP(B433,infoTable10[],4,FALSE),"")</f>
        <v/>
      </c>
      <c r="D433" s="4" t="str">
        <f>IFERROR(VLOOKUP(B433,infoTable__2[],4,FALSE),"")</f>
        <v/>
      </c>
      <c r="E433" s="4" t="str">
        <f>IFERROR(VLOOKUP(B433,infoTable__3[],4,FALSE),"")</f>
        <v/>
      </c>
      <c r="F433" s="4" t="str">
        <f>IFERROR(VLOOKUP(B433,infoTable__4[],4,FALSE),"")</f>
        <v/>
      </c>
      <c r="G433" s="4" t="str">
        <f>IFERROR(VLOOKUP(B433,infoTable[],4,FALSE),"")</f>
        <v/>
      </c>
      <c r="H433" s="4" t="str">
        <f>IFERROR(VLOOKUP(B433,infoTable__6[],4,FALSE),"")</f>
        <v/>
      </c>
      <c r="I433" s="4">
        <f>IFERROR(VLOOKUP(B433,infoTable__28[],4,FALSE),"")</f>
        <v>970596</v>
      </c>
      <c r="J433" s="4">
        <f>IFERROR(VLOOKUP(B433,infoTable__10[],4,FALSE),"")</f>
        <v>1274290</v>
      </c>
      <c r="K433" s="4">
        <f>IFERROR(VLOOKUP(B433,infoTable__11[],4,FALSE),"")</f>
        <v>1012348</v>
      </c>
      <c r="L433" s="4">
        <f>IFERROR(VLOOKUP(B433,infoTable__12[],4,FALSE),"")</f>
        <v>869593</v>
      </c>
      <c r="M433" s="4" t="str">
        <f>IFERROR(VLOOKUP(B433,infoTable__13[],4,FALSE),"")</f>
        <v/>
      </c>
      <c r="N433" s="4" t="str">
        <f>IFERROR(VLOOKUP(B433,infoTable__14[],4,FALSE),"")</f>
        <v/>
      </c>
      <c r="O433" s="4" t="str">
        <f>IFERROR(VLOOKUP(B433,infoTable__15[],4,FALSE),"")</f>
        <v/>
      </c>
      <c r="P433" s="4" t="str">
        <f>IFERROR(VLOOKUP(B433,infoTable__16[],4,FALSE),"")</f>
        <v/>
      </c>
    </row>
    <row r="434" spans="1:16" x14ac:dyDescent="0.55000000000000004">
      <c r="A434" t="s">
        <v>3099</v>
      </c>
      <c r="B434" t="s">
        <v>3100</v>
      </c>
      <c r="C434" s="4" t="str">
        <f>IFERROR(VLOOKUP(B434,infoTable10[],4,FALSE),"")</f>
        <v/>
      </c>
      <c r="D434" s="4" t="str">
        <f>IFERROR(VLOOKUP(B434,infoTable__2[],4,FALSE),"")</f>
        <v/>
      </c>
      <c r="E434" s="4" t="str">
        <f>IFERROR(VLOOKUP(B434,infoTable__3[],4,FALSE),"")</f>
        <v/>
      </c>
      <c r="F434" s="4" t="str">
        <f>IFERROR(VLOOKUP(B434,infoTable__4[],4,FALSE),"")</f>
        <v/>
      </c>
      <c r="G434" s="4" t="str">
        <f>IFERROR(VLOOKUP(B434,infoTable[],4,FALSE),"")</f>
        <v/>
      </c>
      <c r="H434" s="4" t="str">
        <f>IFERROR(VLOOKUP(B434,infoTable__6[],4,FALSE),"")</f>
        <v/>
      </c>
      <c r="I434" s="4" t="str">
        <f>IFERROR(VLOOKUP(B434,infoTable__28[],4,FALSE),"")</f>
        <v/>
      </c>
      <c r="J434" s="4" t="str">
        <f>IFERROR(VLOOKUP(B434,infoTable__10[],4,FALSE),"")</f>
        <v/>
      </c>
      <c r="K434" s="4" t="str">
        <f>IFERROR(VLOOKUP(B434,infoTable__11[],4,FALSE),"")</f>
        <v/>
      </c>
      <c r="L434" s="4" t="str">
        <f>IFERROR(VLOOKUP(B434,infoTable__12[],4,FALSE),"")</f>
        <v/>
      </c>
      <c r="M434" s="4" t="str">
        <f>IFERROR(VLOOKUP(B434,infoTable__13[],4,FALSE),"")</f>
        <v/>
      </c>
      <c r="N434" s="4" t="str">
        <f>IFERROR(VLOOKUP(B434,infoTable__14[],4,FALSE),"")</f>
        <v/>
      </c>
      <c r="O434" s="4">
        <f>IFERROR(VLOOKUP(B434,infoTable__15[],4,FALSE),"")</f>
        <v>971906</v>
      </c>
      <c r="P434" s="4">
        <f>IFERROR(VLOOKUP(B434,infoTable__16[],4,FALSE),"")</f>
        <v>3109505</v>
      </c>
    </row>
    <row r="435" spans="1:16" x14ac:dyDescent="0.55000000000000004">
      <c r="A435" t="s">
        <v>1337</v>
      </c>
      <c r="B435" t="s">
        <v>1338</v>
      </c>
      <c r="C435" s="4" t="str">
        <f>IFERROR(VLOOKUP(B435,infoTable10[],4,FALSE),"")</f>
        <v/>
      </c>
      <c r="D435" s="4" t="str">
        <f>IFERROR(VLOOKUP(B435,infoTable__2[],4,FALSE),"")</f>
        <v/>
      </c>
      <c r="E435" s="4" t="str">
        <f>IFERROR(VLOOKUP(B435,infoTable__3[],4,FALSE),"")</f>
        <v/>
      </c>
      <c r="F435" s="4" t="str">
        <f>IFERROR(VLOOKUP(B435,infoTable__4[],4,FALSE),"")</f>
        <v/>
      </c>
      <c r="G435" s="4" t="str">
        <f>IFERROR(VLOOKUP(B435,infoTable[],4,FALSE),"")</f>
        <v/>
      </c>
      <c r="H435" s="4" t="str">
        <f>IFERROR(VLOOKUP(B435,infoTable__6[],4,FALSE),"")</f>
        <v/>
      </c>
      <c r="I435" s="4">
        <f>IFERROR(VLOOKUP(B435,infoTable__28[],4,FALSE),"")</f>
        <v>666252</v>
      </c>
      <c r="J435" s="4">
        <f>IFERROR(VLOOKUP(B435,infoTable__10[],4,FALSE),"")</f>
        <v>213654</v>
      </c>
      <c r="K435" s="4" t="str">
        <f>IFERROR(VLOOKUP(B435,infoTable__11[],4,FALSE),"")</f>
        <v/>
      </c>
      <c r="L435" s="4">
        <f>IFERROR(VLOOKUP(B435,infoTable__12[],4,FALSE),"")</f>
        <v>7542721</v>
      </c>
      <c r="M435" s="4">
        <f>IFERROR(VLOOKUP(B435,infoTable__13[],4,FALSE),"")</f>
        <v>8450300</v>
      </c>
      <c r="N435" s="4">
        <f>IFERROR(VLOOKUP(B435,infoTable__14[],4,FALSE),"")</f>
        <v>1945139</v>
      </c>
      <c r="O435" s="4">
        <f>IFERROR(VLOOKUP(B435,infoTable__15[],4,FALSE),"")</f>
        <v>213147</v>
      </c>
      <c r="P435" s="4">
        <f>IFERROR(VLOOKUP(B435,infoTable__16[],4,FALSE),"")</f>
        <v>3261090</v>
      </c>
    </row>
    <row r="436" spans="1:16" x14ac:dyDescent="0.55000000000000004">
      <c r="A436" t="s">
        <v>2257</v>
      </c>
      <c r="B436" t="s">
        <v>2258</v>
      </c>
      <c r="C436" s="4" t="str">
        <f>IFERROR(VLOOKUP(B436,infoTable10[],4,FALSE),"")</f>
        <v/>
      </c>
      <c r="D436" s="4" t="str">
        <f>IFERROR(VLOOKUP(B436,infoTable__2[],4,FALSE),"")</f>
        <v/>
      </c>
      <c r="E436" s="4" t="str">
        <f>IFERROR(VLOOKUP(B436,infoTable__3[],4,FALSE),"")</f>
        <v/>
      </c>
      <c r="F436" s="4" t="str">
        <f>IFERROR(VLOOKUP(B436,infoTable__4[],4,FALSE),"")</f>
        <v/>
      </c>
      <c r="G436" s="4" t="str">
        <f>IFERROR(VLOOKUP(B436,infoTable[],4,FALSE),"")</f>
        <v/>
      </c>
      <c r="H436" s="4" t="str">
        <f>IFERROR(VLOOKUP(B436,infoTable__6[],4,FALSE),"")</f>
        <v/>
      </c>
      <c r="I436" s="4" t="str">
        <f>IFERROR(VLOOKUP(B436,infoTable__28[],4,FALSE),"")</f>
        <v/>
      </c>
      <c r="J436" s="4" t="str">
        <f>IFERROR(VLOOKUP(B436,infoTable__10[],4,FALSE),"")</f>
        <v/>
      </c>
      <c r="K436" s="4" t="str">
        <f>IFERROR(VLOOKUP(B436,infoTable__11[],4,FALSE),"")</f>
        <v/>
      </c>
      <c r="L436" s="4">
        <f>IFERROR(VLOOKUP(B436,infoTable__12[],4,FALSE),"")</f>
        <v>2521020</v>
      </c>
      <c r="M436" s="4" t="str">
        <f>IFERROR(VLOOKUP(B436,infoTable__13[],4,FALSE),"")</f>
        <v/>
      </c>
      <c r="N436" s="4" t="str">
        <f>IFERROR(VLOOKUP(B436,infoTable__14[],4,FALSE),"")</f>
        <v/>
      </c>
      <c r="O436" s="4">
        <f>IFERROR(VLOOKUP(B436,infoTable__15[],4,FALSE),"")</f>
        <v>296360</v>
      </c>
      <c r="P436" s="4">
        <f>IFERROR(VLOOKUP(B436,infoTable__16[],4,FALSE),"")</f>
        <v>1345444</v>
      </c>
    </row>
    <row r="437" spans="1:16" x14ac:dyDescent="0.55000000000000004">
      <c r="A437" t="s">
        <v>298</v>
      </c>
      <c r="B437" t="s">
        <v>299</v>
      </c>
      <c r="C437" s="4" t="str">
        <f>IFERROR(VLOOKUP(B437,infoTable10[],4,FALSE),"")</f>
        <v/>
      </c>
      <c r="D437" s="4">
        <f>IFERROR(VLOOKUP(B437,infoTable__2[],4,FALSE),"")</f>
        <v>1639580</v>
      </c>
      <c r="E437" s="4">
        <f>IFERROR(VLOOKUP(B437,infoTable__3[],4,FALSE),"")</f>
        <v>4288231</v>
      </c>
      <c r="F437" s="4">
        <f>IFERROR(VLOOKUP(B437,infoTable__4[],4,FALSE),"")</f>
        <v>1939764</v>
      </c>
      <c r="G437" s="4">
        <f>IFERROR(VLOOKUP(B437,infoTable[],4,FALSE),"")</f>
        <v>1361554</v>
      </c>
      <c r="H437" s="4" t="str">
        <f>IFERROR(VLOOKUP(B437,infoTable__6[],4,FALSE),"")</f>
        <v/>
      </c>
      <c r="I437" s="4" t="str">
        <f>IFERROR(VLOOKUP(B437,infoTable__28[],4,FALSE),"")</f>
        <v/>
      </c>
      <c r="J437" s="4" t="str">
        <f>IFERROR(VLOOKUP(B437,infoTable__10[],4,FALSE),"")</f>
        <v/>
      </c>
      <c r="K437" s="4" t="str">
        <f>IFERROR(VLOOKUP(B437,infoTable__11[],4,FALSE),"")</f>
        <v/>
      </c>
      <c r="L437" s="4" t="str">
        <f>IFERROR(VLOOKUP(B437,infoTable__12[],4,FALSE),"")</f>
        <v/>
      </c>
      <c r="M437" s="4" t="str">
        <f>IFERROR(VLOOKUP(B437,infoTable__13[],4,FALSE),"")</f>
        <v/>
      </c>
      <c r="N437" s="4">
        <f>IFERROR(VLOOKUP(B437,infoTable__14[],4,FALSE),"")</f>
        <v>182422</v>
      </c>
      <c r="O437" s="4" t="str">
        <f>IFERROR(VLOOKUP(B437,infoTable__15[],4,FALSE),"")</f>
        <v/>
      </c>
      <c r="P437" s="4" t="str">
        <f>IFERROR(VLOOKUP(B437,infoTable__16[],4,FALSE),"")</f>
        <v/>
      </c>
    </row>
    <row r="438" spans="1:16" x14ac:dyDescent="0.55000000000000004">
      <c r="A438" t="s">
        <v>1705</v>
      </c>
      <c r="B438" t="s">
        <v>1706</v>
      </c>
      <c r="C438" s="4" t="str">
        <f>IFERROR(VLOOKUP(B438,infoTable10[],4,FALSE),"")</f>
        <v/>
      </c>
      <c r="D438" s="4" t="str">
        <f>IFERROR(VLOOKUP(B438,infoTable__2[],4,FALSE),"")</f>
        <v/>
      </c>
      <c r="E438" s="4" t="str">
        <f>IFERROR(VLOOKUP(B438,infoTable__3[],4,FALSE),"")</f>
        <v/>
      </c>
      <c r="F438" s="4" t="str">
        <f>IFERROR(VLOOKUP(B438,infoTable__4[],4,FALSE),"")</f>
        <v/>
      </c>
      <c r="G438" s="4" t="str">
        <f>IFERROR(VLOOKUP(B438,infoTable[],4,FALSE),"")</f>
        <v/>
      </c>
      <c r="H438" s="4" t="str">
        <f>IFERROR(VLOOKUP(B438,infoTable__6[],4,FALSE),"")</f>
        <v/>
      </c>
      <c r="I438" s="4" t="str">
        <f>IFERROR(VLOOKUP(B438,infoTable__28[],4,FALSE),"")</f>
        <v/>
      </c>
      <c r="J438" s="4">
        <f>IFERROR(VLOOKUP(B438,infoTable__10[],4,FALSE),"")</f>
        <v>1159786</v>
      </c>
      <c r="K438" s="4">
        <f>IFERROR(VLOOKUP(B438,infoTable__11[],4,FALSE),"")</f>
        <v>1784332</v>
      </c>
      <c r="L438" s="4">
        <f>IFERROR(VLOOKUP(B438,infoTable__12[],4,FALSE),"")</f>
        <v>232838</v>
      </c>
      <c r="M438" s="4" t="str">
        <f>IFERROR(VLOOKUP(B438,infoTable__13[],4,FALSE),"")</f>
        <v/>
      </c>
      <c r="N438" s="4" t="str">
        <f>IFERROR(VLOOKUP(B438,infoTable__14[],4,FALSE),"")</f>
        <v/>
      </c>
      <c r="O438" s="4" t="str">
        <f>IFERROR(VLOOKUP(B438,infoTable__15[],4,FALSE),"")</f>
        <v/>
      </c>
      <c r="P438" s="4" t="str">
        <f>IFERROR(VLOOKUP(B438,infoTable__16[],4,FALSE),"")</f>
        <v/>
      </c>
    </row>
    <row r="439" spans="1:16" x14ac:dyDescent="0.55000000000000004">
      <c r="A439" t="s">
        <v>2262</v>
      </c>
      <c r="B439" t="s">
        <v>2263</v>
      </c>
      <c r="C439" s="4" t="str">
        <f>IFERROR(VLOOKUP(B439,infoTable10[],4,FALSE),"")</f>
        <v/>
      </c>
      <c r="D439" s="4" t="str">
        <f>IFERROR(VLOOKUP(B439,infoTable__2[],4,FALSE),"")</f>
        <v/>
      </c>
      <c r="E439" s="4" t="str">
        <f>IFERROR(VLOOKUP(B439,infoTable__3[],4,FALSE),"")</f>
        <v/>
      </c>
      <c r="F439" s="4" t="str">
        <f>IFERROR(VLOOKUP(B439,infoTable__4[],4,FALSE),"")</f>
        <v/>
      </c>
      <c r="G439" s="4" t="str">
        <f>IFERROR(VLOOKUP(B439,infoTable[],4,FALSE),"")</f>
        <v/>
      </c>
      <c r="H439" s="4" t="str">
        <f>IFERROR(VLOOKUP(B439,infoTable__6[],4,FALSE),"")</f>
        <v/>
      </c>
      <c r="I439" s="4" t="str">
        <f>IFERROR(VLOOKUP(B439,infoTable__28[],4,FALSE),"")</f>
        <v/>
      </c>
      <c r="J439" s="4" t="str">
        <f>IFERROR(VLOOKUP(B439,infoTable__10[],4,FALSE),"")</f>
        <v/>
      </c>
      <c r="K439" s="4" t="str">
        <f>IFERROR(VLOOKUP(B439,infoTable__11[],4,FALSE),"")</f>
        <v/>
      </c>
      <c r="L439" s="4">
        <f>IFERROR(VLOOKUP(B439,infoTable__12[],4,FALSE),"")</f>
        <v>643146</v>
      </c>
      <c r="M439" s="4">
        <f>IFERROR(VLOOKUP(B439,infoTable__13[],4,FALSE),"")</f>
        <v>311588</v>
      </c>
      <c r="N439" s="4" t="str">
        <f>IFERROR(VLOOKUP(B439,infoTable__14[],4,FALSE),"")</f>
        <v/>
      </c>
      <c r="O439" s="4" t="str">
        <f>IFERROR(VLOOKUP(B439,infoTable__15[],4,FALSE),"")</f>
        <v/>
      </c>
      <c r="P439" s="4" t="str">
        <f>IFERROR(VLOOKUP(B439,infoTable__16[],4,FALSE),"")</f>
        <v/>
      </c>
    </row>
    <row r="440" spans="1:16" x14ac:dyDescent="0.55000000000000004">
      <c r="A440" t="s">
        <v>2525</v>
      </c>
      <c r="B440" t="s">
        <v>2526</v>
      </c>
      <c r="C440" s="4" t="str">
        <f>IFERROR(VLOOKUP(B440,infoTable10[],4,FALSE),"")</f>
        <v/>
      </c>
      <c r="D440" s="4" t="str">
        <f>IFERROR(VLOOKUP(B440,infoTable__2[],4,FALSE),"")</f>
        <v/>
      </c>
      <c r="E440" s="4" t="str">
        <f>IFERROR(VLOOKUP(B440,infoTable__3[],4,FALSE),"")</f>
        <v/>
      </c>
      <c r="F440" s="4" t="str">
        <f>IFERROR(VLOOKUP(B440,infoTable__4[],4,FALSE),"")</f>
        <v/>
      </c>
      <c r="G440" s="4" t="str">
        <f>IFERROR(VLOOKUP(B440,infoTable[],4,FALSE),"")</f>
        <v/>
      </c>
      <c r="H440" s="4" t="str">
        <f>IFERROR(VLOOKUP(B440,infoTable__6[],4,FALSE),"")</f>
        <v/>
      </c>
      <c r="I440" s="4" t="str">
        <f>IFERROR(VLOOKUP(B440,infoTable__28[],4,FALSE),"")</f>
        <v/>
      </c>
      <c r="J440" s="4" t="str">
        <f>IFERROR(VLOOKUP(B440,infoTable__10[],4,FALSE),"")</f>
        <v/>
      </c>
      <c r="K440" s="4" t="str">
        <f>IFERROR(VLOOKUP(B440,infoTable__11[],4,FALSE),"")</f>
        <v/>
      </c>
      <c r="L440" s="4" t="str">
        <f>IFERROR(VLOOKUP(B440,infoTable__12[],4,FALSE),"")</f>
        <v/>
      </c>
      <c r="M440" s="4">
        <f>IFERROR(VLOOKUP(B440,infoTable__13[],4,FALSE),"")</f>
        <v>763272</v>
      </c>
      <c r="N440" s="4">
        <f>IFERROR(VLOOKUP(B440,infoTable__14[],4,FALSE),"")</f>
        <v>7500947</v>
      </c>
      <c r="O440" s="4">
        <f>IFERROR(VLOOKUP(B440,infoTable__15[],4,FALSE),"")</f>
        <v>7997211</v>
      </c>
      <c r="P440" s="4" t="str">
        <f>IFERROR(VLOOKUP(B440,infoTable__16[],4,FALSE),"")</f>
        <v/>
      </c>
    </row>
    <row r="441" spans="1:16" x14ac:dyDescent="0.55000000000000004">
      <c r="A441" t="s">
        <v>2264</v>
      </c>
      <c r="B441" t="s">
        <v>2265</v>
      </c>
      <c r="C441" s="4" t="str">
        <f>IFERROR(VLOOKUP(B441,infoTable10[],4,FALSE),"")</f>
        <v/>
      </c>
      <c r="D441" s="4" t="str">
        <f>IFERROR(VLOOKUP(B441,infoTable__2[],4,FALSE),"")</f>
        <v/>
      </c>
      <c r="E441" s="4" t="str">
        <f>IFERROR(VLOOKUP(B441,infoTable__3[],4,FALSE),"")</f>
        <v/>
      </c>
      <c r="F441" s="4" t="str">
        <f>IFERROR(VLOOKUP(B441,infoTable__4[],4,FALSE),"")</f>
        <v/>
      </c>
      <c r="G441" s="4" t="str">
        <f>IFERROR(VLOOKUP(B441,infoTable[],4,FALSE),"")</f>
        <v/>
      </c>
      <c r="H441" s="4" t="str">
        <f>IFERROR(VLOOKUP(B441,infoTable__6[],4,FALSE),"")</f>
        <v/>
      </c>
      <c r="I441" s="4" t="str">
        <f>IFERROR(VLOOKUP(B441,infoTable__28[],4,FALSE),"")</f>
        <v/>
      </c>
      <c r="J441" s="4" t="str">
        <f>IFERROR(VLOOKUP(B441,infoTable__10[],4,FALSE),"")</f>
        <v/>
      </c>
      <c r="K441" s="4" t="str">
        <f>IFERROR(VLOOKUP(B441,infoTable__11[],4,FALSE),"")</f>
        <v/>
      </c>
      <c r="L441" s="4">
        <f>IFERROR(VLOOKUP(B441,infoTable__12[],4,FALSE),"")</f>
        <v>251777</v>
      </c>
      <c r="M441" s="4">
        <f>IFERROR(VLOOKUP(B441,infoTable__13[],4,FALSE),"")</f>
        <v>2254802</v>
      </c>
      <c r="N441" s="4">
        <f>IFERROR(VLOOKUP(B441,infoTable__14[],4,FALSE),"")</f>
        <v>529995</v>
      </c>
      <c r="O441" s="4">
        <f>IFERROR(VLOOKUP(B441,infoTable__15[],4,FALSE),"")</f>
        <v>580459</v>
      </c>
      <c r="P441" s="4">
        <f>IFERROR(VLOOKUP(B441,infoTable__16[],4,FALSE),"")</f>
        <v>208017</v>
      </c>
    </row>
    <row r="442" spans="1:16" x14ac:dyDescent="0.55000000000000004">
      <c r="A442" t="s">
        <v>2710</v>
      </c>
      <c r="B442" t="s">
        <v>2709</v>
      </c>
      <c r="C442" s="4" t="str">
        <f>IFERROR(VLOOKUP(B442,infoTable10[],4,FALSE),"")</f>
        <v/>
      </c>
      <c r="D442" s="4" t="str">
        <f>IFERROR(VLOOKUP(B442,infoTable__2[],4,FALSE),"")</f>
        <v/>
      </c>
      <c r="E442" s="4" t="str">
        <f>IFERROR(VLOOKUP(B442,infoTable__3[],4,FALSE),"")</f>
        <v/>
      </c>
      <c r="F442" s="4" t="str">
        <f>IFERROR(VLOOKUP(B442,infoTable__4[],4,FALSE),"")</f>
        <v/>
      </c>
      <c r="G442" s="4" t="str">
        <f>IFERROR(VLOOKUP(B442,infoTable[],4,FALSE),"")</f>
        <v/>
      </c>
      <c r="H442" s="4" t="str">
        <f>IFERROR(VLOOKUP(B442,infoTable__6[],4,FALSE),"")</f>
        <v/>
      </c>
      <c r="I442" s="4" t="str">
        <f>IFERROR(VLOOKUP(B442,infoTable__28[],4,FALSE),"")</f>
        <v/>
      </c>
      <c r="J442" s="4" t="str">
        <f>IFERROR(VLOOKUP(B442,infoTable__10[],4,FALSE),"")</f>
        <v/>
      </c>
      <c r="K442" s="4" t="str">
        <f>IFERROR(VLOOKUP(B442,infoTable__11[],4,FALSE),"")</f>
        <v/>
      </c>
      <c r="L442" s="4" t="str">
        <f>IFERROR(VLOOKUP(B442,infoTable__12[],4,FALSE),"")</f>
        <v/>
      </c>
      <c r="M442" s="4" t="str">
        <f>IFERROR(VLOOKUP(B442,infoTable__13[],4,FALSE),"")</f>
        <v/>
      </c>
      <c r="N442" s="4">
        <f>IFERROR(VLOOKUP(B442,infoTable__14[],4,FALSE),"")</f>
        <v>1412226</v>
      </c>
      <c r="O442" s="4">
        <f>IFERROR(VLOOKUP(B442,infoTable__15[],4,FALSE),"")</f>
        <v>3001930</v>
      </c>
      <c r="P442" s="4">
        <f>IFERROR(VLOOKUP(B442,infoTable__16[],4,FALSE),"")</f>
        <v>1162438</v>
      </c>
    </row>
    <row r="443" spans="1:16" x14ac:dyDescent="0.55000000000000004">
      <c r="A443" t="s">
        <v>1707</v>
      </c>
      <c r="B443" t="s">
        <v>1708</v>
      </c>
      <c r="C443" s="4" t="str">
        <f>IFERROR(VLOOKUP(B443,infoTable10[],4,FALSE),"")</f>
        <v/>
      </c>
      <c r="D443" s="4" t="str">
        <f>IFERROR(VLOOKUP(B443,infoTable__2[],4,FALSE),"")</f>
        <v/>
      </c>
      <c r="E443" s="4" t="str">
        <f>IFERROR(VLOOKUP(B443,infoTable__3[],4,FALSE),"")</f>
        <v/>
      </c>
      <c r="F443" s="4" t="str">
        <f>IFERROR(VLOOKUP(B443,infoTable__4[],4,FALSE),"")</f>
        <v/>
      </c>
      <c r="G443" s="4" t="str">
        <f>IFERROR(VLOOKUP(B443,infoTable[],4,FALSE),"")</f>
        <v/>
      </c>
      <c r="H443" s="4" t="str">
        <f>IFERROR(VLOOKUP(B443,infoTable__6[],4,FALSE),"")</f>
        <v/>
      </c>
      <c r="I443" s="4" t="str">
        <f>IFERROR(VLOOKUP(B443,infoTable__28[],4,FALSE),"")</f>
        <v/>
      </c>
      <c r="J443" s="4">
        <f>IFERROR(VLOOKUP(B443,infoTable__10[],4,FALSE),"")</f>
        <v>206688</v>
      </c>
      <c r="K443" s="4">
        <f>IFERROR(VLOOKUP(B443,infoTable__11[],4,FALSE),"")</f>
        <v>1602183</v>
      </c>
      <c r="L443" s="4">
        <f>IFERROR(VLOOKUP(B443,infoTable__12[],4,FALSE),"")</f>
        <v>4587179</v>
      </c>
      <c r="M443" s="4">
        <f>IFERROR(VLOOKUP(B443,infoTable__13[],4,FALSE),"")</f>
        <v>2784874</v>
      </c>
      <c r="N443" s="4">
        <f>IFERROR(VLOOKUP(B443,infoTable__14[],4,FALSE),"")</f>
        <v>2390022</v>
      </c>
      <c r="O443" s="4">
        <f>IFERROR(VLOOKUP(B443,infoTable__15[],4,FALSE),"")</f>
        <v>2321276</v>
      </c>
      <c r="P443" s="4">
        <f>IFERROR(VLOOKUP(B443,infoTable__16[],4,FALSE),"")</f>
        <v>2889241</v>
      </c>
    </row>
    <row r="444" spans="1:16" x14ac:dyDescent="0.55000000000000004">
      <c r="A444" t="s">
        <v>300</v>
      </c>
      <c r="B444" t="s">
        <v>301</v>
      </c>
      <c r="C444" s="4" t="str">
        <f>IFERROR(VLOOKUP(B444,infoTable10[],4,FALSE),"")</f>
        <v/>
      </c>
      <c r="D444" s="4" t="str">
        <f>IFERROR(VLOOKUP(B444,infoTable__2[],4,FALSE),"")</f>
        <v/>
      </c>
      <c r="E444" s="4" t="str">
        <f>IFERROR(VLOOKUP(B444,infoTable__3[],4,FALSE),"")</f>
        <v/>
      </c>
      <c r="F444" s="4" t="str">
        <f>IFERROR(VLOOKUP(B444,infoTable__4[],4,FALSE),"")</f>
        <v/>
      </c>
      <c r="G444" s="4">
        <f>IFERROR(VLOOKUP(B444,infoTable[],4,FALSE),"")</f>
        <v>290299</v>
      </c>
      <c r="H444" s="4" t="str">
        <f>IFERROR(VLOOKUP(B444,infoTable__6[],4,FALSE),"")</f>
        <v/>
      </c>
      <c r="I444" s="4" t="str">
        <f>IFERROR(VLOOKUP(B444,infoTable__28[],4,FALSE),"")</f>
        <v/>
      </c>
      <c r="J444" s="4" t="str">
        <f>IFERROR(VLOOKUP(B444,infoTable__10[],4,FALSE),"")</f>
        <v/>
      </c>
      <c r="K444" s="4" t="str">
        <f>IFERROR(VLOOKUP(B444,infoTable__11[],4,FALSE),"")</f>
        <v/>
      </c>
      <c r="L444" s="4" t="str">
        <f>IFERROR(VLOOKUP(B444,infoTable__12[],4,FALSE),"")</f>
        <v/>
      </c>
      <c r="M444" s="4" t="str">
        <f>IFERROR(VLOOKUP(B444,infoTable__13[],4,FALSE),"")</f>
        <v/>
      </c>
      <c r="N444" s="4" t="str">
        <f>IFERROR(VLOOKUP(B444,infoTable__14[],4,FALSE),"")</f>
        <v/>
      </c>
      <c r="O444" s="4" t="str">
        <f>IFERROR(VLOOKUP(B444,infoTable__15[],4,FALSE),"")</f>
        <v/>
      </c>
      <c r="P444" s="4" t="str">
        <f>IFERROR(VLOOKUP(B444,infoTable__16[],4,FALSE),"")</f>
        <v/>
      </c>
    </row>
    <row r="445" spans="1:16" x14ac:dyDescent="0.55000000000000004">
      <c r="A445" t="s">
        <v>1339</v>
      </c>
      <c r="B445" t="s">
        <v>1340</v>
      </c>
      <c r="C445" s="4" t="str">
        <f>IFERROR(VLOOKUP(B445,infoTable10[],4,FALSE),"")</f>
        <v/>
      </c>
      <c r="D445" s="4" t="str">
        <f>IFERROR(VLOOKUP(B445,infoTable__2[],4,FALSE),"")</f>
        <v/>
      </c>
      <c r="E445" s="4" t="str">
        <f>IFERROR(VLOOKUP(B445,infoTable__3[],4,FALSE),"")</f>
        <v/>
      </c>
      <c r="F445" s="4" t="str">
        <f>IFERROR(VLOOKUP(B445,infoTable__4[],4,FALSE),"")</f>
        <v/>
      </c>
      <c r="G445" s="4" t="str">
        <f>IFERROR(VLOOKUP(B445,infoTable[],4,FALSE),"")</f>
        <v/>
      </c>
      <c r="H445" s="4" t="str">
        <f>IFERROR(VLOOKUP(B445,infoTable__6[],4,FALSE),"")</f>
        <v/>
      </c>
      <c r="I445" s="4">
        <f>IFERROR(VLOOKUP(B445,infoTable__28[],4,FALSE),"")</f>
        <v>422183</v>
      </c>
      <c r="J445" s="4">
        <f>IFERROR(VLOOKUP(B445,infoTable__10[],4,FALSE),"")</f>
        <v>256540</v>
      </c>
      <c r="K445" s="4">
        <f>IFERROR(VLOOKUP(B445,infoTable__11[],4,FALSE),"")</f>
        <v>283716</v>
      </c>
      <c r="L445" s="4" t="str">
        <f>IFERROR(VLOOKUP(B445,infoTable__12[],4,FALSE),"")</f>
        <v/>
      </c>
      <c r="M445" s="4" t="str">
        <f>IFERROR(VLOOKUP(B445,infoTable__13[],4,FALSE),"")</f>
        <v/>
      </c>
      <c r="N445" s="4" t="str">
        <f>IFERROR(VLOOKUP(B445,infoTable__14[],4,FALSE),"")</f>
        <v/>
      </c>
      <c r="O445" s="4" t="str">
        <f>IFERROR(VLOOKUP(B445,infoTable__15[],4,FALSE),"")</f>
        <v/>
      </c>
      <c r="P445" s="4">
        <f>IFERROR(VLOOKUP(B445,infoTable__16[],4,FALSE),"")</f>
        <v>2611885</v>
      </c>
    </row>
    <row r="446" spans="1:16" x14ac:dyDescent="0.55000000000000004">
      <c r="A446" t="s">
        <v>2266</v>
      </c>
      <c r="B446" t="s">
        <v>2267</v>
      </c>
      <c r="C446" s="4" t="str">
        <f>IFERROR(VLOOKUP(B446,infoTable10[],4,FALSE),"")</f>
        <v/>
      </c>
      <c r="D446" s="4" t="str">
        <f>IFERROR(VLOOKUP(B446,infoTable__2[],4,FALSE),"")</f>
        <v/>
      </c>
      <c r="E446" s="4" t="str">
        <f>IFERROR(VLOOKUP(B446,infoTable__3[],4,FALSE),"")</f>
        <v/>
      </c>
      <c r="F446" s="4" t="str">
        <f>IFERROR(VLOOKUP(B446,infoTable__4[],4,FALSE),"")</f>
        <v/>
      </c>
      <c r="G446" s="4" t="str">
        <f>IFERROR(VLOOKUP(B446,infoTable[],4,FALSE),"")</f>
        <v/>
      </c>
      <c r="H446" s="4" t="str">
        <f>IFERROR(VLOOKUP(B446,infoTable__6[],4,FALSE),"")</f>
        <v/>
      </c>
      <c r="I446" s="4" t="str">
        <f>IFERROR(VLOOKUP(B446,infoTable__28[],4,FALSE),"")</f>
        <v/>
      </c>
      <c r="J446" s="4" t="str">
        <f>IFERROR(VLOOKUP(B446,infoTable__10[],4,FALSE),"")</f>
        <v/>
      </c>
      <c r="K446" s="4" t="str">
        <f>IFERROR(VLOOKUP(B446,infoTable__11[],4,FALSE),"")</f>
        <v/>
      </c>
      <c r="L446" s="4">
        <f>IFERROR(VLOOKUP(B446,infoTable__12[],4,FALSE),"")</f>
        <v>682094</v>
      </c>
      <c r="M446" s="4" t="str">
        <f>IFERROR(VLOOKUP(B446,infoTable__13[],4,FALSE),"")</f>
        <v/>
      </c>
      <c r="N446" s="4" t="str">
        <f>IFERROR(VLOOKUP(B446,infoTable__14[],4,FALSE),"")</f>
        <v/>
      </c>
      <c r="O446" s="4" t="str">
        <f>IFERROR(VLOOKUP(B446,infoTable__15[],4,FALSE),"")</f>
        <v/>
      </c>
      <c r="P446" s="4" t="str">
        <f>IFERROR(VLOOKUP(B446,infoTable__16[],4,FALSE),"")</f>
        <v/>
      </c>
    </row>
    <row r="447" spans="1:16" x14ac:dyDescent="0.55000000000000004">
      <c r="A447" t="s">
        <v>1341</v>
      </c>
      <c r="B447" t="s">
        <v>1342</v>
      </c>
      <c r="C447" s="4" t="str">
        <f>IFERROR(VLOOKUP(B447,infoTable10[],4,FALSE),"")</f>
        <v/>
      </c>
      <c r="D447" s="4" t="str">
        <f>IFERROR(VLOOKUP(B447,infoTable__2[],4,FALSE),"")</f>
        <v/>
      </c>
      <c r="E447" s="4" t="str">
        <f>IFERROR(VLOOKUP(B447,infoTable__3[],4,FALSE),"")</f>
        <v/>
      </c>
      <c r="F447" s="4" t="str">
        <f>IFERROR(VLOOKUP(B447,infoTable__4[],4,FALSE),"")</f>
        <v/>
      </c>
      <c r="G447" s="4" t="str">
        <f>IFERROR(VLOOKUP(B447,infoTable[],4,FALSE),"")</f>
        <v/>
      </c>
      <c r="H447" s="4" t="str">
        <f>IFERROR(VLOOKUP(B447,infoTable__6[],4,FALSE),"")</f>
        <v/>
      </c>
      <c r="I447" s="4">
        <f>IFERROR(VLOOKUP(B447,infoTable__28[],4,FALSE),"")</f>
        <v>372418</v>
      </c>
      <c r="J447" s="4">
        <f>IFERROR(VLOOKUP(B447,infoTable__10[],4,FALSE),"")</f>
        <v>1277926</v>
      </c>
      <c r="K447" s="4">
        <f>IFERROR(VLOOKUP(B447,infoTable__11[],4,FALSE),"")</f>
        <v>556562</v>
      </c>
      <c r="L447" s="4" t="str">
        <f>IFERROR(VLOOKUP(B447,infoTable__12[],4,FALSE),"")</f>
        <v/>
      </c>
      <c r="M447" s="4" t="str">
        <f>IFERROR(VLOOKUP(B447,infoTable__13[],4,FALSE),"")</f>
        <v/>
      </c>
      <c r="N447" s="4" t="str">
        <f>IFERROR(VLOOKUP(B447,infoTable__14[],4,FALSE),"")</f>
        <v/>
      </c>
      <c r="O447" s="4" t="str">
        <f>IFERROR(VLOOKUP(B447,infoTable__15[],4,FALSE),"")</f>
        <v/>
      </c>
      <c r="P447" s="4" t="str">
        <f>IFERROR(VLOOKUP(B447,infoTable__16[],4,FALSE),"")</f>
        <v/>
      </c>
    </row>
    <row r="448" spans="1:16" x14ac:dyDescent="0.55000000000000004">
      <c r="A448" t="s">
        <v>3437</v>
      </c>
      <c r="B448" t="s">
        <v>3438</v>
      </c>
      <c r="C448" s="4" t="str">
        <f>IFERROR(VLOOKUP(B448,infoTable10[],4,FALSE),"")</f>
        <v/>
      </c>
      <c r="D448" s="4" t="str">
        <f>IFERROR(VLOOKUP(B448,infoTable__2[],4,FALSE),"")</f>
        <v/>
      </c>
      <c r="E448" s="4" t="str">
        <f>IFERROR(VLOOKUP(B448,infoTable__3[],4,FALSE),"")</f>
        <v/>
      </c>
      <c r="F448" s="4" t="str">
        <f>IFERROR(VLOOKUP(B448,infoTable__4[],4,FALSE),"")</f>
        <v/>
      </c>
      <c r="G448" s="4" t="str">
        <f>IFERROR(VLOOKUP(B448,infoTable[],4,FALSE),"")</f>
        <v/>
      </c>
      <c r="H448" s="4" t="str">
        <f>IFERROR(VLOOKUP(B448,infoTable__6[],4,FALSE),"")</f>
        <v/>
      </c>
      <c r="I448" s="4" t="str">
        <f>IFERROR(VLOOKUP(B448,infoTable__28[],4,FALSE),"")</f>
        <v/>
      </c>
      <c r="J448" s="4" t="str">
        <f>IFERROR(VLOOKUP(B448,infoTable__10[],4,FALSE),"")</f>
        <v/>
      </c>
      <c r="K448" s="4" t="str">
        <f>IFERROR(VLOOKUP(B448,infoTable__11[],4,FALSE),"")</f>
        <v/>
      </c>
      <c r="L448" s="4" t="str">
        <f>IFERROR(VLOOKUP(B448,infoTable__12[],4,FALSE),"")</f>
        <v/>
      </c>
      <c r="M448" s="4" t="str">
        <f>IFERROR(VLOOKUP(B448,infoTable__13[],4,FALSE),"")</f>
        <v/>
      </c>
      <c r="N448" s="4" t="str">
        <f>IFERROR(VLOOKUP(B448,infoTable__14[],4,FALSE),"")</f>
        <v/>
      </c>
      <c r="O448" s="4" t="str">
        <f>IFERROR(VLOOKUP(B448,infoTable__15[],4,FALSE),"")</f>
        <v/>
      </c>
      <c r="P448" s="4">
        <f>IFERROR(VLOOKUP(B448,infoTable__16[],4,FALSE),"")</f>
        <v>713602</v>
      </c>
    </row>
    <row r="449" spans="1:16" x14ac:dyDescent="0.55000000000000004">
      <c r="A449" t="s">
        <v>2712</v>
      </c>
      <c r="B449" t="s">
        <v>2711</v>
      </c>
      <c r="C449" s="4" t="str">
        <f>IFERROR(VLOOKUP(B449,infoTable10[],4,FALSE),"")</f>
        <v/>
      </c>
      <c r="D449" s="4" t="str">
        <f>IFERROR(VLOOKUP(B449,infoTable__2[],4,FALSE),"")</f>
        <v/>
      </c>
      <c r="E449" s="4" t="str">
        <f>IFERROR(VLOOKUP(B449,infoTable__3[],4,FALSE),"")</f>
        <v/>
      </c>
      <c r="F449" s="4" t="str">
        <f>IFERROR(VLOOKUP(B449,infoTable__4[],4,FALSE),"")</f>
        <v/>
      </c>
      <c r="G449" s="4" t="str">
        <f>IFERROR(VLOOKUP(B449,infoTable[],4,FALSE),"")</f>
        <v/>
      </c>
      <c r="H449" s="4" t="str">
        <f>IFERROR(VLOOKUP(B449,infoTable__6[],4,FALSE),"")</f>
        <v/>
      </c>
      <c r="I449" s="4" t="str">
        <f>IFERROR(VLOOKUP(B449,infoTable__28[],4,FALSE),"")</f>
        <v/>
      </c>
      <c r="J449" s="4" t="str">
        <f>IFERROR(VLOOKUP(B449,infoTable__10[],4,FALSE),"")</f>
        <v/>
      </c>
      <c r="K449" s="4" t="str">
        <f>IFERROR(VLOOKUP(B449,infoTable__11[],4,FALSE),"")</f>
        <v/>
      </c>
      <c r="L449" s="4" t="str">
        <f>IFERROR(VLOOKUP(B449,infoTable__12[],4,FALSE),"")</f>
        <v/>
      </c>
      <c r="M449" s="4" t="str">
        <f>IFERROR(VLOOKUP(B449,infoTable__13[],4,FALSE),"")</f>
        <v/>
      </c>
      <c r="N449" s="4">
        <f>IFERROR(VLOOKUP(B449,infoTable__14[],4,FALSE),"")</f>
        <v>1422841</v>
      </c>
      <c r="O449" s="4">
        <f>IFERROR(VLOOKUP(B449,infoTable__15[],4,FALSE),"")</f>
        <v>1451152</v>
      </c>
      <c r="P449" s="4">
        <f>IFERROR(VLOOKUP(B449,infoTable__16[],4,FALSE),"")</f>
        <v>4659899</v>
      </c>
    </row>
    <row r="450" spans="1:16" x14ac:dyDescent="0.55000000000000004">
      <c r="A450" t="s">
        <v>2268</v>
      </c>
      <c r="B450" t="s">
        <v>2270</v>
      </c>
      <c r="C450" s="4" t="str">
        <f>IFERROR(VLOOKUP(B450,infoTable10[],4,FALSE),"")</f>
        <v/>
      </c>
      <c r="D450" s="4" t="str">
        <f>IFERROR(VLOOKUP(B450,infoTable__2[],4,FALSE),"")</f>
        <v/>
      </c>
      <c r="E450" s="4" t="str">
        <f>IFERROR(VLOOKUP(B450,infoTable__3[],4,FALSE),"")</f>
        <v/>
      </c>
      <c r="F450" s="4" t="str">
        <f>IFERROR(VLOOKUP(B450,infoTable__4[],4,FALSE),"")</f>
        <v/>
      </c>
      <c r="G450" s="4" t="str">
        <f>IFERROR(VLOOKUP(B450,infoTable[],4,FALSE),"")</f>
        <v/>
      </c>
      <c r="H450" s="4" t="str">
        <f>IFERROR(VLOOKUP(B450,infoTable__6[],4,FALSE),"")</f>
        <v/>
      </c>
      <c r="I450" s="4" t="str">
        <f>IFERROR(VLOOKUP(B450,infoTable__28[],4,FALSE),"")</f>
        <v/>
      </c>
      <c r="J450" s="4" t="str">
        <f>IFERROR(VLOOKUP(B450,infoTable__10[],4,FALSE),"")</f>
        <v/>
      </c>
      <c r="K450" s="4" t="str">
        <f>IFERROR(VLOOKUP(B450,infoTable__11[],4,FALSE),"")</f>
        <v/>
      </c>
      <c r="L450" s="4">
        <f>IFERROR(VLOOKUP(B450,infoTable__12[],4,FALSE),"")</f>
        <v>57485</v>
      </c>
      <c r="M450" s="4" t="str">
        <f>IFERROR(VLOOKUP(B450,infoTable__13[],4,FALSE),"")</f>
        <v/>
      </c>
      <c r="N450" s="4">
        <f>IFERROR(VLOOKUP(B450,infoTable__14[],4,FALSE),"")</f>
        <v>390935</v>
      </c>
      <c r="O450" s="4">
        <f>IFERROR(VLOOKUP(B450,infoTable__15[],4,FALSE),"")</f>
        <v>846576</v>
      </c>
      <c r="P450" s="4">
        <f>IFERROR(VLOOKUP(B450,infoTable__16[],4,FALSE),"")</f>
        <v>864286</v>
      </c>
    </row>
    <row r="451" spans="1:16" x14ac:dyDescent="0.55000000000000004">
      <c r="A451" t="s">
        <v>1343</v>
      </c>
      <c r="B451" t="s">
        <v>1344</v>
      </c>
      <c r="C451" s="4" t="str">
        <f>IFERROR(VLOOKUP(B451,infoTable10[],4,FALSE),"")</f>
        <v/>
      </c>
      <c r="D451" s="4" t="str">
        <f>IFERROR(VLOOKUP(B451,infoTable__2[],4,FALSE),"")</f>
        <v/>
      </c>
      <c r="E451" s="4" t="str">
        <f>IFERROR(VLOOKUP(B451,infoTable__3[],4,FALSE),"")</f>
        <v/>
      </c>
      <c r="F451" s="4" t="str">
        <f>IFERROR(VLOOKUP(B451,infoTable__4[],4,FALSE),"")</f>
        <v/>
      </c>
      <c r="G451" s="4" t="str">
        <f>IFERROR(VLOOKUP(B451,infoTable[],4,FALSE),"")</f>
        <v/>
      </c>
      <c r="H451" s="4" t="str">
        <f>IFERROR(VLOOKUP(B451,infoTable__6[],4,FALSE),"")</f>
        <v/>
      </c>
      <c r="I451" s="4">
        <f>IFERROR(VLOOKUP(B451,infoTable__28[],4,FALSE),"")</f>
        <v>356177</v>
      </c>
      <c r="J451" s="4">
        <f>IFERROR(VLOOKUP(B451,infoTable__10[],4,FALSE),"")</f>
        <v>446119</v>
      </c>
      <c r="K451" s="4">
        <f>IFERROR(VLOOKUP(B451,infoTable__11[],4,FALSE),"")</f>
        <v>409706</v>
      </c>
      <c r="L451" s="4">
        <f>IFERROR(VLOOKUP(B451,infoTable__12[],4,FALSE),"")</f>
        <v>313430</v>
      </c>
      <c r="M451" s="4" t="str">
        <f>IFERROR(VLOOKUP(B451,infoTable__13[],4,FALSE),"")</f>
        <v/>
      </c>
      <c r="N451" s="4" t="str">
        <f>IFERROR(VLOOKUP(B451,infoTable__14[],4,FALSE),"")</f>
        <v/>
      </c>
      <c r="O451" s="4" t="str">
        <f>IFERROR(VLOOKUP(B451,infoTable__15[],4,FALSE),"")</f>
        <v/>
      </c>
      <c r="P451" s="4" t="str">
        <f>IFERROR(VLOOKUP(B451,infoTable__16[],4,FALSE),"")</f>
        <v/>
      </c>
    </row>
    <row r="452" spans="1:16" x14ac:dyDescent="0.55000000000000004">
      <c r="A452" t="s">
        <v>308</v>
      </c>
      <c r="B452" t="s">
        <v>309</v>
      </c>
      <c r="C452" s="4" t="str">
        <f>IFERROR(VLOOKUP(B452,infoTable10[],4,FALSE),"")</f>
        <v/>
      </c>
      <c r="D452" s="4" t="str">
        <f>IFERROR(VLOOKUP(B452,infoTable__2[],4,FALSE),"")</f>
        <v/>
      </c>
      <c r="E452" s="4" t="str">
        <f>IFERROR(VLOOKUP(B452,infoTable__3[],4,FALSE),"")</f>
        <v/>
      </c>
      <c r="F452" s="4">
        <f>IFERROR(VLOOKUP(B452,infoTable__4[],4,FALSE),"")</f>
        <v>4507163</v>
      </c>
      <c r="G452" s="4">
        <f>IFERROR(VLOOKUP(B452,infoTable[],4,FALSE),"")</f>
        <v>3402726</v>
      </c>
      <c r="H452" s="4">
        <f>IFERROR(VLOOKUP(B452,infoTable__6[],4,FALSE),"")</f>
        <v>1954269</v>
      </c>
      <c r="I452" s="4">
        <f>IFERROR(VLOOKUP(B452,infoTable__28[],4,FALSE),"")</f>
        <v>2625257</v>
      </c>
      <c r="J452" s="4">
        <f>IFERROR(VLOOKUP(B452,infoTable__10[],4,FALSE),"")</f>
        <v>2444732</v>
      </c>
      <c r="K452" s="4">
        <f>IFERROR(VLOOKUP(B452,infoTable__11[],4,FALSE),"")</f>
        <v>1217695</v>
      </c>
      <c r="L452" s="4">
        <f>IFERROR(VLOOKUP(B452,infoTable__12[],4,FALSE),"")</f>
        <v>583687</v>
      </c>
      <c r="M452" s="4" t="str">
        <f>IFERROR(VLOOKUP(B452,infoTable__13[],4,FALSE),"")</f>
        <v/>
      </c>
      <c r="N452" s="4">
        <f>IFERROR(VLOOKUP(B452,infoTable__14[],4,FALSE),"")</f>
        <v>206893</v>
      </c>
      <c r="O452" s="4">
        <f>IFERROR(VLOOKUP(B452,infoTable__15[],4,FALSE),"")</f>
        <v>698242</v>
      </c>
      <c r="P452" s="4" t="str">
        <f>IFERROR(VLOOKUP(B452,infoTable__16[],4,FALSE),"")</f>
        <v/>
      </c>
    </row>
    <row r="453" spans="1:16" x14ac:dyDescent="0.55000000000000004">
      <c r="A453" t="s">
        <v>1951</v>
      </c>
      <c r="B453" t="s">
        <v>1952</v>
      </c>
      <c r="C453" s="4" t="str">
        <f>IFERROR(VLOOKUP(B453,infoTable10[],4,FALSE),"")</f>
        <v/>
      </c>
      <c r="D453" s="4" t="str">
        <f>IFERROR(VLOOKUP(B453,infoTable__2[],4,FALSE),"")</f>
        <v/>
      </c>
      <c r="E453" s="4" t="str">
        <f>IFERROR(VLOOKUP(B453,infoTable__3[],4,FALSE),"")</f>
        <v/>
      </c>
      <c r="F453" s="4" t="str">
        <f>IFERROR(VLOOKUP(B453,infoTable__4[],4,FALSE),"")</f>
        <v/>
      </c>
      <c r="G453" s="4" t="str">
        <f>IFERROR(VLOOKUP(B453,infoTable[],4,FALSE),"")</f>
        <v/>
      </c>
      <c r="H453" s="4" t="str">
        <f>IFERROR(VLOOKUP(B453,infoTable__6[],4,FALSE),"")</f>
        <v/>
      </c>
      <c r="I453" s="4" t="str">
        <f>IFERROR(VLOOKUP(B453,infoTable__28[],4,FALSE),"")</f>
        <v/>
      </c>
      <c r="J453" s="4" t="str">
        <f>IFERROR(VLOOKUP(B453,infoTable__10[],4,FALSE),"")</f>
        <v/>
      </c>
      <c r="K453" s="4">
        <f>IFERROR(VLOOKUP(B453,infoTable__11[],4,FALSE),"")</f>
        <v>539616</v>
      </c>
      <c r="L453" s="4">
        <f>IFERROR(VLOOKUP(B453,infoTable__12[],4,FALSE),"")</f>
        <v>243109</v>
      </c>
      <c r="M453" s="4">
        <f>IFERROR(VLOOKUP(B453,infoTable__13[],4,FALSE),"")</f>
        <v>201390</v>
      </c>
      <c r="N453" s="4">
        <f>IFERROR(VLOOKUP(B453,infoTable__14[],4,FALSE),"")</f>
        <v>203286</v>
      </c>
      <c r="O453" s="4">
        <f>IFERROR(VLOOKUP(B453,infoTable__15[],4,FALSE),"")</f>
        <v>207470</v>
      </c>
      <c r="P453" s="4" t="str">
        <f>IFERROR(VLOOKUP(B453,infoTable__16[],4,FALSE),"")</f>
        <v/>
      </c>
    </row>
    <row r="454" spans="1:16" x14ac:dyDescent="0.55000000000000004">
      <c r="A454" t="s">
        <v>1709</v>
      </c>
      <c r="B454" t="s">
        <v>1710</v>
      </c>
      <c r="C454" s="4" t="str">
        <f>IFERROR(VLOOKUP(B454,infoTable10[],4,FALSE),"")</f>
        <v/>
      </c>
      <c r="D454" s="4" t="str">
        <f>IFERROR(VLOOKUP(B454,infoTable__2[],4,FALSE),"")</f>
        <v/>
      </c>
      <c r="E454" s="4" t="str">
        <f>IFERROR(VLOOKUP(B454,infoTable__3[],4,FALSE),"")</f>
        <v/>
      </c>
      <c r="F454" s="4" t="str">
        <f>IFERROR(VLOOKUP(B454,infoTable__4[],4,FALSE),"")</f>
        <v/>
      </c>
      <c r="G454" s="4" t="str">
        <f>IFERROR(VLOOKUP(B454,infoTable[],4,FALSE),"")</f>
        <v/>
      </c>
      <c r="H454" s="4" t="str">
        <f>IFERROR(VLOOKUP(B454,infoTable__6[],4,FALSE),"")</f>
        <v/>
      </c>
      <c r="I454" s="4" t="str">
        <f>IFERROR(VLOOKUP(B454,infoTable__28[],4,FALSE),"")</f>
        <v/>
      </c>
      <c r="J454" s="4">
        <f>IFERROR(VLOOKUP(B454,infoTable__10[],4,FALSE),"")</f>
        <v>260948</v>
      </c>
      <c r="K454" s="4">
        <f>IFERROR(VLOOKUP(B454,infoTable__11[],4,FALSE),"")</f>
        <v>1764547</v>
      </c>
      <c r="L454" s="4" t="str">
        <f>IFERROR(VLOOKUP(B454,infoTable__12[],4,FALSE),"")</f>
        <v/>
      </c>
      <c r="M454" s="4" t="str">
        <f>IFERROR(VLOOKUP(B454,infoTable__13[],4,FALSE),"")</f>
        <v/>
      </c>
      <c r="N454" s="4" t="str">
        <f>IFERROR(VLOOKUP(B454,infoTable__14[],4,FALSE),"")</f>
        <v/>
      </c>
      <c r="O454" s="4" t="str">
        <f>IFERROR(VLOOKUP(B454,infoTable__15[],4,FALSE),"")</f>
        <v/>
      </c>
      <c r="P454" s="4" t="str">
        <f>IFERROR(VLOOKUP(B454,infoTable__16[],4,FALSE),"")</f>
        <v/>
      </c>
    </row>
    <row r="455" spans="1:16" x14ac:dyDescent="0.55000000000000004">
      <c r="A455" t="s">
        <v>1953</v>
      </c>
      <c r="B455" t="s">
        <v>1954</v>
      </c>
      <c r="C455" s="4" t="str">
        <f>IFERROR(VLOOKUP(B455,infoTable10[],4,FALSE),"")</f>
        <v/>
      </c>
      <c r="D455" s="4" t="str">
        <f>IFERROR(VLOOKUP(B455,infoTable__2[],4,FALSE),"")</f>
        <v/>
      </c>
      <c r="E455" s="4" t="str">
        <f>IFERROR(VLOOKUP(B455,infoTable__3[],4,FALSE),"")</f>
        <v/>
      </c>
      <c r="F455" s="4" t="str">
        <f>IFERROR(VLOOKUP(B455,infoTable__4[],4,FALSE),"")</f>
        <v/>
      </c>
      <c r="G455" s="4" t="str">
        <f>IFERROR(VLOOKUP(B455,infoTable[],4,FALSE),"")</f>
        <v/>
      </c>
      <c r="H455" s="4" t="str">
        <f>IFERROR(VLOOKUP(B455,infoTable__6[],4,FALSE),"")</f>
        <v/>
      </c>
      <c r="I455" s="4" t="str">
        <f>IFERROR(VLOOKUP(B455,infoTable__28[],4,FALSE),"")</f>
        <v/>
      </c>
      <c r="J455" s="4" t="str">
        <f>IFERROR(VLOOKUP(B455,infoTable__10[],4,FALSE),"")</f>
        <v/>
      </c>
      <c r="K455" s="4">
        <f>IFERROR(VLOOKUP(B455,infoTable__11[],4,FALSE),"")</f>
        <v>646581</v>
      </c>
      <c r="L455" s="4">
        <f>IFERROR(VLOOKUP(B455,infoTable__12[],4,FALSE),"")</f>
        <v>1101019</v>
      </c>
      <c r="M455" s="4" t="str">
        <f>IFERROR(VLOOKUP(B455,infoTable__13[],4,FALSE),"")</f>
        <v/>
      </c>
      <c r="N455" s="4">
        <f>IFERROR(VLOOKUP(B455,infoTable__14[],4,FALSE),"")</f>
        <v>3015505</v>
      </c>
      <c r="O455" s="4">
        <f>IFERROR(VLOOKUP(B455,infoTable__15[],4,FALSE),"")</f>
        <v>2656525</v>
      </c>
      <c r="P455" s="4">
        <f>IFERROR(VLOOKUP(B455,infoTable__16[],4,FALSE),"")</f>
        <v>1160853</v>
      </c>
    </row>
    <row r="456" spans="1:16" x14ac:dyDescent="0.55000000000000004">
      <c r="A456" t="s">
        <v>3105</v>
      </c>
      <c r="B456" t="s">
        <v>3106</v>
      </c>
      <c r="C456" s="4" t="str">
        <f>IFERROR(VLOOKUP(B456,infoTable10[],4,FALSE),"")</f>
        <v/>
      </c>
      <c r="D456" s="4" t="str">
        <f>IFERROR(VLOOKUP(B456,infoTable__2[],4,FALSE),"")</f>
        <v/>
      </c>
      <c r="E456" s="4" t="str">
        <f>IFERROR(VLOOKUP(B456,infoTable__3[],4,FALSE),"")</f>
        <v/>
      </c>
      <c r="F456" s="4" t="str">
        <f>IFERROR(VLOOKUP(B456,infoTable__4[],4,FALSE),"")</f>
        <v/>
      </c>
      <c r="G456" s="4" t="str">
        <f>IFERROR(VLOOKUP(B456,infoTable[],4,FALSE),"")</f>
        <v/>
      </c>
      <c r="H456" s="4" t="str">
        <f>IFERROR(VLOOKUP(B456,infoTable__6[],4,FALSE),"")</f>
        <v/>
      </c>
      <c r="I456" s="4" t="str">
        <f>IFERROR(VLOOKUP(B456,infoTable__28[],4,FALSE),"")</f>
        <v/>
      </c>
      <c r="J456" s="4" t="str">
        <f>IFERROR(VLOOKUP(B456,infoTable__10[],4,FALSE),"")</f>
        <v/>
      </c>
      <c r="K456" s="4" t="str">
        <f>IFERROR(VLOOKUP(B456,infoTable__11[],4,FALSE),"")</f>
        <v/>
      </c>
      <c r="L456" s="4" t="str">
        <f>IFERROR(VLOOKUP(B456,infoTable__12[],4,FALSE),"")</f>
        <v/>
      </c>
      <c r="M456" s="4" t="str">
        <f>IFERROR(VLOOKUP(B456,infoTable__13[],4,FALSE),"")</f>
        <v/>
      </c>
      <c r="N456" s="4" t="str">
        <f>IFERROR(VLOOKUP(B456,infoTable__14[],4,FALSE),"")</f>
        <v/>
      </c>
      <c r="O456" s="4">
        <f>IFERROR(VLOOKUP(B456,infoTable__15[],4,FALSE),"")</f>
        <v>55561</v>
      </c>
      <c r="P456" s="4" t="str">
        <f>IFERROR(VLOOKUP(B456,infoTable__16[],4,FALSE),"")</f>
        <v/>
      </c>
    </row>
    <row r="457" spans="1:16" x14ac:dyDescent="0.55000000000000004">
      <c r="A457" t="s">
        <v>1711</v>
      </c>
      <c r="B457" t="s">
        <v>1712</v>
      </c>
      <c r="C457" s="4" t="str">
        <f>IFERROR(VLOOKUP(B457,infoTable10[],4,FALSE),"")</f>
        <v/>
      </c>
      <c r="D457" s="4" t="str">
        <f>IFERROR(VLOOKUP(B457,infoTable__2[],4,FALSE),"")</f>
        <v/>
      </c>
      <c r="E457" s="4" t="str">
        <f>IFERROR(VLOOKUP(B457,infoTable__3[],4,FALSE),"")</f>
        <v/>
      </c>
      <c r="F457" s="4" t="str">
        <f>IFERROR(VLOOKUP(B457,infoTable__4[],4,FALSE),"")</f>
        <v/>
      </c>
      <c r="G457" s="4" t="str">
        <f>IFERROR(VLOOKUP(B457,infoTable[],4,FALSE),"")</f>
        <v/>
      </c>
      <c r="H457" s="4" t="str">
        <f>IFERROR(VLOOKUP(B457,infoTable__6[],4,FALSE),"")</f>
        <v/>
      </c>
      <c r="I457" s="4" t="str">
        <f>IFERROR(VLOOKUP(B457,infoTable__28[],4,FALSE),"")</f>
        <v/>
      </c>
      <c r="J457" s="4">
        <f>IFERROR(VLOOKUP(B457,infoTable__10[],4,FALSE),"")</f>
        <v>532403</v>
      </c>
      <c r="K457" s="4">
        <f>IFERROR(VLOOKUP(B457,infoTable__11[],4,FALSE),"")</f>
        <v>1006894</v>
      </c>
      <c r="L457" s="4">
        <f>IFERROR(VLOOKUP(B457,infoTable__12[],4,FALSE),"")</f>
        <v>287749</v>
      </c>
      <c r="M457" s="4" t="str">
        <f>IFERROR(VLOOKUP(B457,infoTable__13[],4,FALSE),"")</f>
        <v/>
      </c>
      <c r="N457" s="4" t="str">
        <f>IFERROR(VLOOKUP(B457,infoTable__14[],4,FALSE),"")</f>
        <v/>
      </c>
      <c r="O457" s="4" t="str">
        <f>IFERROR(VLOOKUP(B457,infoTable__15[],4,FALSE),"")</f>
        <v/>
      </c>
      <c r="P457" s="4" t="str">
        <f>IFERROR(VLOOKUP(B457,infoTable__16[],4,FALSE),"")</f>
        <v/>
      </c>
    </row>
    <row r="458" spans="1:16" x14ac:dyDescent="0.55000000000000004">
      <c r="A458" t="s">
        <v>1345</v>
      </c>
      <c r="B458" t="s">
        <v>1346</v>
      </c>
      <c r="C458" s="4" t="str">
        <f>IFERROR(VLOOKUP(B458,infoTable10[],4,FALSE),"")</f>
        <v/>
      </c>
      <c r="D458" s="4" t="str">
        <f>IFERROR(VLOOKUP(B458,infoTable__2[],4,FALSE),"")</f>
        <v/>
      </c>
      <c r="E458" s="4" t="str">
        <f>IFERROR(VLOOKUP(B458,infoTable__3[],4,FALSE),"")</f>
        <v/>
      </c>
      <c r="F458" s="4" t="str">
        <f>IFERROR(VLOOKUP(B458,infoTable__4[],4,FALSE),"")</f>
        <v/>
      </c>
      <c r="G458" s="4" t="str">
        <f>IFERROR(VLOOKUP(B458,infoTable[],4,FALSE),"")</f>
        <v/>
      </c>
      <c r="H458" s="4" t="str">
        <f>IFERROR(VLOOKUP(B458,infoTable__6[],4,FALSE),"")</f>
        <v/>
      </c>
      <c r="I458" s="4">
        <f>IFERROR(VLOOKUP(B458,infoTable__28[],4,FALSE),"")</f>
        <v>279238</v>
      </c>
      <c r="J458" s="4">
        <f>IFERROR(VLOOKUP(B458,infoTable__10[],4,FALSE),"")</f>
        <v>467214</v>
      </c>
      <c r="K458" s="4" t="str">
        <f>IFERROR(VLOOKUP(B458,infoTable__11[],4,FALSE),"")</f>
        <v/>
      </c>
      <c r="L458" s="4" t="str">
        <f>IFERROR(VLOOKUP(B458,infoTable__12[],4,FALSE),"")</f>
        <v/>
      </c>
      <c r="M458" s="4" t="str">
        <f>IFERROR(VLOOKUP(B458,infoTable__13[],4,FALSE),"")</f>
        <v/>
      </c>
      <c r="N458" s="4" t="str">
        <f>IFERROR(VLOOKUP(B458,infoTable__14[],4,FALSE),"")</f>
        <v/>
      </c>
      <c r="O458" s="4" t="str">
        <f>IFERROR(VLOOKUP(B458,infoTable__15[],4,FALSE),"")</f>
        <v/>
      </c>
      <c r="P458" s="4">
        <f>IFERROR(VLOOKUP(B458,infoTable__16[],4,FALSE),"")</f>
        <v>518584</v>
      </c>
    </row>
    <row r="459" spans="1:16" x14ac:dyDescent="0.55000000000000004">
      <c r="A459" t="s">
        <v>3107</v>
      </c>
      <c r="B459" t="s">
        <v>3108</v>
      </c>
      <c r="C459" s="4" t="str">
        <f>IFERROR(VLOOKUP(B459,infoTable10[],4,FALSE),"")</f>
        <v/>
      </c>
      <c r="D459" s="4" t="str">
        <f>IFERROR(VLOOKUP(B459,infoTable__2[],4,FALSE),"")</f>
        <v/>
      </c>
      <c r="E459" s="4" t="str">
        <f>IFERROR(VLOOKUP(B459,infoTable__3[],4,FALSE),"")</f>
        <v/>
      </c>
      <c r="F459" s="4" t="str">
        <f>IFERROR(VLOOKUP(B459,infoTable__4[],4,FALSE),"")</f>
        <v/>
      </c>
      <c r="G459" s="4" t="str">
        <f>IFERROR(VLOOKUP(B459,infoTable[],4,FALSE),"")</f>
        <v/>
      </c>
      <c r="H459" s="4" t="str">
        <f>IFERROR(VLOOKUP(B459,infoTable__6[],4,FALSE),"")</f>
        <v/>
      </c>
      <c r="I459" s="4" t="str">
        <f>IFERROR(VLOOKUP(B459,infoTable__28[],4,FALSE),"")</f>
        <v/>
      </c>
      <c r="J459" s="4" t="str">
        <f>IFERROR(VLOOKUP(B459,infoTable__10[],4,FALSE),"")</f>
        <v/>
      </c>
      <c r="K459" s="4" t="str">
        <f>IFERROR(VLOOKUP(B459,infoTable__11[],4,FALSE),"")</f>
        <v/>
      </c>
      <c r="L459" s="4" t="str">
        <f>IFERROR(VLOOKUP(B459,infoTable__12[],4,FALSE),"")</f>
        <v/>
      </c>
      <c r="M459" s="4" t="str">
        <f>IFERROR(VLOOKUP(B459,infoTable__13[],4,FALSE),"")</f>
        <v/>
      </c>
      <c r="N459" s="4" t="str">
        <f>IFERROR(VLOOKUP(B459,infoTable__14[],4,FALSE),"")</f>
        <v/>
      </c>
      <c r="O459" s="4">
        <f>IFERROR(VLOOKUP(B459,infoTable__15[],4,FALSE),"")</f>
        <v>1137772</v>
      </c>
      <c r="P459" s="4" t="str">
        <f>IFERROR(VLOOKUP(B459,infoTable__16[],4,FALSE),"")</f>
        <v/>
      </c>
    </row>
    <row r="460" spans="1:16" x14ac:dyDescent="0.55000000000000004">
      <c r="A460" t="s">
        <v>2715</v>
      </c>
      <c r="B460" t="s">
        <v>2714</v>
      </c>
      <c r="C460" s="4" t="str">
        <f>IFERROR(VLOOKUP(B460,infoTable10[],4,FALSE),"")</f>
        <v/>
      </c>
      <c r="D460" s="4" t="str">
        <f>IFERROR(VLOOKUP(B460,infoTable__2[],4,FALSE),"")</f>
        <v/>
      </c>
      <c r="E460" s="4" t="str">
        <f>IFERROR(VLOOKUP(B460,infoTable__3[],4,FALSE),"")</f>
        <v/>
      </c>
      <c r="F460" s="4" t="str">
        <f>IFERROR(VLOOKUP(B460,infoTable__4[],4,FALSE),"")</f>
        <v/>
      </c>
      <c r="G460" s="4" t="str">
        <f>IFERROR(VLOOKUP(B460,infoTable[],4,FALSE),"")</f>
        <v/>
      </c>
      <c r="H460" s="4" t="str">
        <f>IFERROR(VLOOKUP(B460,infoTable__6[],4,FALSE),"")</f>
        <v/>
      </c>
      <c r="I460" s="4" t="str">
        <f>IFERROR(VLOOKUP(B460,infoTable__28[],4,FALSE),"")</f>
        <v/>
      </c>
      <c r="J460" s="4" t="str">
        <f>IFERROR(VLOOKUP(B460,infoTable__10[],4,FALSE),"")</f>
        <v/>
      </c>
      <c r="K460" s="4" t="str">
        <f>IFERROR(VLOOKUP(B460,infoTable__11[],4,FALSE),"")</f>
        <v/>
      </c>
      <c r="L460" s="4" t="str">
        <f>IFERROR(VLOOKUP(B460,infoTable__12[],4,FALSE),"")</f>
        <v/>
      </c>
      <c r="M460" s="4" t="str">
        <f>IFERROR(VLOOKUP(B460,infoTable__13[],4,FALSE),"")</f>
        <v/>
      </c>
      <c r="N460" s="4">
        <f>IFERROR(VLOOKUP(B460,infoTable__14[],4,FALSE),"")</f>
        <v>813773</v>
      </c>
      <c r="O460" s="4">
        <f>IFERROR(VLOOKUP(B460,infoTable__15[],4,FALSE),"")</f>
        <v>747195</v>
      </c>
      <c r="P460" s="4">
        <f>IFERROR(VLOOKUP(B460,infoTable__16[],4,FALSE),"")</f>
        <v>1017760</v>
      </c>
    </row>
    <row r="461" spans="1:16" x14ac:dyDescent="0.55000000000000004">
      <c r="A461" t="s">
        <v>1955</v>
      </c>
      <c r="B461" t="s">
        <v>1956</v>
      </c>
      <c r="C461" s="4" t="str">
        <f>IFERROR(VLOOKUP(B461,infoTable10[],4,FALSE),"")</f>
        <v/>
      </c>
      <c r="D461" s="4" t="str">
        <f>IFERROR(VLOOKUP(B461,infoTable__2[],4,FALSE),"")</f>
        <v/>
      </c>
      <c r="E461" s="4" t="str">
        <f>IFERROR(VLOOKUP(B461,infoTable__3[],4,FALSE),"")</f>
        <v/>
      </c>
      <c r="F461" s="4" t="str">
        <f>IFERROR(VLOOKUP(B461,infoTable__4[],4,FALSE),"")</f>
        <v/>
      </c>
      <c r="G461" s="4" t="str">
        <f>IFERROR(VLOOKUP(B461,infoTable[],4,FALSE),"")</f>
        <v/>
      </c>
      <c r="H461" s="4" t="str">
        <f>IFERROR(VLOOKUP(B461,infoTable__6[],4,FALSE),"")</f>
        <v/>
      </c>
      <c r="I461" s="4" t="str">
        <f>IFERROR(VLOOKUP(B461,infoTable__28[],4,FALSE),"")</f>
        <v/>
      </c>
      <c r="J461" s="4" t="str">
        <f>IFERROR(VLOOKUP(B461,infoTable__10[],4,FALSE),"")</f>
        <v/>
      </c>
      <c r="K461" s="4">
        <f>IFERROR(VLOOKUP(B461,infoTable__11[],4,FALSE),"")</f>
        <v>332114</v>
      </c>
      <c r="L461" s="4">
        <f>IFERROR(VLOOKUP(B461,infoTable__12[],4,FALSE),"")</f>
        <v>1021427</v>
      </c>
      <c r="M461" s="4">
        <f>IFERROR(VLOOKUP(B461,infoTable__13[],4,FALSE),"")</f>
        <v>640132</v>
      </c>
      <c r="N461" s="4">
        <f>IFERROR(VLOOKUP(B461,infoTable__14[],4,FALSE),"")</f>
        <v>1075897</v>
      </c>
      <c r="O461" s="4" t="str">
        <f>IFERROR(VLOOKUP(B461,infoTable__15[],4,FALSE),"")</f>
        <v/>
      </c>
      <c r="P461" s="4" t="str">
        <f>IFERROR(VLOOKUP(B461,infoTable__16[],4,FALSE),"")</f>
        <v/>
      </c>
    </row>
    <row r="462" spans="1:16" x14ac:dyDescent="0.55000000000000004">
      <c r="A462" t="s">
        <v>1713</v>
      </c>
      <c r="B462" t="s">
        <v>1714</v>
      </c>
      <c r="C462" s="4" t="str">
        <f>IFERROR(VLOOKUP(B462,infoTable10[],4,FALSE),"")</f>
        <v/>
      </c>
      <c r="D462" s="4" t="str">
        <f>IFERROR(VLOOKUP(B462,infoTable__2[],4,FALSE),"")</f>
        <v/>
      </c>
      <c r="E462" s="4" t="str">
        <f>IFERROR(VLOOKUP(B462,infoTable__3[],4,FALSE),"")</f>
        <v/>
      </c>
      <c r="F462" s="4" t="str">
        <f>IFERROR(VLOOKUP(B462,infoTable__4[],4,FALSE),"")</f>
        <v/>
      </c>
      <c r="G462" s="4" t="str">
        <f>IFERROR(VLOOKUP(B462,infoTable[],4,FALSE),"")</f>
        <v/>
      </c>
      <c r="H462" s="4" t="str">
        <f>IFERROR(VLOOKUP(B462,infoTable__6[],4,FALSE),"")</f>
        <v/>
      </c>
      <c r="I462" s="4" t="str">
        <f>IFERROR(VLOOKUP(B462,infoTable__28[],4,FALSE),"")</f>
        <v/>
      </c>
      <c r="J462" s="4">
        <f>IFERROR(VLOOKUP(B462,infoTable__10[],4,FALSE),"")</f>
        <v>765123</v>
      </c>
      <c r="K462" s="4">
        <f>IFERROR(VLOOKUP(B462,infoTable__11[],4,FALSE),"")</f>
        <v>1057067</v>
      </c>
      <c r="L462" s="4">
        <f>IFERROR(VLOOKUP(B462,infoTable__12[],4,FALSE),"")</f>
        <v>845536</v>
      </c>
      <c r="M462" s="4">
        <f>IFERROR(VLOOKUP(B462,infoTable__13[],4,FALSE),"")</f>
        <v>1896664</v>
      </c>
      <c r="N462" s="4">
        <f>IFERROR(VLOOKUP(B462,infoTable__14[],4,FALSE),"")</f>
        <v>1501239</v>
      </c>
      <c r="O462" s="4">
        <f>IFERROR(VLOOKUP(B462,infoTable__15[],4,FALSE),"")</f>
        <v>1059028</v>
      </c>
      <c r="P462" s="4">
        <f>IFERROR(VLOOKUP(B462,infoTable__16[],4,FALSE),"")</f>
        <v>631050</v>
      </c>
    </row>
    <row r="463" spans="1:16" x14ac:dyDescent="0.55000000000000004">
      <c r="A463" t="s">
        <v>3111</v>
      </c>
      <c r="B463" t="s">
        <v>3112</v>
      </c>
      <c r="C463" s="4" t="str">
        <f>IFERROR(VLOOKUP(B463,infoTable10[],4,FALSE),"")</f>
        <v/>
      </c>
      <c r="D463" s="4" t="str">
        <f>IFERROR(VLOOKUP(B463,infoTable__2[],4,FALSE),"")</f>
        <v/>
      </c>
      <c r="E463" s="4" t="str">
        <f>IFERROR(VLOOKUP(B463,infoTable__3[],4,FALSE),"")</f>
        <v/>
      </c>
      <c r="F463" s="4" t="str">
        <f>IFERROR(VLOOKUP(B463,infoTable__4[],4,FALSE),"")</f>
        <v/>
      </c>
      <c r="G463" s="4" t="str">
        <f>IFERROR(VLOOKUP(B463,infoTable[],4,FALSE),"")</f>
        <v/>
      </c>
      <c r="H463" s="4" t="str">
        <f>IFERROR(VLOOKUP(B463,infoTable__6[],4,FALSE),"")</f>
        <v/>
      </c>
      <c r="I463" s="4" t="str">
        <f>IFERROR(VLOOKUP(B463,infoTable__28[],4,FALSE),"")</f>
        <v/>
      </c>
      <c r="J463" s="4" t="str">
        <f>IFERROR(VLOOKUP(B463,infoTable__10[],4,FALSE),"")</f>
        <v/>
      </c>
      <c r="K463" s="4" t="str">
        <f>IFERROR(VLOOKUP(B463,infoTable__11[],4,FALSE),"")</f>
        <v/>
      </c>
      <c r="L463" s="4" t="str">
        <f>IFERROR(VLOOKUP(B463,infoTable__12[],4,FALSE),"")</f>
        <v/>
      </c>
      <c r="M463" s="4" t="str">
        <f>IFERROR(VLOOKUP(B463,infoTable__13[],4,FALSE),"")</f>
        <v/>
      </c>
      <c r="N463" s="4" t="str">
        <f>IFERROR(VLOOKUP(B463,infoTable__14[],4,FALSE),"")</f>
        <v/>
      </c>
      <c r="O463" s="4">
        <f>IFERROR(VLOOKUP(B463,infoTable__15[],4,FALSE),"")</f>
        <v>1108437</v>
      </c>
      <c r="P463" s="4">
        <f>IFERROR(VLOOKUP(B463,infoTable__16[],4,FALSE),"")</f>
        <v>1064296</v>
      </c>
    </row>
    <row r="464" spans="1:16" x14ac:dyDescent="0.55000000000000004">
      <c r="A464" t="s">
        <v>1715</v>
      </c>
      <c r="B464" t="s">
        <v>1716</v>
      </c>
      <c r="C464" s="4" t="str">
        <f>IFERROR(VLOOKUP(B464,infoTable10[],4,FALSE),"")</f>
        <v/>
      </c>
      <c r="D464" s="4" t="str">
        <f>IFERROR(VLOOKUP(B464,infoTable__2[],4,FALSE),"")</f>
        <v/>
      </c>
      <c r="E464" s="4" t="str">
        <f>IFERROR(VLOOKUP(B464,infoTable__3[],4,FALSE),"")</f>
        <v/>
      </c>
      <c r="F464" s="4" t="str">
        <f>IFERROR(VLOOKUP(B464,infoTable__4[],4,FALSE),"")</f>
        <v/>
      </c>
      <c r="G464" s="4" t="str">
        <f>IFERROR(VLOOKUP(B464,infoTable[],4,FALSE),"")</f>
        <v/>
      </c>
      <c r="H464" s="4" t="str">
        <f>IFERROR(VLOOKUP(B464,infoTable__6[],4,FALSE),"")</f>
        <v/>
      </c>
      <c r="I464" s="4" t="str">
        <f>IFERROR(VLOOKUP(B464,infoTable__28[],4,FALSE),"")</f>
        <v/>
      </c>
      <c r="J464" s="4">
        <f>IFERROR(VLOOKUP(B464,infoTable__10[],4,FALSE),"")</f>
        <v>285945</v>
      </c>
      <c r="K464" s="4">
        <f>IFERROR(VLOOKUP(B464,infoTable__11[],4,FALSE),"")</f>
        <v>274599</v>
      </c>
      <c r="L464" s="4">
        <f>IFERROR(VLOOKUP(B464,infoTable__12[],4,FALSE),"")</f>
        <v>127025</v>
      </c>
      <c r="M464" s="4" t="str">
        <f>IFERROR(VLOOKUP(B464,infoTable__13[],4,FALSE),"")</f>
        <v/>
      </c>
      <c r="N464" s="4" t="str">
        <f>IFERROR(VLOOKUP(B464,infoTable__14[],4,FALSE),"")</f>
        <v/>
      </c>
      <c r="O464" s="4" t="str">
        <f>IFERROR(VLOOKUP(B464,infoTable__15[],4,FALSE),"")</f>
        <v/>
      </c>
      <c r="P464" s="4" t="str">
        <f>IFERROR(VLOOKUP(B464,infoTable__16[],4,FALSE),"")</f>
        <v/>
      </c>
    </row>
    <row r="465" spans="1:16" x14ac:dyDescent="0.55000000000000004">
      <c r="A465" t="s">
        <v>310</v>
      </c>
      <c r="B465" t="s">
        <v>311</v>
      </c>
      <c r="C465" s="4" t="str">
        <f>IFERROR(VLOOKUP(B465,infoTable10[],4,FALSE),"")</f>
        <v/>
      </c>
      <c r="D465" s="4" t="str">
        <f>IFERROR(VLOOKUP(B465,infoTable__2[],4,FALSE),"")</f>
        <v/>
      </c>
      <c r="E465" s="4" t="str">
        <f>IFERROR(VLOOKUP(B465,infoTable__3[],4,FALSE),"")</f>
        <v/>
      </c>
      <c r="F465" s="4" t="str">
        <f>IFERROR(VLOOKUP(B465,infoTable__4[],4,FALSE),"")</f>
        <v/>
      </c>
      <c r="G465" s="4">
        <f>IFERROR(VLOOKUP(B465,infoTable[],4,FALSE),"")</f>
        <v>417846</v>
      </c>
      <c r="H465" s="4">
        <f>IFERROR(VLOOKUP(B465,infoTable__6[],4,FALSE),"")</f>
        <v>336174</v>
      </c>
      <c r="I465" s="4" t="str">
        <f>IFERROR(VLOOKUP(B465,infoTable__28[],4,FALSE),"")</f>
        <v/>
      </c>
      <c r="J465" s="4" t="str">
        <f>IFERROR(VLOOKUP(B465,infoTable__10[],4,FALSE),"")</f>
        <v/>
      </c>
      <c r="K465" s="4" t="str">
        <f>IFERROR(VLOOKUP(B465,infoTable__11[],4,FALSE),"")</f>
        <v/>
      </c>
      <c r="L465" s="4" t="str">
        <f>IFERROR(VLOOKUP(B465,infoTable__12[],4,FALSE),"")</f>
        <v/>
      </c>
      <c r="M465" s="4" t="str">
        <f>IFERROR(VLOOKUP(B465,infoTable__13[],4,FALSE),"")</f>
        <v/>
      </c>
      <c r="N465" s="4" t="str">
        <f>IFERROR(VLOOKUP(B465,infoTable__14[],4,FALSE),"")</f>
        <v/>
      </c>
      <c r="O465" s="4" t="str">
        <f>IFERROR(VLOOKUP(B465,infoTable__15[],4,FALSE),"")</f>
        <v/>
      </c>
      <c r="P465" s="4" t="str">
        <f>IFERROR(VLOOKUP(B465,infoTable__16[],4,FALSE),"")</f>
        <v/>
      </c>
    </row>
    <row r="466" spans="1:16" x14ac:dyDescent="0.55000000000000004">
      <c r="A466" t="s">
        <v>634</v>
      </c>
      <c r="B466" t="s">
        <v>635</v>
      </c>
      <c r="C466" s="4" t="str">
        <f>IFERROR(VLOOKUP(B466,infoTable10[],4,FALSE),"")</f>
        <v/>
      </c>
      <c r="D466" s="4">
        <f>IFERROR(VLOOKUP(B466,infoTable__2[],4,FALSE),"")</f>
        <v>974339</v>
      </c>
      <c r="E466" s="4">
        <f>IFERROR(VLOOKUP(B466,infoTable__3[],4,FALSE),"")</f>
        <v>526529</v>
      </c>
      <c r="F466" s="4">
        <f>IFERROR(VLOOKUP(B466,infoTable__4[],4,FALSE),"")</f>
        <v>331141</v>
      </c>
      <c r="G466" s="4" t="str">
        <f>IFERROR(VLOOKUP(B466,infoTable[],4,FALSE),"")</f>
        <v/>
      </c>
      <c r="H466" s="4" t="str">
        <f>IFERROR(VLOOKUP(B466,infoTable__6[],4,FALSE),"")</f>
        <v/>
      </c>
      <c r="I466" s="4" t="str">
        <f>IFERROR(VLOOKUP(B466,infoTable__28[],4,FALSE),"")</f>
        <v/>
      </c>
      <c r="J466" s="4" t="str">
        <f>IFERROR(VLOOKUP(B466,infoTable__10[],4,FALSE),"")</f>
        <v/>
      </c>
      <c r="K466" s="4" t="str">
        <f>IFERROR(VLOOKUP(B466,infoTable__11[],4,FALSE),"")</f>
        <v/>
      </c>
      <c r="L466" s="4" t="str">
        <f>IFERROR(VLOOKUP(B466,infoTable__12[],4,FALSE),"")</f>
        <v/>
      </c>
      <c r="M466" s="4" t="str">
        <f>IFERROR(VLOOKUP(B466,infoTable__13[],4,FALSE),"")</f>
        <v/>
      </c>
      <c r="N466" s="4" t="str">
        <f>IFERROR(VLOOKUP(B466,infoTable__14[],4,FALSE),"")</f>
        <v/>
      </c>
      <c r="O466" s="4" t="str">
        <f>IFERROR(VLOOKUP(B466,infoTable__15[],4,FALSE),"")</f>
        <v/>
      </c>
      <c r="P466" s="4" t="str">
        <f>IFERROR(VLOOKUP(B466,infoTable__16[],4,FALSE),"")</f>
        <v/>
      </c>
    </row>
    <row r="467" spans="1:16" x14ac:dyDescent="0.55000000000000004">
      <c r="A467" t="s">
        <v>1347</v>
      </c>
      <c r="B467" t="s">
        <v>1348</v>
      </c>
      <c r="C467" s="4" t="str">
        <f>IFERROR(VLOOKUP(B467,infoTable10[],4,FALSE),"")</f>
        <v/>
      </c>
      <c r="D467" s="4" t="str">
        <f>IFERROR(VLOOKUP(B467,infoTable__2[],4,FALSE),"")</f>
        <v/>
      </c>
      <c r="E467" s="4" t="str">
        <f>IFERROR(VLOOKUP(B467,infoTable__3[],4,FALSE),"")</f>
        <v/>
      </c>
      <c r="F467" s="4" t="str">
        <f>IFERROR(VLOOKUP(B467,infoTable__4[],4,FALSE),"")</f>
        <v/>
      </c>
      <c r="G467" s="4" t="str">
        <f>IFERROR(VLOOKUP(B467,infoTable[],4,FALSE),"")</f>
        <v/>
      </c>
      <c r="H467" s="4" t="str">
        <f>IFERROR(VLOOKUP(B467,infoTable__6[],4,FALSE),"")</f>
        <v/>
      </c>
      <c r="I467" s="4">
        <f>IFERROR(VLOOKUP(B467,infoTable__28[],4,FALSE),"")</f>
        <v>222675</v>
      </c>
      <c r="J467" s="4" t="str">
        <f>IFERROR(VLOOKUP(B467,infoTable__10[],4,FALSE),"")</f>
        <v/>
      </c>
      <c r="K467" s="4">
        <f>IFERROR(VLOOKUP(B467,infoTable__11[],4,FALSE),"")</f>
        <v>728383</v>
      </c>
      <c r="L467" s="4" t="str">
        <f>IFERROR(VLOOKUP(B467,infoTable__12[],4,FALSE),"")</f>
        <v/>
      </c>
      <c r="M467" s="4" t="str">
        <f>IFERROR(VLOOKUP(B467,infoTable__13[],4,FALSE),"")</f>
        <v/>
      </c>
      <c r="N467" s="4" t="str">
        <f>IFERROR(VLOOKUP(B467,infoTable__14[],4,FALSE),"")</f>
        <v/>
      </c>
      <c r="O467" s="4" t="str">
        <f>IFERROR(VLOOKUP(B467,infoTable__15[],4,FALSE),"")</f>
        <v/>
      </c>
      <c r="P467" s="4" t="str">
        <f>IFERROR(VLOOKUP(B467,infoTable__16[],4,FALSE),"")</f>
        <v/>
      </c>
    </row>
    <row r="468" spans="1:16" x14ac:dyDescent="0.55000000000000004">
      <c r="A468" t="s">
        <v>312</v>
      </c>
      <c r="B468" t="s">
        <v>313</v>
      </c>
      <c r="C468" s="4" t="str">
        <f>IFERROR(VLOOKUP(B468,infoTable10[],4,FALSE),"")</f>
        <v/>
      </c>
      <c r="D468" s="4" t="str">
        <f>IFERROR(VLOOKUP(B468,infoTable__2[],4,FALSE),"")</f>
        <v/>
      </c>
      <c r="E468" s="4" t="str">
        <f>IFERROR(VLOOKUP(B468,infoTable__3[],4,FALSE),"")</f>
        <v/>
      </c>
      <c r="F468" s="4" t="str">
        <f>IFERROR(VLOOKUP(B468,infoTable__4[],4,FALSE),"")</f>
        <v/>
      </c>
      <c r="G468" s="4">
        <f>IFERROR(VLOOKUP(B468,infoTable[],4,FALSE),"")</f>
        <v>320175</v>
      </c>
      <c r="H468" s="4">
        <f>IFERROR(VLOOKUP(B468,infoTable__6[],4,FALSE),"")</f>
        <v>655197</v>
      </c>
      <c r="I468" s="4" t="str">
        <f>IFERROR(VLOOKUP(B468,infoTable__28[],4,FALSE),"")</f>
        <v/>
      </c>
      <c r="J468" s="4" t="str">
        <f>IFERROR(VLOOKUP(B468,infoTable__10[],4,FALSE),"")</f>
        <v/>
      </c>
      <c r="K468" s="4" t="str">
        <f>IFERROR(VLOOKUP(B468,infoTable__11[],4,FALSE),"")</f>
        <v/>
      </c>
      <c r="L468" s="4" t="str">
        <f>IFERROR(VLOOKUP(B468,infoTable__12[],4,FALSE),"")</f>
        <v/>
      </c>
      <c r="M468" s="4" t="str">
        <f>IFERROR(VLOOKUP(B468,infoTable__13[],4,FALSE),"")</f>
        <v/>
      </c>
      <c r="N468" s="4" t="str">
        <f>IFERROR(VLOOKUP(B468,infoTable__14[],4,FALSE),"")</f>
        <v/>
      </c>
      <c r="O468" s="4">
        <f>IFERROR(VLOOKUP(B468,infoTable__15[],4,FALSE),"")</f>
        <v>254210</v>
      </c>
      <c r="P468" s="4">
        <f>IFERROR(VLOOKUP(B468,infoTable__16[],4,FALSE),"")</f>
        <v>474050</v>
      </c>
    </row>
    <row r="469" spans="1:16" x14ac:dyDescent="0.55000000000000004">
      <c r="A469" t="s">
        <v>2271</v>
      </c>
      <c r="B469" t="s">
        <v>2272</v>
      </c>
      <c r="C469" s="4" t="str">
        <f>IFERROR(VLOOKUP(B469,infoTable10[],4,FALSE),"")</f>
        <v/>
      </c>
      <c r="D469" s="4" t="str">
        <f>IFERROR(VLOOKUP(B469,infoTable__2[],4,FALSE),"")</f>
        <v/>
      </c>
      <c r="E469" s="4" t="str">
        <f>IFERROR(VLOOKUP(B469,infoTable__3[],4,FALSE),"")</f>
        <v/>
      </c>
      <c r="F469" s="4" t="str">
        <f>IFERROR(VLOOKUP(B469,infoTable__4[],4,FALSE),"")</f>
        <v/>
      </c>
      <c r="G469" s="4" t="str">
        <f>IFERROR(VLOOKUP(B469,infoTable[],4,FALSE),"")</f>
        <v/>
      </c>
      <c r="H469" s="4" t="str">
        <f>IFERROR(VLOOKUP(B469,infoTable__6[],4,FALSE),"")</f>
        <v/>
      </c>
      <c r="I469" s="4" t="str">
        <f>IFERROR(VLOOKUP(B469,infoTable__28[],4,FALSE),"")</f>
        <v/>
      </c>
      <c r="J469" s="4" t="str">
        <f>IFERROR(VLOOKUP(B469,infoTable__10[],4,FALSE),"")</f>
        <v/>
      </c>
      <c r="K469" s="4" t="str">
        <f>IFERROR(VLOOKUP(B469,infoTable__11[],4,FALSE),"")</f>
        <v/>
      </c>
      <c r="L469" s="4">
        <f>IFERROR(VLOOKUP(B469,infoTable__12[],4,FALSE),"")</f>
        <v>267772</v>
      </c>
      <c r="M469" s="4" t="str">
        <f>IFERROR(VLOOKUP(B469,infoTable__13[],4,FALSE),"")</f>
        <v/>
      </c>
      <c r="N469" s="4" t="str">
        <f>IFERROR(VLOOKUP(B469,infoTable__14[],4,FALSE),"")</f>
        <v/>
      </c>
      <c r="O469" s="4" t="str">
        <f>IFERROR(VLOOKUP(B469,infoTable__15[],4,FALSE),"")</f>
        <v/>
      </c>
      <c r="P469" s="4" t="str">
        <f>IFERROR(VLOOKUP(B469,infoTable__16[],4,FALSE),"")</f>
        <v/>
      </c>
    </row>
    <row r="470" spans="1:16" x14ac:dyDescent="0.55000000000000004">
      <c r="A470" t="s">
        <v>1349</v>
      </c>
      <c r="B470" t="s">
        <v>1350</v>
      </c>
      <c r="C470" s="4" t="str">
        <f>IFERROR(VLOOKUP(B470,infoTable10[],4,FALSE),"")</f>
        <v/>
      </c>
      <c r="D470" s="4" t="str">
        <f>IFERROR(VLOOKUP(B470,infoTable__2[],4,FALSE),"")</f>
        <v/>
      </c>
      <c r="E470" s="4" t="str">
        <f>IFERROR(VLOOKUP(B470,infoTable__3[],4,FALSE),"")</f>
        <v/>
      </c>
      <c r="F470" s="4" t="str">
        <f>IFERROR(VLOOKUP(B470,infoTable__4[],4,FALSE),"")</f>
        <v/>
      </c>
      <c r="G470" s="4" t="str">
        <f>IFERROR(VLOOKUP(B470,infoTable[],4,FALSE),"")</f>
        <v/>
      </c>
      <c r="H470" s="4" t="str">
        <f>IFERROR(VLOOKUP(B470,infoTable__6[],4,FALSE),"")</f>
        <v/>
      </c>
      <c r="I470" s="4">
        <f>IFERROR(VLOOKUP(B470,infoTable__28[],4,FALSE),"")</f>
        <v>232187</v>
      </c>
      <c r="J470" s="4" t="str">
        <f>IFERROR(VLOOKUP(B470,infoTable__10[],4,FALSE),"")</f>
        <v/>
      </c>
      <c r="K470" s="4" t="str">
        <f>IFERROR(VLOOKUP(B470,infoTable__11[],4,FALSE),"")</f>
        <v/>
      </c>
      <c r="L470" s="4" t="str">
        <f>IFERROR(VLOOKUP(B470,infoTable__12[],4,FALSE),"")</f>
        <v/>
      </c>
      <c r="M470" s="4" t="str">
        <f>IFERROR(VLOOKUP(B470,infoTable__13[],4,FALSE),"")</f>
        <v/>
      </c>
      <c r="N470" s="4" t="str">
        <f>IFERROR(VLOOKUP(B470,infoTable__14[],4,FALSE),"")</f>
        <v/>
      </c>
      <c r="O470" s="4" t="str">
        <f>IFERROR(VLOOKUP(B470,infoTable__15[],4,FALSE),"")</f>
        <v/>
      </c>
      <c r="P470" s="4">
        <f>IFERROR(VLOOKUP(B470,infoTable__16[],4,FALSE),"")</f>
        <v>1485409</v>
      </c>
    </row>
    <row r="471" spans="1:16" x14ac:dyDescent="0.55000000000000004">
      <c r="A471" t="s">
        <v>2717</v>
      </c>
      <c r="B471" t="s">
        <v>2716</v>
      </c>
      <c r="C471" s="4" t="str">
        <f>IFERROR(VLOOKUP(B471,infoTable10[],4,FALSE),"")</f>
        <v/>
      </c>
      <c r="D471" s="4" t="str">
        <f>IFERROR(VLOOKUP(B471,infoTable__2[],4,FALSE),"")</f>
        <v/>
      </c>
      <c r="E471" s="4" t="str">
        <f>IFERROR(VLOOKUP(B471,infoTable__3[],4,FALSE),"")</f>
        <v/>
      </c>
      <c r="F471" s="4" t="str">
        <f>IFERROR(VLOOKUP(B471,infoTable__4[],4,FALSE),"")</f>
        <v/>
      </c>
      <c r="G471" s="4" t="str">
        <f>IFERROR(VLOOKUP(B471,infoTable[],4,FALSE),"")</f>
        <v/>
      </c>
      <c r="H471" s="4" t="str">
        <f>IFERROR(VLOOKUP(B471,infoTable__6[],4,FALSE),"")</f>
        <v/>
      </c>
      <c r="I471" s="4" t="str">
        <f>IFERROR(VLOOKUP(B471,infoTable__28[],4,FALSE),"")</f>
        <v/>
      </c>
      <c r="J471" s="4" t="str">
        <f>IFERROR(VLOOKUP(B471,infoTable__10[],4,FALSE),"")</f>
        <v/>
      </c>
      <c r="K471" s="4" t="str">
        <f>IFERROR(VLOOKUP(B471,infoTable__11[],4,FALSE),"")</f>
        <v/>
      </c>
      <c r="L471" s="4" t="str">
        <f>IFERROR(VLOOKUP(B471,infoTable__12[],4,FALSE),"")</f>
        <v/>
      </c>
      <c r="M471" s="4" t="str">
        <f>IFERROR(VLOOKUP(B471,infoTable__13[],4,FALSE),"")</f>
        <v/>
      </c>
      <c r="N471" s="4">
        <f>IFERROR(VLOOKUP(B471,infoTable__14[],4,FALSE),"")</f>
        <v>799738</v>
      </c>
      <c r="O471" s="4">
        <f>IFERROR(VLOOKUP(B471,infoTable__15[],4,FALSE),"")</f>
        <v>2539919</v>
      </c>
      <c r="P471" s="4">
        <f>IFERROR(VLOOKUP(B471,infoTable__16[],4,FALSE),"")</f>
        <v>2208976</v>
      </c>
    </row>
    <row r="472" spans="1:16" x14ac:dyDescent="0.55000000000000004">
      <c r="A472" t="s">
        <v>2273</v>
      </c>
      <c r="B472" t="s">
        <v>2274</v>
      </c>
      <c r="C472" s="4" t="str">
        <f>IFERROR(VLOOKUP(B472,infoTable10[],4,FALSE),"")</f>
        <v/>
      </c>
      <c r="D472" s="4" t="str">
        <f>IFERROR(VLOOKUP(B472,infoTable__2[],4,FALSE),"")</f>
        <v/>
      </c>
      <c r="E472" s="4" t="str">
        <f>IFERROR(VLOOKUP(B472,infoTable__3[],4,FALSE),"")</f>
        <v/>
      </c>
      <c r="F472" s="4" t="str">
        <f>IFERROR(VLOOKUP(B472,infoTable__4[],4,FALSE),"")</f>
        <v/>
      </c>
      <c r="G472" s="4" t="str">
        <f>IFERROR(VLOOKUP(B472,infoTable[],4,FALSE),"")</f>
        <v/>
      </c>
      <c r="H472" s="4" t="str">
        <f>IFERROR(VLOOKUP(B472,infoTable__6[],4,FALSE),"")</f>
        <v/>
      </c>
      <c r="I472" s="4" t="str">
        <f>IFERROR(VLOOKUP(B472,infoTable__28[],4,FALSE),"")</f>
        <v/>
      </c>
      <c r="J472" s="4" t="str">
        <f>IFERROR(VLOOKUP(B472,infoTable__10[],4,FALSE),"")</f>
        <v/>
      </c>
      <c r="K472" s="4" t="str">
        <f>IFERROR(VLOOKUP(B472,infoTable__11[],4,FALSE),"")</f>
        <v/>
      </c>
      <c r="L472" s="4">
        <f>IFERROR(VLOOKUP(B472,infoTable__12[],4,FALSE),"")</f>
        <v>384397</v>
      </c>
      <c r="M472" s="4">
        <f>IFERROR(VLOOKUP(B472,infoTable__13[],4,FALSE),"")</f>
        <v>3568024</v>
      </c>
      <c r="N472" s="4">
        <f>IFERROR(VLOOKUP(B472,infoTable__14[],4,FALSE),"")</f>
        <v>2438728</v>
      </c>
      <c r="O472" s="4">
        <f>IFERROR(VLOOKUP(B472,infoTable__15[],4,FALSE),"")</f>
        <v>4319250</v>
      </c>
      <c r="P472" s="4">
        <f>IFERROR(VLOOKUP(B472,infoTable__16[],4,FALSE),"")</f>
        <v>1120945</v>
      </c>
    </row>
    <row r="473" spans="1:16" x14ac:dyDescent="0.55000000000000004">
      <c r="A473" t="s">
        <v>1959</v>
      </c>
      <c r="B473" t="s">
        <v>1960</v>
      </c>
      <c r="C473" s="4" t="str">
        <f>IFERROR(VLOOKUP(B473,infoTable10[],4,FALSE),"")</f>
        <v/>
      </c>
      <c r="D473" s="4" t="str">
        <f>IFERROR(VLOOKUP(B473,infoTable__2[],4,FALSE),"")</f>
        <v/>
      </c>
      <c r="E473" s="4" t="str">
        <f>IFERROR(VLOOKUP(B473,infoTable__3[],4,FALSE),"")</f>
        <v/>
      </c>
      <c r="F473" s="4" t="str">
        <f>IFERROR(VLOOKUP(B473,infoTable__4[],4,FALSE),"")</f>
        <v/>
      </c>
      <c r="G473" s="4" t="str">
        <f>IFERROR(VLOOKUP(B473,infoTable[],4,FALSE),"")</f>
        <v/>
      </c>
      <c r="H473" s="4" t="str">
        <f>IFERROR(VLOOKUP(B473,infoTable__6[],4,FALSE),"")</f>
        <v/>
      </c>
      <c r="I473" s="4" t="str">
        <f>IFERROR(VLOOKUP(B473,infoTable__28[],4,FALSE),"")</f>
        <v/>
      </c>
      <c r="J473" s="4" t="str">
        <f>IFERROR(VLOOKUP(B473,infoTable__10[],4,FALSE),"")</f>
        <v/>
      </c>
      <c r="K473" s="4">
        <f>IFERROR(VLOOKUP(B473,infoTable__11[],4,FALSE),"")</f>
        <v>3185976</v>
      </c>
      <c r="L473" s="4">
        <f>IFERROR(VLOOKUP(B473,infoTable__12[],4,FALSE),"")</f>
        <v>3019080</v>
      </c>
      <c r="M473" s="4">
        <f>IFERROR(VLOOKUP(B473,infoTable__13[],4,FALSE),"")</f>
        <v>2998120</v>
      </c>
      <c r="N473" s="4">
        <f>IFERROR(VLOOKUP(B473,infoTable__14[],4,FALSE),"")</f>
        <v>1200668</v>
      </c>
      <c r="O473" s="4">
        <f>IFERROR(VLOOKUP(B473,infoTable__15[],4,FALSE),"")</f>
        <v>630766</v>
      </c>
      <c r="P473" s="4" t="str">
        <f>IFERROR(VLOOKUP(B473,infoTable__16[],4,FALSE),"")</f>
        <v/>
      </c>
    </row>
    <row r="474" spans="1:16" x14ac:dyDescent="0.55000000000000004">
      <c r="A474" t="s">
        <v>314</v>
      </c>
      <c r="B474" t="s">
        <v>315</v>
      </c>
      <c r="C474" s="4" t="str">
        <f>IFERROR(VLOOKUP(B474,infoTable10[],4,FALSE),"")</f>
        <v/>
      </c>
      <c r="D474" s="4" t="str">
        <f>IFERROR(VLOOKUP(B474,infoTable__2[],4,FALSE),"")</f>
        <v/>
      </c>
      <c r="E474" s="4" t="str">
        <f>IFERROR(VLOOKUP(B474,infoTable__3[],4,FALSE),"")</f>
        <v/>
      </c>
      <c r="F474" s="4">
        <f>IFERROR(VLOOKUP(B474,infoTable__4[],4,FALSE),"")</f>
        <v>1612624</v>
      </c>
      <c r="G474" s="4">
        <f>IFERROR(VLOOKUP(B474,infoTable[],4,FALSE),"")</f>
        <v>1081803</v>
      </c>
      <c r="H474" s="4">
        <f>IFERROR(VLOOKUP(B474,infoTable__6[],4,FALSE),"")</f>
        <v>991827</v>
      </c>
      <c r="I474" s="4">
        <f>IFERROR(VLOOKUP(B474,infoTable__28[],4,FALSE),"")</f>
        <v>540818</v>
      </c>
      <c r="J474" s="4">
        <f>IFERROR(VLOOKUP(B474,infoTable__10[],4,FALSE),"")</f>
        <v>706283</v>
      </c>
      <c r="K474" s="4" t="str">
        <f>IFERROR(VLOOKUP(B474,infoTable__11[],4,FALSE),"")</f>
        <v/>
      </c>
      <c r="L474" s="4" t="str">
        <f>IFERROR(VLOOKUP(B474,infoTable__12[],4,FALSE),"")</f>
        <v/>
      </c>
      <c r="M474" s="4">
        <f>IFERROR(VLOOKUP(B474,infoTable__13[],4,FALSE),"")</f>
        <v>4209566</v>
      </c>
      <c r="N474" s="4">
        <f>IFERROR(VLOOKUP(B474,infoTable__14[],4,FALSE),"")</f>
        <v>3203533</v>
      </c>
      <c r="O474" s="4">
        <f>IFERROR(VLOOKUP(B474,infoTable__15[],4,FALSE),"")</f>
        <v>562507</v>
      </c>
      <c r="P474" s="4">
        <f>IFERROR(VLOOKUP(B474,infoTable__16[],4,FALSE),"")</f>
        <v>519656</v>
      </c>
    </row>
    <row r="475" spans="1:16" x14ac:dyDescent="0.55000000000000004">
      <c r="A475" t="s">
        <v>2719</v>
      </c>
      <c r="B475" t="s">
        <v>2718</v>
      </c>
      <c r="C475" s="4" t="str">
        <f>IFERROR(VLOOKUP(B475,infoTable10[],4,FALSE),"")</f>
        <v/>
      </c>
      <c r="D475" s="4" t="str">
        <f>IFERROR(VLOOKUP(B475,infoTable__2[],4,FALSE),"")</f>
        <v/>
      </c>
      <c r="E475" s="4" t="str">
        <f>IFERROR(VLOOKUP(B475,infoTable__3[],4,FALSE),"")</f>
        <v/>
      </c>
      <c r="F475" s="4" t="str">
        <f>IFERROR(VLOOKUP(B475,infoTable__4[],4,FALSE),"")</f>
        <v/>
      </c>
      <c r="G475" s="4" t="str">
        <f>IFERROR(VLOOKUP(B475,infoTable[],4,FALSE),"")</f>
        <v/>
      </c>
      <c r="H475" s="4" t="str">
        <f>IFERROR(VLOOKUP(B475,infoTable__6[],4,FALSE),"")</f>
        <v/>
      </c>
      <c r="I475" s="4" t="str">
        <f>IFERROR(VLOOKUP(B475,infoTable__28[],4,FALSE),"")</f>
        <v/>
      </c>
      <c r="J475" s="4" t="str">
        <f>IFERROR(VLOOKUP(B475,infoTable__10[],4,FALSE),"")</f>
        <v/>
      </c>
      <c r="K475" s="4" t="str">
        <f>IFERROR(VLOOKUP(B475,infoTable__11[],4,FALSE),"")</f>
        <v/>
      </c>
      <c r="L475" s="4" t="str">
        <f>IFERROR(VLOOKUP(B475,infoTable__12[],4,FALSE),"")</f>
        <v/>
      </c>
      <c r="M475" s="4" t="str">
        <f>IFERROR(VLOOKUP(B475,infoTable__13[],4,FALSE),"")</f>
        <v/>
      </c>
      <c r="N475" s="4">
        <f>IFERROR(VLOOKUP(B475,infoTable__14[],4,FALSE),"")</f>
        <v>1486280</v>
      </c>
      <c r="O475" s="4">
        <f>IFERROR(VLOOKUP(B475,infoTable__15[],4,FALSE),"")</f>
        <v>1541015</v>
      </c>
      <c r="P475" s="4">
        <f>IFERROR(VLOOKUP(B475,infoTable__16[],4,FALSE),"")</f>
        <v>1341483</v>
      </c>
    </row>
    <row r="476" spans="1:16" x14ac:dyDescent="0.55000000000000004">
      <c r="A476" t="s">
        <v>322</v>
      </c>
      <c r="B476" t="s">
        <v>323</v>
      </c>
      <c r="C476" s="4" t="str">
        <f>IFERROR(VLOOKUP(B476,infoTable10[],4,FALSE),"")</f>
        <v/>
      </c>
      <c r="D476" s="4" t="str">
        <f>IFERROR(VLOOKUP(B476,infoTable__2[],4,FALSE),"")</f>
        <v/>
      </c>
      <c r="E476" s="4" t="str">
        <f>IFERROR(VLOOKUP(B476,infoTable__3[],4,FALSE),"")</f>
        <v/>
      </c>
      <c r="F476" s="4" t="str">
        <f>IFERROR(VLOOKUP(B476,infoTable__4[],4,FALSE),"")</f>
        <v/>
      </c>
      <c r="G476" s="4">
        <f>IFERROR(VLOOKUP(B476,infoTable[],4,FALSE),"")</f>
        <v>6755484</v>
      </c>
      <c r="H476" s="4">
        <f>IFERROR(VLOOKUP(B476,infoTable__6[],4,FALSE),"")</f>
        <v>5992190</v>
      </c>
      <c r="I476" s="4" t="str">
        <f>IFERROR(VLOOKUP(B476,infoTable__28[],4,FALSE),"")</f>
        <v/>
      </c>
      <c r="J476" s="4" t="str">
        <f>IFERROR(VLOOKUP(B476,infoTable__10[],4,FALSE),"")</f>
        <v/>
      </c>
      <c r="K476" s="4" t="str">
        <f>IFERROR(VLOOKUP(B476,infoTable__11[],4,FALSE),"")</f>
        <v/>
      </c>
      <c r="L476" s="4" t="str">
        <f>IFERROR(VLOOKUP(B476,infoTable__12[],4,FALSE),"")</f>
        <v/>
      </c>
      <c r="M476" s="4" t="str">
        <f>IFERROR(VLOOKUP(B476,infoTable__13[],4,FALSE),"")</f>
        <v/>
      </c>
      <c r="N476" s="4" t="str">
        <f>IFERROR(VLOOKUP(B476,infoTable__14[],4,FALSE),"")</f>
        <v/>
      </c>
      <c r="O476" s="4" t="str">
        <f>IFERROR(VLOOKUP(B476,infoTable__15[],4,FALSE),"")</f>
        <v/>
      </c>
      <c r="P476" s="4" t="str">
        <f>IFERROR(VLOOKUP(B476,infoTable__16[],4,FALSE),"")</f>
        <v/>
      </c>
    </row>
    <row r="477" spans="1:16" x14ac:dyDescent="0.55000000000000004">
      <c r="A477" t="s">
        <v>642</v>
      </c>
      <c r="B477" t="s">
        <v>643</v>
      </c>
      <c r="C477" s="4">
        <f>IFERROR(VLOOKUP(B477,infoTable10[],4,FALSE),"")</f>
        <v>586698</v>
      </c>
      <c r="D477" s="4">
        <f>IFERROR(VLOOKUP(B477,infoTable__2[],4,FALSE),"")</f>
        <v>396845</v>
      </c>
      <c r="E477" s="4" t="str">
        <f>IFERROR(VLOOKUP(B477,infoTable__3[],4,FALSE),"")</f>
        <v/>
      </c>
      <c r="F477" s="4" t="str">
        <f>IFERROR(VLOOKUP(B477,infoTable__4[],4,FALSE),"")</f>
        <v/>
      </c>
      <c r="G477" s="4" t="str">
        <f>IFERROR(VLOOKUP(B477,infoTable[],4,FALSE),"")</f>
        <v/>
      </c>
      <c r="H477" s="4" t="str">
        <f>IFERROR(VLOOKUP(B477,infoTable__6[],4,FALSE),"")</f>
        <v/>
      </c>
      <c r="I477" s="4" t="str">
        <f>IFERROR(VLOOKUP(B477,infoTable__28[],4,FALSE),"")</f>
        <v/>
      </c>
      <c r="J477" s="4" t="str">
        <f>IFERROR(VLOOKUP(B477,infoTable__10[],4,FALSE),"")</f>
        <v/>
      </c>
      <c r="K477" s="4" t="str">
        <f>IFERROR(VLOOKUP(B477,infoTable__11[],4,FALSE),"")</f>
        <v/>
      </c>
      <c r="L477" s="4">
        <f>IFERROR(VLOOKUP(B477,infoTable__12[],4,FALSE),"")</f>
        <v>480266</v>
      </c>
      <c r="M477" s="4">
        <f>IFERROR(VLOOKUP(B477,infoTable__13[],4,FALSE),"")</f>
        <v>1361316</v>
      </c>
      <c r="N477" s="4">
        <f>IFERROR(VLOOKUP(B477,infoTable__14[],4,FALSE),"")</f>
        <v>561399</v>
      </c>
      <c r="O477" s="4">
        <f>IFERROR(VLOOKUP(B477,infoTable__15[],4,FALSE),"")</f>
        <v>432971</v>
      </c>
      <c r="P477" s="4" t="str">
        <f>IFERROR(VLOOKUP(B477,infoTable__16[],4,FALSE),"")</f>
        <v/>
      </c>
    </row>
    <row r="478" spans="1:16" x14ac:dyDescent="0.55000000000000004">
      <c r="A478" t="s">
        <v>316</v>
      </c>
      <c r="B478" t="s">
        <v>317</v>
      </c>
      <c r="C478" s="4" t="str">
        <f>IFERROR(VLOOKUP(B478,infoTable10[],4,FALSE),"")</f>
        <v/>
      </c>
      <c r="D478" s="4" t="str">
        <f>IFERROR(VLOOKUP(B478,infoTable__2[],4,FALSE),"")</f>
        <v/>
      </c>
      <c r="E478" s="4" t="str">
        <f>IFERROR(VLOOKUP(B478,infoTable__3[],4,FALSE),"")</f>
        <v/>
      </c>
      <c r="F478" s="4">
        <f>IFERROR(VLOOKUP(B478,infoTable__4[],4,FALSE),"")</f>
        <v>3749690</v>
      </c>
      <c r="G478" s="4">
        <f>IFERROR(VLOOKUP(B478,infoTable[],4,FALSE),"")</f>
        <v>972740</v>
      </c>
      <c r="H478" s="4" t="str">
        <f>IFERROR(VLOOKUP(B478,infoTable__6[],4,FALSE),"")</f>
        <v/>
      </c>
      <c r="I478" s="4" t="str">
        <f>IFERROR(VLOOKUP(B478,infoTable__28[],4,FALSE),"")</f>
        <v/>
      </c>
      <c r="J478" s="4" t="str">
        <f>IFERROR(VLOOKUP(B478,infoTable__10[],4,FALSE),"")</f>
        <v/>
      </c>
      <c r="K478" s="4" t="str">
        <f>IFERROR(VLOOKUP(B478,infoTable__11[],4,FALSE),"")</f>
        <v/>
      </c>
      <c r="L478" s="4">
        <f>IFERROR(VLOOKUP(B478,infoTable__12[],4,FALSE),"")</f>
        <v>1380880</v>
      </c>
      <c r="M478" s="4">
        <f>IFERROR(VLOOKUP(B478,infoTable__13[],4,FALSE),"")</f>
        <v>1488664</v>
      </c>
      <c r="N478" s="4">
        <f>IFERROR(VLOOKUP(B478,infoTable__14[],4,FALSE),"")</f>
        <v>495674</v>
      </c>
      <c r="O478" s="4">
        <f>IFERROR(VLOOKUP(B478,infoTable__15[],4,FALSE),"")</f>
        <v>1910644</v>
      </c>
      <c r="P478" s="4">
        <f>IFERROR(VLOOKUP(B478,infoTable__16[],4,FALSE),"")</f>
        <v>2012657</v>
      </c>
    </row>
    <row r="479" spans="1:16" x14ac:dyDescent="0.55000000000000004">
      <c r="A479" t="s">
        <v>2275</v>
      </c>
      <c r="B479" t="s">
        <v>2276</v>
      </c>
      <c r="C479" s="4" t="str">
        <f>IFERROR(VLOOKUP(B479,infoTable10[],4,FALSE),"")</f>
        <v/>
      </c>
      <c r="D479" s="4" t="str">
        <f>IFERROR(VLOOKUP(B479,infoTable__2[],4,FALSE),"")</f>
        <v/>
      </c>
      <c r="E479" s="4" t="str">
        <f>IFERROR(VLOOKUP(B479,infoTable__3[],4,FALSE),"")</f>
        <v/>
      </c>
      <c r="F479" s="4" t="str">
        <f>IFERROR(VLOOKUP(B479,infoTable__4[],4,FALSE),"")</f>
        <v/>
      </c>
      <c r="G479" s="4" t="str">
        <f>IFERROR(VLOOKUP(B479,infoTable[],4,FALSE),"")</f>
        <v/>
      </c>
      <c r="H479" s="4" t="str">
        <f>IFERROR(VLOOKUP(B479,infoTable__6[],4,FALSE),"")</f>
        <v/>
      </c>
      <c r="I479" s="4" t="str">
        <f>IFERROR(VLOOKUP(B479,infoTable__28[],4,FALSE),"")</f>
        <v/>
      </c>
      <c r="J479" s="4" t="str">
        <f>IFERROR(VLOOKUP(B479,infoTable__10[],4,FALSE),"")</f>
        <v/>
      </c>
      <c r="K479" s="4" t="str">
        <f>IFERROR(VLOOKUP(B479,infoTable__11[],4,FALSE),"")</f>
        <v/>
      </c>
      <c r="L479" s="4">
        <f>IFERROR(VLOOKUP(B479,infoTable__12[],4,FALSE),"")</f>
        <v>388440</v>
      </c>
      <c r="M479" s="4">
        <f>IFERROR(VLOOKUP(B479,infoTable__13[],4,FALSE),"")</f>
        <v>4486986</v>
      </c>
      <c r="N479" s="4">
        <f>IFERROR(VLOOKUP(B479,infoTable__14[],4,FALSE),"")</f>
        <v>3727717</v>
      </c>
      <c r="O479" s="4">
        <f>IFERROR(VLOOKUP(B479,infoTable__15[],4,FALSE),"")</f>
        <v>4076915</v>
      </c>
      <c r="P479" s="4">
        <f>IFERROR(VLOOKUP(B479,infoTable__16[],4,FALSE),"")</f>
        <v>2795632</v>
      </c>
    </row>
    <row r="480" spans="1:16" x14ac:dyDescent="0.55000000000000004">
      <c r="A480" t="s">
        <v>1357</v>
      </c>
      <c r="B480" t="s">
        <v>1358</v>
      </c>
      <c r="C480" s="4" t="str">
        <f>IFERROR(VLOOKUP(B480,infoTable10[],4,FALSE),"")</f>
        <v/>
      </c>
      <c r="D480" s="4" t="str">
        <f>IFERROR(VLOOKUP(B480,infoTable__2[],4,FALSE),"")</f>
        <v/>
      </c>
      <c r="E480" s="4" t="str">
        <f>IFERROR(VLOOKUP(B480,infoTable__3[],4,FALSE),"")</f>
        <v/>
      </c>
      <c r="F480" s="4" t="str">
        <f>IFERROR(VLOOKUP(B480,infoTable__4[],4,FALSE),"")</f>
        <v/>
      </c>
      <c r="G480" s="4" t="str">
        <f>IFERROR(VLOOKUP(B480,infoTable[],4,FALSE),"")</f>
        <v/>
      </c>
      <c r="H480" s="4" t="str">
        <f>IFERROR(VLOOKUP(B480,infoTable__6[],4,FALSE),"")</f>
        <v/>
      </c>
      <c r="I480" s="4">
        <f>IFERROR(VLOOKUP(B480,infoTable__28[],4,FALSE),"")</f>
        <v>203602</v>
      </c>
      <c r="J480" s="4">
        <f>IFERROR(VLOOKUP(B480,infoTable__10[],4,FALSE),"")</f>
        <v>964873</v>
      </c>
      <c r="K480" s="4">
        <f>IFERROR(VLOOKUP(B480,infoTable__11[],4,FALSE),"")</f>
        <v>1352684</v>
      </c>
      <c r="L480" s="4">
        <f>IFERROR(VLOOKUP(B480,infoTable__12[],4,FALSE),"")</f>
        <v>1381154</v>
      </c>
      <c r="M480" s="4">
        <f>IFERROR(VLOOKUP(B480,infoTable__13[],4,FALSE),"")</f>
        <v>1827934</v>
      </c>
      <c r="N480" s="4">
        <f>IFERROR(VLOOKUP(B480,infoTable__14[],4,FALSE),"")</f>
        <v>1788456</v>
      </c>
      <c r="O480" s="4" t="str">
        <f>IFERROR(VLOOKUP(B480,infoTable__15[],4,FALSE),"")</f>
        <v/>
      </c>
      <c r="P480" s="4" t="str">
        <f>IFERROR(VLOOKUP(B480,infoTable__16[],4,FALSE),"")</f>
        <v/>
      </c>
    </row>
    <row r="481" spans="1:16" x14ac:dyDescent="0.55000000000000004">
      <c r="A481" t="s">
        <v>2533</v>
      </c>
      <c r="B481" t="s">
        <v>2534</v>
      </c>
      <c r="C481" s="4" t="str">
        <f>IFERROR(VLOOKUP(B481,infoTable10[],4,FALSE),"")</f>
        <v/>
      </c>
      <c r="D481" s="4" t="str">
        <f>IFERROR(VLOOKUP(B481,infoTable__2[],4,FALSE),"")</f>
        <v/>
      </c>
      <c r="E481" s="4" t="str">
        <f>IFERROR(VLOOKUP(B481,infoTable__3[],4,FALSE),"")</f>
        <v/>
      </c>
      <c r="F481" s="4" t="str">
        <f>IFERROR(VLOOKUP(B481,infoTable__4[],4,FALSE),"")</f>
        <v/>
      </c>
      <c r="G481" s="4" t="str">
        <f>IFERROR(VLOOKUP(B481,infoTable[],4,FALSE),"")</f>
        <v/>
      </c>
      <c r="H481" s="4" t="str">
        <f>IFERROR(VLOOKUP(B481,infoTable__6[],4,FALSE),"")</f>
        <v/>
      </c>
      <c r="I481" s="4" t="str">
        <f>IFERROR(VLOOKUP(B481,infoTable__28[],4,FALSE),"")</f>
        <v/>
      </c>
      <c r="J481" s="4" t="str">
        <f>IFERROR(VLOOKUP(B481,infoTable__10[],4,FALSE),"")</f>
        <v/>
      </c>
      <c r="K481" s="4" t="str">
        <f>IFERROR(VLOOKUP(B481,infoTable__11[],4,FALSE),"")</f>
        <v/>
      </c>
      <c r="L481" s="4" t="str">
        <f>IFERROR(VLOOKUP(B481,infoTable__12[],4,FALSE),"")</f>
        <v/>
      </c>
      <c r="M481" s="4">
        <f>IFERROR(VLOOKUP(B481,infoTable__13[],4,FALSE),"")</f>
        <v>233460</v>
      </c>
      <c r="N481" s="4">
        <f>IFERROR(VLOOKUP(B481,infoTable__14[],4,FALSE),"")</f>
        <v>277112</v>
      </c>
      <c r="O481" s="4" t="str">
        <f>IFERROR(VLOOKUP(B481,infoTable__15[],4,FALSE),"")</f>
        <v/>
      </c>
      <c r="P481" s="4" t="str">
        <f>IFERROR(VLOOKUP(B481,infoTable__16[],4,FALSE),"")</f>
        <v/>
      </c>
    </row>
    <row r="482" spans="1:16" x14ac:dyDescent="0.55000000000000004">
      <c r="A482" t="s">
        <v>1721</v>
      </c>
      <c r="B482" t="s">
        <v>1722</v>
      </c>
      <c r="C482" s="4" t="str">
        <f>IFERROR(VLOOKUP(B482,infoTable10[],4,FALSE),"")</f>
        <v/>
      </c>
      <c r="D482" s="4" t="str">
        <f>IFERROR(VLOOKUP(B482,infoTable__2[],4,FALSE),"")</f>
        <v/>
      </c>
      <c r="E482" s="4" t="str">
        <f>IFERROR(VLOOKUP(B482,infoTable__3[],4,FALSE),"")</f>
        <v/>
      </c>
      <c r="F482" s="4" t="str">
        <f>IFERROR(VLOOKUP(B482,infoTable__4[],4,FALSE),"")</f>
        <v/>
      </c>
      <c r="G482" s="4" t="str">
        <f>IFERROR(VLOOKUP(B482,infoTable[],4,FALSE),"")</f>
        <v/>
      </c>
      <c r="H482" s="4" t="str">
        <f>IFERROR(VLOOKUP(B482,infoTable__6[],4,FALSE),"")</f>
        <v/>
      </c>
      <c r="I482" s="4" t="str">
        <f>IFERROR(VLOOKUP(B482,infoTable__28[],4,FALSE),"")</f>
        <v/>
      </c>
      <c r="J482" s="4">
        <f>IFERROR(VLOOKUP(B482,infoTable__10[],4,FALSE),"")</f>
        <v>465507</v>
      </c>
      <c r="K482" s="4">
        <f>IFERROR(VLOOKUP(B482,infoTable__11[],4,FALSE),"")</f>
        <v>547978</v>
      </c>
      <c r="L482" s="4" t="str">
        <f>IFERROR(VLOOKUP(B482,infoTable__12[],4,FALSE),"")</f>
        <v/>
      </c>
      <c r="M482" s="4" t="str">
        <f>IFERROR(VLOOKUP(B482,infoTable__13[],4,FALSE),"")</f>
        <v/>
      </c>
      <c r="N482" s="4" t="str">
        <f>IFERROR(VLOOKUP(B482,infoTable__14[],4,FALSE),"")</f>
        <v/>
      </c>
      <c r="O482" s="4" t="str">
        <f>IFERROR(VLOOKUP(B482,infoTable__15[],4,FALSE),"")</f>
        <v/>
      </c>
      <c r="P482" s="4" t="str">
        <f>IFERROR(VLOOKUP(B482,infoTable__16[],4,FALSE),"")</f>
        <v/>
      </c>
    </row>
    <row r="483" spans="1:16" x14ac:dyDescent="0.55000000000000004">
      <c r="A483" t="s">
        <v>3117</v>
      </c>
      <c r="B483" t="s">
        <v>3118</v>
      </c>
      <c r="C483" s="4" t="str">
        <f>IFERROR(VLOOKUP(B483,infoTable10[],4,FALSE),"")</f>
        <v/>
      </c>
      <c r="D483" s="4" t="str">
        <f>IFERROR(VLOOKUP(B483,infoTable__2[],4,FALSE),"")</f>
        <v/>
      </c>
      <c r="E483" s="4" t="str">
        <f>IFERROR(VLOOKUP(B483,infoTable__3[],4,FALSE),"")</f>
        <v/>
      </c>
      <c r="F483" s="4" t="str">
        <f>IFERROR(VLOOKUP(B483,infoTable__4[],4,FALSE),"")</f>
        <v/>
      </c>
      <c r="G483" s="4" t="str">
        <f>IFERROR(VLOOKUP(B483,infoTable[],4,FALSE),"")</f>
        <v/>
      </c>
      <c r="H483" s="4" t="str">
        <f>IFERROR(VLOOKUP(B483,infoTable__6[],4,FALSE),"")</f>
        <v/>
      </c>
      <c r="I483" s="4" t="str">
        <f>IFERROR(VLOOKUP(B483,infoTable__28[],4,FALSE),"")</f>
        <v/>
      </c>
      <c r="J483" s="4" t="str">
        <f>IFERROR(VLOOKUP(B483,infoTable__10[],4,FALSE),"")</f>
        <v/>
      </c>
      <c r="K483" s="4" t="str">
        <f>IFERROR(VLOOKUP(B483,infoTable__11[],4,FALSE),"")</f>
        <v/>
      </c>
      <c r="L483" s="4" t="str">
        <f>IFERROR(VLOOKUP(B483,infoTable__12[],4,FALSE),"")</f>
        <v/>
      </c>
      <c r="M483" s="4" t="str">
        <f>IFERROR(VLOOKUP(B483,infoTable__13[],4,FALSE),"")</f>
        <v/>
      </c>
      <c r="N483" s="4" t="str">
        <f>IFERROR(VLOOKUP(B483,infoTable__14[],4,FALSE),"")</f>
        <v/>
      </c>
      <c r="O483" s="4">
        <f>IFERROR(VLOOKUP(B483,infoTable__15[],4,FALSE),"")</f>
        <v>451960</v>
      </c>
      <c r="P483" s="4">
        <f>IFERROR(VLOOKUP(B483,infoTable__16[],4,FALSE),"")</f>
        <v>311984</v>
      </c>
    </row>
    <row r="484" spans="1:16" x14ac:dyDescent="0.55000000000000004">
      <c r="A484" t="s">
        <v>1532</v>
      </c>
      <c r="B484" t="s">
        <v>1533</v>
      </c>
      <c r="C484" s="4">
        <f>IFERROR(VLOOKUP(B484,infoTable10[],4,FALSE),"")</f>
        <v>916017</v>
      </c>
      <c r="D484" s="4" t="str">
        <f>IFERROR(VLOOKUP(B484,infoTable__2[],4,FALSE),"")</f>
        <v/>
      </c>
      <c r="E484" s="4" t="str">
        <f>IFERROR(VLOOKUP(B484,infoTable__3[],4,FALSE),"")</f>
        <v/>
      </c>
      <c r="F484" s="4" t="str">
        <f>IFERROR(VLOOKUP(B484,infoTable__4[],4,FALSE),"")</f>
        <v/>
      </c>
      <c r="G484" s="4" t="str">
        <f>IFERROR(VLOOKUP(B484,infoTable[],4,FALSE),"")</f>
        <v/>
      </c>
      <c r="H484" s="4" t="str">
        <f>IFERROR(VLOOKUP(B484,infoTable__6[],4,FALSE),"")</f>
        <v/>
      </c>
      <c r="I484" s="4" t="str">
        <f>IFERROR(VLOOKUP(B484,infoTable__28[],4,FALSE),"")</f>
        <v/>
      </c>
      <c r="J484" s="4" t="str">
        <f>IFERROR(VLOOKUP(B484,infoTable__10[],4,FALSE),"")</f>
        <v/>
      </c>
      <c r="K484" s="4" t="str">
        <f>IFERROR(VLOOKUP(B484,infoTable__11[],4,FALSE),"")</f>
        <v/>
      </c>
      <c r="L484" s="4" t="str">
        <f>IFERROR(VLOOKUP(B484,infoTable__12[],4,FALSE),"")</f>
        <v/>
      </c>
      <c r="M484" s="4" t="str">
        <f>IFERROR(VLOOKUP(B484,infoTable__13[],4,FALSE),"")</f>
        <v/>
      </c>
      <c r="N484" s="4" t="str">
        <f>IFERROR(VLOOKUP(B484,infoTable__14[],4,FALSE),"")</f>
        <v/>
      </c>
      <c r="O484" s="4" t="str">
        <f>IFERROR(VLOOKUP(B484,infoTable__15[],4,FALSE),"")</f>
        <v/>
      </c>
      <c r="P484" s="4" t="str">
        <f>IFERROR(VLOOKUP(B484,infoTable__16[],4,FALSE),"")</f>
        <v/>
      </c>
    </row>
    <row r="485" spans="1:16" x14ac:dyDescent="0.55000000000000004">
      <c r="A485" t="s">
        <v>1064</v>
      </c>
      <c r="B485" t="s">
        <v>1065</v>
      </c>
      <c r="C485" s="4" t="str">
        <f>IFERROR(VLOOKUP(B485,infoTable10[],4,FALSE),"")</f>
        <v/>
      </c>
      <c r="D485" s="4" t="str">
        <f>IFERROR(VLOOKUP(B485,infoTable__2[],4,FALSE),"")</f>
        <v/>
      </c>
      <c r="E485" s="4" t="str">
        <f>IFERROR(VLOOKUP(B485,infoTable__3[],4,FALSE),"")</f>
        <v/>
      </c>
      <c r="F485" s="4" t="str">
        <f>IFERROR(VLOOKUP(B485,infoTable__4[],4,FALSE),"")</f>
        <v/>
      </c>
      <c r="G485" s="4" t="str">
        <f>IFERROR(VLOOKUP(B485,infoTable[],4,FALSE),"")</f>
        <v/>
      </c>
      <c r="H485" s="4">
        <f>IFERROR(VLOOKUP(B485,infoTable__6[],4,FALSE),"")</f>
        <v>36040</v>
      </c>
      <c r="I485" s="4">
        <f>IFERROR(VLOOKUP(B485,infoTable__28[],4,FALSE),"")</f>
        <v>41340</v>
      </c>
      <c r="J485" s="4">
        <f>IFERROR(VLOOKUP(B485,infoTable__10[],4,FALSE),"")</f>
        <v>362670</v>
      </c>
      <c r="K485" s="4">
        <f>IFERROR(VLOOKUP(B485,infoTable__11[],4,FALSE),"")</f>
        <v>87728</v>
      </c>
      <c r="L485" s="4">
        <f>IFERROR(VLOOKUP(B485,infoTable__12[],4,FALSE),"")</f>
        <v>562447</v>
      </c>
      <c r="M485" s="4">
        <f>IFERROR(VLOOKUP(B485,infoTable__13[],4,FALSE),"")</f>
        <v>583268</v>
      </c>
      <c r="N485" s="4">
        <f>IFERROR(VLOOKUP(B485,infoTable__14[],4,FALSE),"")</f>
        <v>722114</v>
      </c>
      <c r="O485" s="4" t="str">
        <f>IFERROR(VLOOKUP(B485,infoTable__15[],4,FALSE),"")</f>
        <v/>
      </c>
      <c r="P485" s="4" t="str">
        <f>IFERROR(VLOOKUP(B485,infoTable__16[],4,FALSE),"")</f>
        <v/>
      </c>
    </row>
    <row r="486" spans="1:16" x14ac:dyDescent="0.55000000000000004">
      <c r="A486" t="s">
        <v>2478</v>
      </c>
      <c r="B486" t="s">
        <v>2479</v>
      </c>
      <c r="C486" s="4" t="str">
        <f>IFERROR(VLOOKUP(B486,infoTable10[],4,FALSE),"")</f>
        <v/>
      </c>
      <c r="D486" s="4" t="str">
        <f>IFERROR(VLOOKUP(B486,infoTable__2[],4,FALSE),"")</f>
        <v/>
      </c>
      <c r="E486" s="4" t="str">
        <f>IFERROR(VLOOKUP(B486,infoTable__3[],4,FALSE),"")</f>
        <v/>
      </c>
      <c r="F486" s="4" t="str">
        <f>IFERROR(VLOOKUP(B486,infoTable__4[],4,FALSE),"")</f>
        <v/>
      </c>
      <c r="G486" s="4" t="str">
        <f>IFERROR(VLOOKUP(B486,infoTable[],4,FALSE),"")</f>
        <v/>
      </c>
      <c r="H486" s="4" t="str">
        <f>IFERROR(VLOOKUP(B486,infoTable__6[],4,FALSE),"")</f>
        <v/>
      </c>
      <c r="I486" s="4" t="str">
        <f>IFERROR(VLOOKUP(B486,infoTable__28[],4,FALSE),"")</f>
        <v/>
      </c>
      <c r="J486" s="4" t="str">
        <f>IFERROR(VLOOKUP(B486,infoTable__10[],4,FALSE),"")</f>
        <v/>
      </c>
      <c r="K486" s="4" t="str">
        <f>IFERROR(VLOOKUP(B486,infoTable__11[],4,FALSE),"")</f>
        <v/>
      </c>
      <c r="L486" s="4" t="str">
        <f>IFERROR(VLOOKUP(B486,infoTable__12[],4,FALSE),"")</f>
        <v/>
      </c>
      <c r="M486" s="4">
        <f>IFERROR(VLOOKUP(B486,infoTable__13[],4,FALSE),"")</f>
        <v>173840</v>
      </c>
      <c r="N486" s="4" t="str">
        <f>IFERROR(VLOOKUP(B486,infoTable__14[],4,FALSE),"")</f>
        <v/>
      </c>
      <c r="O486" s="4" t="str">
        <f>IFERROR(VLOOKUP(B486,infoTable__15[],4,FALSE),"")</f>
        <v/>
      </c>
      <c r="P486" s="4" t="str">
        <f>IFERROR(VLOOKUP(B486,infoTable__16[],4,FALSE),"")</f>
        <v/>
      </c>
    </row>
    <row r="487" spans="1:16" x14ac:dyDescent="0.55000000000000004">
      <c r="A487" t="s">
        <v>1961</v>
      </c>
      <c r="B487" t="s">
        <v>1962</v>
      </c>
      <c r="C487" s="4" t="str">
        <f>IFERROR(VLOOKUP(B487,infoTable10[],4,FALSE),"")</f>
        <v/>
      </c>
      <c r="D487" s="4" t="str">
        <f>IFERROR(VLOOKUP(B487,infoTable__2[],4,FALSE),"")</f>
        <v/>
      </c>
      <c r="E487" s="4" t="str">
        <f>IFERROR(VLOOKUP(B487,infoTable__3[],4,FALSE),"")</f>
        <v/>
      </c>
      <c r="F487" s="4" t="str">
        <f>IFERROR(VLOOKUP(B487,infoTable__4[],4,FALSE),"")</f>
        <v/>
      </c>
      <c r="G487" s="4" t="str">
        <f>IFERROR(VLOOKUP(B487,infoTable[],4,FALSE),"")</f>
        <v/>
      </c>
      <c r="H487" s="4" t="str">
        <f>IFERROR(VLOOKUP(B487,infoTable__6[],4,FALSE),"")</f>
        <v/>
      </c>
      <c r="I487" s="4" t="str">
        <f>IFERROR(VLOOKUP(B487,infoTable__28[],4,FALSE),"")</f>
        <v/>
      </c>
      <c r="J487" s="4" t="str">
        <f>IFERROR(VLOOKUP(B487,infoTable__10[],4,FALSE),"")</f>
        <v/>
      </c>
      <c r="K487" s="4">
        <f>IFERROR(VLOOKUP(B487,infoTable__11[],4,FALSE),"")</f>
        <v>317713</v>
      </c>
      <c r="L487" s="4">
        <f>IFERROR(VLOOKUP(B487,infoTable__12[],4,FALSE),"")</f>
        <v>808034</v>
      </c>
      <c r="M487" s="4" t="str">
        <f>IFERROR(VLOOKUP(B487,infoTable__13[],4,FALSE),"")</f>
        <v/>
      </c>
      <c r="N487" s="4" t="str">
        <f>IFERROR(VLOOKUP(B487,infoTable__14[],4,FALSE),"")</f>
        <v/>
      </c>
      <c r="O487" s="4" t="str">
        <f>IFERROR(VLOOKUP(B487,infoTable__15[],4,FALSE),"")</f>
        <v/>
      </c>
      <c r="P487" s="4" t="str">
        <f>IFERROR(VLOOKUP(B487,infoTable__16[],4,FALSE),"")</f>
        <v/>
      </c>
    </row>
    <row r="488" spans="1:16" x14ac:dyDescent="0.55000000000000004">
      <c r="A488" t="s">
        <v>3452</v>
      </c>
      <c r="B488" t="s">
        <v>3453</v>
      </c>
      <c r="C488" s="4" t="str">
        <f>IFERROR(VLOOKUP(B488,infoTable10[],4,FALSE),"")</f>
        <v/>
      </c>
      <c r="D488" s="4" t="str">
        <f>IFERROR(VLOOKUP(B488,infoTable__2[],4,FALSE),"")</f>
        <v/>
      </c>
      <c r="E488" s="4" t="str">
        <f>IFERROR(VLOOKUP(B488,infoTable__3[],4,FALSE),"")</f>
        <v/>
      </c>
      <c r="F488" s="4" t="str">
        <f>IFERROR(VLOOKUP(B488,infoTable__4[],4,FALSE),"")</f>
        <v/>
      </c>
      <c r="G488" s="4" t="str">
        <f>IFERROR(VLOOKUP(B488,infoTable[],4,FALSE),"")</f>
        <v/>
      </c>
      <c r="H488" s="4" t="str">
        <f>IFERROR(VLOOKUP(B488,infoTable__6[],4,FALSE),"")</f>
        <v/>
      </c>
      <c r="I488" s="4" t="str">
        <f>IFERROR(VLOOKUP(B488,infoTable__28[],4,FALSE),"")</f>
        <v/>
      </c>
      <c r="J488" s="4" t="str">
        <f>IFERROR(VLOOKUP(B488,infoTable__10[],4,FALSE),"")</f>
        <v/>
      </c>
      <c r="K488" s="4" t="str">
        <f>IFERROR(VLOOKUP(B488,infoTable__11[],4,FALSE),"")</f>
        <v/>
      </c>
      <c r="L488" s="4" t="str">
        <f>IFERROR(VLOOKUP(B488,infoTable__12[],4,FALSE),"")</f>
        <v/>
      </c>
      <c r="M488" s="4" t="str">
        <f>IFERROR(VLOOKUP(B488,infoTable__13[],4,FALSE),"")</f>
        <v/>
      </c>
      <c r="N488" s="4" t="str">
        <f>IFERROR(VLOOKUP(B488,infoTable__14[],4,FALSE),"")</f>
        <v/>
      </c>
      <c r="O488" s="4" t="str">
        <f>IFERROR(VLOOKUP(B488,infoTable__15[],4,FALSE),"")</f>
        <v/>
      </c>
      <c r="P488" s="4">
        <f>IFERROR(VLOOKUP(B488,infoTable__16[],4,FALSE),"")</f>
        <v>663701</v>
      </c>
    </row>
    <row r="489" spans="1:16" x14ac:dyDescent="0.55000000000000004">
      <c r="A489" t="s">
        <v>879</v>
      </c>
      <c r="B489" t="s">
        <v>881</v>
      </c>
      <c r="C489" s="4" t="str">
        <f>IFERROR(VLOOKUP(B489,infoTable10[],4,FALSE),"")</f>
        <v/>
      </c>
      <c r="D489" s="4" t="str">
        <f>IFERROR(VLOOKUP(B489,infoTable__2[],4,FALSE),"")</f>
        <v/>
      </c>
      <c r="E489" s="4" t="str">
        <f>IFERROR(VLOOKUP(B489,infoTable__3[],4,FALSE),"")</f>
        <v/>
      </c>
      <c r="F489" s="4">
        <f>IFERROR(VLOOKUP(B489,infoTable__4[],4,FALSE),"")</f>
        <v>2341638</v>
      </c>
      <c r="G489" s="4" t="str">
        <f>IFERROR(VLOOKUP(B489,infoTable[],4,FALSE),"")</f>
        <v/>
      </c>
      <c r="H489" s="4" t="str">
        <f>IFERROR(VLOOKUP(B489,infoTable__6[],4,FALSE),"")</f>
        <v/>
      </c>
      <c r="I489" s="4">
        <f>IFERROR(VLOOKUP(B489,infoTable__28[],4,FALSE),"")</f>
        <v>232064</v>
      </c>
      <c r="J489" s="4">
        <f>IFERROR(VLOOKUP(B489,infoTable__10[],4,FALSE),"")</f>
        <v>316207</v>
      </c>
      <c r="K489" s="4" t="str">
        <f>IFERROR(VLOOKUP(B489,infoTable__11[],4,FALSE),"")</f>
        <v/>
      </c>
      <c r="L489" s="4" t="str">
        <f>IFERROR(VLOOKUP(B489,infoTable__12[],4,FALSE),"")</f>
        <v/>
      </c>
      <c r="M489" s="4" t="str">
        <f>IFERROR(VLOOKUP(B489,infoTable__13[],4,FALSE),"")</f>
        <v/>
      </c>
      <c r="N489" s="4" t="str">
        <f>IFERROR(VLOOKUP(B489,infoTable__14[],4,FALSE),"")</f>
        <v/>
      </c>
      <c r="O489" s="4" t="str">
        <f>IFERROR(VLOOKUP(B489,infoTable__15[],4,FALSE),"")</f>
        <v/>
      </c>
      <c r="P489" s="4" t="str">
        <f>IFERROR(VLOOKUP(B489,infoTable__16[],4,FALSE),"")</f>
        <v/>
      </c>
    </row>
    <row r="490" spans="1:16" x14ac:dyDescent="0.55000000000000004">
      <c r="A490" t="s">
        <v>2281</v>
      </c>
      <c r="B490" t="s">
        <v>2282</v>
      </c>
      <c r="C490" s="4" t="str">
        <f>IFERROR(VLOOKUP(B490,infoTable10[],4,FALSE),"")</f>
        <v/>
      </c>
      <c r="D490" s="4" t="str">
        <f>IFERROR(VLOOKUP(B490,infoTable__2[],4,FALSE),"")</f>
        <v/>
      </c>
      <c r="E490" s="4" t="str">
        <f>IFERROR(VLOOKUP(B490,infoTable__3[],4,FALSE),"")</f>
        <v/>
      </c>
      <c r="F490" s="4" t="str">
        <f>IFERROR(VLOOKUP(B490,infoTable__4[],4,FALSE),"")</f>
        <v/>
      </c>
      <c r="G490" s="4" t="str">
        <f>IFERROR(VLOOKUP(B490,infoTable[],4,FALSE),"")</f>
        <v/>
      </c>
      <c r="H490" s="4" t="str">
        <f>IFERROR(VLOOKUP(B490,infoTable__6[],4,FALSE),"")</f>
        <v/>
      </c>
      <c r="I490" s="4" t="str">
        <f>IFERROR(VLOOKUP(B490,infoTable__28[],4,FALSE),"")</f>
        <v/>
      </c>
      <c r="J490" s="4" t="str">
        <f>IFERROR(VLOOKUP(B490,infoTable__10[],4,FALSE),"")</f>
        <v/>
      </c>
      <c r="K490" s="4" t="str">
        <f>IFERROR(VLOOKUP(B490,infoTable__11[],4,FALSE),"")</f>
        <v/>
      </c>
      <c r="L490" s="4">
        <f>IFERROR(VLOOKUP(B490,infoTable__12[],4,FALSE),"")</f>
        <v>797803</v>
      </c>
      <c r="M490" s="4" t="str">
        <f>IFERROR(VLOOKUP(B490,infoTable__13[],4,FALSE),"")</f>
        <v/>
      </c>
      <c r="N490" s="4" t="str">
        <f>IFERROR(VLOOKUP(B490,infoTable__14[],4,FALSE),"")</f>
        <v/>
      </c>
      <c r="O490" s="4" t="str">
        <f>IFERROR(VLOOKUP(B490,infoTable__15[],4,FALSE),"")</f>
        <v/>
      </c>
      <c r="P490" s="4" t="str">
        <f>IFERROR(VLOOKUP(B490,infoTable__16[],4,FALSE),"")</f>
        <v/>
      </c>
    </row>
    <row r="491" spans="1:16" x14ac:dyDescent="0.55000000000000004">
      <c r="A491" t="s">
        <v>766</v>
      </c>
      <c r="B491" t="s">
        <v>767</v>
      </c>
      <c r="C491" s="4" t="str">
        <f>IFERROR(VLOOKUP(B491,infoTable10[],4,FALSE),"")</f>
        <v/>
      </c>
      <c r="D491" s="4" t="str">
        <f>IFERROR(VLOOKUP(B491,infoTable__2[],4,FALSE),"")</f>
        <v/>
      </c>
      <c r="E491" s="4">
        <f>IFERROR(VLOOKUP(B491,infoTable__3[],4,FALSE),"")</f>
        <v>6108688</v>
      </c>
      <c r="F491" s="4">
        <f>IFERROR(VLOOKUP(B491,infoTable__4[],4,FALSE),"")</f>
        <v>1711519</v>
      </c>
      <c r="G491" s="4" t="str">
        <f>IFERROR(VLOOKUP(B491,infoTable[],4,FALSE),"")</f>
        <v/>
      </c>
      <c r="H491" s="4" t="str">
        <f>IFERROR(VLOOKUP(B491,infoTable__6[],4,FALSE),"")</f>
        <v/>
      </c>
      <c r="I491" s="4" t="str">
        <f>IFERROR(VLOOKUP(B491,infoTable__28[],4,FALSE),"")</f>
        <v/>
      </c>
      <c r="J491" s="4" t="str">
        <f>IFERROR(VLOOKUP(B491,infoTable__10[],4,FALSE),"")</f>
        <v/>
      </c>
      <c r="K491" s="4" t="str">
        <f>IFERROR(VLOOKUP(B491,infoTable__11[],4,FALSE),"")</f>
        <v/>
      </c>
      <c r="L491" s="4" t="str">
        <f>IFERROR(VLOOKUP(B491,infoTable__12[],4,FALSE),"")</f>
        <v/>
      </c>
      <c r="M491" s="4" t="str">
        <f>IFERROR(VLOOKUP(B491,infoTable__13[],4,FALSE),"")</f>
        <v/>
      </c>
      <c r="N491" s="4" t="str">
        <f>IFERROR(VLOOKUP(B491,infoTable__14[],4,FALSE),"")</f>
        <v/>
      </c>
      <c r="O491" s="4" t="str">
        <f>IFERROR(VLOOKUP(B491,infoTable__15[],4,FALSE),"")</f>
        <v/>
      </c>
      <c r="P491" s="4" t="str">
        <f>IFERROR(VLOOKUP(B491,infoTable__16[],4,FALSE),"")</f>
        <v/>
      </c>
    </row>
    <row r="492" spans="1:16" x14ac:dyDescent="0.55000000000000004">
      <c r="A492" t="s">
        <v>1534</v>
      </c>
      <c r="B492" t="s">
        <v>883</v>
      </c>
      <c r="C492" s="4">
        <f>IFERROR(VLOOKUP(B492,infoTable10[],4,FALSE),"")</f>
        <v>558181</v>
      </c>
      <c r="D492" s="4" t="str">
        <f>IFERROR(VLOOKUP(B492,infoTable__2[],4,FALSE),"")</f>
        <v/>
      </c>
      <c r="E492" s="4" t="str">
        <f>IFERROR(VLOOKUP(B492,infoTable__3[],4,FALSE),"")</f>
        <v/>
      </c>
      <c r="F492" s="4">
        <f>IFERROR(VLOOKUP(B492,infoTable__4[],4,FALSE),"")</f>
        <v>1145308</v>
      </c>
      <c r="G492" s="4" t="str">
        <f>IFERROR(VLOOKUP(B492,infoTable[],4,FALSE),"")</f>
        <v/>
      </c>
      <c r="H492" s="4" t="str">
        <f>IFERROR(VLOOKUP(B492,infoTable__6[],4,FALSE),"")</f>
        <v/>
      </c>
      <c r="I492" s="4" t="str">
        <f>IFERROR(VLOOKUP(B492,infoTable__28[],4,FALSE),"")</f>
        <v/>
      </c>
      <c r="J492" s="4" t="str">
        <f>IFERROR(VLOOKUP(B492,infoTable__10[],4,FALSE),"")</f>
        <v/>
      </c>
      <c r="K492" s="4" t="str">
        <f>IFERROR(VLOOKUP(B492,infoTable__11[],4,FALSE),"")</f>
        <v/>
      </c>
      <c r="L492" s="4" t="str">
        <f>IFERROR(VLOOKUP(B492,infoTable__12[],4,FALSE),"")</f>
        <v/>
      </c>
      <c r="M492" s="4" t="str">
        <f>IFERROR(VLOOKUP(B492,infoTable__13[],4,FALSE),"")</f>
        <v/>
      </c>
      <c r="N492" s="4" t="str">
        <f>IFERROR(VLOOKUP(B492,infoTable__14[],4,FALSE),"")</f>
        <v/>
      </c>
      <c r="O492" s="4" t="str">
        <f>IFERROR(VLOOKUP(B492,infoTable__15[],4,FALSE),"")</f>
        <v/>
      </c>
      <c r="P492" s="4">
        <f>IFERROR(VLOOKUP(B492,infoTable__16[],4,FALSE),"")</f>
        <v>2343924</v>
      </c>
    </row>
    <row r="493" spans="1:16" x14ac:dyDescent="0.55000000000000004">
      <c r="A493" t="s">
        <v>768</v>
      </c>
      <c r="B493" t="s">
        <v>769</v>
      </c>
      <c r="C493" s="4" t="str">
        <f>IFERROR(VLOOKUP(B493,infoTable10[],4,FALSE),"")</f>
        <v/>
      </c>
      <c r="D493" s="4" t="str">
        <f>IFERROR(VLOOKUP(B493,infoTable__2[],4,FALSE),"")</f>
        <v/>
      </c>
      <c r="E493" s="4">
        <f>IFERROR(VLOOKUP(B493,infoTable__3[],4,FALSE),"")</f>
        <v>3525060</v>
      </c>
      <c r="F493" s="4" t="str">
        <f>IFERROR(VLOOKUP(B493,infoTable__4[],4,FALSE),"")</f>
        <v/>
      </c>
      <c r="G493" s="4" t="str">
        <f>IFERROR(VLOOKUP(B493,infoTable[],4,FALSE),"")</f>
        <v/>
      </c>
      <c r="H493" s="4" t="str">
        <f>IFERROR(VLOOKUP(B493,infoTable__6[],4,FALSE),"")</f>
        <v/>
      </c>
      <c r="I493" s="4" t="str">
        <f>IFERROR(VLOOKUP(B493,infoTable__28[],4,FALSE),"")</f>
        <v/>
      </c>
      <c r="J493" s="4" t="str">
        <f>IFERROR(VLOOKUP(B493,infoTable__10[],4,FALSE),"")</f>
        <v/>
      </c>
      <c r="K493" s="4" t="str">
        <f>IFERROR(VLOOKUP(B493,infoTable__11[],4,FALSE),"")</f>
        <v/>
      </c>
      <c r="L493" s="4" t="str">
        <f>IFERROR(VLOOKUP(B493,infoTable__12[],4,FALSE),"")</f>
        <v/>
      </c>
      <c r="M493" s="4" t="str">
        <f>IFERROR(VLOOKUP(B493,infoTable__13[],4,FALSE),"")</f>
        <v/>
      </c>
      <c r="N493" s="4" t="str">
        <f>IFERROR(VLOOKUP(B493,infoTable__14[],4,FALSE),"")</f>
        <v/>
      </c>
      <c r="O493" s="4" t="str">
        <f>IFERROR(VLOOKUP(B493,infoTable__15[],4,FALSE),"")</f>
        <v/>
      </c>
      <c r="P493" s="4" t="str">
        <f>IFERROR(VLOOKUP(B493,infoTable__16[],4,FALSE),"")</f>
        <v/>
      </c>
    </row>
    <row r="494" spans="1:16" x14ac:dyDescent="0.55000000000000004">
      <c r="A494" t="s">
        <v>2543</v>
      </c>
      <c r="B494" t="s">
        <v>2544</v>
      </c>
      <c r="C494" s="4" t="str">
        <f>IFERROR(VLOOKUP(B494,infoTable10[],4,FALSE),"")</f>
        <v/>
      </c>
      <c r="D494" s="4" t="str">
        <f>IFERROR(VLOOKUP(B494,infoTable__2[],4,FALSE),"")</f>
        <v/>
      </c>
      <c r="E494" s="4" t="str">
        <f>IFERROR(VLOOKUP(B494,infoTable__3[],4,FALSE),"")</f>
        <v/>
      </c>
      <c r="F494" s="4" t="str">
        <f>IFERROR(VLOOKUP(B494,infoTable__4[],4,FALSE),"")</f>
        <v/>
      </c>
      <c r="G494" s="4" t="str">
        <f>IFERROR(VLOOKUP(B494,infoTable[],4,FALSE),"")</f>
        <v/>
      </c>
      <c r="H494" s="4" t="str">
        <f>IFERROR(VLOOKUP(B494,infoTable__6[],4,FALSE),"")</f>
        <v/>
      </c>
      <c r="I494" s="4" t="str">
        <f>IFERROR(VLOOKUP(B494,infoTable__28[],4,FALSE),"")</f>
        <v/>
      </c>
      <c r="J494" s="4" t="str">
        <f>IFERROR(VLOOKUP(B494,infoTable__10[],4,FALSE),"")</f>
        <v/>
      </c>
      <c r="K494" s="4" t="str">
        <f>IFERROR(VLOOKUP(B494,infoTable__11[],4,FALSE),"")</f>
        <v/>
      </c>
      <c r="L494" s="4" t="str">
        <f>IFERROR(VLOOKUP(B494,infoTable__12[],4,FALSE),"")</f>
        <v/>
      </c>
      <c r="M494" s="4">
        <f>IFERROR(VLOOKUP(B494,infoTable__13[],4,FALSE),"")</f>
        <v>4850806</v>
      </c>
      <c r="N494" s="4" t="str">
        <f>IFERROR(VLOOKUP(B494,infoTable__14[],4,FALSE),"")</f>
        <v/>
      </c>
      <c r="O494" s="4" t="str">
        <f>IFERROR(VLOOKUP(B494,infoTable__15[],4,FALSE),"")</f>
        <v/>
      </c>
      <c r="P494" s="4" t="str">
        <f>IFERROR(VLOOKUP(B494,infoTable__16[],4,FALSE),"")</f>
        <v/>
      </c>
    </row>
    <row r="495" spans="1:16" x14ac:dyDescent="0.55000000000000004">
      <c r="A495" t="s">
        <v>2721</v>
      </c>
      <c r="B495" t="s">
        <v>2720</v>
      </c>
      <c r="C495" s="4" t="str">
        <f>IFERROR(VLOOKUP(B495,infoTable10[],4,FALSE),"")</f>
        <v/>
      </c>
      <c r="D495" s="4" t="str">
        <f>IFERROR(VLOOKUP(B495,infoTable__2[],4,FALSE),"")</f>
        <v/>
      </c>
      <c r="E495" s="4" t="str">
        <f>IFERROR(VLOOKUP(B495,infoTable__3[],4,FALSE),"")</f>
        <v/>
      </c>
      <c r="F495" s="4" t="str">
        <f>IFERROR(VLOOKUP(B495,infoTable__4[],4,FALSE),"")</f>
        <v/>
      </c>
      <c r="G495" s="4" t="str">
        <f>IFERROR(VLOOKUP(B495,infoTable[],4,FALSE),"")</f>
        <v/>
      </c>
      <c r="H495" s="4" t="str">
        <f>IFERROR(VLOOKUP(B495,infoTable__6[],4,FALSE),"")</f>
        <v/>
      </c>
      <c r="I495" s="4" t="str">
        <f>IFERROR(VLOOKUP(B495,infoTable__28[],4,FALSE),"")</f>
        <v/>
      </c>
      <c r="J495" s="4" t="str">
        <f>IFERROR(VLOOKUP(B495,infoTable__10[],4,FALSE),"")</f>
        <v/>
      </c>
      <c r="K495" s="4" t="str">
        <f>IFERROR(VLOOKUP(B495,infoTable__11[],4,FALSE),"")</f>
        <v/>
      </c>
      <c r="L495" s="4" t="str">
        <f>IFERROR(VLOOKUP(B495,infoTable__12[],4,FALSE),"")</f>
        <v/>
      </c>
      <c r="M495" s="4" t="str">
        <f>IFERROR(VLOOKUP(B495,infoTable__13[],4,FALSE),"")</f>
        <v/>
      </c>
      <c r="N495" s="4">
        <f>IFERROR(VLOOKUP(B495,infoTable__14[],4,FALSE),"")</f>
        <v>1457646</v>
      </c>
      <c r="O495" s="4">
        <f>IFERROR(VLOOKUP(B495,infoTable__15[],4,FALSE),"")</f>
        <v>1989492</v>
      </c>
      <c r="P495" s="4">
        <f>IFERROR(VLOOKUP(B495,infoTable__16[],4,FALSE),"")</f>
        <v>920431</v>
      </c>
    </row>
    <row r="496" spans="1:16" x14ac:dyDescent="0.55000000000000004">
      <c r="A496" t="s">
        <v>1365</v>
      </c>
      <c r="B496" t="s">
        <v>1366</v>
      </c>
      <c r="C496" s="4" t="str">
        <f>IFERROR(VLOOKUP(B496,infoTable10[],4,FALSE),"")</f>
        <v/>
      </c>
      <c r="D496" s="4" t="str">
        <f>IFERROR(VLOOKUP(B496,infoTable__2[],4,FALSE),"")</f>
        <v/>
      </c>
      <c r="E496" s="4" t="str">
        <f>IFERROR(VLOOKUP(B496,infoTable__3[],4,FALSE),"")</f>
        <v/>
      </c>
      <c r="F496" s="4" t="str">
        <f>IFERROR(VLOOKUP(B496,infoTable__4[],4,FALSE),"")</f>
        <v/>
      </c>
      <c r="G496" s="4" t="str">
        <f>IFERROR(VLOOKUP(B496,infoTable[],4,FALSE),"")</f>
        <v/>
      </c>
      <c r="H496" s="4" t="str">
        <f>IFERROR(VLOOKUP(B496,infoTable__6[],4,FALSE),"")</f>
        <v/>
      </c>
      <c r="I496" s="4">
        <f>IFERROR(VLOOKUP(B496,infoTable__28[],4,FALSE),"")</f>
        <v>644334</v>
      </c>
      <c r="J496" s="4">
        <f>IFERROR(VLOOKUP(B496,infoTable__10[],4,FALSE),"")</f>
        <v>1607135</v>
      </c>
      <c r="K496" s="4" t="str">
        <f>IFERROR(VLOOKUP(B496,infoTable__11[],4,FALSE),"")</f>
        <v/>
      </c>
      <c r="L496" s="4" t="str">
        <f>IFERROR(VLOOKUP(B496,infoTable__12[],4,FALSE),"")</f>
        <v/>
      </c>
      <c r="M496" s="4" t="str">
        <f>IFERROR(VLOOKUP(B496,infoTable__13[],4,FALSE),"")</f>
        <v/>
      </c>
      <c r="N496" s="4" t="str">
        <f>IFERROR(VLOOKUP(B496,infoTable__14[],4,FALSE),"")</f>
        <v/>
      </c>
      <c r="O496" s="4" t="str">
        <f>IFERROR(VLOOKUP(B496,infoTable__15[],4,FALSE),"")</f>
        <v/>
      </c>
      <c r="P496" s="4" t="str">
        <f>IFERROR(VLOOKUP(B496,infoTable__16[],4,FALSE),"")</f>
        <v/>
      </c>
    </row>
    <row r="497" spans="1:16" x14ac:dyDescent="0.55000000000000004">
      <c r="A497" t="s">
        <v>2723</v>
      </c>
      <c r="B497" t="s">
        <v>2722</v>
      </c>
      <c r="C497" s="4" t="str">
        <f>IFERROR(VLOOKUP(B497,infoTable10[],4,FALSE),"")</f>
        <v/>
      </c>
      <c r="D497" s="4" t="str">
        <f>IFERROR(VLOOKUP(B497,infoTable__2[],4,FALSE),"")</f>
        <v/>
      </c>
      <c r="E497" s="4" t="str">
        <f>IFERROR(VLOOKUP(B497,infoTable__3[],4,FALSE),"")</f>
        <v/>
      </c>
      <c r="F497" s="4" t="str">
        <f>IFERROR(VLOOKUP(B497,infoTable__4[],4,FALSE),"")</f>
        <v/>
      </c>
      <c r="G497" s="4" t="str">
        <f>IFERROR(VLOOKUP(B497,infoTable[],4,FALSE),"")</f>
        <v/>
      </c>
      <c r="H497" s="4" t="str">
        <f>IFERROR(VLOOKUP(B497,infoTable__6[],4,FALSE),"")</f>
        <v/>
      </c>
      <c r="I497" s="4" t="str">
        <f>IFERROR(VLOOKUP(B497,infoTable__28[],4,FALSE),"")</f>
        <v/>
      </c>
      <c r="J497" s="4" t="str">
        <f>IFERROR(VLOOKUP(B497,infoTable__10[],4,FALSE),"")</f>
        <v/>
      </c>
      <c r="K497" s="4" t="str">
        <f>IFERROR(VLOOKUP(B497,infoTable__11[],4,FALSE),"")</f>
        <v/>
      </c>
      <c r="L497" s="4" t="str">
        <f>IFERROR(VLOOKUP(B497,infoTable__12[],4,FALSE),"")</f>
        <v/>
      </c>
      <c r="M497" s="4" t="str">
        <f>IFERROR(VLOOKUP(B497,infoTable__13[],4,FALSE),"")</f>
        <v/>
      </c>
      <c r="N497" s="4">
        <f>IFERROR(VLOOKUP(B497,infoTable__14[],4,FALSE),"")</f>
        <v>3444497</v>
      </c>
      <c r="O497" s="4">
        <f>IFERROR(VLOOKUP(B497,infoTable__15[],4,FALSE),"")</f>
        <v>1628303</v>
      </c>
      <c r="P497" s="4">
        <f>IFERROR(VLOOKUP(B497,infoTable__16[],4,FALSE),"")</f>
        <v>1351180</v>
      </c>
    </row>
    <row r="498" spans="1:16" x14ac:dyDescent="0.55000000000000004">
      <c r="A498" t="s">
        <v>113</v>
      </c>
      <c r="B498" t="s">
        <v>114</v>
      </c>
      <c r="C498" s="4" t="str">
        <f>IFERROR(VLOOKUP(B498,infoTable10[],4,FALSE),"")</f>
        <v/>
      </c>
      <c r="D498" s="4" t="str">
        <f>IFERROR(VLOOKUP(B498,infoTable__2[],4,FALSE),"")</f>
        <v/>
      </c>
      <c r="E498" s="4">
        <f>IFERROR(VLOOKUP(B498,infoTable__3[],4,FALSE),"")</f>
        <v>364506</v>
      </c>
      <c r="F498" s="4">
        <f>IFERROR(VLOOKUP(B498,infoTable__4[],4,FALSE),"")</f>
        <v>310688</v>
      </c>
      <c r="G498" s="4">
        <f>IFERROR(VLOOKUP(B498,infoTable[],4,FALSE),"")</f>
        <v>426214</v>
      </c>
      <c r="H498" s="4" t="str">
        <f>IFERROR(VLOOKUP(B498,infoTable__6[],4,FALSE),"")</f>
        <v/>
      </c>
      <c r="I498" s="4" t="str">
        <f>IFERROR(VLOOKUP(B498,infoTable__28[],4,FALSE),"")</f>
        <v/>
      </c>
      <c r="J498" s="4" t="str">
        <f>IFERROR(VLOOKUP(B498,infoTable__10[],4,FALSE),"")</f>
        <v/>
      </c>
      <c r="K498" s="4" t="str">
        <f>IFERROR(VLOOKUP(B498,infoTable__11[],4,FALSE),"")</f>
        <v/>
      </c>
      <c r="L498" s="4" t="str">
        <f>IFERROR(VLOOKUP(B498,infoTable__12[],4,FALSE),"")</f>
        <v/>
      </c>
      <c r="M498" s="4">
        <f>IFERROR(VLOOKUP(B498,infoTable__13[],4,FALSE),"")</f>
        <v>436116</v>
      </c>
      <c r="N498" s="4">
        <f>IFERROR(VLOOKUP(B498,infoTable__14[],4,FALSE),"")</f>
        <v>1625793</v>
      </c>
      <c r="O498" s="4">
        <f>IFERROR(VLOOKUP(B498,infoTable__15[],4,FALSE),"")</f>
        <v>1587302</v>
      </c>
      <c r="P498" s="4">
        <f>IFERROR(VLOOKUP(B498,infoTable__16[],4,FALSE),"")</f>
        <v>463507</v>
      </c>
    </row>
    <row r="499" spans="1:16" x14ac:dyDescent="0.55000000000000004">
      <c r="A499" t="s">
        <v>3123</v>
      </c>
      <c r="B499" t="s">
        <v>3124</v>
      </c>
      <c r="C499" s="4" t="str">
        <f>IFERROR(VLOOKUP(B499,infoTable10[],4,FALSE),"")</f>
        <v/>
      </c>
      <c r="D499" s="4" t="str">
        <f>IFERROR(VLOOKUP(B499,infoTable__2[],4,FALSE),"")</f>
        <v/>
      </c>
      <c r="E499" s="4" t="str">
        <f>IFERROR(VLOOKUP(B499,infoTable__3[],4,FALSE),"")</f>
        <v/>
      </c>
      <c r="F499" s="4" t="str">
        <f>IFERROR(VLOOKUP(B499,infoTable__4[],4,FALSE),"")</f>
        <v/>
      </c>
      <c r="G499" s="4" t="str">
        <f>IFERROR(VLOOKUP(B499,infoTable[],4,FALSE),"")</f>
        <v/>
      </c>
      <c r="H499" s="4" t="str">
        <f>IFERROR(VLOOKUP(B499,infoTable__6[],4,FALSE),"")</f>
        <v/>
      </c>
      <c r="I499" s="4" t="str">
        <f>IFERROR(VLOOKUP(B499,infoTable__28[],4,FALSE),"")</f>
        <v/>
      </c>
      <c r="J499" s="4" t="str">
        <f>IFERROR(VLOOKUP(B499,infoTable__10[],4,FALSE),"")</f>
        <v/>
      </c>
      <c r="K499" s="4" t="str">
        <f>IFERROR(VLOOKUP(B499,infoTable__11[],4,FALSE),"")</f>
        <v/>
      </c>
      <c r="L499" s="4" t="str">
        <f>IFERROR(VLOOKUP(B499,infoTable__12[],4,FALSE),"")</f>
        <v/>
      </c>
      <c r="M499" s="4" t="str">
        <f>IFERROR(VLOOKUP(B499,infoTable__13[],4,FALSE),"")</f>
        <v/>
      </c>
      <c r="N499" s="4" t="str">
        <f>IFERROR(VLOOKUP(B499,infoTable__14[],4,FALSE),"")</f>
        <v/>
      </c>
      <c r="O499" s="4">
        <f>IFERROR(VLOOKUP(B499,infoTable__15[],4,FALSE),"")</f>
        <v>205970</v>
      </c>
      <c r="P499" s="4" t="str">
        <f>IFERROR(VLOOKUP(B499,infoTable__16[],4,FALSE),"")</f>
        <v/>
      </c>
    </row>
    <row r="500" spans="1:16" x14ac:dyDescent="0.55000000000000004">
      <c r="A500" t="s">
        <v>2285</v>
      </c>
      <c r="B500" t="s">
        <v>2286</v>
      </c>
      <c r="C500" s="4" t="str">
        <f>IFERROR(VLOOKUP(B500,infoTable10[],4,FALSE),"")</f>
        <v/>
      </c>
      <c r="D500" s="4" t="str">
        <f>IFERROR(VLOOKUP(B500,infoTable__2[],4,FALSE),"")</f>
        <v/>
      </c>
      <c r="E500" s="4" t="str">
        <f>IFERROR(VLOOKUP(B500,infoTable__3[],4,FALSE),"")</f>
        <v/>
      </c>
      <c r="F500" s="4" t="str">
        <f>IFERROR(VLOOKUP(B500,infoTable__4[],4,FALSE),"")</f>
        <v/>
      </c>
      <c r="G500" s="4" t="str">
        <f>IFERROR(VLOOKUP(B500,infoTable[],4,FALSE),"")</f>
        <v/>
      </c>
      <c r="H500" s="4" t="str">
        <f>IFERROR(VLOOKUP(B500,infoTable__6[],4,FALSE),"")</f>
        <v/>
      </c>
      <c r="I500" s="4" t="str">
        <f>IFERROR(VLOOKUP(B500,infoTable__28[],4,FALSE),"")</f>
        <v/>
      </c>
      <c r="J500" s="4" t="str">
        <f>IFERROR(VLOOKUP(B500,infoTable__10[],4,FALSE),"")</f>
        <v/>
      </c>
      <c r="K500" s="4" t="str">
        <f>IFERROR(VLOOKUP(B500,infoTable__11[],4,FALSE),"")</f>
        <v/>
      </c>
      <c r="L500" s="4">
        <f>IFERROR(VLOOKUP(B500,infoTable__12[],4,FALSE),"")</f>
        <v>324446</v>
      </c>
      <c r="M500" s="4" t="str">
        <f>IFERROR(VLOOKUP(B500,infoTable__13[],4,FALSE),"")</f>
        <v/>
      </c>
      <c r="N500" s="4" t="str">
        <f>IFERROR(VLOOKUP(B500,infoTable__14[],4,FALSE),"")</f>
        <v/>
      </c>
      <c r="O500" s="4" t="str">
        <f>IFERROR(VLOOKUP(B500,infoTable__15[],4,FALSE),"")</f>
        <v/>
      </c>
      <c r="P500" s="4" t="str">
        <f>IFERROR(VLOOKUP(B500,infoTable__16[],4,FALSE),"")</f>
        <v/>
      </c>
    </row>
    <row r="501" spans="1:16" x14ac:dyDescent="0.55000000000000004">
      <c r="A501" t="s">
        <v>330</v>
      </c>
      <c r="B501" t="s">
        <v>331</v>
      </c>
      <c r="C501" s="4" t="str">
        <f>IFERROR(VLOOKUP(B501,infoTable10[],4,FALSE),"")</f>
        <v/>
      </c>
      <c r="D501" s="4" t="str">
        <f>IFERROR(VLOOKUP(B501,infoTable__2[],4,FALSE),"")</f>
        <v/>
      </c>
      <c r="E501" s="4" t="str">
        <f>IFERROR(VLOOKUP(B501,infoTable__3[],4,FALSE),"")</f>
        <v/>
      </c>
      <c r="F501" s="4" t="str">
        <f>IFERROR(VLOOKUP(B501,infoTable__4[],4,FALSE),"")</f>
        <v/>
      </c>
      <c r="G501" s="4">
        <f>IFERROR(VLOOKUP(B501,infoTable[],4,FALSE),"")</f>
        <v>625637</v>
      </c>
      <c r="H501" s="4" t="str">
        <f>IFERROR(VLOOKUP(B501,infoTable__6[],4,FALSE),"")</f>
        <v/>
      </c>
      <c r="I501" s="4" t="str">
        <f>IFERROR(VLOOKUP(B501,infoTable__28[],4,FALSE),"")</f>
        <v/>
      </c>
      <c r="J501" s="4" t="str">
        <f>IFERROR(VLOOKUP(B501,infoTable__10[],4,FALSE),"")</f>
        <v/>
      </c>
      <c r="K501" s="4" t="str">
        <f>IFERROR(VLOOKUP(B501,infoTable__11[],4,FALSE),"")</f>
        <v/>
      </c>
      <c r="L501" s="4" t="str">
        <f>IFERROR(VLOOKUP(B501,infoTable__12[],4,FALSE),"")</f>
        <v/>
      </c>
      <c r="M501" s="4" t="str">
        <f>IFERROR(VLOOKUP(B501,infoTable__13[],4,FALSE),"")</f>
        <v/>
      </c>
      <c r="N501" s="4" t="str">
        <f>IFERROR(VLOOKUP(B501,infoTable__14[],4,FALSE),"")</f>
        <v/>
      </c>
      <c r="O501" s="4" t="str">
        <f>IFERROR(VLOOKUP(B501,infoTable__15[],4,FALSE),"")</f>
        <v/>
      </c>
      <c r="P501" s="4">
        <f>IFERROR(VLOOKUP(B501,infoTable__16[],4,FALSE),"")</f>
        <v>299789</v>
      </c>
    </row>
    <row r="502" spans="1:16" x14ac:dyDescent="0.55000000000000004">
      <c r="A502" t="s">
        <v>3459</v>
      </c>
      <c r="B502" t="s">
        <v>3460</v>
      </c>
      <c r="C502" s="4" t="str">
        <f>IFERROR(VLOOKUP(B502,infoTable10[],4,FALSE),"")</f>
        <v/>
      </c>
      <c r="D502" s="4" t="str">
        <f>IFERROR(VLOOKUP(B502,infoTable__2[],4,FALSE),"")</f>
        <v/>
      </c>
      <c r="E502" s="4" t="str">
        <f>IFERROR(VLOOKUP(B502,infoTable__3[],4,FALSE),"")</f>
        <v/>
      </c>
      <c r="F502" s="4" t="str">
        <f>IFERROR(VLOOKUP(B502,infoTable__4[],4,FALSE),"")</f>
        <v/>
      </c>
      <c r="G502" s="4" t="str">
        <f>IFERROR(VLOOKUP(B502,infoTable[],4,FALSE),"")</f>
        <v/>
      </c>
      <c r="H502" s="4" t="str">
        <f>IFERROR(VLOOKUP(B502,infoTable__6[],4,FALSE),"")</f>
        <v/>
      </c>
      <c r="I502" s="4" t="str">
        <f>IFERROR(VLOOKUP(B502,infoTable__28[],4,FALSE),"")</f>
        <v/>
      </c>
      <c r="J502" s="4" t="str">
        <f>IFERROR(VLOOKUP(B502,infoTable__10[],4,FALSE),"")</f>
        <v/>
      </c>
      <c r="K502" s="4" t="str">
        <f>IFERROR(VLOOKUP(B502,infoTable__11[],4,FALSE),"")</f>
        <v/>
      </c>
      <c r="L502" s="4" t="str">
        <f>IFERROR(VLOOKUP(B502,infoTable__12[],4,FALSE),"")</f>
        <v/>
      </c>
      <c r="M502" s="4" t="str">
        <f>IFERROR(VLOOKUP(B502,infoTable__13[],4,FALSE),"")</f>
        <v/>
      </c>
      <c r="N502" s="4" t="str">
        <f>IFERROR(VLOOKUP(B502,infoTable__14[],4,FALSE),"")</f>
        <v/>
      </c>
      <c r="O502" s="4" t="str">
        <f>IFERROR(VLOOKUP(B502,infoTable__15[],4,FALSE),"")</f>
        <v/>
      </c>
      <c r="P502" s="4">
        <f>IFERROR(VLOOKUP(B502,infoTable__16[],4,FALSE),"")</f>
        <v>551547</v>
      </c>
    </row>
    <row r="503" spans="1:16" x14ac:dyDescent="0.55000000000000004">
      <c r="A503" t="s">
        <v>650</v>
      </c>
      <c r="B503" t="s">
        <v>651</v>
      </c>
      <c r="C503" s="4" t="str">
        <f>IFERROR(VLOOKUP(B503,infoTable10[],4,FALSE),"")</f>
        <v/>
      </c>
      <c r="D503" s="4">
        <f>IFERROR(VLOOKUP(B503,infoTable__2[],4,FALSE),"")</f>
        <v>165009</v>
      </c>
      <c r="E503" s="4" t="str">
        <f>IFERROR(VLOOKUP(B503,infoTable__3[],4,FALSE),"")</f>
        <v/>
      </c>
      <c r="F503" s="4" t="str">
        <f>IFERROR(VLOOKUP(B503,infoTable__4[],4,FALSE),"")</f>
        <v/>
      </c>
      <c r="G503" s="4" t="str">
        <f>IFERROR(VLOOKUP(B503,infoTable[],4,FALSE),"")</f>
        <v/>
      </c>
      <c r="H503" s="4" t="str">
        <f>IFERROR(VLOOKUP(B503,infoTable__6[],4,FALSE),"")</f>
        <v/>
      </c>
      <c r="I503" s="4">
        <f>IFERROR(VLOOKUP(B503,infoTable__28[],4,FALSE),"")</f>
        <v>188105</v>
      </c>
      <c r="J503" s="4">
        <f>IFERROR(VLOOKUP(B503,infoTable__10[],4,FALSE),"")</f>
        <v>894249</v>
      </c>
      <c r="K503" s="4">
        <f>IFERROR(VLOOKUP(B503,infoTable__11[],4,FALSE),"")</f>
        <v>897558</v>
      </c>
      <c r="L503" s="4" t="str">
        <f>IFERROR(VLOOKUP(B503,infoTable__12[],4,FALSE),"")</f>
        <v/>
      </c>
      <c r="M503" s="4" t="str">
        <f>IFERROR(VLOOKUP(B503,infoTable__13[],4,FALSE),"")</f>
        <v/>
      </c>
      <c r="N503" s="4" t="str">
        <f>IFERROR(VLOOKUP(B503,infoTable__14[],4,FALSE),"")</f>
        <v/>
      </c>
      <c r="O503" s="4" t="str">
        <f>IFERROR(VLOOKUP(B503,infoTable__15[],4,FALSE),"")</f>
        <v/>
      </c>
      <c r="P503" s="4" t="str">
        <f>IFERROR(VLOOKUP(B503,infoTable__16[],4,FALSE),"")</f>
        <v/>
      </c>
    </row>
    <row r="504" spans="1:16" x14ac:dyDescent="0.55000000000000004">
      <c r="A504" t="s">
        <v>1968</v>
      </c>
      <c r="B504" t="s">
        <v>1969</v>
      </c>
      <c r="C504" s="4" t="str">
        <f>IFERROR(VLOOKUP(B504,infoTable10[],4,FALSE),"")</f>
        <v/>
      </c>
      <c r="D504" s="4" t="str">
        <f>IFERROR(VLOOKUP(B504,infoTable__2[],4,FALSE),"")</f>
        <v/>
      </c>
      <c r="E504" s="4" t="str">
        <f>IFERROR(VLOOKUP(B504,infoTable__3[],4,FALSE),"")</f>
        <v/>
      </c>
      <c r="F504" s="4" t="str">
        <f>IFERROR(VLOOKUP(B504,infoTable__4[],4,FALSE),"")</f>
        <v/>
      </c>
      <c r="G504" s="4" t="str">
        <f>IFERROR(VLOOKUP(B504,infoTable[],4,FALSE),"")</f>
        <v/>
      </c>
      <c r="H504" s="4" t="str">
        <f>IFERROR(VLOOKUP(B504,infoTable__6[],4,FALSE),"")</f>
        <v/>
      </c>
      <c r="I504" s="4" t="str">
        <f>IFERROR(VLOOKUP(B504,infoTable__28[],4,FALSE),"")</f>
        <v/>
      </c>
      <c r="J504" s="4" t="str">
        <f>IFERROR(VLOOKUP(B504,infoTable__10[],4,FALSE),"")</f>
        <v/>
      </c>
      <c r="K504" s="4">
        <f>IFERROR(VLOOKUP(B504,infoTable__11[],4,FALSE),"")</f>
        <v>328675</v>
      </c>
      <c r="L504" s="4" t="str">
        <f>IFERROR(VLOOKUP(B504,infoTable__12[],4,FALSE),"")</f>
        <v/>
      </c>
      <c r="M504" s="4" t="str">
        <f>IFERROR(VLOOKUP(B504,infoTable__13[],4,FALSE),"")</f>
        <v/>
      </c>
      <c r="N504" s="4" t="str">
        <f>IFERROR(VLOOKUP(B504,infoTable__14[],4,FALSE),"")</f>
        <v/>
      </c>
      <c r="O504" s="4" t="str">
        <f>IFERROR(VLOOKUP(B504,infoTable__15[],4,FALSE),"")</f>
        <v/>
      </c>
      <c r="P504" s="4">
        <f>IFERROR(VLOOKUP(B504,infoTable__16[],4,FALSE),"")</f>
        <v>251400</v>
      </c>
    </row>
    <row r="505" spans="1:16" x14ac:dyDescent="0.55000000000000004">
      <c r="A505" t="s">
        <v>2545</v>
      </c>
      <c r="B505" t="s">
        <v>2546</v>
      </c>
      <c r="C505" s="4" t="str">
        <f>IFERROR(VLOOKUP(B505,infoTable10[],4,FALSE),"")</f>
        <v/>
      </c>
      <c r="D505" s="4" t="str">
        <f>IFERROR(VLOOKUP(B505,infoTable__2[],4,FALSE),"")</f>
        <v/>
      </c>
      <c r="E505" s="4" t="str">
        <f>IFERROR(VLOOKUP(B505,infoTable__3[],4,FALSE),"")</f>
        <v/>
      </c>
      <c r="F505" s="4" t="str">
        <f>IFERROR(VLOOKUP(B505,infoTable__4[],4,FALSE),"")</f>
        <v/>
      </c>
      <c r="G505" s="4" t="str">
        <f>IFERROR(VLOOKUP(B505,infoTable[],4,FALSE),"")</f>
        <v/>
      </c>
      <c r="H505" s="4" t="str">
        <f>IFERROR(VLOOKUP(B505,infoTable__6[],4,FALSE),"")</f>
        <v/>
      </c>
      <c r="I505" s="4" t="str">
        <f>IFERROR(VLOOKUP(B505,infoTable__28[],4,FALSE),"")</f>
        <v/>
      </c>
      <c r="J505" s="4" t="str">
        <f>IFERROR(VLOOKUP(B505,infoTable__10[],4,FALSE),"")</f>
        <v/>
      </c>
      <c r="K505" s="4" t="str">
        <f>IFERROR(VLOOKUP(B505,infoTable__11[],4,FALSE),"")</f>
        <v/>
      </c>
      <c r="L505" s="4" t="str">
        <f>IFERROR(VLOOKUP(B505,infoTable__12[],4,FALSE),"")</f>
        <v/>
      </c>
      <c r="M505" s="4">
        <f>IFERROR(VLOOKUP(B505,infoTable__13[],4,FALSE),"")</f>
        <v>384002</v>
      </c>
      <c r="N505" s="4">
        <f>IFERROR(VLOOKUP(B505,infoTable__14[],4,FALSE),"")</f>
        <v>4589710</v>
      </c>
      <c r="O505" s="4">
        <f>IFERROR(VLOOKUP(B505,infoTable__15[],4,FALSE),"")</f>
        <v>239590</v>
      </c>
      <c r="P505" s="4">
        <f>IFERROR(VLOOKUP(B505,infoTable__16[],4,FALSE),"")</f>
        <v>453523</v>
      </c>
    </row>
    <row r="506" spans="1:16" x14ac:dyDescent="0.55000000000000004">
      <c r="A506" t="s">
        <v>1970</v>
      </c>
      <c r="B506" t="s">
        <v>1971</v>
      </c>
      <c r="C506" s="4" t="str">
        <f>IFERROR(VLOOKUP(B506,infoTable10[],4,FALSE),"")</f>
        <v/>
      </c>
      <c r="D506" s="4" t="str">
        <f>IFERROR(VLOOKUP(B506,infoTable__2[],4,FALSE),"")</f>
        <v/>
      </c>
      <c r="E506" s="4" t="str">
        <f>IFERROR(VLOOKUP(B506,infoTable__3[],4,FALSE),"")</f>
        <v/>
      </c>
      <c r="F506" s="4" t="str">
        <f>IFERROR(VLOOKUP(B506,infoTable__4[],4,FALSE),"")</f>
        <v/>
      </c>
      <c r="G506" s="4" t="str">
        <f>IFERROR(VLOOKUP(B506,infoTable[],4,FALSE),"")</f>
        <v/>
      </c>
      <c r="H506" s="4" t="str">
        <f>IFERROR(VLOOKUP(B506,infoTable__6[],4,FALSE),"")</f>
        <v/>
      </c>
      <c r="I506" s="4" t="str">
        <f>IFERROR(VLOOKUP(B506,infoTable__28[],4,FALSE),"")</f>
        <v/>
      </c>
      <c r="J506" s="4" t="str">
        <f>IFERROR(VLOOKUP(B506,infoTable__10[],4,FALSE),"")</f>
        <v/>
      </c>
      <c r="K506" s="4">
        <f>IFERROR(VLOOKUP(B506,infoTable__11[],4,FALSE),"")</f>
        <v>580307</v>
      </c>
      <c r="L506" s="4" t="str">
        <f>IFERROR(VLOOKUP(B506,infoTable__12[],4,FALSE),"")</f>
        <v/>
      </c>
      <c r="M506" s="4" t="str">
        <f>IFERROR(VLOOKUP(B506,infoTable__13[],4,FALSE),"")</f>
        <v/>
      </c>
      <c r="N506" s="4" t="str">
        <f>IFERROR(VLOOKUP(B506,infoTable__14[],4,FALSE),"")</f>
        <v/>
      </c>
      <c r="O506" s="4" t="str">
        <f>IFERROR(VLOOKUP(B506,infoTable__15[],4,FALSE),"")</f>
        <v/>
      </c>
      <c r="P506" s="4" t="str">
        <f>IFERROR(VLOOKUP(B506,infoTable__16[],4,FALSE),"")</f>
        <v/>
      </c>
    </row>
    <row r="507" spans="1:16" x14ac:dyDescent="0.55000000000000004">
      <c r="A507" t="s">
        <v>3456</v>
      </c>
      <c r="B507" t="s">
        <v>3458</v>
      </c>
      <c r="C507" s="4" t="str">
        <f>IFERROR(VLOOKUP(B507,infoTable10[],4,FALSE),"")</f>
        <v/>
      </c>
      <c r="D507" s="4" t="str">
        <f>IFERROR(VLOOKUP(B507,infoTable__2[],4,FALSE),"")</f>
        <v/>
      </c>
      <c r="E507" s="4" t="str">
        <f>IFERROR(VLOOKUP(B507,infoTable__3[],4,FALSE),"")</f>
        <v/>
      </c>
      <c r="F507" s="4" t="str">
        <f>IFERROR(VLOOKUP(B507,infoTable__4[],4,FALSE),"")</f>
        <v/>
      </c>
      <c r="G507" s="4" t="str">
        <f>IFERROR(VLOOKUP(B507,infoTable[],4,FALSE),"")</f>
        <v/>
      </c>
      <c r="H507" s="4" t="str">
        <f>IFERROR(VLOOKUP(B507,infoTable__6[],4,FALSE),"")</f>
        <v/>
      </c>
      <c r="I507" s="4" t="str">
        <f>IFERROR(VLOOKUP(B507,infoTable__28[],4,FALSE),"")</f>
        <v/>
      </c>
      <c r="J507" s="4" t="str">
        <f>IFERROR(VLOOKUP(B507,infoTable__10[],4,FALSE),"")</f>
        <v/>
      </c>
      <c r="K507" s="4" t="str">
        <f>IFERROR(VLOOKUP(B507,infoTable__11[],4,FALSE),"")</f>
        <v/>
      </c>
      <c r="L507" s="4" t="str">
        <f>IFERROR(VLOOKUP(B507,infoTable__12[],4,FALSE),"")</f>
        <v/>
      </c>
      <c r="M507" s="4" t="str">
        <f>IFERROR(VLOOKUP(B507,infoTable__13[],4,FALSE),"")</f>
        <v/>
      </c>
      <c r="N507" s="4" t="str">
        <f>IFERROR(VLOOKUP(B507,infoTable__14[],4,FALSE),"")</f>
        <v/>
      </c>
      <c r="O507" s="4" t="str">
        <f>IFERROR(VLOOKUP(B507,infoTable__15[],4,FALSE),"")</f>
        <v/>
      </c>
      <c r="P507" s="4">
        <f>IFERROR(VLOOKUP(B507,infoTable__16[],4,FALSE),"")</f>
        <v>785318</v>
      </c>
    </row>
    <row r="508" spans="1:16" x14ac:dyDescent="0.55000000000000004">
      <c r="A508" t="s">
        <v>2291</v>
      </c>
      <c r="B508" t="s">
        <v>2292</v>
      </c>
      <c r="C508" s="4" t="str">
        <f>IFERROR(VLOOKUP(B508,infoTable10[],4,FALSE),"")</f>
        <v/>
      </c>
      <c r="D508" s="4" t="str">
        <f>IFERROR(VLOOKUP(B508,infoTable__2[],4,FALSE),"")</f>
        <v/>
      </c>
      <c r="E508" s="4" t="str">
        <f>IFERROR(VLOOKUP(B508,infoTable__3[],4,FALSE),"")</f>
        <v/>
      </c>
      <c r="F508" s="4" t="str">
        <f>IFERROR(VLOOKUP(B508,infoTable__4[],4,FALSE),"")</f>
        <v/>
      </c>
      <c r="G508" s="4" t="str">
        <f>IFERROR(VLOOKUP(B508,infoTable[],4,FALSE),"")</f>
        <v/>
      </c>
      <c r="H508" s="4" t="str">
        <f>IFERROR(VLOOKUP(B508,infoTable__6[],4,FALSE),"")</f>
        <v/>
      </c>
      <c r="I508" s="4" t="str">
        <f>IFERROR(VLOOKUP(B508,infoTable__28[],4,FALSE),"")</f>
        <v/>
      </c>
      <c r="J508" s="4" t="str">
        <f>IFERROR(VLOOKUP(B508,infoTable__10[],4,FALSE),"")</f>
        <v/>
      </c>
      <c r="K508" s="4" t="str">
        <f>IFERROR(VLOOKUP(B508,infoTable__11[],4,FALSE),"")</f>
        <v/>
      </c>
      <c r="L508" s="4">
        <f>IFERROR(VLOOKUP(B508,infoTable__12[],4,FALSE),"")</f>
        <v>2969422</v>
      </c>
      <c r="M508" s="4">
        <f>IFERROR(VLOOKUP(B508,infoTable__13[],4,FALSE),"")</f>
        <v>2258269</v>
      </c>
      <c r="N508" s="4">
        <f>IFERROR(VLOOKUP(B508,infoTable__14[],4,FALSE),"")</f>
        <v>1724930</v>
      </c>
      <c r="O508" s="4">
        <f>IFERROR(VLOOKUP(B508,infoTable__15[],4,FALSE),"")</f>
        <v>3254790</v>
      </c>
      <c r="P508" s="4">
        <f>IFERROR(VLOOKUP(B508,infoTable__16[],4,FALSE),"")</f>
        <v>3043578</v>
      </c>
    </row>
    <row r="509" spans="1:16" x14ac:dyDescent="0.55000000000000004">
      <c r="A509" t="s">
        <v>2725</v>
      </c>
      <c r="B509" t="s">
        <v>2724</v>
      </c>
      <c r="C509" s="4" t="str">
        <f>IFERROR(VLOOKUP(B509,infoTable10[],4,FALSE),"")</f>
        <v/>
      </c>
      <c r="D509" s="4" t="str">
        <f>IFERROR(VLOOKUP(B509,infoTable__2[],4,FALSE),"")</f>
        <v/>
      </c>
      <c r="E509" s="4" t="str">
        <f>IFERROR(VLOOKUP(B509,infoTable__3[],4,FALSE),"")</f>
        <v/>
      </c>
      <c r="F509" s="4" t="str">
        <f>IFERROR(VLOOKUP(B509,infoTable__4[],4,FALSE),"")</f>
        <v/>
      </c>
      <c r="G509" s="4" t="str">
        <f>IFERROR(VLOOKUP(B509,infoTable[],4,FALSE),"")</f>
        <v/>
      </c>
      <c r="H509" s="4" t="str">
        <f>IFERROR(VLOOKUP(B509,infoTable__6[],4,FALSE),"")</f>
        <v/>
      </c>
      <c r="I509" s="4" t="str">
        <f>IFERROR(VLOOKUP(B509,infoTable__28[],4,FALSE),"")</f>
        <v/>
      </c>
      <c r="J509" s="4" t="str">
        <f>IFERROR(VLOOKUP(B509,infoTable__10[],4,FALSE),"")</f>
        <v/>
      </c>
      <c r="K509" s="4" t="str">
        <f>IFERROR(VLOOKUP(B509,infoTable__11[],4,FALSE),"")</f>
        <v/>
      </c>
      <c r="L509" s="4" t="str">
        <f>IFERROR(VLOOKUP(B509,infoTable__12[],4,FALSE),"")</f>
        <v/>
      </c>
      <c r="M509" s="4" t="str">
        <f>IFERROR(VLOOKUP(B509,infoTable__13[],4,FALSE),"")</f>
        <v/>
      </c>
      <c r="N509" s="4">
        <f>IFERROR(VLOOKUP(B509,infoTable__14[],4,FALSE),"")</f>
        <v>452998</v>
      </c>
      <c r="O509" s="4" t="str">
        <f>IFERROR(VLOOKUP(B509,infoTable__15[],4,FALSE),"")</f>
        <v/>
      </c>
      <c r="P509" s="4" t="str">
        <f>IFERROR(VLOOKUP(B509,infoTable__16[],4,FALSE),"")</f>
        <v/>
      </c>
    </row>
    <row r="510" spans="1:16" x14ac:dyDescent="0.55000000000000004">
      <c r="A510" t="s">
        <v>2547</v>
      </c>
      <c r="B510" t="s">
        <v>2548</v>
      </c>
      <c r="C510" s="4" t="str">
        <f>IFERROR(VLOOKUP(B510,infoTable10[],4,FALSE),"")</f>
        <v/>
      </c>
      <c r="D510" s="4" t="str">
        <f>IFERROR(VLOOKUP(B510,infoTable__2[],4,FALSE),"")</f>
        <v/>
      </c>
      <c r="E510" s="4" t="str">
        <f>IFERROR(VLOOKUP(B510,infoTable__3[],4,FALSE),"")</f>
        <v/>
      </c>
      <c r="F510" s="4" t="str">
        <f>IFERROR(VLOOKUP(B510,infoTable__4[],4,FALSE),"")</f>
        <v/>
      </c>
      <c r="G510" s="4" t="str">
        <f>IFERROR(VLOOKUP(B510,infoTable[],4,FALSE),"")</f>
        <v/>
      </c>
      <c r="H510" s="4" t="str">
        <f>IFERROR(VLOOKUP(B510,infoTable__6[],4,FALSE),"")</f>
        <v/>
      </c>
      <c r="I510" s="4" t="str">
        <f>IFERROR(VLOOKUP(B510,infoTable__28[],4,FALSE),"")</f>
        <v/>
      </c>
      <c r="J510" s="4" t="str">
        <f>IFERROR(VLOOKUP(B510,infoTable__10[],4,FALSE),"")</f>
        <v/>
      </c>
      <c r="K510" s="4" t="str">
        <f>IFERROR(VLOOKUP(B510,infoTable__11[],4,FALSE),"")</f>
        <v/>
      </c>
      <c r="L510" s="4" t="str">
        <f>IFERROR(VLOOKUP(B510,infoTable__12[],4,FALSE),"")</f>
        <v/>
      </c>
      <c r="M510" s="4">
        <f>IFERROR(VLOOKUP(B510,infoTable__13[],4,FALSE),"")</f>
        <v>5309826</v>
      </c>
      <c r="N510" s="4">
        <f>IFERROR(VLOOKUP(B510,infoTable__14[],4,FALSE),"")</f>
        <v>1111680</v>
      </c>
      <c r="O510" s="4" t="str">
        <f>IFERROR(VLOOKUP(B510,infoTable__15[],4,FALSE),"")</f>
        <v/>
      </c>
      <c r="P510" s="4" t="str">
        <f>IFERROR(VLOOKUP(B510,infoTable__16[],4,FALSE),"")</f>
        <v/>
      </c>
    </row>
    <row r="511" spans="1:16" x14ac:dyDescent="0.55000000000000004">
      <c r="A511" t="s">
        <v>3461</v>
      </c>
      <c r="B511" t="s">
        <v>3462</v>
      </c>
      <c r="C511" s="4" t="str">
        <f>IFERROR(VLOOKUP(B511,infoTable10[],4,FALSE),"")</f>
        <v/>
      </c>
      <c r="D511" s="4" t="str">
        <f>IFERROR(VLOOKUP(B511,infoTable__2[],4,FALSE),"")</f>
        <v/>
      </c>
      <c r="E511" s="4" t="str">
        <f>IFERROR(VLOOKUP(B511,infoTable__3[],4,FALSE),"")</f>
        <v/>
      </c>
      <c r="F511" s="4" t="str">
        <f>IFERROR(VLOOKUP(B511,infoTable__4[],4,FALSE),"")</f>
        <v/>
      </c>
      <c r="G511" s="4" t="str">
        <f>IFERROR(VLOOKUP(B511,infoTable[],4,FALSE),"")</f>
        <v/>
      </c>
      <c r="H511" s="4" t="str">
        <f>IFERROR(VLOOKUP(B511,infoTable__6[],4,FALSE),"")</f>
        <v/>
      </c>
      <c r="I511" s="4" t="str">
        <f>IFERROR(VLOOKUP(B511,infoTable__28[],4,FALSE),"")</f>
        <v/>
      </c>
      <c r="J511" s="4" t="str">
        <f>IFERROR(VLOOKUP(B511,infoTable__10[],4,FALSE),"")</f>
        <v/>
      </c>
      <c r="K511" s="4" t="str">
        <f>IFERROR(VLOOKUP(B511,infoTable__11[],4,FALSE),"")</f>
        <v/>
      </c>
      <c r="L511" s="4" t="str">
        <f>IFERROR(VLOOKUP(B511,infoTable__12[],4,FALSE),"")</f>
        <v/>
      </c>
      <c r="M511" s="4" t="str">
        <f>IFERROR(VLOOKUP(B511,infoTable__13[],4,FALSE),"")</f>
        <v/>
      </c>
      <c r="N511" s="4" t="str">
        <f>IFERROR(VLOOKUP(B511,infoTable__14[],4,FALSE),"")</f>
        <v/>
      </c>
      <c r="O511" s="4" t="str">
        <f>IFERROR(VLOOKUP(B511,infoTable__15[],4,FALSE),"")</f>
        <v/>
      </c>
      <c r="P511" s="4">
        <f>IFERROR(VLOOKUP(B511,infoTable__16[],4,FALSE),"")</f>
        <v>309086</v>
      </c>
    </row>
    <row r="512" spans="1:16" x14ac:dyDescent="0.55000000000000004">
      <c r="A512" t="s">
        <v>336</v>
      </c>
      <c r="B512" t="s">
        <v>337</v>
      </c>
      <c r="C512" s="4" t="str">
        <f>IFERROR(VLOOKUP(B512,infoTable10[],4,FALSE),"")</f>
        <v/>
      </c>
      <c r="D512" s="4" t="str">
        <f>IFERROR(VLOOKUP(B512,infoTable__2[],4,FALSE),"")</f>
        <v/>
      </c>
      <c r="E512" s="4" t="str">
        <f>IFERROR(VLOOKUP(B512,infoTable__3[],4,FALSE),"")</f>
        <v/>
      </c>
      <c r="F512" s="4">
        <f>IFERROR(VLOOKUP(B512,infoTable__4[],4,FALSE),"")</f>
        <v>1930555</v>
      </c>
      <c r="G512" s="4">
        <f>IFERROR(VLOOKUP(B512,infoTable[],4,FALSE),"")</f>
        <v>1984349</v>
      </c>
      <c r="H512" s="4" t="str">
        <f>IFERROR(VLOOKUP(B512,infoTable__6[],4,FALSE),"")</f>
        <v/>
      </c>
      <c r="I512" s="4" t="str">
        <f>IFERROR(VLOOKUP(B512,infoTable__28[],4,FALSE),"")</f>
        <v/>
      </c>
      <c r="J512" s="4" t="str">
        <f>IFERROR(VLOOKUP(B512,infoTable__10[],4,FALSE),"")</f>
        <v/>
      </c>
      <c r="K512" s="4" t="str">
        <f>IFERROR(VLOOKUP(B512,infoTable__11[],4,FALSE),"")</f>
        <v/>
      </c>
      <c r="L512" s="4" t="str">
        <f>IFERROR(VLOOKUP(B512,infoTable__12[],4,FALSE),"")</f>
        <v/>
      </c>
      <c r="M512" s="4" t="str">
        <f>IFERROR(VLOOKUP(B512,infoTable__13[],4,FALSE),"")</f>
        <v/>
      </c>
      <c r="N512" s="4" t="str">
        <f>IFERROR(VLOOKUP(B512,infoTable__14[],4,FALSE),"")</f>
        <v/>
      </c>
      <c r="O512" s="4" t="str">
        <f>IFERROR(VLOOKUP(B512,infoTable__15[],4,FALSE),"")</f>
        <v/>
      </c>
      <c r="P512" s="4" t="str">
        <f>IFERROR(VLOOKUP(B512,infoTable__16[],4,FALSE),"")</f>
        <v/>
      </c>
    </row>
    <row r="513" spans="1:16" x14ac:dyDescent="0.55000000000000004">
      <c r="A513" t="s">
        <v>1370</v>
      </c>
      <c r="B513" t="s">
        <v>1371</v>
      </c>
      <c r="C513" s="4" t="str">
        <f>IFERROR(VLOOKUP(B513,infoTable10[],4,FALSE),"")</f>
        <v/>
      </c>
      <c r="D513" s="4" t="str">
        <f>IFERROR(VLOOKUP(B513,infoTable__2[],4,FALSE),"")</f>
        <v/>
      </c>
      <c r="E513" s="4" t="str">
        <f>IFERROR(VLOOKUP(B513,infoTable__3[],4,FALSE),"")</f>
        <v/>
      </c>
      <c r="F513" s="4" t="str">
        <f>IFERROR(VLOOKUP(B513,infoTable__4[],4,FALSE),"")</f>
        <v/>
      </c>
      <c r="G513" s="4" t="str">
        <f>IFERROR(VLOOKUP(B513,infoTable[],4,FALSE),"")</f>
        <v/>
      </c>
      <c r="H513" s="4" t="str">
        <f>IFERROR(VLOOKUP(B513,infoTable__6[],4,FALSE),"")</f>
        <v/>
      </c>
      <c r="I513" s="4">
        <f>IFERROR(VLOOKUP(B513,infoTable__28[],4,FALSE),"")</f>
        <v>3246273</v>
      </c>
      <c r="J513" s="4">
        <f>IFERROR(VLOOKUP(B513,infoTable__10[],4,FALSE),"")</f>
        <v>1709660</v>
      </c>
      <c r="K513" s="4">
        <f>IFERROR(VLOOKUP(B513,infoTable__11[],4,FALSE),"")</f>
        <v>312086</v>
      </c>
      <c r="L513" s="4">
        <f>IFERROR(VLOOKUP(B513,infoTable__12[],4,FALSE),"")</f>
        <v>392465</v>
      </c>
      <c r="M513" s="4" t="str">
        <f>IFERROR(VLOOKUP(B513,infoTable__13[],4,FALSE),"")</f>
        <v/>
      </c>
      <c r="N513" s="4" t="str">
        <f>IFERROR(VLOOKUP(B513,infoTable__14[],4,FALSE),"")</f>
        <v/>
      </c>
      <c r="O513" s="4" t="str">
        <f>IFERROR(VLOOKUP(B513,infoTable__15[],4,FALSE),"")</f>
        <v/>
      </c>
      <c r="P513" s="4" t="str">
        <f>IFERROR(VLOOKUP(B513,infoTable__16[],4,FALSE),"")</f>
        <v/>
      </c>
    </row>
    <row r="514" spans="1:16" x14ac:dyDescent="0.55000000000000004">
      <c r="A514" t="s">
        <v>1535</v>
      </c>
      <c r="B514" t="s">
        <v>1536</v>
      </c>
      <c r="C514" s="4">
        <f>IFERROR(VLOOKUP(B514,infoTable10[],4,FALSE),"")</f>
        <v>234966</v>
      </c>
      <c r="D514" s="4" t="str">
        <f>IFERROR(VLOOKUP(B514,infoTable__2[],4,FALSE),"")</f>
        <v/>
      </c>
      <c r="E514" s="4" t="str">
        <f>IFERROR(VLOOKUP(B514,infoTable__3[],4,FALSE),"")</f>
        <v/>
      </c>
      <c r="F514" s="4" t="str">
        <f>IFERROR(VLOOKUP(B514,infoTable__4[],4,FALSE),"")</f>
        <v/>
      </c>
      <c r="G514" s="4" t="str">
        <f>IFERROR(VLOOKUP(B514,infoTable[],4,FALSE),"")</f>
        <v/>
      </c>
      <c r="H514" s="4" t="str">
        <f>IFERROR(VLOOKUP(B514,infoTable__6[],4,FALSE),"")</f>
        <v/>
      </c>
      <c r="I514" s="4" t="str">
        <f>IFERROR(VLOOKUP(B514,infoTable__28[],4,FALSE),"")</f>
        <v/>
      </c>
      <c r="J514" s="4" t="str">
        <f>IFERROR(VLOOKUP(B514,infoTable__10[],4,FALSE),"")</f>
        <v/>
      </c>
      <c r="K514" s="4" t="str">
        <f>IFERROR(VLOOKUP(B514,infoTable__11[],4,FALSE),"")</f>
        <v/>
      </c>
      <c r="L514" s="4" t="str">
        <f>IFERROR(VLOOKUP(B514,infoTable__12[],4,FALSE),"")</f>
        <v/>
      </c>
      <c r="M514" s="4" t="str">
        <f>IFERROR(VLOOKUP(B514,infoTable__13[],4,FALSE),"")</f>
        <v/>
      </c>
      <c r="N514" s="4" t="str">
        <f>IFERROR(VLOOKUP(B514,infoTable__14[],4,FALSE),"")</f>
        <v/>
      </c>
      <c r="O514" s="4" t="str">
        <f>IFERROR(VLOOKUP(B514,infoTable__15[],4,FALSE),"")</f>
        <v/>
      </c>
      <c r="P514" s="4" t="str">
        <f>IFERROR(VLOOKUP(B514,infoTable__16[],4,FALSE),"")</f>
        <v/>
      </c>
    </row>
    <row r="515" spans="1:16" x14ac:dyDescent="0.55000000000000004">
      <c r="A515" t="s">
        <v>2549</v>
      </c>
      <c r="B515" t="s">
        <v>2550</v>
      </c>
      <c r="C515" s="4" t="str">
        <f>IFERROR(VLOOKUP(B515,infoTable10[],4,FALSE),"")</f>
        <v/>
      </c>
      <c r="D515" s="4" t="str">
        <f>IFERROR(VLOOKUP(B515,infoTable__2[],4,FALSE),"")</f>
        <v/>
      </c>
      <c r="E515" s="4" t="str">
        <f>IFERROR(VLOOKUP(B515,infoTable__3[],4,FALSE),"")</f>
        <v/>
      </c>
      <c r="F515" s="4" t="str">
        <f>IFERROR(VLOOKUP(B515,infoTable__4[],4,FALSE),"")</f>
        <v/>
      </c>
      <c r="G515" s="4" t="str">
        <f>IFERROR(VLOOKUP(B515,infoTable[],4,FALSE),"")</f>
        <v/>
      </c>
      <c r="H515" s="4" t="str">
        <f>IFERROR(VLOOKUP(B515,infoTable__6[],4,FALSE),"")</f>
        <v/>
      </c>
      <c r="I515" s="4" t="str">
        <f>IFERROR(VLOOKUP(B515,infoTable__28[],4,FALSE),"")</f>
        <v/>
      </c>
      <c r="J515" s="4" t="str">
        <f>IFERROR(VLOOKUP(B515,infoTable__10[],4,FALSE),"")</f>
        <v/>
      </c>
      <c r="K515" s="4" t="str">
        <f>IFERROR(VLOOKUP(B515,infoTable__11[],4,FALSE),"")</f>
        <v/>
      </c>
      <c r="L515" s="4" t="str">
        <f>IFERROR(VLOOKUP(B515,infoTable__12[],4,FALSE),"")</f>
        <v/>
      </c>
      <c r="M515" s="4">
        <f>IFERROR(VLOOKUP(B515,infoTable__13[],4,FALSE),"")</f>
        <v>302544</v>
      </c>
      <c r="N515" s="4" t="str">
        <f>IFERROR(VLOOKUP(B515,infoTable__14[],4,FALSE),"")</f>
        <v/>
      </c>
      <c r="O515" s="4" t="str">
        <f>IFERROR(VLOOKUP(B515,infoTable__15[],4,FALSE),"")</f>
        <v/>
      </c>
      <c r="P515" s="4" t="str">
        <f>IFERROR(VLOOKUP(B515,infoTable__16[],4,FALSE),"")</f>
        <v/>
      </c>
    </row>
    <row r="516" spans="1:16" x14ac:dyDescent="0.55000000000000004">
      <c r="A516" t="s">
        <v>774</v>
      </c>
      <c r="B516" t="s">
        <v>775</v>
      </c>
      <c r="C516" s="4" t="str">
        <f>IFERROR(VLOOKUP(B516,infoTable10[],4,FALSE),"")</f>
        <v/>
      </c>
      <c r="D516" s="4" t="str">
        <f>IFERROR(VLOOKUP(B516,infoTable__2[],4,FALSE),"")</f>
        <v/>
      </c>
      <c r="E516" s="4">
        <f>IFERROR(VLOOKUP(B516,infoTable__3[],4,FALSE),"")</f>
        <v>1905989</v>
      </c>
      <c r="F516" s="4">
        <f>IFERROR(VLOOKUP(B516,infoTable__4[],4,FALSE),"")</f>
        <v>481042</v>
      </c>
      <c r="G516" s="4" t="str">
        <f>IFERROR(VLOOKUP(B516,infoTable[],4,FALSE),"")</f>
        <v/>
      </c>
      <c r="H516" s="4" t="str">
        <f>IFERROR(VLOOKUP(B516,infoTable__6[],4,FALSE),"")</f>
        <v/>
      </c>
      <c r="I516" s="4" t="str">
        <f>IFERROR(VLOOKUP(B516,infoTable__28[],4,FALSE),"")</f>
        <v/>
      </c>
      <c r="J516" s="4" t="str">
        <f>IFERROR(VLOOKUP(B516,infoTable__10[],4,FALSE),"")</f>
        <v/>
      </c>
      <c r="K516" s="4" t="str">
        <f>IFERROR(VLOOKUP(B516,infoTable__11[],4,FALSE),"")</f>
        <v/>
      </c>
      <c r="L516" s="4" t="str">
        <f>IFERROR(VLOOKUP(B516,infoTable__12[],4,FALSE),"")</f>
        <v/>
      </c>
      <c r="M516" s="4" t="str">
        <f>IFERROR(VLOOKUP(B516,infoTable__13[],4,FALSE),"")</f>
        <v/>
      </c>
      <c r="N516" s="4" t="str">
        <f>IFERROR(VLOOKUP(B516,infoTable__14[],4,FALSE),"")</f>
        <v/>
      </c>
      <c r="O516" s="4" t="str">
        <f>IFERROR(VLOOKUP(B516,infoTable__15[],4,FALSE),"")</f>
        <v/>
      </c>
      <c r="P516" s="4" t="str">
        <f>IFERROR(VLOOKUP(B516,infoTable__16[],4,FALSE),"")</f>
        <v/>
      </c>
    </row>
    <row r="517" spans="1:16" x14ac:dyDescent="0.55000000000000004">
      <c r="A517" t="s">
        <v>776</v>
      </c>
      <c r="B517" t="s">
        <v>777</v>
      </c>
      <c r="C517" s="4" t="str">
        <f>IFERROR(VLOOKUP(B517,infoTable10[],4,FALSE),"")</f>
        <v/>
      </c>
      <c r="D517" s="4" t="str">
        <f>IFERROR(VLOOKUP(B517,infoTable__2[],4,FALSE),"")</f>
        <v/>
      </c>
      <c r="E517" s="4">
        <f>IFERROR(VLOOKUP(B517,infoTable__3[],4,FALSE),"")</f>
        <v>1551260</v>
      </c>
      <c r="F517" s="4" t="str">
        <f>IFERROR(VLOOKUP(B517,infoTable__4[],4,FALSE),"")</f>
        <v/>
      </c>
      <c r="G517" s="4" t="str">
        <f>IFERROR(VLOOKUP(B517,infoTable[],4,FALSE),"")</f>
        <v/>
      </c>
      <c r="H517" s="4" t="str">
        <f>IFERROR(VLOOKUP(B517,infoTable__6[],4,FALSE),"")</f>
        <v/>
      </c>
      <c r="I517" s="4" t="str">
        <f>IFERROR(VLOOKUP(B517,infoTable__28[],4,FALSE),"")</f>
        <v/>
      </c>
      <c r="J517" s="4" t="str">
        <f>IFERROR(VLOOKUP(B517,infoTable__10[],4,FALSE),"")</f>
        <v/>
      </c>
      <c r="K517" s="4" t="str">
        <f>IFERROR(VLOOKUP(B517,infoTable__11[],4,FALSE),"")</f>
        <v/>
      </c>
      <c r="L517" s="4">
        <f>IFERROR(VLOOKUP(B517,infoTable__12[],4,FALSE),"")</f>
        <v>4188442</v>
      </c>
      <c r="M517" s="4">
        <f>IFERROR(VLOOKUP(B517,infoTable__13[],4,FALSE),"")</f>
        <v>3905435</v>
      </c>
      <c r="N517" s="4">
        <f>IFERROR(VLOOKUP(B517,infoTable__14[],4,FALSE),"")</f>
        <v>3657281</v>
      </c>
      <c r="O517" s="4">
        <f>IFERROR(VLOOKUP(B517,infoTable__15[],4,FALSE),"")</f>
        <v>7248851</v>
      </c>
      <c r="P517" s="4">
        <f>IFERROR(VLOOKUP(B517,infoTable__16[],4,FALSE),"")</f>
        <v>1674072</v>
      </c>
    </row>
    <row r="518" spans="1:16" x14ac:dyDescent="0.55000000000000004">
      <c r="A518" t="s">
        <v>658</v>
      </c>
      <c r="B518" t="s">
        <v>659</v>
      </c>
      <c r="C518" s="4" t="str">
        <f>IFERROR(VLOOKUP(B518,infoTable10[],4,FALSE),"")</f>
        <v/>
      </c>
      <c r="D518" s="4">
        <f>IFERROR(VLOOKUP(B518,infoTable__2[],4,FALSE),"")</f>
        <v>553999</v>
      </c>
      <c r="E518" s="4" t="str">
        <f>IFERROR(VLOOKUP(B518,infoTable__3[],4,FALSE),"")</f>
        <v/>
      </c>
      <c r="F518" s="4" t="str">
        <f>IFERROR(VLOOKUP(B518,infoTable__4[],4,FALSE),"")</f>
        <v/>
      </c>
      <c r="G518" s="4" t="str">
        <f>IFERROR(VLOOKUP(B518,infoTable[],4,FALSE),"")</f>
        <v/>
      </c>
      <c r="H518" s="4" t="str">
        <f>IFERROR(VLOOKUP(B518,infoTable__6[],4,FALSE),"")</f>
        <v/>
      </c>
      <c r="I518" s="4">
        <f>IFERROR(VLOOKUP(B518,infoTable__28[],4,FALSE),"")</f>
        <v>230770</v>
      </c>
      <c r="J518" s="4" t="str">
        <f>IFERROR(VLOOKUP(B518,infoTable__10[],4,FALSE),"")</f>
        <v/>
      </c>
      <c r="K518" s="4" t="str">
        <f>IFERROR(VLOOKUP(B518,infoTable__11[],4,FALSE),"")</f>
        <v/>
      </c>
      <c r="L518" s="4" t="str">
        <f>IFERROR(VLOOKUP(B518,infoTable__12[],4,FALSE),"")</f>
        <v/>
      </c>
      <c r="M518" s="4" t="str">
        <f>IFERROR(VLOOKUP(B518,infoTable__13[],4,FALSE),"")</f>
        <v/>
      </c>
      <c r="N518" s="4" t="str">
        <f>IFERROR(VLOOKUP(B518,infoTable__14[],4,FALSE),"")</f>
        <v/>
      </c>
      <c r="O518" s="4" t="str">
        <f>IFERROR(VLOOKUP(B518,infoTable__15[],4,FALSE),"")</f>
        <v/>
      </c>
      <c r="P518" s="4" t="str">
        <f>IFERROR(VLOOKUP(B518,infoTable__16[],4,FALSE),"")</f>
        <v/>
      </c>
    </row>
    <row r="519" spans="1:16" x14ac:dyDescent="0.55000000000000004">
      <c r="A519" t="s">
        <v>1578</v>
      </c>
      <c r="B519" t="s">
        <v>1079</v>
      </c>
      <c r="C519" s="4" t="str">
        <f>IFERROR(VLOOKUP(B519,infoTable10[],4,FALSE),"")</f>
        <v/>
      </c>
      <c r="D519" s="4" t="str">
        <f>IFERROR(VLOOKUP(B519,infoTable__2[],4,FALSE),"")</f>
        <v/>
      </c>
      <c r="E519" s="4" t="str">
        <f>IFERROR(VLOOKUP(B519,infoTable__3[],4,FALSE),"")</f>
        <v/>
      </c>
      <c r="F519" s="4" t="str">
        <f>IFERROR(VLOOKUP(B519,infoTable__4[],4,FALSE),"")</f>
        <v/>
      </c>
      <c r="G519" s="4" t="str">
        <f>IFERROR(VLOOKUP(B519,infoTable[],4,FALSE),"")</f>
        <v/>
      </c>
      <c r="H519" s="4">
        <f>IFERROR(VLOOKUP(B519,infoTable__6[],4,FALSE),"")</f>
        <v>475033</v>
      </c>
      <c r="I519" s="4" t="str">
        <f>IFERROR(VLOOKUP(B519,infoTable__28[],4,FALSE),"")</f>
        <v/>
      </c>
      <c r="J519" s="4" t="str">
        <f>IFERROR(VLOOKUP(B519,infoTable__10[],4,FALSE),"")</f>
        <v/>
      </c>
      <c r="K519" s="4" t="str">
        <f>IFERROR(VLOOKUP(B519,infoTable__11[],4,FALSE),"")</f>
        <v/>
      </c>
      <c r="L519" s="4" t="str">
        <f>IFERROR(VLOOKUP(B519,infoTable__12[],4,FALSE),"")</f>
        <v/>
      </c>
      <c r="M519" s="4" t="str">
        <f>IFERROR(VLOOKUP(B519,infoTable__13[],4,FALSE),"")</f>
        <v/>
      </c>
      <c r="N519" s="4" t="str">
        <f>IFERROR(VLOOKUP(B519,infoTable__14[],4,FALSE),"")</f>
        <v/>
      </c>
      <c r="O519" s="4" t="str">
        <f>IFERROR(VLOOKUP(B519,infoTable__15[],4,FALSE),"")</f>
        <v/>
      </c>
      <c r="P519" s="4" t="str">
        <f>IFERROR(VLOOKUP(B519,infoTable__16[],4,FALSE),"")</f>
        <v/>
      </c>
    </row>
    <row r="520" spans="1:16" x14ac:dyDescent="0.55000000000000004">
      <c r="A520" t="s">
        <v>1579</v>
      </c>
      <c r="B520" t="s">
        <v>339</v>
      </c>
      <c r="C520" s="4" t="str">
        <f>IFERROR(VLOOKUP(B520,infoTable10[],4,FALSE),"")</f>
        <v/>
      </c>
      <c r="D520" s="4" t="str">
        <f>IFERROR(VLOOKUP(B520,infoTable__2[],4,FALSE),"")</f>
        <v/>
      </c>
      <c r="E520" s="4" t="str">
        <f>IFERROR(VLOOKUP(B520,infoTable__3[],4,FALSE),"")</f>
        <v/>
      </c>
      <c r="F520" s="4" t="str">
        <f>IFERROR(VLOOKUP(B520,infoTable__4[],4,FALSE),"")</f>
        <v/>
      </c>
      <c r="G520" s="4">
        <f>IFERROR(VLOOKUP(B520,infoTable[],4,FALSE),"")</f>
        <v>273633</v>
      </c>
      <c r="H520" s="4">
        <f>IFERROR(VLOOKUP(B520,infoTable__6[],4,FALSE),"")</f>
        <v>621997</v>
      </c>
      <c r="I520" s="4">
        <f>IFERROR(VLOOKUP(B520,infoTable__28[],4,FALSE),"")</f>
        <v>503614</v>
      </c>
      <c r="J520" s="4" t="str">
        <f>IFERROR(VLOOKUP(B520,infoTable__10[],4,FALSE),"")</f>
        <v/>
      </c>
      <c r="K520" s="4" t="str">
        <f>IFERROR(VLOOKUP(B520,infoTable__11[],4,FALSE),"")</f>
        <v/>
      </c>
      <c r="L520" s="4" t="str">
        <f>IFERROR(VLOOKUP(B520,infoTable__12[],4,FALSE),"")</f>
        <v/>
      </c>
      <c r="M520" s="4">
        <f>IFERROR(VLOOKUP(B520,infoTable__13[],4,FALSE),"")</f>
        <v>5696904</v>
      </c>
      <c r="N520" s="4">
        <f>IFERROR(VLOOKUP(B520,infoTable__14[],4,FALSE),"")</f>
        <v>488886</v>
      </c>
      <c r="O520" s="4">
        <f>IFERROR(VLOOKUP(B520,infoTable__15[],4,FALSE),"")</f>
        <v>215091</v>
      </c>
      <c r="P520" s="4">
        <f>IFERROR(VLOOKUP(B520,infoTable__16[],4,FALSE),"")</f>
        <v>439373</v>
      </c>
    </row>
    <row r="521" spans="1:16" x14ac:dyDescent="0.55000000000000004">
      <c r="A521" t="s">
        <v>2727</v>
      </c>
      <c r="B521" t="s">
        <v>2726</v>
      </c>
      <c r="C521" s="4" t="str">
        <f>IFERROR(VLOOKUP(B521,infoTable10[],4,FALSE),"")</f>
        <v/>
      </c>
      <c r="D521" s="4" t="str">
        <f>IFERROR(VLOOKUP(B521,infoTable__2[],4,FALSE),"")</f>
        <v/>
      </c>
      <c r="E521" s="4" t="str">
        <f>IFERROR(VLOOKUP(B521,infoTable__3[],4,FALSE),"")</f>
        <v/>
      </c>
      <c r="F521" s="4" t="str">
        <f>IFERROR(VLOOKUP(B521,infoTable__4[],4,FALSE),"")</f>
        <v/>
      </c>
      <c r="G521" s="4" t="str">
        <f>IFERROR(VLOOKUP(B521,infoTable[],4,FALSE),"")</f>
        <v/>
      </c>
      <c r="H521" s="4" t="str">
        <f>IFERROR(VLOOKUP(B521,infoTable__6[],4,FALSE),"")</f>
        <v/>
      </c>
      <c r="I521" s="4" t="str">
        <f>IFERROR(VLOOKUP(B521,infoTable__28[],4,FALSE),"")</f>
        <v/>
      </c>
      <c r="J521" s="4" t="str">
        <f>IFERROR(VLOOKUP(B521,infoTable__10[],4,FALSE),"")</f>
        <v/>
      </c>
      <c r="K521" s="4" t="str">
        <f>IFERROR(VLOOKUP(B521,infoTable__11[],4,FALSE),"")</f>
        <v/>
      </c>
      <c r="L521" s="4" t="str">
        <f>IFERROR(VLOOKUP(B521,infoTable__12[],4,FALSE),"")</f>
        <v/>
      </c>
      <c r="M521" s="4" t="str">
        <f>IFERROR(VLOOKUP(B521,infoTable__13[],4,FALSE),"")</f>
        <v/>
      </c>
      <c r="N521" s="4">
        <f>IFERROR(VLOOKUP(B521,infoTable__14[],4,FALSE),"")</f>
        <v>386861</v>
      </c>
      <c r="O521" s="4">
        <f>IFERROR(VLOOKUP(B521,infoTable__15[],4,FALSE),"")</f>
        <v>213747</v>
      </c>
      <c r="P521" s="4">
        <f>IFERROR(VLOOKUP(B521,infoTable__16[],4,FALSE),"")</f>
        <v>640233</v>
      </c>
    </row>
    <row r="522" spans="1:16" x14ac:dyDescent="0.55000000000000004">
      <c r="A522" t="s">
        <v>2561</v>
      </c>
      <c r="B522" t="s">
        <v>2562</v>
      </c>
      <c r="C522" s="4" t="str">
        <f>IFERROR(VLOOKUP(B522,infoTable10[],4,FALSE),"")</f>
        <v/>
      </c>
      <c r="D522" s="4" t="str">
        <f>IFERROR(VLOOKUP(B522,infoTable__2[],4,FALSE),"")</f>
        <v/>
      </c>
      <c r="E522" s="4" t="str">
        <f>IFERROR(VLOOKUP(B522,infoTable__3[],4,FALSE),"")</f>
        <v/>
      </c>
      <c r="F522" s="4" t="str">
        <f>IFERROR(VLOOKUP(B522,infoTable__4[],4,FALSE),"")</f>
        <v/>
      </c>
      <c r="G522" s="4" t="str">
        <f>IFERROR(VLOOKUP(B522,infoTable[],4,FALSE),"")</f>
        <v/>
      </c>
      <c r="H522" s="4" t="str">
        <f>IFERROR(VLOOKUP(B522,infoTable__6[],4,FALSE),"")</f>
        <v/>
      </c>
      <c r="I522" s="4" t="str">
        <f>IFERROR(VLOOKUP(B522,infoTable__28[],4,FALSE),"")</f>
        <v/>
      </c>
      <c r="J522" s="4" t="str">
        <f>IFERROR(VLOOKUP(B522,infoTable__10[],4,FALSE),"")</f>
        <v/>
      </c>
      <c r="K522" s="4" t="str">
        <f>IFERROR(VLOOKUP(B522,infoTable__11[],4,FALSE),"")</f>
        <v/>
      </c>
      <c r="L522" s="4" t="str">
        <f>IFERROR(VLOOKUP(B522,infoTable__12[],4,FALSE),"")</f>
        <v/>
      </c>
      <c r="M522" s="4">
        <f>IFERROR(VLOOKUP(B522,infoTable__13[],4,FALSE),"")</f>
        <v>7804287</v>
      </c>
      <c r="N522" s="4" t="str">
        <f>IFERROR(VLOOKUP(B522,infoTable__14[],4,FALSE),"")</f>
        <v/>
      </c>
      <c r="O522" s="4">
        <f>IFERROR(VLOOKUP(B522,infoTable__15[],4,FALSE),"")</f>
        <v>481540</v>
      </c>
      <c r="P522" s="4">
        <f>IFERROR(VLOOKUP(B522,infoTable__16[],4,FALSE),"")</f>
        <v>249500</v>
      </c>
    </row>
    <row r="523" spans="1:16" x14ac:dyDescent="0.55000000000000004">
      <c r="A523" t="s">
        <v>1740</v>
      </c>
      <c r="B523" t="s">
        <v>1741</v>
      </c>
      <c r="C523" s="4" t="str">
        <f>IFERROR(VLOOKUP(B523,infoTable10[],4,FALSE),"")</f>
        <v/>
      </c>
      <c r="D523" s="4" t="str">
        <f>IFERROR(VLOOKUP(B523,infoTable__2[],4,FALSE),"")</f>
        <v/>
      </c>
      <c r="E523" s="4" t="str">
        <f>IFERROR(VLOOKUP(B523,infoTable__3[],4,FALSE),"")</f>
        <v/>
      </c>
      <c r="F523" s="4" t="str">
        <f>IFERROR(VLOOKUP(B523,infoTable__4[],4,FALSE),"")</f>
        <v/>
      </c>
      <c r="G523" s="4" t="str">
        <f>IFERROR(VLOOKUP(B523,infoTable[],4,FALSE),"")</f>
        <v/>
      </c>
      <c r="H523" s="4" t="str">
        <f>IFERROR(VLOOKUP(B523,infoTable__6[],4,FALSE),"")</f>
        <v/>
      </c>
      <c r="I523" s="4" t="str">
        <f>IFERROR(VLOOKUP(B523,infoTable__28[],4,FALSE),"")</f>
        <v/>
      </c>
      <c r="J523" s="4">
        <f>IFERROR(VLOOKUP(B523,infoTable__10[],4,FALSE),"")</f>
        <v>221473</v>
      </c>
      <c r="K523" s="4" t="str">
        <f>IFERROR(VLOOKUP(B523,infoTable__11[],4,FALSE),"")</f>
        <v/>
      </c>
      <c r="L523" s="4" t="str">
        <f>IFERROR(VLOOKUP(B523,infoTable__12[],4,FALSE),"")</f>
        <v/>
      </c>
      <c r="M523" s="4" t="str">
        <f>IFERROR(VLOOKUP(B523,infoTable__13[],4,FALSE),"")</f>
        <v/>
      </c>
      <c r="N523" s="4" t="str">
        <f>IFERROR(VLOOKUP(B523,infoTable__14[],4,FALSE),"")</f>
        <v/>
      </c>
      <c r="O523" s="4">
        <f>IFERROR(VLOOKUP(B523,infoTable__15[],4,FALSE),"")</f>
        <v>232072</v>
      </c>
      <c r="P523" s="4" t="str">
        <f>IFERROR(VLOOKUP(B523,infoTable__16[],4,FALSE),"")</f>
        <v/>
      </c>
    </row>
    <row r="524" spans="1:16" x14ac:dyDescent="0.55000000000000004">
      <c r="A524" t="s">
        <v>1744</v>
      </c>
      <c r="B524" t="s">
        <v>1745</v>
      </c>
      <c r="C524" s="4" t="str">
        <f>IFERROR(VLOOKUP(B524,infoTable10[],4,FALSE),"")</f>
        <v/>
      </c>
      <c r="D524" s="4" t="str">
        <f>IFERROR(VLOOKUP(B524,infoTable__2[],4,FALSE),"")</f>
        <v/>
      </c>
      <c r="E524" s="4" t="str">
        <f>IFERROR(VLOOKUP(B524,infoTable__3[],4,FALSE),"")</f>
        <v/>
      </c>
      <c r="F524" s="4" t="str">
        <f>IFERROR(VLOOKUP(B524,infoTable__4[],4,FALSE),"")</f>
        <v/>
      </c>
      <c r="G524" s="4" t="str">
        <f>IFERROR(VLOOKUP(B524,infoTable[],4,FALSE),"")</f>
        <v/>
      </c>
      <c r="H524" s="4" t="str">
        <f>IFERROR(VLOOKUP(B524,infoTable__6[],4,FALSE),"")</f>
        <v/>
      </c>
      <c r="I524" s="4" t="str">
        <f>IFERROR(VLOOKUP(B524,infoTable__28[],4,FALSE),"")</f>
        <v/>
      </c>
      <c r="J524" s="4">
        <f>IFERROR(VLOOKUP(B524,infoTable__10[],4,FALSE),"")</f>
        <v>990251</v>
      </c>
      <c r="K524" s="4" t="str">
        <f>IFERROR(VLOOKUP(B524,infoTable__11[],4,FALSE),"")</f>
        <v/>
      </c>
      <c r="L524" s="4" t="str">
        <f>IFERROR(VLOOKUP(B524,infoTable__12[],4,FALSE),"")</f>
        <v/>
      </c>
      <c r="M524" s="4" t="str">
        <f>IFERROR(VLOOKUP(B524,infoTable__13[],4,FALSE),"")</f>
        <v/>
      </c>
      <c r="N524" s="4" t="str">
        <f>IFERROR(VLOOKUP(B524,infoTable__14[],4,FALSE),"")</f>
        <v/>
      </c>
      <c r="O524" s="4" t="str">
        <f>IFERROR(VLOOKUP(B524,infoTable__15[],4,FALSE),"")</f>
        <v/>
      </c>
      <c r="P524" s="4" t="str">
        <f>IFERROR(VLOOKUP(B524,infoTable__16[],4,FALSE),"")</f>
        <v/>
      </c>
    </row>
    <row r="525" spans="1:16" x14ac:dyDescent="0.55000000000000004">
      <c r="A525" t="s">
        <v>1728</v>
      </c>
      <c r="B525" t="s">
        <v>1729</v>
      </c>
      <c r="C525" s="4" t="str">
        <f>IFERROR(VLOOKUP(B525,infoTable10[],4,FALSE),"")</f>
        <v/>
      </c>
      <c r="D525" s="4" t="str">
        <f>IFERROR(VLOOKUP(B525,infoTable__2[],4,FALSE),"")</f>
        <v/>
      </c>
      <c r="E525" s="4" t="str">
        <f>IFERROR(VLOOKUP(B525,infoTable__3[],4,FALSE),"")</f>
        <v/>
      </c>
      <c r="F525" s="4" t="str">
        <f>IFERROR(VLOOKUP(B525,infoTable__4[],4,FALSE),"")</f>
        <v/>
      </c>
      <c r="G525" s="4" t="str">
        <f>IFERROR(VLOOKUP(B525,infoTable[],4,FALSE),"")</f>
        <v/>
      </c>
      <c r="H525" s="4" t="str">
        <f>IFERROR(VLOOKUP(B525,infoTable__6[],4,FALSE),"")</f>
        <v/>
      </c>
      <c r="I525" s="4" t="str">
        <f>IFERROR(VLOOKUP(B525,infoTable__28[],4,FALSE),"")</f>
        <v/>
      </c>
      <c r="J525" s="4">
        <f>IFERROR(VLOOKUP(B525,infoTable__10[],4,FALSE),"")</f>
        <v>4405371</v>
      </c>
      <c r="K525" s="4" t="str">
        <f>IFERROR(VLOOKUP(B525,infoTable__11[],4,FALSE),"")</f>
        <v/>
      </c>
      <c r="L525" s="4" t="str">
        <f>IFERROR(VLOOKUP(B525,infoTable__12[],4,FALSE),"")</f>
        <v/>
      </c>
      <c r="M525" s="4">
        <f>IFERROR(VLOOKUP(B525,infoTable__13[],4,FALSE),"")</f>
        <v>1137773</v>
      </c>
      <c r="N525" s="4">
        <f>IFERROR(VLOOKUP(B525,infoTable__14[],4,FALSE),"")</f>
        <v>2642547</v>
      </c>
      <c r="O525" s="4" t="str">
        <f>IFERROR(VLOOKUP(B525,infoTable__15[],4,FALSE),"")</f>
        <v/>
      </c>
      <c r="P525" s="4" t="str">
        <f>IFERROR(VLOOKUP(B525,infoTable__16[],4,FALSE),"")</f>
        <v/>
      </c>
    </row>
    <row r="526" spans="1:16" x14ac:dyDescent="0.55000000000000004">
      <c r="A526" t="s">
        <v>1976</v>
      </c>
      <c r="B526" t="s">
        <v>1977</v>
      </c>
      <c r="C526" s="4" t="str">
        <f>IFERROR(VLOOKUP(B526,infoTable10[],4,FALSE),"")</f>
        <v/>
      </c>
      <c r="D526" s="4" t="str">
        <f>IFERROR(VLOOKUP(B526,infoTable__2[],4,FALSE),"")</f>
        <v/>
      </c>
      <c r="E526" s="4" t="str">
        <f>IFERROR(VLOOKUP(B526,infoTable__3[],4,FALSE),"")</f>
        <v/>
      </c>
      <c r="F526" s="4" t="str">
        <f>IFERROR(VLOOKUP(B526,infoTable__4[],4,FALSE),"")</f>
        <v/>
      </c>
      <c r="G526" s="4" t="str">
        <f>IFERROR(VLOOKUP(B526,infoTable[],4,FALSE),"")</f>
        <v/>
      </c>
      <c r="H526" s="4" t="str">
        <f>IFERROR(VLOOKUP(B526,infoTable__6[],4,FALSE),"")</f>
        <v/>
      </c>
      <c r="I526" s="4" t="str">
        <f>IFERROR(VLOOKUP(B526,infoTable__28[],4,FALSE),"")</f>
        <v/>
      </c>
      <c r="J526" s="4" t="str">
        <f>IFERROR(VLOOKUP(B526,infoTable__10[],4,FALSE),"")</f>
        <v/>
      </c>
      <c r="K526" s="4">
        <f>IFERROR(VLOOKUP(B526,infoTable__11[],4,FALSE),"")</f>
        <v>296240</v>
      </c>
      <c r="L526" s="4">
        <f>IFERROR(VLOOKUP(B526,infoTable__12[],4,FALSE),"")</f>
        <v>1231665</v>
      </c>
      <c r="M526" s="4">
        <f>IFERROR(VLOOKUP(B526,infoTable__13[],4,FALSE),"")</f>
        <v>293803</v>
      </c>
      <c r="N526" s="4" t="str">
        <f>IFERROR(VLOOKUP(B526,infoTable__14[],4,FALSE),"")</f>
        <v/>
      </c>
      <c r="O526" s="4" t="str">
        <f>IFERROR(VLOOKUP(B526,infoTable__15[],4,FALSE),"")</f>
        <v/>
      </c>
      <c r="P526" s="4" t="str">
        <f>IFERROR(VLOOKUP(B526,infoTable__16[],4,FALSE),"")</f>
        <v/>
      </c>
    </row>
    <row r="527" spans="1:16" x14ac:dyDescent="0.55000000000000004">
      <c r="A527" t="s">
        <v>2551</v>
      </c>
      <c r="B527" t="s">
        <v>2552</v>
      </c>
      <c r="C527" s="4" t="str">
        <f>IFERROR(VLOOKUP(B527,infoTable10[],4,FALSE),"")</f>
        <v/>
      </c>
      <c r="D527" s="4" t="str">
        <f>IFERROR(VLOOKUP(B527,infoTable__2[],4,FALSE),"")</f>
        <v/>
      </c>
      <c r="E527" s="4" t="str">
        <f>IFERROR(VLOOKUP(B527,infoTable__3[],4,FALSE),"")</f>
        <v/>
      </c>
      <c r="F527" s="4" t="str">
        <f>IFERROR(VLOOKUP(B527,infoTable__4[],4,FALSE),"")</f>
        <v/>
      </c>
      <c r="G527" s="4" t="str">
        <f>IFERROR(VLOOKUP(B527,infoTable[],4,FALSE),"")</f>
        <v/>
      </c>
      <c r="H527" s="4" t="str">
        <f>IFERROR(VLOOKUP(B527,infoTable__6[],4,FALSE),"")</f>
        <v/>
      </c>
      <c r="I527" s="4" t="str">
        <f>IFERROR(VLOOKUP(B527,infoTable__28[],4,FALSE),"")</f>
        <v/>
      </c>
      <c r="J527" s="4" t="str">
        <f>IFERROR(VLOOKUP(B527,infoTable__10[],4,FALSE),"")</f>
        <v/>
      </c>
      <c r="K527" s="4" t="str">
        <f>IFERROR(VLOOKUP(B527,infoTable__11[],4,FALSE),"")</f>
        <v/>
      </c>
      <c r="L527" s="4" t="str">
        <f>IFERROR(VLOOKUP(B527,infoTable__12[],4,FALSE),"")</f>
        <v/>
      </c>
      <c r="M527" s="4">
        <f>IFERROR(VLOOKUP(B527,infoTable__13[],4,FALSE),"")</f>
        <v>1358536</v>
      </c>
      <c r="N527" s="4" t="str">
        <f>IFERROR(VLOOKUP(B527,infoTable__14[],4,FALSE),"")</f>
        <v/>
      </c>
      <c r="O527" s="4" t="str">
        <f>IFERROR(VLOOKUP(B527,infoTable__15[],4,FALSE),"")</f>
        <v/>
      </c>
      <c r="P527" s="4" t="str">
        <f>IFERROR(VLOOKUP(B527,infoTable__16[],4,FALSE),"")</f>
        <v/>
      </c>
    </row>
    <row r="528" spans="1:16" x14ac:dyDescent="0.55000000000000004">
      <c r="A528" t="s">
        <v>660</v>
      </c>
      <c r="B528" t="s">
        <v>661</v>
      </c>
      <c r="C528" s="4">
        <f>IFERROR(VLOOKUP(B528,infoTable10[],4,FALSE),"")</f>
        <v>977257</v>
      </c>
      <c r="D528" s="4">
        <f>IFERROR(VLOOKUP(B528,infoTable__2[],4,FALSE),"")</f>
        <v>2333118</v>
      </c>
      <c r="E528" s="4" t="str">
        <f>IFERROR(VLOOKUP(B528,infoTable__3[],4,FALSE),"")</f>
        <v/>
      </c>
      <c r="F528" s="4" t="str">
        <f>IFERROR(VLOOKUP(B528,infoTable__4[],4,FALSE),"")</f>
        <v/>
      </c>
      <c r="G528" s="4" t="str">
        <f>IFERROR(VLOOKUP(B528,infoTable[],4,FALSE),"")</f>
        <v/>
      </c>
      <c r="H528" s="4" t="str">
        <f>IFERROR(VLOOKUP(B528,infoTable__6[],4,FALSE),"")</f>
        <v/>
      </c>
      <c r="I528" s="4" t="str">
        <f>IFERROR(VLOOKUP(B528,infoTable__28[],4,FALSE),"")</f>
        <v/>
      </c>
      <c r="J528" s="4" t="str">
        <f>IFERROR(VLOOKUP(B528,infoTable__10[],4,FALSE),"")</f>
        <v/>
      </c>
      <c r="K528" s="4" t="str">
        <f>IFERROR(VLOOKUP(B528,infoTable__11[],4,FALSE),"")</f>
        <v/>
      </c>
      <c r="L528" s="4" t="str">
        <f>IFERROR(VLOOKUP(B528,infoTable__12[],4,FALSE),"")</f>
        <v/>
      </c>
      <c r="M528" s="4" t="str">
        <f>IFERROR(VLOOKUP(B528,infoTable__13[],4,FALSE),"")</f>
        <v/>
      </c>
      <c r="N528" s="4" t="str">
        <f>IFERROR(VLOOKUP(B528,infoTable__14[],4,FALSE),"")</f>
        <v/>
      </c>
      <c r="O528" s="4" t="str">
        <f>IFERROR(VLOOKUP(B528,infoTable__15[],4,FALSE),"")</f>
        <v/>
      </c>
      <c r="P528" s="4" t="str">
        <f>IFERROR(VLOOKUP(B528,infoTable__16[],4,FALSE),"")</f>
        <v/>
      </c>
    </row>
    <row r="529" spans="1:16" x14ac:dyDescent="0.55000000000000004">
      <c r="A529" t="s">
        <v>1978</v>
      </c>
      <c r="B529" t="s">
        <v>1979</v>
      </c>
      <c r="C529" s="4" t="str">
        <f>IFERROR(VLOOKUP(B529,infoTable10[],4,FALSE),"")</f>
        <v/>
      </c>
      <c r="D529" s="4" t="str">
        <f>IFERROR(VLOOKUP(B529,infoTable__2[],4,FALSE),"")</f>
        <v/>
      </c>
      <c r="E529" s="4" t="str">
        <f>IFERROR(VLOOKUP(B529,infoTable__3[],4,FALSE),"")</f>
        <v/>
      </c>
      <c r="F529" s="4" t="str">
        <f>IFERROR(VLOOKUP(B529,infoTable__4[],4,FALSE),"")</f>
        <v/>
      </c>
      <c r="G529" s="4" t="str">
        <f>IFERROR(VLOOKUP(B529,infoTable[],4,FALSE),"")</f>
        <v/>
      </c>
      <c r="H529" s="4" t="str">
        <f>IFERROR(VLOOKUP(B529,infoTable__6[],4,FALSE),"")</f>
        <v/>
      </c>
      <c r="I529" s="4" t="str">
        <f>IFERROR(VLOOKUP(B529,infoTable__28[],4,FALSE),"")</f>
        <v/>
      </c>
      <c r="J529" s="4" t="str">
        <f>IFERROR(VLOOKUP(B529,infoTable__10[],4,FALSE),"")</f>
        <v/>
      </c>
      <c r="K529" s="4">
        <f>IFERROR(VLOOKUP(B529,infoTable__11[],4,FALSE),"")</f>
        <v>827190</v>
      </c>
      <c r="L529" s="4">
        <f>IFERROR(VLOOKUP(B529,infoTable__12[],4,FALSE),"")</f>
        <v>931353</v>
      </c>
      <c r="M529" s="4">
        <f>IFERROR(VLOOKUP(B529,infoTable__13[],4,FALSE),"")</f>
        <v>1003759</v>
      </c>
      <c r="N529" s="4">
        <f>IFERROR(VLOOKUP(B529,infoTable__14[],4,FALSE),"")</f>
        <v>489095</v>
      </c>
      <c r="O529" s="4" t="str">
        <f>IFERROR(VLOOKUP(B529,infoTable__15[],4,FALSE),"")</f>
        <v/>
      </c>
      <c r="P529" s="4" t="str">
        <f>IFERROR(VLOOKUP(B529,infoTable__16[],4,FALSE),"")</f>
        <v/>
      </c>
    </row>
    <row r="530" spans="1:16" x14ac:dyDescent="0.55000000000000004">
      <c r="A530" t="s">
        <v>1539</v>
      </c>
      <c r="B530" t="s">
        <v>1540</v>
      </c>
      <c r="C530" s="4">
        <f>IFERROR(VLOOKUP(B530,infoTable10[],4,FALSE),"")</f>
        <v>1882368</v>
      </c>
      <c r="D530" s="4" t="str">
        <f>IFERROR(VLOOKUP(B530,infoTable__2[],4,FALSE),"")</f>
        <v/>
      </c>
      <c r="E530" s="4" t="str">
        <f>IFERROR(VLOOKUP(B530,infoTable__3[],4,FALSE),"")</f>
        <v/>
      </c>
      <c r="F530" s="4" t="str">
        <f>IFERROR(VLOOKUP(B530,infoTable__4[],4,FALSE),"")</f>
        <v/>
      </c>
      <c r="G530" s="4" t="str">
        <f>IFERROR(VLOOKUP(B530,infoTable[],4,FALSE),"")</f>
        <v/>
      </c>
      <c r="H530" s="4" t="str">
        <f>IFERROR(VLOOKUP(B530,infoTable__6[],4,FALSE),"")</f>
        <v/>
      </c>
      <c r="I530" s="4" t="str">
        <f>IFERROR(VLOOKUP(B530,infoTable__28[],4,FALSE),"")</f>
        <v/>
      </c>
      <c r="J530" s="4" t="str">
        <f>IFERROR(VLOOKUP(B530,infoTable__10[],4,FALSE),"")</f>
        <v/>
      </c>
      <c r="K530" s="4" t="str">
        <f>IFERROR(VLOOKUP(B530,infoTable__11[],4,FALSE),"")</f>
        <v/>
      </c>
      <c r="L530" s="4" t="str">
        <f>IFERROR(VLOOKUP(B530,infoTable__12[],4,FALSE),"")</f>
        <v/>
      </c>
      <c r="M530" s="4" t="str">
        <f>IFERROR(VLOOKUP(B530,infoTable__13[],4,FALSE),"")</f>
        <v/>
      </c>
      <c r="N530" s="4" t="str">
        <f>IFERROR(VLOOKUP(B530,infoTable__14[],4,FALSE),"")</f>
        <v/>
      </c>
      <c r="O530" s="4" t="str">
        <f>IFERROR(VLOOKUP(B530,infoTable__15[],4,FALSE),"")</f>
        <v/>
      </c>
      <c r="P530" s="4" t="str">
        <f>IFERROR(VLOOKUP(B530,infoTable__16[],4,FALSE),"")</f>
        <v/>
      </c>
    </row>
    <row r="531" spans="1:16" x14ac:dyDescent="0.55000000000000004">
      <c r="A531" t="s">
        <v>2297</v>
      </c>
      <c r="B531" t="s">
        <v>2298</v>
      </c>
      <c r="C531" s="4" t="str">
        <f>IFERROR(VLOOKUP(B531,infoTable10[],4,FALSE),"")</f>
        <v/>
      </c>
      <c r="D531" s="4" t="str">
        <f>IFERROR(VLOOKUP(B531,infoTable__2[],4,FALSE),"")</f>
        <v/>
      </c>
      <c r="E531" s="4" t="str">
        <f>IFERROR(VLOOKUP(B531,infoTable__3[],4,FALSE),"")</f>
        <v/>
      </c>
      <c r="F531" s="4" t="str">
        <f>IFERROR(VLOOKUP(B531,infoTable__4[],4,FALSE),"")</f>
        <v/>
      </c>
      <c r="G531" s="4" t="str">
        <f>IFERROR(VLOOKUP(B531,infoTable[],4,FALSE),"")</f>
        <v/>
      </c>
      <c r="H531" s="4" t="str">
        <f>IFERROR(VLOOKUP(B531,infoTable__6[],4,FALSE),"")</f>
        <v/>
      </c>
      <c r="I531" s="4" t="str">
        <f>IFERROR(VLOOKUP(B531,infoTable__28[],4,FALSE),"")</f>
        <v/>
      </c>
      <c r="J531" s="4" t="str">
        <f>IFERROR(VLOOKUP(B531,infoTable__10[],4,FALSE),"")</f>
        <v/>
      </c>
      <c r="K531" s="4" t="str">
        <f>IFERROR(VLOOKUP(B531,infoTable__11[],4,FALSE),"")</f>
        <v/>
      </c>
      <c r="L531" s="4">
        <f>IFERROR(VLOOKUP(B531,infoTable__12[],4,FALSE),"")</f>
        <v>250267</v>
      </c>
      <c r="M531" s="4" t="str">
        <f>IFERROR(VLOOKUP(B531,infoTable__13[],4,FALSE),"")</f>
        <v/>
      </c>
      <c r="N531" s="4" t="str">
        <f>IFERROR(VLOOKUP(B531,infoTable__14[],4,FALSE),"")</f>
        <v/>
      </c>
      <c r="O531" s="4" t="str">
        <f>IFERROR(VLOOKUP(B531,infoTable__15[],4,FALSE),"")</f>
        <v/>
      </c>
      <c r="P531" s="4" t="str">
        <f>IFERROR(VLOOKUP(B531,infoTable__16[],4,FALSE),"")</f>
        <v/>
      </c>
    </row>
    <row r="532" spans="1:16" x14ac:dyDescent="0.55000000000000004">
      <c r="A532" t="s">
        <v>891</v>
      </c>
      <c r="B532" t="s">
        <v>892</v>
      </c>
      <c r="C532" s="4" t="str">
        <f>IFERROR(VLOOKUP(B532,infoTable10[],4,FALSE),"")</f>
        <v/>
      </c>
      <c r="D532" s="4" t="str">
        <f>IFERROR(VLOOKUP(B532,infoTable__2[],4,FALSE),"")</f>
        <v/>
      </c>
      <c r="E532" s="4" t="str">
        <f>IFERROR(VLOOKUP(B532,infoTable__3[],4,FALSE),"")</f>
        <v/>
      </c>
      <c r="F532" s="4">
        <f>IFERROR(VLOOKUP(B532,infoTable__4[],4,FALSE),"")</f>
        <v>200193</v>
      </c>
      <c r="G532" s="4" t="str">
        <f>IFERROR(VLOOKUP(B532,infoTable[],4,FALSE),"")</f>
        <v/>
      </c>
      <c r="H532" s="4" t="str">
        <f>IFERROR(VLOOKUP(B532,infoTable__6[],4,FALSE),"")</f>
        <v/>
      </c>
      <c r="I532" s="4" t="str">
        <f>IFERROR(VLOOKUP(B532,infoTable__28[],4,FALSE),"")</f>
        <v/>
      </c>
      <c r="J532" s="4" t="str">
        <f>IFERROR(VLOOKUP(B532,infoTable__10[],4,FALSE),"")</f>
        <v/>
      </c>
      <c r="K532" s="4" t="str">
        <f>IFERROR(VLOOKUP(B532,infoTable__11[],4,FALSE),"")</f>
        <v/>
      </c>
      <c r="L532" s="4" t="str">
        <f>IFERROR(VLOOKUP(B532,infoTable__12[],4,FALSE),"")</f>
        <v/>
      </c>
      <c r="M532" s="4" t="str">
        <f>IFERROR(VLOOKUP(B532,infoTable__13[],4,FALSE),"")</f>
        <v/>
      </c>
      <c r="N532" s="4">
        <f>IFERROR(VLOOKUP(B532,infoTable__14[],4,FALSE),"")</f>
        <v>1364277</v>
      </c>
      <c r="O532" s="4">
        <f>IFERROR(VLOOKUP(B532,infoTable__15[],4,FALSE),"")</f>
        <v>1060695</v>
      </c>
      <c r="P532" s="4">
        <f>IFERROR(VLOOKUP(B532,infoTable__16[],4,FALSE),"")</f>
        <v>947683</v>
      </c>
    </row>
    <row r="533" spans="1:16" x14ac:dyDescent="0.55000000000000004">
      <c r="A533" t="s">
        <v>3469</v>
      </c>
      <c r="B533" t="s">
        <v>3470</v>
      </c>
      <c r="C533" s="4" t="str">
        <f>IFERROR(VLOOKUP(B533,infoTable10[],4,FALSE),"")</f>
        <v/>
      </c>
      <c r="D533" s="4" t="str">
        <f>IFERROR(VLOOKUP(B533,infoTable__2[],4,FALSE),"")</f>
        <v/>
      </c>
      <c r="E533" s="4" t="str">
        <f>IFERROR(VLOOKUP(B533,infoTable__3[],4,FALSE),"")</f>
        <v/>
      </c>
      <c r="F533" s="4" t="str">
        <f>IFERROR(VLOOKUP(B533,infoTable__4[],4,FALSE),"")</f>
        <v/>
      </c>
      <c r="G533" s="4" t="str">
        <f>IFERROR(VLOOKUP(B533,infoTable[],4,FALSE),"")</f>
        <v/>
      </c>
      <c r="H533" s="4" t="str">
        <f>IFERROR(VLOOKUP(B533,infoTable__6[],4,FALSE),"")</f>
        <v/>
      </c>
      <c r="I533" s="4" t="str">
        <f>IFERROR(VLOOKUP(B533,infoTable__28[],4,FALSE),"")</f>
        <v/>
      </c>
      <c r="J533" s="4" t="str">
        <f>IFERROR(VLOOKUP(B533,infoTable__10[],4,FALSE),"")</f>
        <v/>
      </c>
      <c r="K533" s="4" t="str">
        <f>IFERROR(VLOOKUP(B533,infoTable__11[],4,FALSE),"")</f>
        <v/>
      </c>
      <c r="L533" s="4" t="str">
        <f>IFERROR(VLOOKUP(B533,infoTable__12[],4,FALSE),"")</f>
        <v/>
      </c>
      <c r="M533" s="4" t="str">
        <f>IFERROR(VLOOKUP(B533,infoTable__13[],4,FALSE),"")</f>
        <v/>
      </c>
      <c r="N533" s="4" t="str">
        <f>IFERROR(VLOOKUP(B533,infoTable__14[],4,FALSE),"")</f>
        <v/>
      </c>
      <c r="O533" s="4" t="str">
        <f>IFERROR(VLOOKUP(B533,infoTable__15[],4,FALSE),"")</f>
        <v/>
      </c>
      <c r="P533" s="4">
        <f>IFERROR(VLOOKUP(B533,infoTable__16[],4,FALSE),"")</f>
        <v>316915</v>
      </c>
    </row>
    <row r="534" spans="1:16" x14ac:dyDescent="0.55000000000000004">
      <c r="A534" t="s">
        <v>3473</v>
      </c>
      <c r="B534" t="s">
        <v>3474</v>
      </c>
      <c r="C534" s="4" t="str">
        <f>IFERROR(VLOOKUP(B534,infoTable10[],4,FALSE),"")</f>
        <v/>
      </c>
      <c r="D534" s="4" t="str">
        <f>IFERROR(VLOOKUP(B534,infoTable__2[],4,FALSE),"")</f>
        <v/>
      </c>
      <c r="E534" s="4" t="str">
        <f>IFERROR(VLOOKUP(B534,infoTable__3[],4,FALSE),"")</f>
        <v/>
      </c>
      <c r="F534" s="4" t="str">
        <f>IFERROR(VLOOKUP(B534,infoTable__4[],4,FALSE),"")</f>
        <v/>
      </c>
      <c r="G534" s="4" t="str">
        <f>IFERROR(VLOOKUP(B534,infoTable[],4,FALSE),"")</f>
        <v/>
      </c>
      <c r="H534" s="4" t="str">
        <f>IFERROR(VLOOKUP(B534,infoTable__6[],4,FALSE),"")</f>
        <v/>
      </c>
      <c r="I534" s="4" t="str">
        <f>IFERROR(VLOOKUP(B534,infoTable__28[],4,FALSE),"")</f>
        <v/>
      </c>
      <c r="J534" s="4" t="str">
        <f>IFERROR(VLOOKUP(B534,infoTable__10[],4,FALSE),"")</f>
        <v/>
      </c>
      <c r="K534" s="4" t="str">
        <f>IFERROR(VLOOKUP(B534,infoTable__11[],4,FALSE),"")</f>
        <v/>
      </c>
      <c r="L534" s="4" t="str">
        <f>IFERROR(VLOOKUP(B534,infoTable__12[],4,FALSE),"")</f>
        <v/>
      </c>
      <c r="M534" s="4" t="str">
        <f>IFERROR(VLOOKUP(B534,infoTable__13[],4,FALSE),"")</f>
        <v/>
      </c>
      <c r="N534" s="4" t="str">
        <f>IFERROR(VLOOKUP(B534,infoTable__14[],4,FALSE),"")</f>
        <v/>
      </c>
      <c r="O534" s="4" t="str">
        <f>IFERROR(VLOOKUP(B534,infoTable__15[],4,FALSE),"")</f>
        <v/>
      </c>
      <c r="P534" s="4">
        <f>IFERROR(VLOOKUP(B534,infoTable__16[],4,FALSE),"")</f>
        <v>223806</v>
      </c>
    </row>
    <row r="535" spans="1:16" x14ac:dyDescent="0.55000000000000004">
      <c r="A535" t="s">
        <v>1732</v>
      </c>
      <c r="B535" t="s">
        <v>1733</v>
      </c>
      <c r="C535" s="4" t="str">
        <f>IFERROR(VLOOKUP(B535,infoTable10[],4,FALSE),"")</f>
        <v/>
      </c>
      <c r="D535" s="4" t="str">
        <f>IFERROR(VLOOKUP(B535,infoTable__2[],4,FALSE),"")</f>
        <v/>
      </c>
      <c r="E535" s="4" t="str">
        <f>IFERROR(VLOOKUP(B535,infoTable__3[],4,FALSE),"")</f>
        <v/>
      </c>
      <c r="F535" s="4" t="str">
        <f>IFERROR(VLOOKUP(B535,infoTable__4[],4,FALSE),"")</f>
        <v/>
      </c>
      <c r="G535" s="4" t="str">
        <f>IFERROR(VLOOKUP(B535,infoTable[],4,FALSE),"")</f>
        <v/>
      </c>
      <c r="H535" s="4" t="str">
        <f>IFERROR(VLOOKUP(B535,infoTable__6[],4,FALSE),"")</f>
        <v/>
      </c>
      <c r="I535" s="4" t="str">
        <f>IFERROR(VLOOKUP(B535,infoTable__28[],4,FALSE),"")</f>
        <v/>
      </c>
      <c r="J535" s="4">
        <f>IFERROR(VLOOKUP(B535,infoTable__10[],4,FALSE),"")</f>
        <v>373202</v>
      </c>
      <c r="K535" s="4">
        <f>IFERROR(VLOOKUP(B535,infoTable__11[],4,FALSE),"")</f>
        <v>981348</v>
      </c>
      <c r="L535" s="4" t="str">
        <f>IFERROR(VLOOKUP(B535,infoTable__12[],4,FALSE),"")</f>
        <v/>
      </c>
      <c r="M535" s="4" t="str">
        <f>IFERROR(VLOOKUP(B535,infoTable__13[],4,FALSE),"")</f>
        <v/>
      </c>
      <c r="N535" s="4" t="str">
        <f>IFERROR(VLOOKUP(B535,infoTable__14[],4,FALSE),"")</f>
        <v/>
      </c>
      <c r="O535" s="4" t="str">
        <f>IFERROR(VLOOKUP(B535,infoTable__15[],4,FALSE),"")</f>
        <v/>
      </c>
      <c r="P535" s="4" t="str">
        <f>IFERROR(VLOOKUP(B535,infoTable__16[],4,FALSE),"")</f>
        <v/>
      </c>
    </row>
    <row r="536" spans="1:16" x14ac:dyDescent="0.55000000000000004">
      <c r="A536" t="s">
        <v>780</v>
      </c>
      <c r="B536" t="s">
        <v>781</v>
      </c>
      <c r="C536" s="4">
        <f>IFERROR(VLOOKUP(B536,infoTable10[],4,FALSE),"")</f>
        <v>802056</v>
      </c>
      <c r="D536" s="4" t="str">
        <f>IFERROR(VLOOKUP(B536,infoTable__2[],4,FALSE),"")</f>
        <v/>
      </c>
      <c r="E536" s="4">
        <f>IFERROR(VLOOKUP(B536,infoTable__3[],4,FALSE),"")</f>
        <v>217052</v>
      </c>
      <c r="F536" s="4">
        <f>IFERROR(VLOOKUP(B536,infoTable__4[],4,FALSE),"")</f>
        <v>139300</v>
      </c>
      <c r="G536" s="4" t="str">
        <f>IFERROR(VLOOKUP(B536,infoTable[],4,FALSE),"")</f>
        <v/>
      </c>
      <c r="H536" s="4" t="str">
        <f>IFERROR(VLOOKUP(B536,infoTable__6[],4,FALSE),"")</f>
        <v/>
      </c>
      <c r="I536" s="4" t="str">
        <f>IFERROR(VLOOKUP(B536,infoTable__28[],4,FALSE),"")</f>
        <v/>
      </c>
      <c r="J536" s="4" t="str">
        <f>IFERROR(VLOOKUP(B536,infoTable__10[],4,FALSE),"")</f>
        <v/>
      </c>
      <c r="K536" s="4" t="str">
        <f>IFERROR(VLOOKUP(B536,infoTable__11[],4,FALSE),"")</f>
        <v/>
      </c>
      <c r="L536" s="4" t="str">
        <f>IFERROR(VLOOKUP(B536,infoTable__12[],4,FALSE),"")</f>
        <v/>
      </c>
      <c r="M536" s="4" t="str">
        <f>IFERROR(VLOOKUP(B536,infoTable__13[],4,FALSE),"")</f>
        <v/>
      </c>
      <c r="N536" s="4" t="str">
        <f>IFERROR(VLOOKUP(B536,infoTable__14[],4,FALSE),"")</f>
        <v/>
      </c>
      <c r="O536" s="4" t="str">
        <f>IFERROR(VLOOKUP(B536,infoTable__15[],4,FALSE),"")</f>
        <v/>
      </c>
      <c r="P536" s="4">
        <f>IFERROR(VLOOKUP(B536,infoTable__16[],4,FALSE),"")</f>
        <v>2201620</v>
      </c>
    </row>
    <row r="537" spans="1:16" x14ac:dyDescent="0.55000000000000004">
      <c r="A537" t="s">
        <v>349</v>
      </c>
      <c r="B537" t="s">
        <v>350</v>
      </c>
      <c r="C537" s="4" t="str">
        <f>IFERROR(VLOOKUP(B537,infoTable10[],4,FALSE),"")</f>
        <v/>
      </c>
      <c r="D537" s="4" t="str">
        <f>IFERROR(VLOOKUP(B537,infoTable__2[],4,FALSE),"")</f>
        <v/>
      </c>
      <c r="E537" s="4" t="str">
        <f>IFERROR(VLOOKUP(B537,infoTable__3[],4,FALSE),"")</f>
        <v/>
      </c>
      <c r="F537" s="4">
        <f>IFERROR(VLOOKUP(B537,infoTable__4[],4,FALSE),"")</f>
        <v>1094647</v>
      </c>
      <c r="G537" s="4">
        <f>IFERROR(VLOOKUP(B537,infoTable[],4,FALSE),"")</f>
        <v>691904</v>
      </c>
      <c r="H537" s="4" t="str">
        <f>IFERROR(VLOOKUP(B537,infoTable__6[],4,FALSE),"")</f>
        <v/>
      </c>
      <c r="I537" s="4" t="str">
        <f>IFERROR(VLOOKUP(B537,infoTable__28[],4,FALSE),"")</f>
        <v/>
      </c>
      <c r="J537" s="4" t="str">
        <f>IFERROR(VLOOKUP(B537,infoTable__10[],4,FALSE),"")</f>
        <v/>
      </c>
      <c r="K537" s="4" t="str">
        <f>IFERROR(VLOOKUP(B537,infoTable__11[],4,FALSE),"")</f>
        <v/>
      </c>
      <c r="L537" s="4" t="str">
        <f>IFERROR(VLOOKUP(B537,infoTable__12[],4,FALSE),"")</f>
        <v/>
      </c>
      <c r="M537" s="4">
        <f>IFERROR(VLOOKUP(B537,infoTable__13[],4,FALSE),"")</f>
        <v>484261</v>
      </c>
      <c r="N537" s="4" t="str">
        <f>IFERROR(VLOOKUP(B537,infoTable__14[],4,FALSE),"")</f>
        <v/>
      </c>
      <c r="O537" s="4" t="str">
        <f>IFERROR(VLOOKUP(B537,infoTable__15[],4,FALSE),"")</f>
        <v/>
      </c>
      <c r="P537" s="4" t="str">
        <f>IFERROR(VLOOKUP(B537,infoTable__16[],4,FALSE),"")</f>
        <v/>
      </c>
    </row>
    <row r="538" spans="1:16" x14ac:dyDescent="0.55000000000000004">
      <c r="A538" t="s">
        <v>2729</v>
      </c>
      <c r="B538" t="s">
        <v>2728</v>
      </c>
      <c r="C538" s="4" t="str">
        <f>IFERROR(VLOOKUP(B538,infoTable10[],4,FALSE),"")</f>
        <v/>
      </c>
      <c r="D538" s="4" t="str">
        <f>IFERROR(VLOOKUP(B538,infoTable__2[],4,FALSE),"")</f>
        <v/>
      </c>
      <c r="E538" s="4" t="str">
        <f>IFERROR(VLOOKUP(B538,infoTable__3[],4,FALSE),"")</f>
        <v/>
      </c>
      <c r="F538" s="4" t="str">
        <f>IFERROR(VLOOKUP(B538,infoTable__4[],4,FALSE),"")</f>
        <v/>
      </c>
      <c r="G538" s="4" t="str">
        <f>IFERROR(VLOOKUP(B538,infoTable[],4,FALSE),"")</f>
        <v/>
      </c>
      <c r="H538" s="4" t="str">
        <f>IFERROR(VLOOKUP(B538,infoTable__6[],4,FALSE),"")</f>
        <v/>
      </c>
      <c r="I538" s="4" t="str">
        <f>IFERROR(VLOOKUP(B538,infoTable__28[],4,FALSE),"")</f>
        <v/>
      </c>
      <c r="J538" s="4" t="str">
        <f>IFERROR(VLOOKUP(B538,infoTable__10[],4,FALSE),"")</f>
        <v/>
      </c>
      <c r="K538" s="4" t="str">
        <f>IFERROR(VLOOKUP(B538,infoTable__11[],4,FALSE),"")</f>
        <v/>
      </c>
      <c r="L538" s="4" t="str">
        <f>IFERROR(VLOOKUP(B538,infoTable__12[],4,FALSE),"")</f>
        <v/>
      </c>
      <c r="M538" s="4" t="str">
        <f>IFERROR(VLOOKUP(B538,infoTable__13[],4,FALSE),"")</f>
        <v/>
      </c>
      <c r="N538" s="4">
        <f>IFERROR(VLOOKUP(B538,infoTable__14[],4,FALSE),"")</f>
        <v>582084</v>
      </c>
      <c r="O538" s="4">
        <f>IFERROR(VLOOKUP(B538,infoTable__15[],4,FALSE),"")</f>
        <v>448803</v>
      </c>
      <c r="P538" s="4">
        <f>IFERROR(VLOOKUP(B538,infoTable__16[],4,FALSE),"")</f>
        <v>1167704</v>
      </c>
    </row>
    <row r="539" spans="1:16" x14ac:dyDescent="0.55000000000000004">
      <c r="A539" t="s">
        <v>1080</v>
      </c>
      <c r="B539" t="s">
        <v>1081</v>
      </c>
      <c r="C539" s="4" t="str">
        <f>IFERROR(VLOOKUP(B539,infoTable10[],4,FALSE),"")</f>
        <v/>
      </c>
      <c r="D539" s="4" t="str">
        <f>IFERROR(VLOOKUP(B539,infoTable__2[],4,FALSE),"")</f>
        <v/>
      </c>
      <c r="E539" s="4" t="str">
        <f>IFERROR(VLOOKUP(B539,infoTable__3[],4,FALSE),"")</f>
        <v/>
      </c>
      <c r="F539" s="4" t="str">
        <f>IFERROR(VLOOKUP(B539,infoTable__4[],4,FALSE),"")</f>
        <v/>
      </c>
      <c r="G539" s="4" t="str">
        <f>IFERROR(VLOOKUP(B539,infoTable[],4,FALSE),"")</f>
        <v/>
      </c>
      <c r="H539" s="4">
        <f>IFERROR(VLOOKUP(B539,infoTable__6[],4,FALSE),"")</f>
        <v>660621</v>
      </c>
      <c r="I539" s="4" t="str">
        <f>IFERROR(VLOOKUP(B539,infoTable__28[],4,FALSE),"")</f>
        <v/>
      </c>
      <c r="J539" s="4" t="str">
        <f>IFERROR(VLOOKUP(B539,infoTable__10[],4,FALSE),"")</f>
        <v/>
      </c>
      <c r="K539" s="4" t="str">
        <f>IFERROR(VLOOKUP(B539,infoTable__11[],4,FALSE),"")</f>
        <v/>
      </c>
      <c r="L539" s="4" t="str">
        <f>IFERROR(VLOOKUP(B539,infoTable__12[],4,FALSE),"")</f>
        <v/>
      </c>
      <c r="M539" s="4" t="str">
        <f>IFERROR(VLOOKUP(B539,infoTable__13[],4,FALSE),"")</f>
        <v/>
      </c>
      <c r="N539" s="4" t="str">
        <f>IFERROR(VLOOKUP(B539,infoTable__14[],4,FALSE),"")</f>
        <v/>
      </c>
      <c r="O539" s="4" t="str">
        <f>IFERROR(VLOOKUP(B539,infoTable__15[],4,FALSE),"")</f>
        <v/>
      </c>
      <c r="P539" s="4" t="str">
        <f>IFERROR(VLOOKUP(B539,infoTable__16[],4,FALSE),"")</f>
        <v/>
      </c>
    </row>
    <row r="540" spans="1:16" x14ac:dyDescent="0.55000000000000004">
      <c r="A540" t="s">
        <v>2559</v>
      </c>
      <c r="B540" t="s">
        <v>2560</v>
      </c>
      <c r="C540" s="4" t="str">
        <f>IFERROR(VLOOKUP(B540,infoTable10[],4,FALSE),"")</f>
        <v/>
      </c>
      <c r="D540" s="4" t="str">
        <f>IFERROR(VLOOKUP(B540,infoTable__2[],4,FALSE),"")</f>
        <v/>
      </c>
      <c r="E540" s="4" t="str">
        <f>IFERROR(VLOOKUP(B540,infoTable__3[],4,FALSE),"")</f>
        <v/>
      </c>
      <c r="F540" s="4" t="str">
        <f>IFERROR(VLOOKUP(B540,infoTable__4[],4,FALSE),"")</f>
        <v/>
      </c>
      <c r="G540" s="4" t="str">
        <f>IFERROR(VLOOKUP(B540,infoTable[],4,FALSE),"")</f>
        <v/>
      </c>
      <c r="H540" s="4" t="str">
        <f>IFERROR(VLOOKUP(B540,infoTable__6[],4,FALSE),"")</f>
        <v/>
      </c>
      <c r="I540" s="4" t="str">
        <f>IFERROR(VLOOKUP(B540,infoTable__28[],4,FALSE),"")</f>
        <v/>
      </c>
      <c r="J540" s="4" t="str">
        <f>IFERROR(VLOOKUP(B540,infoTable__10[],4,FALSE),"")</f>
        <v/>
      </c>
      <c r="K540" s="4" t="str">
        <f>IFERROR(VLOOKUP(B540,infoTable__11[],4,FALSE),"")</f>
        <v/>
      </c>
      <c r="L540" s="4" t="str">
        <f>IFERROR(VLOOKUP(B540,infoTable__12[],4,FALSE),"")</f>
        <v/>
      </c>
      <c r="M540" s="4">
        <f>IFERROR(VLOOKUP(B540,infoTable__13[],4,FALSE),"")</f>
        <v>2699070</v>
      </c>
      <c r="N540" s="4">
        <f>IFERROR(VLOOKUP(B540,infoTable__14[],4,FALSE),"")</f>
        <v>1279993</v>
      </c>
      <c r="O540" s="4" t="str">
        <f>IFERROR(VLOOKUP(B540,infoTable__15[],4,FALSE),"")</f>
        <v/>
      </c>
      <c r="P540" s="4" t="str">
        <f>IFERROR(VLOOKUP(B540,infoTable__16[],4,FALSE),"")</f>
        <v/>
      </c>
    </row>
    <row r="541" spans="1:16" x14ac:dyDescent="0.55000000000000004">
      <c r="A541" t="s">
        <v>2301</v>
      </c>
      <c r="B541" t="s">
        <v>2730</v>
      </c>
      <c r="C541" s="4" t="str">
        <f>IFERROR(VLOOKUP(B541,infoTable10[],4,FALSE),"")</f>
        <v/>
      </c>
      <c r="D541" s="4" t="str">
        <f>IFERROR(VLOOKUP(B541,infoTable__2[],4,FALSE),"")</f>
        <v/>
      </c>
      <c r="E541" s="4" t="str">
        <f>IFERROR(VLOOKUP(B541,infoTable__3[],4,FALSE),"")</f>
        <v/>
      </c>
      <c r="F541" s="4" t="str">
        <f>IFERROR(VLOOKUP(B541,infoTable__4[],4,FALSE),"")</f>
        <v/>
      </c>
      <c r="G541" s="4" t="str">
        <f>IFERROR(VLOOKUP(B541,infoTable[],4,FALSE),"")</f>
        <v/>
      </c>
      <c r="H541" s="4" t="str">
        <f>IFERROR(VLOOKUP(B541,infoTable__6[],4,FALSE),"")</f>
        <v/>
      </c>
      <c r="I541" s="4" t="str">
        <f>IFERROR(VLOOKUP(B541,infoTable__28[],4,FALSE),"")</f>
        <v/>
      </c>
      <c r="J541" s="4" t="str">
        <f>IFERROR(VLOOKUP(B541,infoTable__10[],4,FALSE),"")</f>
        <v/>
      </c>
      <c r="K541" s="4" t="str">
        <f>IFERROR(VLOOKUP(B541,infoTable__11[],4,FALSE),"")</f>
        <v/>
      </c>
      <c r="L541" s="4" t="str">
        <f>IFERROR(VLOOKUP(B541,infoTable__12[],4,FALSE),"")</f>
        <v/>
      </c>
      <c r="M541" s="4" t="str">
        <f>IFERROR(VLOOKUP(B541,infoTable__13[],4,FALSE),"")</f>
        <v/>
      </c>
      <c r="N541" s="4">
        <f>IFERROR(VLOOKUP(B541,infoTable__14[],4,FALSE),"")</f>
        <v>2124239</v>
      </c>
      <c r="O541" s="4" t="str">
        <f>IFERROR(VLOOKUP(B541,infoTable__15[],4,FALSE),"")</f>
        <v/>
      </c>
      <c r="P541" s="4" t="str">
        <f>IFERROR(VLOOKUP(B541,infoTable__16[],4,FALSE),"")</f>
        <v/>
      </c>
    </row>
    <row r="542" spans="1:16" x14ac:dyDescent="0.55000000000000004">
      <c r="A542" t="s">
        <v>2732</v>
      </c>
      <c r="B542" t="s">
        <v>2731</v>
      </c>
      <c r="C542" s="4" t="str">
        <f>IFERROR(VLOOKUP(B542,infoTable10[],4,FALSE),"")</f>
        <v/>
      </c>
      <c r="D542" s="4" t="str">
        <f>IFERROR(VLOOKUP(B542,infoTable__2[],4,FALSE),"")</f>
        <v/>
      </c>
      <c r="E542" s="4" t="str">
        <f>IFERROR(VLOOKUP(B542,infoTable__3[],4,FALSE),"")</f>
        <v/>
      </c>
      <c r="F542" s="4" t="str">
        <f>IFERROR(VLOOKUP(B542,infoTable__4[],4,FALSE),"")</f>
        <v/>
      </c>
      <c r="G542" s="4" t="str">
        <f>IFERROR(VLOOKUP(B542,infoTable[],4,FALSE),"")</f>
        <v/>
      </c>
      <c r="H542" s="4" t="str">
        <f>IFERROR(VLOOKUP(B542,infoTable__6[],4,FALSE),"")</f>
        <v/>
      </c>
      <c r="I542" s="4" t="str">
        <f>IFERROR(VLOOKUP(B542,infoTable__28[],4,FALSE),"")</f>
        <v/>
      </c>
      <c r="J542" s="4" t="str">
        <f>IFERROR(VLOOKUP(B542,infoTable__10[],4,FALSE),"")</f>
        <v/>
      </c>
      <c r="K542" s="4" t="str">
        <f>IFERROR(VLOOKUP(B542,infoTable__11[],4,FALSE),"")</f>
        <v/>
      </c>
      <c r="L542" s="4" t="str">
        <f>IFERROR(VLOOKUP(B542,infoTable__12[],4,FALSE),"")</f>
        <v/>
      </c>
      <c r="M542" s="4" t="str">
        <f>IFERROR(VLOOKUP(B542,infoTable__13[],4,FALSE),"")</f>
        <v/>
      </c>
      <c r="N542" s="4">
        <f>IFERROR(VLOOKUP(B542,infoTable__14[],4,FALSE),"")</f>
        <v>610476</v>
      </c>
      <c r="O542" s="4">
        <f>IFERROR(VLOOKUP(B542,infoTable__15[],4,FALSE),"")</f>
        <v>923453</v>
      </c>
      <c r="P542" s="4">
        <f>IFERROR(VLOOKUP(B542,infoTable__16[],4,FALSE),"")</f>
        <v>1891208</v>
      </c>
    </row>
    <row r="543" spans="1:16" x14ac:dyDescent="0.55000000000000004">
      <c r="A543" t="s">
        <v>895</v>
      </c>
      <c r="B543" t="s">
        <v>896</v>
      </c>
      <c r="C543" s="4" t="str">
        <f>IFERROR(VLOOKUP(B543,infoTable10[],4,FALSE),"")</f>
        <v/>
      </c>
      <c r="D543" s="4" t="str">
        <f>IFERROR(VLOOKUP(B543,infoTable__2[],4,FALSE),"")</f>
        <v/>
      </c>
      <c r="E543" s="4" t="str">
        <f>IFERROR(VLOOKUP(B543,infoTable__3[],4,FALSE),"")</f>
        <v/>
      </c>
      <c r="F543" s="4">
        <f>IFERROR(VLOOKUP(B543,infoTable__4[],4,FALSE),"")</f>
        <v>215588</v>
      </c>
      <c r="G543" s="4" t="str">
        <f>IFERROR(VLOOKUP(B543,infoTable[],4,FALSE),"")</f>
        <v/>
      </c>
      <c r="H543" s="4" t="str">
        <f>IFERROR(VLOOKUP(B543,infoTable__6[],4,FALSE),"")</f>
        <v/>
      </c>
      <c r="I543" s="4" t="str">
        <f>IFERROR(VLOOKUP(B543,infoTable__28[],4,FALSE),"")</f>
        <v/>
      </c>
      <c r="J543" s="4" t="str">
        <f>IFERROR(VLOOKUP(B543,infoTable__10[],4,FALSE),"")</f>
        <v/>
      </c>
      <c r="K543" s="4" t="str">
        <f>IFERROR(VLOOKUP(B543,infoTable__11[],4,FALSE),"")</f>
        <v/>
      </c>
      <c r="L543" s="4" t="str">
        <f>IFERROR(VLOOKUP(B543,infoTable__12[],4,FALSE),"")</f>
        <v/>
      </c>
      <c r="M543" s="4" t="str">
        <f>IFERROR(VLOOKUP(B543,infoTable__13[],4,FALSE),"")</f>
        <v/>
      </c>
      <c r="N543" s="4" t="str">
        <f>IFERROR(VLOOKUP(B543,infoTable__14[],4,FALSE),"")</f>
        <v/>
      </c>
      <c r="O543" s="4" t="str">
        <f>IFERROR(VLOOKUP(B543,infoTable__15[],4,FALSE),"")</f>
        <v/>
      </c>
      <c r="P543" s="4" t="str">
        <f>IFERROR(VLOOKUP(B543,infoTable__16[],4,FALSE),"")</f>
        <v/>
      </c>
    </row>
    <row r="544" spans="1:16" x14ac:dyDescent="0.55000000000000004">
      <c r="A544" t="s">
        <v>357</v>
      </c>
      <c r="B544" t="s">
        <v>358</v>
      </c>
      <c r="C544" s="4" t="str">
        <f>IFERROR(VLOOKUP(B544,infoTable10[],4,FALSE),"")</f>
        <v/>
      </c>
      <c r="D544" s="4" t="str">
        <f>IFERROR(VLOOKUP(B544,infoTable__2[],4,FALSE),"")</f>
        <v/>
      </c>
      <c r="E544" s="4">
        <f>IFERROR(VLOOKUP(B544,infoTable__3[],4,FALSE),"")</f>
        <v>824310</v>
      </c>
      <c r="F544" s="4">
        <f>IFERROR(VLOOKUP(B544,infoTable__4[],4,FALSE),"")</f>
        <v>745429</v>
      </c>
      <c r="G544" s="4">
        <f>IFERROR(VLOOKUP(B544,infoTable[],4,FALSE),"")</f>
        <v>2876121</v>
      </c>
      <c r="H544" s="4">
        <f>IFERROR(VLOOKUP(B544,infoTable__6[],4,FALSE),"")</f>
        <v>1344599</v>
      </c>
      <c r="I544" s="4">
        <f>IFERROR(VLOOKUP(B544,infoTable__28[],4,FALSE),"")</f>
        <v>356801</v>
      </c>
      <c r="J544" s="4">
        <f>IFERROR(VLOOKUP(B544,infoTable__10[],4,FALSE),"")</f>
        <v>294320</v>
      </c>
      <c r="K544" s="4">
        <f>IFERROR(VLOOKUP(B544,infoTable__11[],4,FALSE),"")</f>
        <v>269810</v>
      </c>
      <c r="L544" s="4" t="str">
        <f>IFERROR(VLOOKUP(B544,infoTable__12[],4,FALSE),"")</f>
        <v/>
      </c>
      <c r="M544" s="4" t="str">
        <f>IFERROR(VLOOKUP(B544,infoTable__13[],4,FALSE),"")</f>
        <v/>
      </c>
      <c r="N544" s="4" t="str">
        <f>IFERROR(VLOOKUP(B544,infoTable__14[],4,FALSE),"")</f>
        <v/>
      </c>
      <c r="O544" s="4">
        <f>IFERROR(VLOOKUP(B544,infoTable__15[],4,FALSE),"")</f>
        <v>201740</v>
      </c>
      <c r="P544" s="4" t="str">
        <f>IFERROR(VLOOKUP(B544,infoTable__16[],4,FALSE),"")</f>
        <v/>
      </c>
    </row>
    <row r="545" spans="1:16" x14ac:dyDescent="0.55000000000000004">
      <c r="A545" t="s">
        <v>1984</v>
      </c>
      <c r="B545" t="s">
        <v>1985</v>
      </c>
      <c r="C545" s="4" t="str">
        <f>IFERROR(VLOOKUP(B545,infoTable10[],4,FALSE),"")</f>
        <v/>
      </c>
      <c r="D545" s="4" t="str">
        <f>IFERROR(VLOOKUP(B545,infoTable__2[],4,FALSE),"")</f>
        <v/>
      </c>
      <c r="E545" s="4" t="str">
        <f>IFERROR(VLOOKUP(B545,infoTable__3[],4,FALSE),"")</f>
        <v/>
      </c>
      <c r="F545" s="4" t="str">
        <f>IFERROR(VLOOKUP(B545,infoTable__4[],4,FALSE),"")</f>
        <v/>
      </c>
      <c r="G545" s="4" t="str">
        <f>IFERROR(VLOOKUP(B545,infoTable[],4,FALSE),"")</f>
        <v/>
      </c>
      <c r="H545" s="4" t="str">
        <f>IFERROR(VLOOKUP(B545,infoTable__6[],4,FALSE),"")</f>
        <v/>
      </c>
      <c r="I545" s="4" t="str">
        <f>IFERROR(VLOOKUP(B545,infoTable__28[],4,FALSE),"")</f>
        <v/>
      </c>
      <c r="J545" s="4" t="str">
        <f>IFERROR(VLOOKUP(B545,infoTable__10[],4,FALSE),"")</f>
        <v/>
      </c>
      <c r="K545" s="4">
        <f>IFERROR(VLOOKUP(B545,infoTable__11[],4,FALSE),"")</f>
        <v>246838</v>
      </c>
      <c r="L545" s="4">
        <f>IFERROR(VLOOKUP(B545,infoTable__12[],4,FALSE),"")</f>
        <v>2289680</v>
      </c>
      <c r="M545" s="4" t="str">
        <f>IFERROR(VLOOKUP(B545,infoTable__13[],4,FALSE),"")</f>
        <v/>
      </c>
      <c r="N545" s="4" t="str">
        <f>IFERROR(VLOOKUP(B545,infoTable__14[],4,FALSE),"")</f>
        <v/>
      </c>
      <c r="O545" s="4">
        <f>IFERROR(VLOOKUP(B545,infoTable__15[],4,FALSE),"")</f>
        <v>373251</v>
      </c>
      <c r="P545" s="4" t="str">
        <f>IFERROR(VLOOKUP(B545,infoTable__16[],4,FALSE),"")</f>
        <v/>
      </c>
    </row>
    <row r="546" spans="1:16" x14ac:dyDescent="0.55000000000000004">
      <c r="A546" t="s">
        <v>359</v>
      </c>
      <c r="B546" t="s">
        <v>360</v>
      </c>
      <c r="C546" s="4" t="str">
        <f>IFERROR(VLOOKUP(B546,infoTable10[],4,FALSE),"")</f>
        <v/>
      </c>
      <c r="D546" s="4" t="str">
        <f>IFERROR(VLOOKUP(B546,infoTable__2[],4,FALSE),"")</f>
        <v/>
      </c>
      <c r="E546" s="4">
        <f>IFERROR(VLOOKUP(B546,infoTable__3[],4,FALSE),"")</f>
        <v>621952</v>
      </c>
      <c r="F546" s="4">
        <f>IFERROR(VLOOKUP(B546,infoTable__4[],4,FALSE),"")</f>
        <v>282313</v>
      </c>
      <c r="G546" s="4">
        <f>IFERROR(VLOOKUP(B546,infoTable[],4,FALSE),"")</f>
        <v>327471</v>
      </c>
      <c r="H546" s="4">
        <f>IFERROR(VLOOKUP(B546,infoTable__6[],4,FALSE),"")</f>
        <v>291328</v>
      </c>
      <c r="I546" s="4" t="str">
        <f>IFERROR(VLOOKUP(B546,infoTable__28[],4,FALSE),"")</f>
        <v/>
      </c>
      <c r="J546" s="4" t="str">
        <f>IFERROR(VLOOKUP(B546,infoTable__10[],4,FALSE),"")</f>
        <v/>
      </c>
      <c r="K546" s="4" t="str">
        <f>IFERROR(VLOOKUP(B546,infoTable__11[],4,FALSE),"")</f>
        <v/>
      </c>
      <c r="L546" s="4" t="str">
        <f>IFERROR(VLOOKUP(B546,infoTable__12[],4,FALSE),"")</f>
        <v/>
      </c>
      <c r="M546" s="4" t="str">
        <f>IFERROR(VLOOKUP(B546,infoTable__13[],4,FALSE),"")</f>
        <v/>
      </c>
      <c r="N546" s="4">
        <f>IFERROR(VLOOKUP(B546,infoTable__14[],4,FALSE),"")</f>
        <v>265600</v>
      </c>
      <c r="O546" s="4" t="str">
        <f>IFERROR(VLOOKUP(B546,infoTable__15[],4,FALSE),"")</f>
        <v/>
      </c>
      <c r="P546" s="4" t="str">
        <f>IFERROR(VLOOKUP(B546,infoTable__16[],4,FALSE),"")</f>
        <v/>
      </c>
    </row>
    <row r="547" spans="1:16" x14ac:dyDescent="0.55000000000000004">
      <c r="A547" t="s">
        <v>1380</v>
      </c>
      <c r="B547" t="s">
        <v>1381</v>
      </c>
      <c r="C547" s="4" t="str">
        <f>IFERROR(VLOOKUP(B547,infoTable10[],4,FALSE),"")</f>
        <v/>
      </c>
      <c r="D547" s="4" t="str">
        <f>IFERROR(VLOOKUP(B547,infoTable__2[],4,FALSE),"")</f>
        <v/>
      </c>
      <c r="E547" s="4" t="str">
        <f>IFERROR(VLOOKUP(B547,infoTable__3[],4,FALSE),"")</f>
        <v/>
      </c>
      <c r="F547" s="4" t="str">
        <f>IFERROR(VLOOKUP(B547,infoTable__4[],4,FALSE),"")</f>
        <v/>
      </c>
      <c r="G547" s="4" t="str">
        <f>IFERROR(VLOOKUP(B547,infoTable[],4,FALSE),"")</f>
        <v/>
      </c>
      <c r="H547" s="4" t="str">
        <f>IFERROR(VLOOKUP(B547,infoTable__6[],4,FALSE),"")</f>
        <v/>
      </c>
      <c r="I547" s="4">
        <f>IFERROR(VLOOKUP(B547,infoTable__28[],4,FALSE),"")</f>
        <v>4961428</v>
      </c>
      <c r="J547" s="4" t="str">
        <f>IFERROR(VLOOKUP(B547,infoTable__10[],4,FALSE),"")</f>
        <v/>
      </c>
      <c r="K547" s="4" t="str">
        <f>IFERROR(VLOOKUP(B547,infoTable__11[],4,FALSE),"")</f>
        <v/>
      </c>
      <c r="L547" s="4" t="str">
        <f>IFERROR(VLOOKUP(B547,infoTable__12[],4,FALSE),"")</f>
        <v/>
      </c>
      <c r="M547" s="4" t="str">
        <f>IFERROR(VLOOKUP(B547,infoTable__13[],4,FALSE),"")</f>
        <v/>
      </c>
      <c r="N547" s="4" t="str">
        <f>IFERROR(VLOOKUP(B547,infoTable__14[],4,FALSE),"")</f>
        <v/>
      </c>
      <c r="O547" s="4" t="str">
        <f>IFERROR(VLOOKUP(B547,infoTable__15[],4,FALSE),"")</f>
        <v/>
      </c>
      <c r="P547" s="4">
        <f>IFERROR(VLOOKUP(B547,infoTable__16[],4,FALSE),"")</f>
        <v>2220167</v>
      </c>
    </row>
    <row r="548" spans="1:16" x14ac:dyDescent="0.55000000000000004">
      <c r="A548" t="s">
        <v>3139</v>
      </c>
      <c r="B548" t="s">
        <v>3140</v>
      </c>
      <c r="C548" s="4" t="str">
        <f>IFERROR(VLOOKUP(B548,infoTable10[],4,FALSE),"")</f>
        <v/>
      </c>
      <c r="D548" s="4" t="str">
        <f>IFERROR(VLOOKUP(B548,infoTable__2[],4,FALSE),"")</f>
        <v/>
      </c>
      <c r="E548" s="4" t="str">
        <f>IFERROR(VLOOKUP(B548,infoTable__3[],4,FALSE),"")</f>
        <v/>
      </c>
      <c r="F548" s="4" t="str">
        <f>IFERROR(VLOOKUP(B548,infoTable__4[],4,FALSE),"")</f>
        <v/>
      </c>
      <c r="G548" s="4" t="str">
        <f>IFERROR(VLOOKUP(B548,infoTable[],4,FALSE),"")</f>
        <v/>
      </c>
      <c r="H548" s="4" t="str">
        <f>IFERROR(VLOOKUP(B548,infoTable__6[],4,FALSE),"")</f>
        <v/>
      </c>
      <c r="I548" s="4" t="str">
        <f>IFERROR(VLOOKUP(B548,infoTable__28[],4,FALSE),"")</f>
        <v/>
      </c>
      <c r="J548" s="4" t="str">
        <f>IFERROR(VLOOKUP(B548,infoTable__10[],4,FALSE),"")</f>
        <v/>
      </c>
      <c r="K548" s="4" t="str">
        <f>IFERROR(VLOOKUP(B548,infoTable__11[],4,FALSE),"")</f>
        <v/>
      </c>
      <c r="L548" s="4" t="str">
        <f>IFERROR(VLOOKUP(B548,infoTable__12[],4,FALSE),"")</f>
        <v/>
      </c>
      <c r="M548" s="4" t="str">
        <f>IFERROR(VLOOKUP(B548,infoTable__13[],4,FALSE),"")</f>
        <v/>
      </c>
      <c r="N548" s="4" t="str">
        <f>IFERROR(VLOOKUP(B548,infoTable__14[],4,FALSE),"")</f>
        <v/>
      </c>
      <c r="O548" s="4">
        <f>IFERROR(VLOOKUP(B548,infoTable__15[],4,FALSE),"")</f>
        <v>903968</v>
      </c>
      <c r="P548" s="4" t="str">
        <f>IFERROR(VLOOKUP(B548,infoTable__16[],4,FALSE),"")</f>
        <v/>
      </c>
    </row>
    <row r="549" spans="1:16" x14ac:dyDescent="0.55000000000000004">
      <c r="A549" t="s">
        <v>3139</v>
      </c>
      <c r="B549" t="s">
        <v>3479</v>
      </c>
      <c r="C549" s="4" t="str">
        <f>IFERROR(VLOOKUP(B549,infoTable10[],4,FALSE),"")</f>
        <v/>
      </c>
      <c r="D549" s="4" t="str">
        <f>IFERROR(VLOOKUP(B549,infoTable__2[],4,FALSE),"")</f>
        <v/>
      </c>
      <c r="E549" s="4" t="str">
        <f>IFERROR(VLOOKUP(B549,infoTable__3[],4,FALSE),"")</f>
        <v/>
      </c>
      <c r="F549" s="4" t="str">
        <f>IFERROR(VLOOKUP(B549,infoTable__4[],4,FALSE),"")</f>
        <v/>
      </c>
      <c r="G549" s="4" t="str">
        <f>IFERROR(VLOOKUP(B549,infoTable[],4,FALSE),"")</f>
        <v/>
      </c>
      <c r="H549" s="4" t="str">
        <f>IFERROR(VLOOKUP(B549,infoTable__6[],4,FALSE),"")</f>
        <v/>
      </c>
      <c r="I549" s="4" t="str">
        <f>IFERROR(VLOOKUP(B549,infoTable__28[],4,FALSE),"")</f>
        <v/>
      </c>
      <c r="J549" s="4" t="str">
        <f>IFERROR(VLOOKUP(B549,infoTable__10[],4,FALSE),"")</f>
        <v/>
      </c>
      <c r="K549" s="4" t="str">
        <f>IFERROR(VLOOKUP(B549,infoTable__11[],4,FALSE),"")</f>
        <v/>
      </c>
      <c r="L549" s="4" t="str">
        <f>IFERROR(VLOOKUP(B549,infoTable__12[],4,FALSE),"")</f>
        <v/>
      </c>
      <c r="M549" s="4" t="str">
        <f>IFERROR(VLOOKUP(B549,infoTable__13[],4,FALSE),"")</f>
        <v/>
      </c>
      <c r="N549" s="4" t="str">
        <f>IFERROR(VLOOKUP(B549,infoTable__14[],4,FALSE),"")</f>
        <v/>
      </c>
      <c r="O549" s="4" t="str">
        <f>IFERROR(VLOOKUP(B549,infoTable__15[],4,FALSE),"")</f>
        <v/>
      </c>
      <c r="P549" s="4">
        <f>IFERROR(VLOOKUP(B549,infoTable__16[],4,FALSE),"")</f>
        <v>539601</v>
      </c>
    </row>
    <row r="550" spans="1:16" x14ac:dyDescent="0.55000000000000004">
      <c r="A550" t="s">
        <v>2305</v>
      </c>
      <c r="B550" t="s">
        <v>2306</v>
      </c>
      <c r="C550" s="4" t="str">
        <f>IFERROR(VLOOKUP(B550,infoTable10[],4,FALSE),"")</f>
        <v/>
      </c>
      <c r="D550" s="4" t="str">
        <f>IFERROR(VLOOKUP(B550,infoTable__2[],4,FALSE),"")</f>
        <v/>
      </c>
      <c r="E550" s="4" t="str">
        <f>IFERROR(VLOOKUP(B550,infoTable__3[],4,FALSE),"")</f>
        <v/>
      </c>
      <c r="F550" s="4" t="str">
        <f>IFERROR(VLOOKUP(B550,infoTable__4[],4,FALSE),"")</f>
        <v/>
      </c>
      <c r="G550" s="4" t="str">
        <f>IFERROR(VLOOKUP(B550,infoTable[],4,FALSE),"")</f>
        <v/>
      </c>
      <c r="H550" s="4" t="str">
        <f>IFERROR(VLOOKUP(B550,infoTable__6[],4,FALSE),"")</f>
        <v/>
      </c>
      <c r="I550" s="4" t="str">
        <f>IFERROR(VLOOKUP(B550,infoTable__28[],4,FALSE),"")</f>
        <v/>
      </c>
      <c r="J550" s="4" t="str">
        <f>IFERROR(VLOOKUP(B550,infoTable__10[],4,FALSE),"")</f>
        <v/>
      </c>
      <c r="K550" s="4" t="str">
        <f>IFERROR(VLOOKUP(B550,infoTable__11[],4,FALSE),"")</f>
        <v/>
      </c>
      <c r="L550" s="4">
        <f>IFERROR(VLOOKUP(B550,infoTable__12[],4,FALSE),"")</f>
        <v>1972689</v>
      </c>
      <c r="M550" s="4" t="str">
        <f>IFERROR(VLOOKUP(B550,infoTable__13[],4,FALSE),"")</f>
        <v/>
      </c>
      <c r="N550" s="4" t="str">
        <f>IFERROR(VLOOKUP(B550,infoTable__14[],4,FALSE),"")</f>
        <v/>
      </c>
      <c r="O550" s="4" t="str">
        <f>IFERROR(VLOOKUP(B550,infoTable__15[],4,FALSE),"")</f>
        <v/>
      </c>
      <c r="P550" s="4" t="str">
        <f>IFERROR(VLOOKUP(B550,infoTable__16[],4,FALSE),"")</f>
        <v/>
      </c>
    </row>
    <row r="551" spans="1:16" x14ac:dyDescent="0.55000000000000004">
      <c r="A551" t="s">
        <v>3143</v>
      </c>
      <c r="B551" t="s">
        <v>3144</v>
      </c>
      <c r="C551" s="4" t="str">
        <f>IFERROR(VLOOKUP(B551,infoTable10[],4,FALSE),"")</f>
        <v/>
      </c>
      <c r="D551" s="4" t="str">
        <f>IFERROR(VLOOKUP(B551,infoTable__2[],4,FALSE),"")</f>
        <v/>
      </c>
      <c r="E551" s="4" t="str">
        <f>IFERROR(VLOOKUP(B551,infoTable__3[],4,FALSE),"")</f>
        <v/>
      </c>
      <c r="F551" s="4" t="str">
        <f>IFERROR(VLOOKUP(B551,infoTable__4[],4,FALSE),"")</f>
        <v/>
      </c>
      <c r="G551" s="4" t="str">
        <f>IFERROR(VLOOKUP(B551,infoTable[],4,FALSE),"")</f>
        <v/>
      </c>
      <c r="H551" s="4" t="str">
        <f>IFERROR(VLOOKUP(B551,infoTable__6[],4,FALSE),"")</f>
        <v/>
      </c>
      <c r="I551" s="4" t="str">
        <f>IFERROR(VLOOKUP(B551,infoTable__28[],4,FALSE),"")</f>
        <v/>
      </c>
      <c r="J551" s="4" t="str">
        <f>IFERROR(VLOOKUP(B551,infoTable__10[],4,FALSE),"")</f>
        <v/>
      </c>
      <c r="K551" s="4" t="str">
        <f>IFERROR(VLOOKUP(B551,infoTable__11[],4,FALSE),"")</f>
        <v/>
      </c>
      <c r="L551" s="4" t="str">
        <f>IFERROR(VLOOKUP(B551,infoTable__12[],4,FALSE),"")</f>
        <v/>
      </c>
      <c r="M551" s="4" t="str">
        <f>IFERROR(VLOOKUP(B551,infoTable__13[],4,FALSE),"")</f>
        <v/>
      </c>
      <c r="N551" s="4" t="str">
        <f>IFERROR(VLOOKUP(B551,infoTable__14[],4,FALSE),"")</f>
        <v/>
      </c>
      <c r="O551" s="4">
        <f>IFERROR(VLOOKUP(B551,infoTable__15[],4,FALSE),"")</f>
        <v>879618</v>
      </c>
      <c r="P551" s="4">
        <f>IFERROR(VLOOKUP(B551,infoTable__16[],4,FALSE),"")</f>
        <v>386950</v>
      </c>
    </row>
    <row r="552" spans="1:16" x14ac:dyDescent="0.55000000000000004">
      <c r="A552" t="s">
        <v>670</v>
      </c>
      <c r="B552" t="s">
        <v>671</v>
      </c>
      <c r="C552" s="4" t="str">
        <f>IFERROR(VLOOKUP(B552,infoTable10[],4,FALSE),"")</f>
        <v/>
      </c>
      <c r="D552" s="4">
        <f>IFERROR(VLOOKUP(B552,infoTable__2[],4,FALSE),"")</f>
        <v>4093448</v>
      </c>
      <c r="E552" s="4" t="str">
        <f>IFERROR(VLOOKUP(B552,infoTable__3[],4,FALSE),"")</f>
        <v/>
      </c>
      <c r="F552" s="4" t="str">
        <f>IFERROR(VLOOKUP(B552,infoTable__4[],4,FALSE),"")</f>
        <v/>
      </c>
      <c r="G552" s="4" t="str">
        <f>IFERROR(VLOOKUP(B552,infoTable[],4,FALSE),"")</f>
        <v/>
      </c>
      <c r="H552" s="4" t="str">
        <f>IFERROR(VLOOKUP(B552,infoTable__6[],4,FALSE),"")</f>
        <v/>
      </c>
      <c r="I552" s="4" t="str">
        <f>IFERROR(VLOOKUP(B552,infoTable__28[],4,FALSE),"")</f>
        <v/>
      </c>
      <c r="J552" s="4" t="str">
        <f>IFERROR(VLOOKUP(B552,infoTable__10[],4,FALSE),"")</f>
        <v/>
      </c>
      <c r="K552" s="4">
        <f>IFERROR(VLOOKUP(B552,infoTable__11[],4,FALSE),"")</f>
        <v>1075764</v>
      </c>
      <c r="L552" s="4">
        <f>IFERROR(VLOOKUP(B552,infoTable__12[],4,FALSE),"")</f>
        <v>1384626</v>
      </c>
      <c r="M552" s="4">
        <f>IFERROR(VLOOKUP(B552,infoTable__13[],4,FALSE),"")</f>
        <v>1027267</v>
      </c>
      <c r="N552" s="4">
        <f>IFERROR(VLOOKUP(B552,infoTable__14[],4,FALSE),"")</f>
        <v>657023</v>
      </c>
      <c r="O552" s="4">
        <f>IFERROR(VLOOKUP(B552,infoTable__15[],4,FALSE),"")</f>
        <v>3542843</v>
      </c>
      <c r="P552" s="4">
        <f>IFERROR(VLOOKUP(B552,infoTable__16[],4,FALSE),"")</f>
        <v>1259990</v>
      </c>
    </row>
    <row r="553" spans="1:16" x14ac:dyDescent="0.55000000000000004">
      <c r="A553" t="s">
        <v>3145</v>
      </c>
      <c r="B553" t="s">
        <v>3146</v>
      </c>
      <c r="C553" s="4" t="str">
        <f>IFERROR(VLOOKUP(B553,infoTable10[],4,FALSE),"")</f>
        <v/>
      </c>
      <c r="D553" s="4" t="str">
        <f>IFERROR(VLOOKUP(B553,infoTable__2[],4,FALSE),"")</f>
        <v/>
      </c>
      <c r="E553" s="4" t="str">
        <f>IFERROR(VLOOKUP(B553,infoTable__3[],4,FALSE),"")</f>
        <v/>
      </c>
      <c r="F553" s="4" t="str">
        <f>IFERROR(VLOOKUP(B553,infoTable__4[],4,FALSE),"")</f>
        <v/>
      </c>
      <c r="G553" s="4" t="str">
        <f>IFERROR(VLOOKUP(B553,infoTable[],4,FALSE),"")</f>
        <v/>
      </c>
      <c r="H553" s="4" t="str">
        <f>IFERROR(VLOOKUP(B553,infoTable__6[],4,FALSE),"")</f>
        <v/>
      </c>
      <c r="I553" s="4" t="str">
        <f>IFERROR(VLOOKUP(B553,infoTable__28[],4,FALSE),"")</f>
        <v/>
      </c>
      <c r="J553" s="4" t="str">
        <f>IFERROR(VLOOKUP(B553,infoTable__10[],4,FALSE),"")</f>
        <v/>
      </c>
      <c r="K553" s="4" t="str">
        <f>IFERROR(VLOOKUP(B553,infoTable__11[],4,FALSE),"")</f>
        <v/>
      </c>
      <c r="L553" s="4" t="str">
        <f>IFERROR(VLOOKUP(B553,infoTable__12[],4,FALSE),"")</f>
        <v/>
      </c>
      <c r="M553" s="4" t="str">
        <f>IFERROR(VLOOKUP(B553,infoTable__13[],4,FALSE),"")</f>
        <v/>
      </c>
      <c r="N553" s="4" t="str">
        <f>IFERROR(VLOOKUP(B553,infoTable__14[],4,FALSE),"")</f>
        <v/>
      </c>
      <c r="O553" s="4">
        <f>IFERROR(VLOOKUP(B553,infoTable__15[],4,FALSE),"")</f>
        <v>456290</v>
      </c>
      <c r="P553" s="4">
        <f>IFERROR(VLOOKUP(B553,infoTable__16[],4,FALSE),"")</f>
        <v>257819</v>
      </c>
    </row>
    <row r="554" spans="1:16" x14ac:dyDescent="0.55000000000000004">
      <c r="A554" t="s">
        <v>1086</v>
      </c>
      <c r="B554" t="s">
        <v>1087</v>
      </c>
      <c r="C554" s="4" t="str">
        <f>IFERROR(VLOOKUP(B554,infoTable10[],4,FALSE),"")</f>
        <v/>
      </c>
      <c r="D554" s="4" t="str">
        <f>IFERROR(VLOOKUP(B554,infoTable__2[],4,FALSE),"")</f>
        <v/>
      </c>
      <c r="E554" s="4" t="str">
        <f>IFERROR(VLOOKUP(B554,infoTable__3[],4,FALSE),"")</f>
        <v/>
      </c>
      <c r="F554" s="4" t="str">
        <f>IFERROR(VLOOKUP(B554,infoTable__4[],4,FALSE),"")</f>
        <v/>
      </c>
      <c r="G554" s="4" t="str">
        <f>IFERROR(VLOOKUP(B554,infoTable[],4,FALSE),"")</f>
        <v/>
      </c>
      <c r="H554" s="4">
        <f>IFERROR(VLOOKUP(B554,infoTable__6[],4,FALSE),"")</f>
        <v>314589</v>
      </c>
      <c r="I554" s="4">
        <f>IFERROR(VLOOKUP(B554,infoTable__28[],4,FALSE),"")</f>
        <v>846404</v>
      </c>
      <c r="J554" s="4">
        <f>IFERROR(VLOOKUP(B554,infoTable__10[],4,FALSE),"")</f>
        <v>695194</v>
      </c>
      <c r="K554" s="4">
        <f>IFERROR(VLOOKUP(B554,infoTable__11[],4,FALSE),"")</f>
        <v>579854</v>
      </c>
      <c r="L554" s="4" t="str">
        <f>IFERROR(VLOOKUP(B554,infoTable__12[],4,FALSE),"")</f>
        <v/>
      </c>
      <c r="M554" s="4" t="str">
        <f>IFERROR(VLOOKUP(B554,infoTable__13[],4,FALSE),"")</f>
        <v/>
      </c>
      <c r="N554" s="4" t="str">
        <f>IFERROR(VLOOKUP(B554,infoTable__14[],4,FALSE),"")</f>
        <v/>
      </c>
      <c r="O554" s="4" t="str">
        <f>IFERROR(VLOOKUP(B554,infoTable__15[],4,FALSE),"")</f>
        <v/>
      </c>
      <c r="P554" s="4" t="str">
        <f>IFERROR(VLOOKUP(B554,infoTable__16[],4,FALSE),"")</f>
        <v/>
      </c>
    </row>
    <row r="555" spans="1:16" x14ac:dyDescent="0.55000000000000004">
      <c r="A555" t="s">
        <v>3147</v>
      </c>
      <c r="B555" t="s">
        <v>3148</v>
      </c>
      <c r="C555" s="4" t="str">
        <f>IFERROR(VLOOKUP(B555,infoTable10[],4,FALSE),"")</f>
        <v/>
      </c>
      <c r="D555" s="4" t="str">
        <f>IFERROR(VLOOKUP(B555,infoTable__2[],4,FALSE),"")</f>
        <v/>
      </c>
      <c r="E555" s="4" t="str">
        <f>IFERROR(VLOOKUP(B555,infoTable__3[],4,FALSE),"")</f>
        <v/>
      </c>
      <c r="F555" s="4" t="str">
        <f>IFERROR(VLOOKUP(B555,infoTable__4[],4,FALSE),"")</f>
        <v/>
      </c>
      <c r="G555" s="4" t="str">
        <f>IFERROR(VLOOKUP(B555,infoTable[],4,FALSE),"")</f>
        <v/>
      </c>
      <c r="H555" s="4" t="str">
        <f>IFERROR(VLOOKUP(B555,infoTable__6[],4,FALSE),"")</f>
        <v/>
      </c>
      <c r="I555" s="4" t="str">
        <f>IFERROR(VLOOKUP(B555,infoTable__28[],4,FALSE),"")</f>
        <v/>
      </c>
      <c r="J555" s="4" t="str">
        <f>IFERROR(VLOOKUP(B555,infoTable__10[],4,FALSE),"")</f>
        <v/>
      </c>
      <c r="K555" s="4" t="str">
        <f>IFERROR(VLOOKUP(B555,infoTable__11[],4,FALSE),"")</f>
        <v/>
      </c>
      <c r="L555" s="4" t="str">
        <f>IFERROR(VLOOKUP(B555,infoTable__12[],4,FALSE),"")</f>
        <v/>
      </c>
      <c r="M555" s="4" t="str">
        <f>IFERROR(VLOOKUP(B555,infoTable__13[],4,FALSE),"")</f>
        <v/>
      </c>
      <c r="N555" s="4" t="str">
        <f>IFERROR(VLOOKUP(B555,infoTable__14[],4,FALSE),"")</f>
        <v/>
      </c>
      <c r="O555" s="4">
        <f>IFERROR(VLOOKUP(B555,infoTable__15[],4,FALSE),"")</f>
        <v>215814</v>
      </c>
      <c r="P555" s="4" t="str">
        <f>IFERROR(VLOOKUP(B555,infoTable__16[],4,FALSE),"")</f>
        <v/>
      </c>
    </row>
    <row r="556" spans="1:16" x14ac:dyDescent="0.55000000000000004">
      <c r="A556" t="s">
        <v>1386</v>
      </c>
      <c r="B556" t="s">
        <v>1387</v>
      </c>
      <c r="C556" s="4" t="str">
        <f>IFERROR(VLOOKUP(B556,infoTable10[],4,FALSE),"")</f>
        <v/>
      </c>
      <c r="D556" s="4" t="str">
        <f>IFERROR(VLOOKUP(B556,infoTable__2[],4,FALSE),"")</f>
        <v/>
      </c>
      <c r="E556" s="4" t="str">
        <f>IFERROR(VLOOKUP(B556,infoTable__3[],4,FALSE),"")</f>
        <v/>
      </c>
      <c r="F556" s="4" t="str">
        <f>IFERROR(VLOOKUP(B556,infoTable__4[],4,FALSE),"")</f>
        <v/>
      </c>
      <c r="G556" s="4" t="str">
        <f>IFERROR(VLOOKUP(B556,infoTable[],4,FALSE),"")</f>
        <v/>
      </c>
      <c r="H556" s="4" t="str">
        <f>IFERROR(VLOOKUP(B556,infoTable__6[],4,FALSE),"")</f>
        <v/>
      </c>
      <c r="I556" s="4">
        <f>IFERROR(VLOOKUP(B556,infoTable__28[],4,FALSE),"")</f>
        <v>269810</v>
      </c>
      <c r="J556" s="4">
        <f>IFERROR(VLOOKUP(B556,infoTable__10[],4,FALSE),"")</f>
        <v>1273808</v>
      </c>
      <c r="K556" s="4">
        <f>IFERROR(VLOOKUP(B556,infoTable__11[],4,FALSE),"")</f>
        <v>1618391</v>
      </c>
      <c r="L556" s="4">
        <f>IFERROR(VLOOKUP(B556,infoTable__12[],4,FALSE),"")</f>
        <v>313454</v>
      </c>
      <c r="M556" s="4" t="str">
        <f>IFERROR(VLOOKUP(B556,infoTable__13[],4,FALSE),"")</f>
        <v/>
      </c>
      <c r="N556" s="4">
        <f>IFERROR(VLOOKUP(B556,infoTable__14[],4,FALSE),"")</f>
        <v>1000706</v>
      </c>
      <c r="O556" s="4">
        <f>IFERROR(VLOOKUP(B556,infoTable__15[],4,FALSE),"")</f>
        <v>2668308</v>
      </c>
      <c r="P556" s="4" t="str">
        <f>IFERROR(VLOOKUP(B556,infoTable__16[],4,FALSE),"")</f>
        <v/>
      </c>
    </row>
    <row r="557" spans="1:16" x14ac:dyDescent="0.55000000000000004">
      <c r="A557" t="s">
        <v>1088</v>
      </c>
      <c r="B557" t="s">
        <v>1089</v>
      </c>
      <c r="C557" s="4" t="str">
        <f>IFERROR(VLOOKUP(B557,infoTable10[],4,FALSE),"")</f>
        <v/>
      </c>
      <c r="D557" s="4" t="str">
        <f>IFERROR(VLOOKUP(B557,infoTable__2[],4,FALSE),"")</f>
        <v/>
      </c>
      <c r="E557" s="4" t="str">
        <f>IFERROR(VLOOKUP(B557,infoTable__3[],4,FALSE),"")</f>
        <v/>
      </c>
      <c r="F557" s="4" t="str">
        <f>IFERROR(VLOOKUP(B557,infoTable__4[],4,FALSE),"")</f>
        <v/>
      </c>
      <c r="G557" s="4" t="str">
        <f>IFERROR(VLOOKUP(B557,infoTable[],4,FALSE),"")</f>
        <v/>
      </c>
      <c r="H557" s="4">
        <f>IFERROR(VLOOKUP(B557,infoTable__6[],4,FALSE),"")</f>
        <v>225473</v>
      </c>
      <c r="I557" s="4" t="str">
        <f>IFERROR(VLOOKUP(B557,infoTable__28[],4,FALSE),"")</f>
        <v/>
      </c>
      <c r="J557" s="4" t="str">
        <f>IFERROR(VLOOKUP(B557,infoTable__10[],4,FALSE),"")</f>
        <v/>
      </c>
      <c r="K557" s="4" t="str">
        <f>IFERROR(VLOOKUP(B557,infoTable__11[],4,FALSE),"")</f>
        <v/>
      </c>
      <c r="L557" s="4">
        <f>IFERROR(VLOOKUP(B557,infoTable__12[],4,FALSE),"")</f>
        <v>612726</v>
      </c>
      <c r="M557" s="4">
        <f>IFERROR(VLOOKUP(B557,infoTable__13[],4,FALSE),"")</f>
        <v>5014071</v>
      </c>
      <c r="N557" s="4">
        <f>IFERROR(VLOOKUP(B557,infoTable__14[],4,FALSE),"")</f>
        <v>2114764</v>
      </c>
      <c r="O557" s="4">
        <f>IFERROR(VLOOKUP(B557,infoTable__15[],4,FALSE),"")</f>
        <v>215112</v>
      </c>
      <c r="P557" s="4" t="str">
        <f>IFERROR(VLOOKUP(B557,infoTable__16[],4,FALSE),"")</f>
        <v/>
      </c>
    </row>
    <row r="558" spans="1:16" x14ac:dyDescent="0.55000000000000004">
      <c r="A558" t="s">
        <v>3149</v>
      </c>
      <c r="B558" t="s">
        <v>3150</v>
      </c>
      <c r="C558" s="4" t="str">
        <f>IFERROR(VLOOKUP(B558,infoTable10[],4,FALSE),"")</f>
        <v/>
      </c>
      <c r="D558" s="4" t="str">
        <f>IFERROR(VLOOKUP(B558,infoTable__2[],4,FALSE),"")</f>
        <v/>
      </c>
      <c r="E558" s="4" t="str">
        <f>IFERROR(VLOOKUP(B558,infoTable__3[],4,FALSE),"")</f>
        <v/>
      </c>
      <c r="F558" s="4" t="str">
        <f>IFERROR(VLOOKUP(B558,infoTable__4[],4,FALSE),"")</f>
        <v/>
      </c>
      <c r="G558" s="4" t="str">
        <f>IFERROR(VLOOKUP(B558,infoTable[],4,FALSE),"")</f>
        <v/>
      </c>
      <c r="H558" s="4" t="str">
        <f>IFERROR(VLOOKUP(B558,infoTable__6[],4,FALSE),"")</f>
        <v/>
      </c>
      <c r="I558" s="4" t="str">
        <f>IFERROR(VLOOKUP(B558,infoTable__28[],4,FALSE),"")</f>
        <v/>
      </c>
      <c r="J558" s="4" t="str">
        <f>IFERROR(VLOOKUP(B558,infoTable__10[],4,FALSE),"")</f>
        <v/>
      </c>
      <c r="K558" s="4" t="str">
        <f>IFERROR(VLOOKUP(B558,infoTable__11[],4,FALSE),"")</f>
        <v/>
      </c>
      <c r="L558" s="4" t="str">
        <f>IFERROR(VLOOKUP(B558,infoTable__12[],4,FALSE),"")</f>
        <v/>
      </c>
      <c r="M558" s="4" t="str">
        <f>IFERROR(VLOOKUP(B558,infoTable__13[],4,FALSE),"")</f>
        <v/>
      </c>
      <c r="N558" s="4" t="str">
        <f>IFERROR(VLOOKUP(B558,infoTable__14[],4,FALSE),"")</f>
        <v/>
      </c>
      <c r="O558" s="4">
        <f>IFERROR(VLOOKUP(B558,infoTable__15[],4,FALSE),"")</f>
        <v>650550</v>
      </c>
      <c r="P558" s="4" t="str">
        <f>IFERROR(VLOOKUP(B558,infoTable__16[],4,FALSE),"")</f>
        <v/>
      </c>
    </row>
    <row r="559" spans="1:16" x14ac:dyDescent="0.55000000000000004">
      <c r="A559" t="s">
        <v>2734</v>
      </c>
      <c r="B559" t="s">
        <v>2733</v>
      </c>
      <c r="C559" s="4" t="str">
        <f>IFERROR(VLOOKUP(B559,infoTable10[],4,FALSE),"")</f>
        <v/>
      </c>
      <c r="D559" s="4" t="str">
        <f>IFERROR(VLOOKUP(B559,infoTable__2[],4,FALSE),"")</f>
        <v/>
      </c>
      <c r="E559" s="4" t="str">
        <f>IFERROR(VLOOKUP(B559,infoTable__3[],4,FALSE),"")</f>
        <v/>
      </c>
      <c r="F559" s="4" t="str">
        <f>IFERROR(VLOOKUP(B559,infoTable__4[],4,FALSE),"")</f>
        <v/>
      </c>
      <c r="G559" s="4" t="str">
        <f>IFERROR(VLOOKUP(B559,infoTable[],4,FALSE),"")</f>
        <v/>
      </c>
      <c r="H559" s="4" t="str">
        <f>IFERROR(VLOOKUP(B559,infoTable__6[],4,FALSE),"")</f>
        <v/>
      </c>
      <c r="I559" s="4" t="str">
        <f>IFERROR(VLOOKUP(B559,infoTable__28[],4,FALSE),"")</f>
        <v/>
      </c>
      <c r="J559" s="4" t="str">
        <f>IFERROR(VLOOKUP(B559,infoTable__10[],4,FALSE),"")</f>
        <v/>
      </c>
      <c r="K559" s="4" t="str">
        <f>IFERROR(VLOOKUP(B559,infoTable__11[],4,FALSE),"")</f>
        <v/>
      </c>
      <c r="L559" s="4" t="str">
        <f>IFERROR(VLOOKUP(B559,infoTable__12[],4,FALSE),"")</f>
        <v/>
      </c>
      <c r="M559" s="4" t="str">
        <f>IFERROR(VLOOKUP(B559,infoTable__13[],4,FALSE),"")</f>
        <v/>
      </c>
      <c r="N559" s="4">
        <f>IFERROR(VLOOKUP(B559,infoTable__14[],4,FALSE),"")</f>
        <v>399812</v>
      </c>
      <c r="O559" s="4">
        <f>IFERROR(VLOOKUP(B559,infoTable__15[],4,FALSE),"")</f>
        <v>2031718</v>
      </c>
      <c r="P559" s="4">
        <f>IFERROR(VLOOKUP(B559,infoTable__16[],4,FALSE),"")</f>
        <v>1620612</v>
      </c>
    </row>
    <row r="560" spans="1:16" x14ac:dyDescent="0.55000000000000004">
      <c r="A560" t="s">
        <v>2736</v>
      </c>
      <c r="B560" t="s">
        <v>2735</v>
      </c>
      <c r="C560" s="4" t="str">
        <f>IFERROR(VLOOKUP(B560,infoTable10[],4,FALSE),"")</f>
        <v/>
      </c>
      <c r="D560" s="4" t="str">
        <f>IFERROR(VLOOKUP(B560,infoTable__2[],4,FALSE),"")</f>
        <v/>
      </c>
      <c r="E560" s="4" t="str">
        <f>IFERROR(VLOOKUP(B560,infoTable__3[],4,FALSE),"")</f>
        <v/>
      </c>
      <c r="F560" s="4" t="str">
        <f>IFERROR(VLOOKUP(B560,infoTable__4[],4,FALSE),"")</f>
        <v/>
      </c>
      <c r="G560" s="4" t="str">
        <f>IFERROR(VLOOKUP(B560,infoTable[],4,FALSE),"")</f>
        <v/>
      </c>
      <c r="H560" s="4" t="str">
        <f>IFERROR(VLOOKUP(B560,infoTable__6[],4,FALSE),"")</f>
        <v/>
      </c>
      <c r="I560" s="4" t="str">
        <f>IFERROR(VLOOKUP(B560,infoTable__28[],4,FALSE),"")</f>
        <v/>
      </c>
      <c r="J560" s="4" t="str">
        <f>IFERROR(VLOOKUP(B560,infoTable__10[],4,FALSE),"")</f>
        <v/>
      </c>
      <c r="K560" s="4" t="str">
        <f>IFERROR(VLOOKUP(B560,infoTable__11[],4,FALSE),"")</f>
        <v/>
      </c>
      <c r="L560" s="4" t="str">
        <f>IFERROR(VLOOKUP(B560,infoTable__12[],4,FALSE),"")</f>
        <v/>
      </c>
      <c r="M560" s="4" t="str">
        <f>IFERROR(VLOOKUP(B560,infoTable__13[],4,FALSE),"")</f>
        <v/>
      </c>
      <c r="N560" s="4">
        <f>IFERROR(VLOOKUP(B560,infoTable__14[],4,FALSE),"")</f>
        <v>7216956</v>
      </c>
      <c r="O560" s="4">
        <f>IFERROR(VLOOKUP(B560,infoTable__15[],4,FALSE),"")</f>
        <v>5499428</v>
      </c>
      <c r="P560" s="4">
        <f>IFERROR(VLOOKUP(B560,infoTable__16[],4,FALSE),"")</f>
        <v>2608935</v>
      </c>
    </row>
    <row r="561" spans="1:16" x14ac:dyDescent="0.55000000000000004">
      <c r="A561" t="s">
        <v>369</v>
      </c>
      <c r="B561" t="s">
        <v>370</v>
      </c>
      <c r="C561" s="4">
        <f>IFERROR(VLOOKUP(B561,infoTable10[],4,FALSE),"")</f>
        <v>1991008</v>
      </c>
      <c r="D561" s="4">
        <f>IFERROR(VLOOKUP(B561,infoTable__2[],4,FALSE),"")</f>
        <v>1072071</v>
      </c>
      <c r="E561" s="4" t="str">
        <f>IFERROR(VLOOKUP(B561,infoTable__3[],4,FALSE),"")</f>
        <v/>
      </c>
      <c r="F561" s="4" t="str">
        <f>IFERROR(VLOOKUP(B561,infoTable__4[],4,FALSE),"")</f>
        <v/>
      </c>
      <c r="G561" s="4">
        <f>IFERROR(VLOOKUP(B561,infoTable[],4,FALSE),"")</f>
        <v>813485</v>
      </c>
      <c r="H561" s="4" t="str">
        <f>IFERROR(VLOOKUP(B561,infoTable__6[],4,FALSE),"")</f>
        <v/>
      </c>
      <c r="I561" s="4" t="str">
        <f>IFERROR(VLOOKUP(B561,infoTable__28[],4,FALSE),"")</f>
        <v/>
      </c>
      <c r="J561" s="4" t="str">
        <f>IFERROR(VLOOKUP(B561,infoTable__10[],4,FALSE),"")</f>
        <v/>
      </c>
      <c r="K561" s="4" t="str">
        <f>IFERROR(VLOOKUP(B561,infoTable__11[],4,FALSE),"")</f>
        <v/>
      </c>
      <c r="L561" s="4" t="str">
        <f>IFERROR(VLOOKUP(B561,infoTable__12[],4,FALSE),"")</f>
        <v/>
      </c>
      <c r="M561" s="4" t="str">
        <f>IFERROR(VLOOKUP(B561,infoTable__13[],4,FALSE),"")</f>
        <v/>
      </c>
      <c r="N561" s="4" t="str">
        <f>IFERROR(VLOOKUP(B561,infoTable__14[],4,FALSE),"")</f>
        <v/>
      </c>
      <c r="O561" s="4" t="str">
        <f>IFERROR(VLOOKUP(B561,infoTable__15[],4,FALSE),"")</f>
        <v/>
      </c>
      <c r="P561" s="4" t="str">
        <f>IFERROR(VLOOKUP(B561,infoTable__16[],4,FALSE),"")</f>
        <v/>
      </c>
    </row>
    <row r="562" spans="1:16" x14ac:dyDescent="0.55000000000000004">
      <c r="A562" t="s">
        <v>2566</v>
      </c>
      <c r="B562" t="s">
        <v>2567</v>
      </c>
      <c r="C562" s="4" t="str">
        <f>IFERROR(VLOOKUP(B562,infoTable10[],4,FALSE),"")</f>
        <v/>
      </c>
      <c r="D562" s="4" t="str">
        <f>IFERROR(VLOOKUP(B562,infoTable__2[],4,FALSE),"")</f>
        <v/>
      </c>
      <c r="E562" s="4" t="str">
        <f>IFERROR(VLOOKUP(B562,infoTable__3[],4,FALSE),"")</f>
        <v/>
      </c>
      <c r="F562" s="4" t="str">
        <f>IFERROR(VLOOKUP(B562,infoTable__4[],4,FALSE),"")</f>
        <v/>
      </c>
      <c r="G562" s="4" t="str">
        <f>IFERROR(VLOOKUP(B562,infoTable[],4,FALSE),"")</f>
        <v/>
      </c>
      <c r="H562" s="4" t="str">
        <f>IFERROR(VLOOKUP(B562,infoTable__6[],4,FALSE),"")</f>
        <v/>
      </c>
      <c r="I562" s="4" t="str">
        <f>IFERROR(VLOOKUP(B562,infoTable__28[],4,FALSE),"")</f>
        <v/>
      </c>
      <c r="J562" s="4" t="str">
        <f>IFERROR(VLOOKUP(B562,infoTable__10[],4,FALSE),"")</f>
        <v/>
      </c>
      <c r="K562" s="4" t="str">
        <f>IFERROR(VLOOKUP(B562,infoTable__11[],4,FALSE),"")</f>
        <v/>
      </c>
      <c r="L562" s="4" t="str">
        <f>IFERROR(VLOOKUP(B562,infoTable__12[],4,FALSE),"")</f>
        <v/>
      </c>
      <c r="M562" s="4">
        <f>IFERROR(VLOOKUP(B562,infoTable__13[],4,FALSE),"")</f>
        <v>279129</v>
      </c>
      <c r="N562" s="4">
        <f>IFERROR(VLOOKUP(B562,infoTable__14[],4,FALSE),"")</f>
        <v>334562</v>
      </c>
      <c r="O562" s="4">
        <f>IFERROR(VLOOKUP(B562,infoTable__15[],4,FALSE),"")</f>
        <v>401514</v>
      </c>
      <c r="P562" s="4">
        <f>IFERROR(VLOOKUP(B562,infoTable__16[],4,FALSE),"")</f>
        <v>4459353</v>
      </c>
    </row>
    <row r="563" spans="1:16" x14ac:dyDescent="0.55000000000000004">
      <c r="A563" t="s">
        <v>371</v>
      </c>
      <c r="B563" t="s">
        <v>372</v>
      </c>
      <c r="C563" s="4" t="str">
        <f>IFERROR(VLOOKUP(B563,infoTable10[],4,FALSE),"")</f>
        <v/>
      </c>
      <c r="D563" s="4">
        <f>IFERROR(VLOOKUP(B563,infoTable__2[],4,FALSE),"")</f>
        <v>490368</v>
      </c>
      <c r="E563" s="4">
        <f>IFERROR(VLOOKUP(B563,infoTable__3[],4,FALSE),"")</f>
        <v>2897231</v>
      </c>
      <c r="F563" s="4">
        <f>IFERROR(VLOOKUP(B563,infoTable__4[],4,FALSE),"")</f>
        <v>1064024</v>
      </c>
      <c r="G563" s="4">
        <f>IFERROR(VLOOKUP(B563,infoTable[],4,FALSE),"")</f>
        <v>617668</v>
      </c>
      <c r="H563" s="4" t="str">
        <f>IFERROR(VLOOKUP(B563,infoTable__6[],4,FALSE),"")</f>
        <v/>
      </c>
      <c r="I563" s="4" t="str">
        <f>IFERROR(VLOOKUP(B563,infoTable__28[],4,FALSE),"")</f>
        <v/>
      </c>
      <c r="J563" s="4" t="str">
        <f>IFERROR(VLOOKUP(B563,infoTable__10[],4,FALSE),"")</f>
        <v/>
      </c>
      <c r="K563" s="4" t="str">
        <f>IFERROR(VLOOKUP(B563,infoTable__11[],4,FALSE),"")</f>
        <v/>
      </c>
      <c r="L563" s="4" t="str">
        <f>IFERROR(VLOOKUP(B563,infoTable__12[],4,FALSE),"")</f>
        <v/>
      </c>
      <c r="M563" s="4" t="str">
        <f>IFERROR(VLOOKUP(B563,infoTable__13[],4,FALSE),"")</f>
        <v/>
      </c>
      <c r="N563" s="4" t="str">
        <f>IFERROR(VLOOKUP(B563,infoTable__14[],4,FALSE),"")</f>
        <v/>
      </c>
      <c r="O563" s="4" t="str">
        <f>IFERROR(VLOOKUP(B563,infoTable__15[],4,FALSE),"")</f>
        <v/>
      </c>
      <c r="P563" s="4">
        <f>IFERROR(VLOOKUP(B563,infoTable__16[],4,FALSE),"")</f>
        <v>4438601</v>
      </c>
    </row>
    <row r="564" spans="1:16" x14ac:dyDescent="0.55000000000000004">
      <c r="A564" t="s">
        <v>1988</v>
      </c>
      <c r="B564" t="s">
        <v>1989</v>
      </c>
      <c r="C564" s="4" t="str">
        <f>IFERROR(VLOOKUP(B564,infoTable10[],4,FALSE),"")</f>
        <v/>
      </c>
      <c r="D564" s="4" t="str">
        <f>IFERROR(VLOOKUP(B564,infoTable__2[],4,FALSE),"")</f>
        <v/>
      </c>
      <c r="E564" s="4" t="str">
        <f>IFERROR(VLOOKUP(B564,infoTable__3[],4,FALSE),"")</f>
        <v/>
      </c>
      <c r="F564" s="4" t="str">
        <f>IFERROR(VLOOKUP(B564,infoTable__4[],4,FALSE),"")</f>
        <v/>
      </c>
      <c r="G564" s="4" t="str">
        <f>IFERROR(VLOOKUP(B564,infoTable[],4,FALSE),"")</f>
        <v/>
      </c>
      <c r="H564" s="4" t="str">
        <f>IFERROR(VLOOKUP(B564,infoTable__6[],4,FALSE),"")</f>
        <v/>
      </c>
      <c r="I564" s="4" t="str">
        <f>IFERROR(VLOOKUP(B564,infoTable__28[],4,FALSE),"")</f>
        <v/>
      </c>
      <c r="J564" s="4" t="str">
        <f>IFERROR(VLOOKUP(B564,infoTable__10[],4,FALSE),"")</f>
        <v/>
      </c>
      <c r="K564" s="4">
        <f>IFERROR(VLOOKUP(B564,infoTable__11[],4,FALSE),"")</f>
        <v>172598</v>
      </c>
      <c r="L564" s="4" t="str">
        <f>IFERROR(VLOOKUP(B564,infoTable__12[],4,FALSE),"")</f>
        <v/>
      </c>
      <c r="M564" s="4" t="str">
        <f>IFERROR(VLOOKUP(B564,infoTable__13[],4,FALSE),"")</f>
        <v/>
      </c>
      <c r="N564" s="4" t="str">
        <f>IFERROR(VLOOKUP(B564,infoTable__14[],4,FALSE),"")</f>
        <v/>
      </c>
      <c r="O564" s="4" t="str">
        <f>IFERROR(VLOOKUP(B564,infoTable__15[],4,FALSE),"")</f>
        <v/>
      </c>
      <c r="P564" s="4" t="str">
        <f>IFERROR(VLOOKUP(B564,infoTable__16[],4,FALSE),"")</f>
        <v/>
      </c>
    </row>
    <row r="565" spans="1:16" x14ac:dyDescent="0.55000000000000004">
      <c r="A565" t="s">
        <v>899</v>
      </c>
      <c r="B565" t="s">
        <v>900</v>
      </c>
      <c r="C565" s="4" t="str">
        <f>IFERROR(VLOOKUP(B565,infoTable10[],4,FALSE),"")</f>
        <v/>
      </c>
      <c r="D565" s="4" t="str">
        <f>IFERROR(VLOOKUP(B565,infoTable__2[],4,FALSE),"")</f>
        <v/>
      </c>
      <c r="E565" s="4" t="str">
        <f>IFERROR(VLOOKUP(B565,infoTable__3[],4,FALSE),"")</f>
        <v/>
      </c>
      <c r="F565" s="4">
        <f>IFERROR(VLOOKUP(B565,infoTable__4[],4,FALSE),"")</f>
        <v>218560</v>
      </c>
      <c r="G565" s="4" t="str">
        <f>IFERROR(VLOOKUP(B565,infoTable[],4,FALSE),"")</f>
        <v/>
      </c>
      <c r="H565" s="4" t="str">
        <f>IFERROR(VLOOKUP(B565,infoTable__6[],4,FALSE),"")</f>
        <v/>
      </c>
      <c r="I565" s="4" t="str">
        <f>IFERROR(VLOOKUP(B565,infoTable__28[],4,FALSE),"")</f>
        <v/>
      </c>
      <c r="J565" s="4" t="str">
        <f>IFERROR(VLOOKUP(B565,infoTable__10[],4,FALSE),"")</f>
        <v/>
      </c>
      <c r="K565" s="4" t="str">
        <f>IFERROR(VLOOKUP(B565,infoTable__11[],4,FALSE),"")</f>
        <v/>
      </c>
      <c r="L565" s="4">
        <f>IFERROR(VLOOKUP(B565,infoTable__12[],4,FALSE),"")</f>
        <v>1281465</v>
      </c>
      <c r="M565" s="4" t="str">
        <f>IFERROR(VLOOKUP(B565,infoTable__13[],4,FALSE),"")</f>
        <v/>
      </c>
      <c r="N565" s="4" t="str">
        <f>IFERROR(VLOOKUP(B565,infoTable__14[],4,FALSE),"")</f>
        <v/>
      </c>
      <c r="O565" s="4" t="str">
        <f>IFERROR(VLOOKUP(B565,infoTable__15[],4,FALSE),"")</f>
        <v/>
      </c>
      <c r="P565" s="4" t="str">
        <f>IFERROR(VLOOKUP(B565,infoTable__16[],4,FALSE),"")</f>
        <v/>
      </c>
    </row>
    <row r="566" spans="1:16" x14ac:dyDescent="0.55000000000000004">
      <c r="A566" t="s">
        <v>2738</v>
      </c>
      <c r="B566" t="s">
        <v>2737</v>
      </c>
      <c r="C566" s="4" t="str">
        <f>IFERROR(VLOOKUP(B566,infoTable10[],4,FALSE),"")</f>
        <v/>
      </c>
      <c r="D566" s="4" t="str">
        <f>IFERROR(VLOOKUP(B566,infoTable__2[],4,FALSE),"")</f>
        <v/>
      </c>
      <c r="E566" s="4" t="str">
        <f>IFERROR(VLOOKUP(B566,infoTable__3[],4,FALSE),"")</f>
        <v/>
      </c>
      <c r="F566" s="4" t="str">
        <f>IFERROR(VLOOKUP(B566,infoTable__4[],4,FALSE),"")</f>
        <v/>
      </c>
      <c r="G566" s="4" t="str">
        <f>IFERROR(VLOOKUP(B566,infoTable[],4,FALSE),"")</f>
        <v/>
      </c>
      <c r="H566" s="4" t="str">
        <f>IFERROR(VLOOKUP(B566,infoTable__6[],4,FALSE),"")</f>
        <v/>
      </c>
      <c r="I566" s="4" t="str">
        <f>IFERROR(VLOOKUP(B566,infoTable__28[],4,FALSE),"")</f>
        <v/>
      </c>
      <c r="J566" s="4" t="str">
        <f>IFERROR(VLOOKUP(B566,infoTable__10[],4,FALSE),"")</f>
        <v/>
      </c>
      <c r="K566" s="4" t="str">
        <f>IFERROR(VLOOKUP(B566,infoTable__11[],4,FALSE),"")</f>
        <v/>
      </c>
      <c r="L566" s="4" t="str">
        <f>IFERROR(VLOOKUP(B566,infoTable__12[],4,FALSE),"")</f>
        <v/>
      </c>
      <c r="M566" s="4" t="str">
        <f>IFERROR(VLOOKUP(B566,infoTable__13[],4,FALSE),"")</f>
        <v/>
      </c>
      <c r="N566" s="4">
        <f>IFERROR(VLOOKUP(B566,infoTable__14[],4,FALSE),"")</f>
        <v>836458</v>
      </c>
      <c r="O566" s="4" t="str">
        <f>IFERROR(VLOOKUP(B566,infoTable__15[],4,FALSE),"")</f>
        <v/>
      </c>
      <c r="P566" s="4" t="str">
        <f>IFERROR(VLOOKUP(B566,infoTable__16[],4,FALSE),"")</f>
        <v/>
      </c>
    </row>
    <row r="567" spans="1:16" x14ac:dyDescent="0.55000000000000004">
      <c r="A567" t="s">
        <v>2572</v>
      </c>
      <c r="B567" t="s">
        <v>2573</v>
      </c>
      <c r="C567" s="4" t="str">
        <f>IFERROR(VLOOKUP(B567,infoTable10[],4,FALSE),"")</f>
        <v/>
      </c>
      <c r="D567" s="4" t="str">
        <f>IFERROR(VLOOKUP(B567,infoTable__2[],4,FALSE),"")</f>
        <v/>
      </c>
      <c r="E567" s="4" t="str">
        <f>IFERROR(VLOOKUP(B567,infoTable__3[],4,FALSE),"")</f>
        <v/>
      </c>
      <c r="F567" s="4" t="str">
        <f>IFERROR(VLOOKUP(B567,infoTable__4[],4,FALSE),"")</f>
        <v/>
      </c>
      <c r="G567" s="4" t="str">
        <f>IFERROR(VLOOKUP(B567,infoTable[],4,FALSE),"")</f>
        <v/>
      </c>
      <c r="H567" s="4" t="str">
        <f>IFERROR(VLOOKUP(B567,infoTable__6[],4,FALSE),"")</f>
        <v/>
      </c>
      <c r="I567" s="4" t="str">
        <f>IFERROR(VLOOKUP(B567,infoTable__28[],4,FALSE),"")</f>
        <v/>
      </c>
      <c r="J567" s="4" t="str">
        <f>IFERROR(VLOOKUP(B567,infoTable__10[],4,FALSE),"")</f>
        <v/>
      </c>
      <c r="K567" s="4" t="str">
        <f>IFERROR(VLOOKUP(B567,infoTable__11[],4,FALSE),"")</f>
        <v/>
      </c>
      <c r="L567" s="4" t="str">
        <f>IFERROR(VLOOKUP(B567,infoTable__12[],4,FALSE),"")</f>
        <v/>
      </c>
      <c r="M567" s="4">
        <f>IFERROR(VLOOKUP(B567,infoTable__13[],4,FALSE),"")</f>
        <v>294764</v>
      </c>
      <c r="N567" s="4">
        <f>IFERROR(VLOOKUP(B567,infoTable__14[],4,FALSE),"")</f>
        <v>1266718</v>
      </c>
      <c r="O567" s="4">
        <f>IFERROR(VLOOKUP(B567,infoTable__15[],4,FALSE),"")</f>
        <v>1426972</v>
      </c>
      <c r="P567" s="4">
        <f>IFERROR(VLOOKUP(B567,infoTable__16[],4,FALSE),"")</f>
        <v>665429</v>
      </c>
    </row>
    <row r="568" spans="1:16" x14ac:dyDescent="0.55000000000000004">
      <c r="A568" t="s">
        <v>383</v>
      </c>
      <c r="B568" t="s">
        <v>384</v>
      </c>
      <c r="C568" s="4" t="str">
        <f>IFERROR(VLOOKUP(B568,infoTable10[],4,FALSE),"")</f>
        <v/>
      </c>
      <c r="D568" s="4" t="str">
        <f>IFERROR(VLOOKUP(B568,infoTable__2[],4,FALSE),"")</f>
        <v/>
      </c>
      <c r="E568" s="4" t="str">
        <f>IFERROR(VLOOKUP(B568,infoTable__3[],4,FALSE),"")</f>
        <v/>
      </c>
      <c r="F568" s="4" t="str">
        <f>IFERROR(VLOOKUP(B568,infoTable__4[],4,FALSE),"")</f>
        <v/>
      </c>
      <c r="G568" s="4">
        <f>IFERROR(VLOOKUP(B568,infoTable[],4,FALSE),"")</f>
        <v>426250</v>
      </c>
      <c r="H568" s="4" t="str">
        <f>IFERROR(VLOOKUP(B568,infoTable__6[],4,FALSE),"")</f>
        <v/>
      </c>
      <c r="I568" s="4" t="str">
        <f>IFERROR(VLOOKUP(B568,infoTable__28[],4,FALSE),"")</f>
        <v/>
      </c>
      <c r="J568" s="4" t="str">
        <f>IFERROR(VLOOKUP(B568,infoTable__10[],4,FALSE),"")</f>
        <v/>
      </c>
      <c r="K568" s="4" t="str">
        <f>IFERROR(VLOOKUP(B568,infoTable__11[],4,FALSE),"")</f>
        <v/>
      </c>
      <c r="L568" s="4" t="str">
        <f>IFERROR(VLOOKUP(B568,infoTable__12[],4,FALSE),"")</f>
        <v/>
      </c>
      <c r="M568" s="4" t="str">
        <f>IFERROR(VLOOKUP(B568,infoTable__13[],4,FALSE),"")</f>
        <v/>
      </c>
      <c r="N568" s="4" t="str">
        <f>IFERROR(VLOOKUP(B568,infoTable__14[],4,FALSE),"")</f>
        <v/>
      </c>
      <c r="O568" s="4" t="str">
        <f>IFERROR(VLOOKUP(B568,infoTable__15[],4,FALSE),"")</f>
        <v/>
      </c>
      <c r="P568" s="4">
        <f>IFERROR(VLOOKUP(B568,infoTable__16[],4,FALSE),"")</f>
        <v>2295746</v>
      </c>
    </row>
    <row r="569" spans="1:16" x14ac:dyDescent="0.55000000000000004">
      <c r="A569" t="s">
        <v>1758</v>
      </c>
      <c r="B569" t="s">
        <v>1759</v>
      </c>
      <c r="C569" s="4" t="str">
        <f>IFERROR(VLOOKUP(B569,infoTable10[],4,FALSE),"")</f>
        <v/>
      </c>
      <c r="D569" s="4" t="str">
        <f>IFERROR(VLOOKUP(B569,infoTable__2[],4,FALSE),"")</f>
        <v/>
      </c>
      <c r="E569" s="4" t="str">
        <f>IFERROR(VLOOKUP(B569,infoTable__3[],4,FALSE),"")</f>
        <v/>
      </c>
      <c r="F569" s="4" t="str">
        <f>IFERROR(VLOOKUP(B569,infoTable__4[],4,FALSE),"")</f>
        <v/>
      </c>
      <c r="G569" s="4" t="str">
        <f>IFERROR(VLOOKUP(B569,infoTable[],4,FALSE),"")</f>
        <v/>
      </c>
      <c r="H569" s="4" t="str">
        <f>IFERROR(VLOOKUP(B569,infoTable__6[],4,FALSE),"")</f>
        <v/>
      </c>
      <c r="I569" s="4" t="str">
        <f>IFERROR(VLOOKUP(B569,infoTable__28[],4,FALSE),"")</f>
        <v/>
      </c>
      <c r="J569" s="4">
        <f>IFERROR(VLOOKUP(B569,infoTable__10[],4,FALSE),"")</f>
        <v>70144</v>
      </c>
      <c r="K569" s="4">
        <f>IFERROR(VLOOKUP(B569,infoTable__11[],4,FALSE),"")</f>
        <v>739370</v>
      </c>
      <c r="L569" s="4">
        <f>IFERROR(VLOOKUP(B569,infoTable__12[],4,FALSE),"")</f>
        <v>746158</v>
      </c>
      <c r="M569" s="4" t="str">
        <f>IFERROR(VLOOKUP(B569,infoTable__13[],4,FALSE),"")</f>
        <v/>
      </c>
      <c r="N569" s="4" t="str">
        <f>IFERROR(VLOOKUP(B569,infoTable__14[],4,FALSE),"")</f>
        <v/>
      </c>
      <c r="O569" s="4">
        <f>IFERROR(VLOOKUP(B569,infoTable__15[],4,FALSE),"")</f>
        <v>109980</v>
      </c>
      <c r="P569" s="4">
        <f>IFERROR(VLOOKUP(B569,infoTable__16[],4,FALSE),"")</f>
        <v>389308</v>
      </c>
    </row>
    <row r="570" spans="1:16" x14ac:dyDescent="0.55000000000000004">
      <c r="A570" t="s">
        <v>2576</v>
      </c>
      <c r="B570" t="s">
        <v>2577</v>
      </c>
      <c r="C570" s="4" t="str">
        <f>IFERROR(VLOOKUP(B570,infoTable10[],4,FALSE),"")</f>
        <v/>
      </c>
      <c r="D570" s="4" t="str">
        <f>IFERROR(VLOOKUP(B570,infoTable__2[],4,FALSE),"")</f>
        <v/>
      </c>
      <c r="E570" s="4" t="str">
        <f>IFERROR(VLOOKUP(B570,infoTable__3[],4,FALSE),"")</f>
        <v/>
      </c>
      <c r="F570" s="4" t="str">
        <f>IFERROR(VLOOKUP(B570,infoTable__4[],4,FALSE),"")</f>
        <v/>
      </c>
      <c r="G570" s="4" t="str">
        <f>IFERROR(VLOOKUP(B570,infoTable[],4,FALSE),"")</f>
        <v/>
      </c>
      <c r="H570" s="4" t="str">
        <f>IFERROR(VLOOKUP(B570,infoTable__6[],4,FALSE),"")</f>
        <v/>
      </c>
      <c r="I570" s="4" t="str">
        <f>IFERROR(VLOOKUP(B570,infoTable__28[],4,FALSE),"")</f>
        <v/>
      </c>
      <c r="J570" s="4" t="str">
        <f>IFERROR(VLOOKUP(B570,infoTable__10[],4,FALSE),"")</f>
        <v/>
      </c>
      <c r="K570" s="4" t="str">
        <f>IFERROR(VLOOKUP(B570,infoTable__11[],4,FALSE),"")</f>
        <v/>
      </c>
      <c r="L570" s="4" t="str">
        <f>IFERROR(VLOOKUP(B570,infoTable__12[],4,FALSE),"")</f>
        <v/>
      </c>
      <c r="M570" s="4">
        <f>IFERROR(VLOOKUP(B570,infoTable__13[],4,FALSE),"")</f>
        <v>7182657</v>
      </c>
      <c r="N570" s="4" t="str">
        <f>IFERROR(VLOOKUP(B570,infoTable__14[],4,FALSE),"")</f>
        <v/>
      </c>
      <c r="O570" s="4" t="str">
        <f>IFERROR(VLOOKUP(B570,infoTable__15[],4,FALSE),"")</f>
        <v/>
      </c>
      <c r="P570" s="4">
        <f>IFERROR(VLOOKUP(B570,infoTable__16[],4,FALSE),"")</f>
        <v>216493</v>
      </c>
    </row>
    <row r="571" spans="1:16" x14ac:dyDescent="0.55000000000000004">
      <c r="A571" t="s">
        <v>1547</v>
      </c>
      <c r="B571" t="s">
        <v>1548</v>
      </c>
      <c r="C571" s="4">
        <f>IFERROR(VLOOKUP(B571,infoTable10[],4,FALSE),"")</f>
        <v>287728</v>
      </c>
      <c r="D571" s="4" t="str">
        <f>IFERROR(VLOOKUP(B571,infoTable__2[],4,FALSE),"")</f>
        <v/>
      </c>
      <c r="E571" s="4" t="str">
        <f>IFERROR(VLOOKUP(B571,infoTable__3[],4,FALSE),"")</f>
        <v/>
      </c>
      <c r="F571" s="4" t="str">
        <f>IFERROR(VLOOKUP(B571,infoTable__4[],4,FALSE),"")</f>
        <v/>
      </c>
      <c r="G571" s="4" t="str">
        <f>IFERROR(VLOOKUP(B571,infoTable[],4,FALSE),"")</f>
        <v/>
      </c>
      <c r="H571" s="4" t="str">
        <f>IFERROR(VLOOKUP(B571,infoTable__6[],4,FALSE),"")</f>
        <v/>
      </c>
      <c r="I571" s="4" t="str">
        <f>IFERROR(VLOOKUP(B571,infoTable__28[],4,FALSE),"")</f>
        <v/>
      </c>
      <c r="J571" s="4" t="str">
        <f>IFERROR(VLOOKUP(B571,infoTable__10[],4,FALSE),"")</f>
        <v/>
      </c>
      <c r="K571" s="4" t="str">
        <f>IFERROR(VLOOKUP(B571,infoTable__11[],4,FALSE),"")</f>
        <v/>
      </c>
      <c r="L571" s="4" t="str">
        <f>IFERROR(VLOOKUP(B571,infoTable__12[],4,FALSE),"")</f>
        <v/>
      </c>
      <c r="M571" s="4" t="str">
        <f>IFERROR(VLOOKUP(B571,infoTable__13[],4,FALSE),"")</f>
        <v/>
      </c>
      <c r="N571" s="4" t="str">
        <f>IFERROR(VLOOKUP(B571,infoTable__14[],4,FALSE),"")</f>
        <v/>
      </c>
      <c r="O571" s="4" t="str">
        <f>IFERROR(VLOOKUP(B571,infoTable__15[],4,FALSE),"")</f>
        <v/>
      </c>
      <c r="P571" s="4" t="str">
        <f>IFERROR(VLOOKUP(B571,infoTable__16[],4,FALSE),"")</f>
        <v/>
      </c>
    </row>
    <row r="572" spans="1:16" x14ac:dyDescent="0.55000000000000004">
      <c r="A572" t="s">
        <v>2309</v>
      </c>
      <c r="B572" t="s">
        <v>2310</v>
      </c>
      <c r="C572" s="4" t="str">
        <f>IFERROR(VLOOKUP(B572,infoTable10[],4,FALSE),"")</f>
        <v/>
      </c>
      <c r="D572" s="4" t="str">
        <f>IFERROR(VLOOKUP(B572,infoTable__2[],4,FALSE),"")</f>
        <v/>
      </c>
      <c r="E572" s="4" t="str">
        <f>IFERROR(VLOOKUP(B572,infoTable__3[],4,FALSE),"")</f>
        <v/>
      </c>
      <c r="F572" s="4" t="str">
        <f>IFERROR(VLOOKUP(B572,infoTable__4[],4,FALSE),"")</f>
        <v/>
      </c>
      <c r="G572" s="4" t="str">
        <f>IFERROR(VLOOKUP(B572,infoTable[],4,FALSE),"")</f>
        <v/>
      </c>
      <c r="H572" s="4" t="str">
        <f>IFERROR(VLOOKUP(B572,infoTable__6[],4,FALSE),"")</f>
        <v/>
      </c>
      <c r="I572" s="4" t="str">
        <f>IFERROR(VLOOKUP(B572,infoTable__28[],4,FALSE),"")</f>
        <v/>
      </c>
      <c r="J572" s="4" t="str">
        <f>IFERROR(VLOOKUP(B572,infoTable__10[],4,FALSE),"")</f>
        <v/>
      </c>
      <c r="K572" s="4" t="str">
        <f>IFERROR(VLOOKUP(B572,infoTable__11[],4,FALSE),"")</f>
        <v/>
      </c>
      <c r="L572" s="4">
        <f>IFERROR(VLOOKUP(B572,infoTable__12[],4,FALSE),"")</f>
        <v>248984</v>
      </c>
      <c r="M572" s="4">
        <f>IFERROR(VLOOKUP(B572,infoTable__13[],4,FALSE),"")</f>
        <v>349358</v>
      </c>
      <c r="N572" s="4">
        <f>IFERROR(VLOOKUP(B572,infoTable__14[],4,FALSE),"")</f>
        <v>1577309</v>
      </c>
      <c r="O572" s="4">
        <f>IFERROR(VLOOKUP(B572,infoTable__15[],4,FALSE),"")</f>
        <v>3042990</v>
      </c>
      <c r="P572" s="4">
        <f>IFERROR(VLOOKUP(B572,infoTable__16[],4,FALSE),"")</f>
        <v>1192898</v>
      </c>
    </row>
    <row r="573" spans="1:16" x14ac:dyDescent="0.55000000000000004">
      <c r="A573" t="s">
        <v>2574</v>
      </c>
      <c r="B573" t="s">
        <v>2575</v>
      </c>
      <c r="C573" s="4" t="str">
        <f>IFERROR(VLOOKUP(B573,infoTable10[],4,FALSE),"")</f>
        <v/>
      </c>
      <c r="D573" s="4" t="str">
        <f>IFERROR(VLOOKUP(B573,infoTable__2[],4,FALSE),"")</f>
        <v/>
      </c>
      <c r="E573" s="4" t="str">
        <f>IFERROR(VLOOKUP(B573,infoTable__3[],4,FALSE),"")</f>
        <v/>
      </c>
      <c r="F573" s="4" t="str">
        <f>IFERROR(VLOOKUP(B573,infoTable__4[],4,FALSE),"")</f>
        <v/>
      </c>
      <c r="G573" s="4" t="str">
        <f>IFERROR(VLOOKUP(B573,infoTable[],4,FALSE),"")</f>
        <v/>
      </c>
      <c r="H573" s="4" t="str">
        <f>IFERROR(VLOOKUP(B573,infoTable__6[],4,FALSE),"")</f>
        <v/>
      </c>
      <c r="I573" s="4" t="str">
        <f>IFERROR(VLOOKUP(B573,infoTable__28[],4,FALSE),"")</f>
        <v/>
      </c>
      <c r="J573" s="4" t="str">
        <f>IFERROR(VLOOKUP(B573,infoTable__10[],4,FALSE),"")</f>
        <v/>
      </c>
      <c r="K573" s="4" t="str">
        <f>IFERROR(VLOOKUP(B573,infoTable__11[],4,FALSE),"")</f>
        <v/>
      </c>
      <c r="L573" s="4" t="str">
        <f>IFERROR(VLOOKUP(B573,infoTable__12[],4,FALSE),"")</f>
        <v/>
      </c>
      <c r="M573" s="4">
        <f>IFERROR(VLOOKUP(B573,infoTable__13[],4,FALSE),"")</f>
        <v>791454</v>
      </c>
      <c r="N573" s="4">
        <f>IFERROR(VLOOKUP(B573,infoTable__14[],4,FALSE),"")</f>
        <v>207543</v>
      </c>
      <c r="O573" s="4">
        <f>IFERROR(VLOOKUP(B573,infoTable__15[],4,FALSE),"")</f>
        <v>241619</v>
      </c>
      <c r="P573" s="4" t="str">
        <f>IFERROR(VLOOKUP(B573,infoTable__16[],4,FALSE),"")</f>
        <v/>
      </c>
    </row>
    <row r="574" spans="1:16" x14ac:dyDescent="0.55000000000000004">
      <c r="A574" t="s">
        <v>1748</v>
      </c>
      <c r="B574" t="s">
        <v>1749</v>
      </c>
      <c r="C574" s="4" t="str">
        <f>IFERROR(VLOOKUP(B574,infoTable10[],4,FALSE),"")</f>
        <v/>
      </c>
      <c r="D574" s="4" t="str">
        <f>IFERROR(VLOOKUP(B574,infoTable__2[],4,FALSE),"")</f>
        <v/>
      </c>
      <c r="E574" s="4" t="str">
        <f>IFERROR(VLOOKUP(B574,infoTable__3[],4,FALSE),"")</f>
        <v/>
      </c>
      <c r="F574" s="4" t="str">
        <f>IFERROR(VLOOKUP(B574,infoTable__4[],4,FALSE),"")</f>
        <v/>
      </c>
      <c r="G574" s="4" t="str">
        <f>IFERROR(VLOOKUP(B574,infoTable[],4,FALSE),"")</f>
        <v/>
      </c>
      <c r="H574" s="4" t="str">
        <f>IFERROR(VLOOKUP(B574,infoTable__6[],4,FALSE),"")</f>
        <v/>
      </c>
      <c r="I574" s="4" t="str">
        <f>IFERROR(VLOOKUP(B574,infoTable__28[],4,FALSE),"")</f>
        <v/>
      </c>
      <c r="J574" s="4">
        <f>IFERROR(VLOOKUP(B574,infoTable__10[],4,FALSE),"")</f>
        <v>1289444</v>
      </c>
      <c r="K574" s="4">
        <f>IFERROR(VLOOKUP(B574,infoTable__11[],4,FALSE),"")</f>
        <v>263667</v>
      </c>
      <c r="L574" s="4" t="str">
        <f>IFERROR(VLOOKUP(B574,infoTable__12[],4,FALSE),"")</f>
        <v/>
      </c>
      <c r="M574" s="4" t="str">
        <f>IFERROR(VLOOKUP(B574,infoTable__13[],4,FALSE),"")</f>
        <v/>
      </c>
      <c r="N574" s="4" t="str">
        <f>IFERROR(VLOOKUP(B574,infoTable__14[],4,FALSE),"")</f>
        <v/>
      </c>
      <c r="O574" s="4" t="str">
        <f>IFERROR(VLOOKUP(B574,infoTable__15[],4,FALSE),"")</f>
        <v/>
      </c>
      <c r="P574" s="4">
        <f>IFERROR(VLOOKUP(B574,infoTable__16[],4,FALSE),"")</f>
        <v>152445</v>
      </c>
    </row>
    <row r="575" spans="1:16" x14ac:dyDescent="0.55000000000000004">
      <c r="A575" t="s">
        <v>3486</v>
      </c>
      <c r="B575" t="s">
        <v>3487</v>
      </c>
      <c r="C575" s="4" t="str">
        <f>IFERROR(VLOOKUP(B575,infoTable10[],4,FALSE),"")</f>
        <v/>
      </c>
      <c r="D575" s="4" t="str">
        <f>IFERROR(VLOOKUP(B575,infoTable__2[],4,FALSE),"")</f>
        <v/>
      </c>
      <c r="E575" s="4" t="str">
        <f>IFERROR(VLOOKUP(B575,infoTable__3[],4,FALSE),"")</f>
        <v/>
      </c>
      <c r="F575" s="4" t="str">
        <f>IFERROR(VLOOKUP(B575,infoTable__4[],4,FALSE),"")</f>
        <v/>
      </c>
      <c r="G575" s="4" t="str">
        <f>IFERROR(VLOOKUP(B575,infoTable[],4,FALSE),"")</f>
        <v/>
      </c>
      <c r="H575" s="4" t="str">
        <f>IFERROR(VLOOKUP(B575,infoTable__6[],4,FALSE),"")</f>
        <v/>
      </c>
      <c r="I575" s="4" t="str">
        <f>IFERROR(VLOOKUP(B575,infoTable__28[],4,FALSE),"")</f>
        <v/>
      </c>
      <c r="J575" s="4" t="str">
        <f>IFERROR(VLOOKUP(B575,infoTable__10[],4,FALSE),"")</f>
        <v/>
      </c>
      <c r="K575" s="4" t="str">
        <f>IFERROR(VLOOKUP(B575,infoTable__11[],4,FALSE),"")</f>
        <v/>
      </c>
      <c r="L575" s="4" t="str">
        <f>IFERROR(VLOOKUP(B575,infoTable__12[],4,FALSE),"")</f>
        <v/>
      </c>
      <c r="M575" s="4" t="str">
        <f>IFERROR(VLOOKUP(B575,infoTable__13[],4,FALSE),"")</f>
        <v/>
      </c>
      <c r="N575" s="4" t="str">
        <f>IFERROR(VLOOKUP(B575,infoTable__14[],4,FALSE),"")</f>
        <v/>
      </c>
      <c r="O575" s="4" t="str">
        <f>IFERROR(VLOOKUP(B575,infoTable__15[],4,FALSE),"")</f>
        <v/>
      </c>
      <c r="P575" s="4">
        <f>IFERROR(VLOOKUP(B575,infoTable__16[],4,FALSE),"")</f>
        <v>7269906</v>
      </c>
    </row>
    <row r="576" spans="1:16" x14ac:dyDescent="0.55000000000000004">
      <c r="A576" t="s">
        <v>2315</v>
      </c>
      <c r="B576" t="s">
        <v>2316</v>
      </c>
      <c r="C576" s="4" t="str">
        <f>IFERROR(VLOOKUP(B576,infoTable10[],4,FALSE),"")</f>
        <v/>
      </c>
      <c r="D576" s="4" t="str">
        <f>IFERROR(VLOOKUP(B576,infoTable__2[],4,FALSE),"")</f>
        <v/>
      </c>
      <c r="E576" s="4" t="str">
        <f>IFERROR(VLOOKUP(B576,infoTable__3[],4,FALSE),"")</f>
        <v/>
      </c>
      <c r="F576" s="4" t="str">
        <f>IFERROR(VLOOKUP(B576,infoTable__4[],4,FALSE),"")</f>
        <v/>
      </c>
      <c r="G576" s="4" t="str">
        <f>IFERROR(VLOOKUP(B576,infoTable[],4,FALSE),"")</f>
        <v/>
      </c>
      <c r="H576" s="4" t="str">
        <f>IFERROR(VLOOKUP(B576,infoTable__6[],4,FALSE),"")</f>
        <v/>
      </c>
      <c r="I576" s="4" t="str">
        <f>IFERROR(VLOOKUP(B576,infoTable__28[],4,FALSE),"")</f>
        <v/>
      </c>
      <c r="J576" s="4" t="str">
        <f>IFERROR(VLOOKUP(B576,infoTable__10[],4,FALSE),"")</f>
        <v/>
      </c>
      <c r="K576" s="4" t="str">
        <f>IFERROR(VLOOKUP(B576,infoTable__11[],4,FALSE),"")</f>
        <v/>
      </c>
      <c r="L576" s="4">
        <f>IFERROR(VLOOKUP(B576,infoTable__12[],4,FALSE),"")</f>
        <v>211306</v>
      </c>
      <c r="M576" s="4" t="str">
        <f>IFERROR(VLOOKUP(B576,infoTable__13[],4,FALSE),"")</f>
        <v/>
      </c>
      <c r="N576" s="4" t="str">
        <f>IFERROR(VLOOKUP(B576,infoTable__14[],4,FALSE),"")</f>
        <v/>
      </c>
      <c r="O576" s="4" t="str">
        <f>IFERROR(VLOOKUP(B576,infoTable__15[],4,FALSE),"")</f>
        <v/>
      </c>
      <c r="P576" s="4" t="str">
        <f>IFERROR(VLOOKUP(B576,infoTable__16[],4,FALSE),"")</f>
        <v/>
      </c>
    </row>
    <row r="577" spans="1:16" x14ac:dyDescent="0.55000000000000004">
      <c r="A577" t="s">
        <v>2740</v>
      </c>
      <c r="B577" t="s">
        <v>2739</v>
      </c>
      <c r="C577" s="4" t="str">
        <f>IFERROR(VLOOKUP(B577,infoTable10[],4,FALSE),"")</f>
        <v/>
      </c>
      <c r="D577" s="4" t="str">
        <f>IFERROR(VLOOKUP(B577,infoTable__2[],4,FALSE),"")</f>
        <v/>
      </c>
      <c r="E577" s="4" t="str">
        <f>IFERROR(VLOOKUP(B577,infoTable__3[],4,FALSE),"")</f>
        <v/>
      </c>
      <c r="F577" s="4" t="str">
        <f>IFERROR(VLOOKUP(B577,infoTable__4[],4,FALSE),"")</f>
        <v/>
      </c>
      <c r="G577" s="4" t="str">
        <f>IFERROR(VLOOKUP(B577,infoTable[],4,FALSE),"")</f>
        <v/>
      </c>
      <c r="H577" s="4" t="str">
        <f>IFERROR(VLOOKUP(B577,infoTable__6[],4,FALSE),"")</f>
        <v/>
      </c>
      <c r="I577" s="4" t="str">
        <f>IFERROR(VLOOKUP(B577,infoTable__28[],4,FALSE),"")</f>
        <v/>
      </c>
      <c r="J577" s="4" t="str">
        <f>IFERROR(VLOOKUP(B577,infoTable__10[],4,FALSE),"")</f>
        <v/>
      </c>
      <c r="K577" s="4" t="str">
        <f>IFERROR(VLOOKUP(B577,infoTable__11[],4,FALSE),"")</f>
        <v/>
      </c>
      <c r="L577" s="4" t="str">
        <f>IFERROR(VLOOKUP(B577,infoTable__12[],4,FALSE),"")</f>
        <v/>
      </c>
      <c r="M577" s="4" t="str">
        <f>IFERROR(VLOOKUP(B577,infoTable__13[],4,FALSE),"")</f>
        <v/>
      </c>
      <c r="N577" s="4">
        <f>IFERROR(VLOOKUP(B577,infoTable__14[],4,FALSE),"")</f>
        <v>246503</v>
      </c>
      <c r="O577" s="4">
        <f>IFERROR(VLOOKUP(B577,infoTable__15[],4,FALSE),"")</f>
        <v>261039</v>
      </c>
      <c r="P577" s="4" t="str">
        <f>IFERROR(VLOOKUP(B577,infoTable__16[],4,FALSE),"")</f>
        <v/>
      </c>
    </row>
    <row r="578" spans="1:16" x14ac:dyDescent="0.55000000000000004">
      <c r="A578" t="s">
        <v>1752</v>
      </c>
      <c r="B578" t="s">
        <v>1753</v>
      </c>
      <c r="C578" s="4" t="str">
        <f>IFERROR(VLOOKUP(B578,infoTable10[],4,FALSE),"")</f>
        <v/>
      </c>
      <c r="D578" s="4" t="str">
        <f>IFERROR(VLOOKUP(B578,infoTable__2[],4,FALSE),"")</f>
        <v/>
      </c>
      <c r="E578" s="4" t="str">
        <f>IFERROR(VLOOKUP(B578,infoTable__3[],4,FALSE),"")</f>
        <v/>
      </c>
      <c r="F578" s="4" t="str">
        <f>IFERROR(VLOOKUP(B578,infoTable__4[],4,FALSE),"")</f>
        <v/>
      </c>
      <c r="G578" s="4" t="str">
        <f>IFERROR(VLOOKUP(B578,infoTable[],4,FALSE),"")</f>
        <v/>
      </c>
      <c r="H578" s="4" t="str">
        <f>IFERROR(VLOOKUP(B578,infoTable__6[],4,FALSE),"")</f>
        <v/>
      </c>
      <c r="I578" s="4" t="str">
        <f>IFERROR(VLOOKUP(B578,infoTable__28[],4,FALSE),"")</f>
        <v/>
      </c>
      <c r="J578" s="4">
        <f>IFERROR(VLOOKUP(B578,infoTable__10[],4,FALSE),"")</f>
        <v>237731</v>
      </c>
      <c r="K578" s="4">
        <f>IFERROR(VLOOKUP(B578,infoTable__11[],4,FALSE),"")</f>
        <v>1584326</v>
      </c>
      <c r="L578" s="4">
        <f>IFERROR(VLOOKUP(B578,infoTable__12[],4,FALSE),"")</f>
        <v>828135</v>
      </c>
      <c r="M578" s="4" t="str">
        <f>IFERROR(VLOOKUP(B578,infoTable__13[],4,FALSE),"")</f>
        <v/>
      </c>
      <c r="N578" s="4">
        <f>IFERROR(VLOOKUP(B578,infoTable__14[],4,FALSE),"")</f>
        <v>598168</v>
      </c>
      <c r="O578" s="4">
        <f>IFERROR(VLOOKUP(B578,infoTable__15[],4,FALSE),"")</f>
        <v>4243500</v>
      </c>
      <c r="P578" s="4">
        <f>IFERROR(VLOOKUP(B578,infoTable__16[],4,FALSE),"")</f>
        <v>2802750</v>
      </c>
    </row>
    <row r="579" spans="1:16" x14ac:dyDescent="0.55000000000000004">
      <c r="A579" t="s">
        <v>2742</v>
      </c>
      <c r="B579" t="s">
        <v>2741</v>
      </c>
      <c r="C579" s="4" t="str">
        <f>IFERROR(VLOOKUP(B579,infoTable10[],4,FALSE),"")</f>
        <v/>
      </c>
      <c r="D579" s="4" t="str">
        <f>IFERROR(VLOOKUP(B579,infoTable__2[],4,FALSE),"")</f>
        <v/>
      </c>
      <c r="E579" s="4" t="str">
        <f>IFERROR(VLOOKUP(B579,infoTable__3[],4,FALSE),"")</f>
        <v/>
      </c>
      <c r="F579" s="4" t="str">
        <f>IFERROR(VLOOKUP(B579,infoTable__4[],4,FALSE),"")</f>
        <v/>
      </c>
      <c r="G579" s="4" t="str">
        <f>IFERROR(VLOOKUP(B579,infoTable[],4,FALSE),"")</f>
        <v/>
      </c>
      <c r="H579" s="4" t="str">
        <f>IFERROR(VLOOKUP(B579,infoTable__6[],4,FALSE),"")</f>
        <v/>
      </c>
      <c r="I579" s="4" t="str">
        <f>IFERROR(VLOOKUP(B579,infoTable__28[],4,FALSE),"")</f>
        <v/>
      </c>
      <c r="J579" s="4" t="str">
        <f>IFERROR(VLOOKUP(B579,infoTable__10[],4,FALSE),"")</f>
        <v/>
      </c>
      <c r="K579" s="4" t="str">
        <f>IFERROR(VLOOKUP(B579,infoTable__11[],4,FALSE),"")</f>
        <v/>
      </c>
      <c r="L579" s="4" t="str">
        <f>IFERROR(VLOOKUP(B579,infoTable__12[],4,FALSE),"")</f>
        <v/>
      </c>
      <c r="M579" s="4" t="str">
        <f>IFERROR(VLOOKUP(B579,infoTable__13[],4,FALSE),"")</f>
        <v/>
      </c>
      <c r="N579" s="4">
        <f>IFERROR(VLOOKUP(B579,infoTable__14[],4,FALSE),"")</f>
        <v>7934500</v>
      </c>
      <c r="O579" s="4">
        <f>IFERROR(VLOOKUP(B579,infoTable__15[],4,FALSE),"")</f>
        <v>7720186</v>
      </c>
      <c r="P579" s="4">
        <f>IFERROR(VLOOKUP(B579,infoTable__16[],4,FALSE),"")</f>
        <v>3259237</v>
      </c>
    </row>
    <row r="580" spans="1:16" x14ac:dyDescent="0.55000000000000004">
      <c r="A580" t="s">
        <v>901</v>
      </c>
      <c r="B580" t="s">
        <v>902</v>
      </c>
      <c r="C580" s="4" t="str">
        <f>IFERROR(VLOOKUP(B580,infoTable10[],4,FALSE),"")</f>
        <v/>
      </c>
      <c r="D580" s="4" t="str">
        <f>IFERROR(VLOOKUP(B580,infoTable__2[],4,FALSE),"")</f>
        <v/>
      </c>
      <c r="E580" s="4" t="str">
        <f>IFERROR(VLOOKUP(B580,infoTable__3[],4,FALSE),"")</f>
        <v/>
      </c>
      <c r="F580" s="4">
        <f>IFERROR(VLOOKUP(B580,infoTable__4[],4,FALSE),"")</f>
        <v>4592546</v>
      </c>
      <c r="G580" s="4" t="str">
        <f>IFERROR(VLOOKUP(B580,infoTable[],4,FALSE),"")</f>
        <v/>
      </c>
      <c r="H580" s="4" t="str">
        <f>IFERROR(VLOOKUP(B580,infoTable__6[],4,FALSE),"")</f>
        <v/>
      </c>
      <c r="I580" s="4">
        <f>IFERROR(VLOOKUP(B580,infoTable__28[],4,FALSE),"")</f>
        <v>261288</v>
      </c>
      <c r="J580" s="4">
        <f>IFERROR(VLOOKUP(B580,infoTable__10[],4,FALSE),"")</f>
        <v>674259</v>
      </c>
      <c r="K580" s="4">
        <f>IFERROR(VLOOKUP(B580,infoTable__11[],4,FALSE),"")</f>
        <v>404095</v>
      </c>
      <c r="L580" s="4">
        <f>IFERROR(VLOOKUP(B580,infoTable__12[],4,FALSE),"")</f>
        <v>528510</v>
      </c>
      <c r="M580" s="4" t="str">
        <f>IFERROR(VLOOKUP(B580,infoTable__13[],4,FALSE),"")</f>
        <v/>
      </c>
      <c r="N580" s="4" t="str">
        <f>IFERROR(VLOOKUP(B580,infoTable__14[],4,FALSE),"")</f>
        <v/>
      </c>
      <c r="O580" s="4">
        <f>IFERROR(VLOOKUP(B580,infoTable__15[],4,FALSE),"")</f>
        <v>216783</v>
      </c>
      <c r="P580" s="4">
        <f>IFERROR(VLOOKUP(B580,infoTable__16[],4,FALSE),"")</f>
        <v>321231</v>
      </c>
    </row>
    <row r="581" spans="1:16" x14ac:dyDescent="0.55000000000000004">
      <c r="A581" t="s">
        <v>1549</v>
      </c>
      <c r="B581" t="s">
        <v>1550</v>
      </c>
      <c r="C581" s="4">
        <f>IFERROR(VLOOKUP(B581,infoTable10[],4,FALSE),"")</f>
        <v>488156</v>
      </c>
      <c r="D581" s="4" t="str">
        <f>IFERROR(VLOOKUP(B581,infoTable__2[],4,FALSE),"")</f>
        <v/>
      </c>
      <c r="E581" s="4" t="str">
        <f>IFERROR(VLOOKUP(B581,infoTable__3[],4,FALSE),"")</f>
        <v/>
      </c>
      <c r="F581" s="4" t="str">
        <f>IFERROR(VLOOKUP(B581,infoTable__4[],4,FALSE),"")</f>
        <v/>
      </c>
      <c r="G581" s="4" t="str">
        <f>IFERROR(VLOOKUP(B581,infoTable[],4,FALSE),"")</f>
        <v/>
      </c>
      <c r="H581" s="4" t="str">
        <f>IFERROR(VLOOKUP(B581,infoTable__6[],4,FALSE),"")</f>
        <v/>
      </c>
      <c r="I581" s="4" t="str">
        <f>IFERROR(VLOOKUP(B581,infoTable__28[],4,FALSE),"")</f>
        <v/>
      </c>
      <c r="J581" s="4" t="str">
        <f>IFERROR(VLOOKUP(B581,infoTable__10[],4,FALSE),"")</f>
        <v/>
      </c>
      <c r="K581" s="4" t="str">
        <f>IFERROR(VLOOKUP(B581,infoTable__11[],4,FALSE),"")</f>
        <v/>
      </c>
      <c r="L581" s="4" t="str">
        <f>IFERROR(VLOOKUP(B581,infoTable__12[],4,FALSE),"")</f>
        <v/>
      </c>
      <c r="M581" s="4" t="str">
        <f>IFERROR(VLOOKUP(B581,infoTable__13[],4,FALSE),"")</f>
        <v/>
      </c>
      <c r="N581" s="4" t="str">
        <f>IFERROR(VLOOKUP(B581,infoTable__14[],4,FALSE),"")</f>
        <v/>
      </c>
      <c r="O581" s="4" t="str">
        <f>IFERROR(VLOOKUP(B581,infoTable__15[],4,FALSE),"")</f>
        <v/>
      </c>
      <c r="P581" s="4" t="str">
        <f>IFERROR(VLOOKUP(B581,infoTable__16[],4,FALSE),"")</f>
        <v/>
      </c>
    </row>
    <row r="582" spans="1:16" x14ac:dyDescent="0.55000000000000004">
      <c r="A582" t="s">
        <v>1096</v>
      </c>
      <c r="B582" t="s">
        <v>1097</v>
      </c>
      <c r="C582" s="4" t="str">
        <f>IFERROR(VLOOKUP(B582,infoTable10[],4,FALSE),"")</f>
        <v/>
      </c>
      <c r="D582" s="4" t="str">
        <f>IFERROR(VLOOKUP(B582,infoTable__2[],4,FALSE),"")</f>
        <v/>
      </c>
      <c r="E582" s="4" t="str">
        <f>IFERROR(VLOOKUP(B582,infoTable__3[],4,FALSE),"")</f>
        <v/>
      </c>
      <c r="F582" s="4" t="str">
        <f>IFERROR(VLOOKUP(B582,infoTable__4[],4,FALSE),"")</f>
        <v/>
      </c>
      <c r="G582" s="4" t="str">
        <f>IFERROR(VLOOKUP(B582,infoTable[],4,FALSE),"")</f>
        <v/>
      </c>
      <c r="H582" s="4">
        <f>IFERROR(VLOOKUP(B582,infoTable__6[],4,FALSE),"")</f>
        <v>275192</v>
      </c>
      <c r="I582" s="4" t="str">
        <f>IFERROR(VLOOKUP(B582,infoTable__28[],4,FALSE),"")</f>
        <v/>
      </c>
      <c r="J582" s="4" t="str">
        <f>IFERROR(VLOOKUP(B582,infoTable__10[],4,FALSE),"")</f>
        <v/>
      </c>
      <c r="K582" s="4" t="str">
        <f>IFERROR(VLOOKUP(B582,infoTable__11[],4,FALSE),"")</f>
        <v/>
      </c>
      <c r="L582" s="4" t="str">
        <f>IFERROR(VLOOKUP(B582,infoTable__12[],4,FALSE),"")</f>
        <v/>
      </c>
      <c r="M582" s="4" t="str">
        <f>IFERROR(VLOOKUP(B582,infoTable__13[],4,FALSE),"")</f>
        <v/>
      </c>
      <c r="N582" s="4" t="str">
        <f>IFERROR(VLOOKUP(B582,infoTable__14[],4,FALSE),"")</f>
        <v/>
      </c>
      <c r="O582" s="4" t="str">
        <f>IFERROR(VLOOKUP(B582,infoTable__15[],4,FALSE),"")</f>
        <v/>
      </c>
      <c r="P582" s="4" t="str">
        <f>IFERROR(VLOOKUP(B582,infoTable__16[],4,FALSE),"")</f>
        <v/>
      </c>
    </row>
    <row r="583" spans="1:16" x14ac:dyDescent="0.55000000000000004">
      <c r="A583" t="s">
        <v>676</v>
      </c>
      <c r="B583" t="s">
        <v>677</v>
      </c>
      <c r="C583" s="4" t="str">
        <f>IFERROR(VLOOKUP(B583,infoTable10[],4,FALSE),"")</f>
        <v/>
      </c>
      <c r="D583" s="4">
        <f>IFERROR(VLOOKUP(B583,infoTable__2[],4,FALSE),"")</f>
        <v>2379766</v>
      </c>
      <c r="E583" s="4" t="str">
        <f>IFERROR(VLOOKUP(B583,infoTable__3[],4,FALSE),"")</f>
        <v/>
      </c>
      <c r="F583" s="4" t="str">
        <f>IFERROR(VLOOKUP(B583,infoTable__4[],4,FALSE),"")</f>
        <v/>
      </c>
      <c r="G583" s="4" t="str">
        <f>IFERROR(VLOOKUP(B583,infoTable[],4,FALSE),"")</f>
        <v/>
      </c>
      <c r="H583" s="4" t="str">
        <f>IFERROR(VLOOKUP(B583,infoTable__6[],4,FALSE),"")</f>
        <v/>
      </c>
      <c r="I583" s="4" t="str">
        <f>IFERROR(VLOOKUP(B583,infoTable__28[],4,FALSE),"")</f>
        <v/>
      </c>
      <c r="J583" s="4" t="str">
        <f>IFERROR(VLOOKUP(B583,infoTable__10[],4,FALSE),"")</f>
        <v/>
      </c>
      <c r="K583" s="4" t="str">
        <f>IFERROR(VLOOKUP(B583,infoTable__11[],4,FALSE),"")</f>
        <v/>
      </c>
      <c r="L583" s="4" t="str">
        <f>IFERROR(VLOOKUP(B583,infoTable__12[],4,FALSE),"")</f>
        <v/>
      </c>
      <c r="M583" s="4" t="str">
        <f>IFERROR(VLOOKUP(B583,infoTable__13[],4,FALSE),"")</f>
        <v/>
      </c>
      <c r="N583" s="4" t="str">
        <f>IFERROR(VLOOKUP(B583,infoTable__14[],4,FALSE),"")</f>
        <v/>
      </c>
      <c r="O583" s="4" t="str">
        <f>IFERROR(VLOOKUP(B583,infoTable__15[],4,FALSE),"")</f>
        <v/>
      </c>
      <c r="P583" s="4" t="str">
        <f>IFERROR(VLOOKUP(B583,infoTable__16[],4,FALSE),"")</f>
        <v/>
      </c>
    </row>
    <row r="584" spans="1:16" x14ac:dyDescent="0.55000000000000004">
      <c r="A584" t="s">
        <v>1756</v>
      </c>
      <c r="B584" t="s">
        <v>1757</v>
      </c>
      <c r="C584" s="4" t="str">
        <f>IFERROR(VLOOKUP(B584,infoTable10[],4,FALSE),"")</f>
        <v/>
      </c>
      <c r="D584" s="4" t="str">
        <f>IFERROR(VLOOKUP(B584,infoTable__2[],4,FALSE),"")</f>
        <v/>
      </c>
      <c r="E584" s="4" t="str">
        <f>IFERROR(VLOOKUP(B584,infoTable__3[],4,FALSE),"")</f>
        <v/>
      </c>
      <c r="F584" s="4" t="str">
        <f>IFERROR(VLOOKUP(B584,infoTable__4[],4,FALSE),"")</f>
        <v/>
      </c>
      <c r="G584" s="4" t="str">
        <f>IFERROR(VLOOKUP(B584,infoTable[],4,FALSE),"")</f>
        <v/>
      </c>
      <c r="H584" s="4" t="str">
        <f>IFERROR(VLOOKUP(B584,infoTable__6[],4,FALSE),"")</f>
        <v/>
      </c>
      <c r="I584" s="4" t="str">
        <f>IFERROR(VLOOKUP(B584,infoTable__28[],4,FALSE),"")</f>
        <v/>
      </c>
      <c r="J584" s="4">
        <f>IFERROR(VLOOKUP(B584,infoTable__10[],4,FALSE),"")</f>
        <v>2113236</v>
      </c>
      <c r="K584" s="4">
        <f>IFERROR(VLOOKUP(B584,infoTable__11[],4,FALSE),"")</f>
        <v>381330</v>
      </c>
      <c r="L584" s="4" t="str">
        <f>IFERROR(VLOOKUP(B584,infoTable__12[],4,FALSE),"")</f>
        <v/>
      </c>
      <c r="M584" s="4">
        <f>IFERROR(VLOOKUP(B584,infoTable__13[],4,FALSE),"")</f>
        <v>798217</v>
      </c>
      <c r="N584" s="4" t="str">
        <f>IFERROR(VLOOKUP(B584,infoTable__14[],4,FALSE),"")</f>
        <v/>
      </c>
      <c r="O584" s="4" t="str">
        <f>IFERROR(VLOOKUP(B584,infoTable__15[],4,FALSE),"")</f>
        <v/>
      </c>
      <c r="P584" s="4" t="str">
        <f>IFERROR(VLOOKUP(B584,infoTable__16[],4,FALSE),"")</f>
        <v/>
      </c>
    </row>
    <row r="585" spans="1:16" x14ac:dyDescent="0.55000000000000004">
      <c r="A585" t="s">
        <v>1392</v>
      </c>
      <c r="B585" t="s">
        <v>1393</v>
      </c>
      <c r="C585" s="4" t="str">
        <f>IFERROR(VLOOKUP(B585,infoTable10[],4,FALSE),"")</f>
        <v/>
      </c>
      <c r="D585" s="4" t="str">
        <f>IFERROR(VLOOKUP(B585,infoTable__2[],4,FALSE),"")</f>
        <v/>
      </c>
      <c r="E585" s="4" t="str">
        <f>IFERROR(VLOOKUP(B585,infoTable__3[],4,FALSE),"")</f>
        <v/>
      </c>
      <c r="F585" s="4" t="str">
        <f>IFERROR(VLOOKUP(B585,infoTable__4[],4,FALSE),"")</f>
        <v/>
      </c>
      <c r="G585" s="4" t="str">
        <f>IFERROR(VLOOKUP(B585,infoTable[],4,FALSE),"")</f>
        <v/>
      </c>
      <c r="H585" s="4" t="str">
        <f>IFERROR(VLOOKUP(B585,infoTable__6[],4,FALSE),"")</f>
        <v/>
      </c>
      <c r="I585" s="4">
        <f>IFERROR(VLOOKUP(B585,infoTable__28[],4,FALSE),"")</f>
        <v>382709</v>
      </c>
      <c r="J585" s="4">
        <f>IFERROR(VLOOKUP(B585,infoTable__10[],4,FALSE),"")</f>
        <v>2938109</v>
      </c>
      <c r="K585" s="4">
        <f>IFERROR(VLOOKUP(B585,infoTable__11[],4,FALSE),"")</f>
        <v>786298</v>
      </c>
      <c r="L585" s="4">
        <f>IFERROR(VLOOKUP(B585,infoTable__12[],4,FALSE),"")</f>
        <v>346320</v>
      </c>
      <c r="M585" s="4">
        <f>IFERROR(VLOOKUP(B585,infoTable__13[],4,FALSE),"")</f>
        <v>779095</v>
      </c>
      <c r="N585" s="4">
        <f>IFERROR(VLOOKUP(B585,infoTable__14[],4,FALSE),"")</f>
        <v>777324</v>
      </c>
      <c r="O585" s="4">
        <f>IFERROR(VLOOKUP(B585,infoTable__15[],4,FALSE),"")</f>
        <v>591965</v>
      </c>
      <c r="P585" s="4" t="str">
        <f>IFERROR(VLOOKUP(B585,infoTable__16[],4,FALSE),"")</f>
        <v/>
      </c>
    </row>
    <row r="586" spans="1:16" x14ac:dyDescent="0.55000000000000004">
      <c r="A586" t="s">
        <v>385</v>
      </c>
      <c r="B586" t="s">
        <v>386</v>
      </c>
      <c r="C586" s="4" t="str">
        <f>IFERROR(VLOOKUP(B586,infoTable10[],4,FALSE),"")</f>
        <v/>
      </c>
      <c r="D586" s="4" t="str">
        <f>IFERROR(VLOOKUP(B586,infoTable__2[],4,FALSE),"")</f>
        <v/>
      </c>
      <c r="E586" s="4">
        <f>IFERROR(VLOOKUP(B586,infoTable__3[],4,FALSE),"")</f>
        <v>9478681</v>
      </c>
      <c r="F586" s="4" t="str">
        <f>IFERROR(VLOOKUP(B586,infoTable__4[],4,FALSE),"")</f>
        <v/>
      </c>
      <c r="G586" s="4">
        <f>IFERROR(VLOOKUP(B586,infoTable[],4,FALSE),"")</f>
        <v>1070214</v>
      </c>
      <c r="H586" s="4">
        <f>IFERROR(VLOOKUP(B586,infoTable__6[],4,FALSE),"")</f>
        <v>557275</v>
      </c>
      <c r="I586" s="4" t="str">
        <f>IFERROR(VLOOKUP(B586,infoTable__28[],4,FALSE),"")</f>
        <v/>
      </c>
      <c r="J586" s="4">
        <f>IFERROR(VLOOKUP(B586,infoTable__10[],4,FALSE),"")</f>
        <v>1646782</v>
      </c>
      <c r="K586" s="4">
        <f>IFERROR(VLOOKUP(B586,infoTable__11[],4,FALSE),"")</f>
        <v>2541906</v>
      </c>
      <c r="L586" s="4">
        <f>IFERROR(VLOOKUP(B586,infoTable__12[],4,FALSE),"")</f>
        <v>3902166</v>
      </c>
      <c r="M586" s="4">
        <f>IFERROR(VLOOKUP(B586,infoTable__13[],4,FALSE),"")</f>
        <v>7367998</v>
      </c>
      <c r="N586" s="4">
        <f>IFERROR(VLOOKUP(B586,infoTable__14[],4,FALSE),"")</f>
        <v>4085370</v>
      </c>
      <c r="O586" s="4">
        <f>IFERROR(VLOOKUP(B586,infoTable__15[],4,FALSE),"")</f>
        <v>1713379</v>
      </c>
      <c r="P586" s="4">
        <f>IFERROR(VLOOKUP(B586,infoTable__16[],4,FALSE),"")</f>
        <v>875209</v>
      </c>
    </row>
    <row r="587" spans="1:16" x14ac:dyDescent="0.55000000000000004">
      <c r="A587" t="s">
        <v>2744</v>
      </c>
      <c r="B587" t="s">
        <v>2743</v>
      </c>
      <c r="C587" s="4" t="str">
        <f>IFERROR(VLOOKUP(B587,infoTable10[],4,FALSE),"")</f>
        <v/>
      </c>
      <c r="D587" s="4" t="str">
        <f>IFERROR(VLOOKUP(B587,infoTable__2[],4,FALSE),"")</f>
        <v/>
      </c>
      <c r="E587" s="4" t="str">
        <f>IFERROR(VLOOKUP(B587,infoTable__3[],4,FALSE),"")</f>
        <v/>
      </c>
      <c r="F587" s="4" t="str">
        <f>IFERROR(VLOOKUP(B587,infoTable__4[],4,FALSE),"")</f>
        <v/>
      </c>
      <c r="G587" s="4" t="str">
        <f>IFERROR(VLOOKUP(B587,infoTable[],4,FALSE),"")</f>
        <v/>
      </c>
      <c r="H587" s="4" t="str">
        <f>IFERROR(VLOOKUP(B587,infoTable__6[],4,FALSE),"")</f>
        <v/>
      </c>
      <c r="I587" s="4" t="str">
        <f>IFERROR(VLOOKUP(B587,infoTable__28[],4,FALSE),"")</f>
        <v/>
      </c>
      <c r="J587" s="4" t="str">
        <f>IFERROR(VLOOKUP(B587,infoTable__10[],4,FALSE),"")</f>
        <v/>
      </c>
      <c r="K587" s="4" t="str">
        <f>IFERROR(VLOOKUP(B587,infoTable__11[],4,FALSE),"")</f>
        <v/>
      </c>
      <c r="L587" s="4" t="str">
        <f>IFERROR(VLOOKUP(B587,infoTable__12[],4,FALSE),"")</f>
        <v/>
      </c>
      <c r="M587" s="4" t="str">
        <f>IFERROR(VLOOKUP(B587,infoTable__13[],4,FALSE),"")</f>
        <v/>
      </c>
      <c r="N587" s="4">
        <f>IFERROR(VLOOKUP(B587,infoTable__14[],4,FALSE),"")</f>
        <v>422087</v>
      </c>
      <c r="O587" s="4" t="str">
        <f>IFERROR(VLOOKUP(B587,infoTable__15[],4,FALSE),"")</f>
        <v/>
      </c>
      <c r="P587" s="4" t="str">
        <f>IFERROR(VLOOKUP(B587,infoTable__16[],4,FALSE),"")</f>
        <v/>
      </c>
    </row>
    <row r="588" spans="1:16" x14ac:dyDescent="0.55000000000000004">
      <c r="A588" t="s">
        <v>1994</v>
      </c>
      <c r="B588" t="s">
        <v>1995</v>
      </c>
      <c r="C588" s="4" t="str">
        <f>IFERROR(VLOOKUP(B588,infoTable10[],4,FALSE),"")</f>
        <v/>
      </c>
      <c r="D588" s="4" t="str">
        <f>IFERROR(VLOOKUP(B588,infoTable__2[],4,FALSE),"")</f>
        <v/>
      </c>
      <c r="E588" s="4" t="str">
        <f>IFERROR(VLOOKUP(B588,infoTable__3[],4,FALSE),"")</f>
        <v/>
      </c>
      <c r="F588" s="4" t="str">
        <f>IFERROR(VLOOKUP(B588,infoTable__4[],4,FALSE),"")</f>
        <v/>
      </c>
      <c r="G588" s="4" t="str">
        <f>IFERROR(VLOOKUP(B588,infoTable[],4,FALSE),"")</f>
        <v/>
      </c>
      <c r="H588" s="4" t="str">
        <f>IFERROR(VLOOKUP(B588,infoTable__6[],4,FALSE),"")</f>
        <v/>
      </c>
      <c r="I588" s="4" t="str">
        <f>IFERROR(VLOOKUP(B588,infoTable__28[],4,FALSE),"")</f>
        <v/>
      </c>
      <c r="J588" s="4" t="str">
        <f>IFERROR(VLOOKUP(B588,infoTable__10[],4,FALSE),"")</f>
        <v/>
      </c>
      <c r="K588" s="4">
        <f>IFERROR(VLOOKUP(B588,infoTable__11[],4,FALSE),"")</f>
        <v>332944</v>
      </c>
      <c r="L588" s="4">
        <f>IFERROR(VLOOKUP(B588,infoTable__12[],4,FALSE),"")</f>
        <v>280519</v>
      </c>
      <c r="M588" s="4" t="str">
        <f>IFERROR(VLOOKUP(B588,infoTable__13[],4,FALSE),"")</f>
        <v/>
      </c>
      <c r="N588" s="4" t="str">
        <f>IFERROR(VLOOKUP(B588,infoTable__14[],4,FALSE),"")</f>
        <v/>
      </c>
      <c r="O588" s="4" t="str">
        <f>IFERROR(VLOOKUP(B588,infoTable__15[],4,FALSE),"")</f>
        <v/>
      </c>
      <c r="P588" s="4" t="str">
        <f>IFERROR(VLOOKUP(B588,infoTable__16[],4,FALSE),"")</f>
        <v/>
      </c>
    </row>
    <row r="589" spans="1:16" x14ac:dyDescent="0.55000000000000004">
      <c r="A589" t="s">
        <v>1394</v>
      </c>
      <c r="B589" t="s">
        <v>1395</v>
      </c>
      <c r="C589" s="4" t="str">
        <f>IFERROR(VLOOKUP(B589,infoTable10[],4,FALSE),"")</f>
        <v/>
      </c>
      <c r="D589" s="4" t="str">
        <f>IFERROR(VLOOKUP(B589,infoTable__2[],4,FALSE),"")</f>
        <v/>
      </c>
      <c r="E589" s="4" t="str">
        <f>IFERROR(VLOOKUP(B589,infoTable__3[],4,FALSE),"")</f>
        <v/>
      </c>
      <c r="F589" s="4" t="str">
        <f>IFERROR(VLOOKUP(B589,infoTable__4[],4,FALSE),"")</f>
        <v/>
      </c>
      <c r="G589" s="4" t="str">
        <f>IFERROR(VLOOKUP(B589,infoTable[],4,FALSE),"")</f>
        <v/>
      </c>
      <c r="H589" s="4" t="str">
        <f>IFERROR(VLOOKUP(B589,infoTable__6[],4,FALSE),"")</f>
        <v/>
      </c>
      <c r="I589" s="4">
        <f>IFERROR(VLOOKUP(B589,infoTable__28[],4,FALSE),"")</f>
        <v>1643422</v>
      </c>
      <c r="J589" s="4" t="str">
        <f>IFERROR(VLOOKUP(B589,infoTable__10[],4,FALSE),"")</f>
        <v/>
      </c>
      <c r="K589" s="4" t="str">
        <f>IFERROR(VLOOKUP(B589,infoTable__11[],4,FALSE),"")</f>
        <v/>
      </c>
      <c r="L589" s="4" t="str">
        <f>IFERROR(VLOOKUP(B589,infoTable__12[],4,FALSE),"")</f>
        <v/>
      </c>
      <c r="M589" s="4" t="str">
        <f>IFERROR(VLOOKUP(B589,infoTable__13[],4,FALSE),"")</f>
        <v/>
      </c>
      <c r="N589" s="4">
        <f>IFERROR(VLOOKUP(B589,infoTable__14[],4,FALSE),"")</f>
        <v>331704</v>
      </c>
      <c r="O589" s="4" t="str">
        <f>IFERROR(VLOOKUP(B589,infoTable__15[],4,FALSE),"")</f>
        <v/>
      </c>
      <c r="P589" s="4" t="str">
        <f>IFERROR(VLOOKUP(B589,infoTable__16[],4,FALSE),"")</f>
        <v/>
      </c>
    </row>
    <row r="590" spans="1:16" x14ac:dyDescent="0.55000000000000004">
      <c r="A590" t="s">
        <v>678</v>
      </c>
      <c r="B590" t="s">
        <v>679</v>
      </c>
      <c r="C590" s="4" t="str">
        <f>IFERROR(VLOOKUP(B590,infoTable10[],4,FALSE),"")</f>
        <v/>
      </c>
      <c r="D590" s="4">
        <f>IFERROR(VLOOKUP(B590,infoTable__2[],4,FALSE),"")</f>
        <v>1318504</v>
      </c>
      <c r="E590" s="4" t="str">
        <f>IFERROR(VLOOKUP(B590,infoTable__3[],4,FALSE),"")</f>
        <v/>
      </c>
      <c r="F590" s="4" t="str">
        <f>IFERROR(VLOOKUP(B590,infoTable__4[],4,FALSE),"")</f>
        <v/>
      </c>
      <c r="G590" s="4" t="str">
        <f>IFERROR(VLOOKUP(B590,infoTable[],4,FALSE),"")</f>
        <v/>
      </c>
      <c r="H590" s="4" t="str">
        <f>IFERROR(VLOOKUP(B590,infoTable__6[],4,FALSE),"")</f>
        <v/>
      </c>
      <c r="I590" s="4" t="str">
        <f>IFERROR(VLOOKUP(B590,infoTable__28[],4,FALSE),"")</f>
        <v/>
      </c>
      <c r="J590" s="4" t="str">
        <f>IFERROR(VLOOKUP(B590,infoTable__10[],4,FALSE),"")</f>
        <v/>
      </c>
      <c r="K590" s="4" t="str">
        <f>IFERROR(VLOOKUP(B590,infoTable__11[],4,FALSE),"")</f>
        <v/>
      </c>
      <c r="L590" s="4" t="str">
        <f>IFERROR(VLOOKUP(B590,infoTable__12[],4,FALSE),"")</f>
        <v/>
      </c>
      <c r="M590" s="4" t="str">
        <f>IFERROR(VLOOKUP(B590,infoTable__13[],4,FALSE),"")</f>
        <v/>
      </c>
      <c r="N590" s="4">
        <f>IFERROR(VLOOKUP(B590,infoTable__14[],4,FALSE),"")</f>
        <v>2881902</v>
      </c>
      <c r="O590" s="4">
        <f>IFERROR(VLOOKUP(B590,infoTable__15[],4,FALSE),"")</f>
        <v>2335678</v>
      </c>
      <c r="P590" s="4">
        <f>IFERROR(VLOOKUP(B590,infoTable__16[],4,FALSE),"")</f>
        <v>6498448</v>
      </c>
    </row>
    <row r="591" spans="1:16" x14ac:dyDescent="0.55000000000000004">
      <c r="A591" t="s">
        <v>3157</v>
      </c>
      <c r="B591" t="s">
        <v>3158</v>
      </c>
      <c r="C591" s="4" t="str">
        <f>IFERROR(VLOOKUP(B591,infoTable10[],4,FALSE),"")</f>
        <v/>
      </c>
      <c r="D591" s="4" t="str">
        <f>IFERROR(VLOOKUP(B591,infoTable__2[],4,FALSE),"")</f>
        <v/>
      </c>
      <c r="E591" s="4" t="str">
        <f>IFERROR(VLOOKUP(B591,infoTable__3[],4,FALSE),"")</f>
        <v/>
      </c>
      <c r="F591" s="4" t="str">
        <f>IFERROR(VLOOKUP(B591,infoTable__4[],4,FALSE),"")</f>
        <v/>
      </c>
      <c r="G591" s="4" t="str">
        <f>IFERROR(VLOOKUP(B591,infoTable[],4,FALSE),"")</f>
        <v/>
      </c>
      <c r="H591" s="4" t="str">
        <f>IFERROR(VLOOKUP(B591,infoTable__6[],4,FALSE),"")</f>
        <v/>
      </c>
      <c r="I591" s="4" t="str">
        <f>IFERROR(VLOOKUP(B591,infoTable__28[],4,FALSE),"")</f>
        <v/>
      </c>
      <c r="J591" s="4" t="str">
        <f>IFERROR(VLOOKUP(B591,infoTable__10[],4,FALSE),"")</f>
        <v/>
      </c>
      <c r="K591" s="4" t="str">
        <f>IFERROR(VLOOKUP(B591,infoTable__11[],4,FALSE),"")</f>
        <v/>
      </c>
      <c r="L591" s="4" t="str">
        <f>IFERROR(VLOOKUP(B591,infoTable__12[],4,FALSE),"")</f>
        <v/>
      </c>
      <c r="M591" s="4" t="str">
        <f>IFERROR(VLOOKUP(B591,infoTable__13[],4,FALSE),"")</f>
        <v/>
      </c>
      <c r="N591" s="4" t="str">
        <f>IFERROR(VLOOKUP(B591,infoTable__14[],4,FALSE),"")</f>
        <v/>
      </c>
      <c r="O591" s="4">
        <f>IFERROR(VLOOKUP(B591,infoTable__15[],4,FALSE),"")</f>
        <v>4467325</v>
      </c>
      <c r="P591" s="4">
        <f>IFERROR(VLOOKUP(B591,infoTable__16[],4,FALSE),"")</f>
        <v>3943770</v>
      </c>
    </row>
    <row r="592" spans="1:16" x14ac:dyDescent="0.55000000000000004">
      <c r="A592" t="s">
        <v>1396</v>
      </c>
      <c r="B592" t="s">
        <v>1397</v>
      </c>
      <c r="C592" s="4" t="str">
        <f>IFERROR(VLOOKUP(B592,infoTable10[],4,FALSE),"")</f>
        <v/>
      </c>
      <c r="D592" s="4" t="str">
        <f>IFERROR(VLOOKUP(B592,infoTable__2[],4,FALSE),"")</f>
        <v/>
      </c>
      <c r="E592" s="4" t="str">
        <f>IFERROR(VLOOKUP(B592,infoTable__3[],4,FALSE),"")</f>
        <v/>
      </c>
      <c r="F592" s="4" t="str">
        <f>IFERROR(VLOOKUP(B592,infoTable__4[],4,FALSE),"")</f>
        <v/>
      </c>
      <c r="G592" s="4" t="str">
        <f>IFERROR(VLOOKUP(B592,infoTable[],4,FALSE),"")</f>
        <v/>
      </c>
      <c r="H592" s="4" t="str">
        <f>IFERROR(VLOOKUP(B592,infoTable__6[],4,FALSE),"")</f>
        <v/>
      </c>
      <c r="I592" s="4">
        <f>IFERROR(VLOOKUP(B592,infoTable__28[],4,FALSE),"")</f>
        <v>1580791</v>
      </c>
      <c r="J592" s="4">
        <f>IFERROR(VLOOKUP(B592,infoTable__10[],4,FALSE),"")</f>
        <v>859864</v>
      </c>
      <c r="K592" s="4">
        <f>IFERROR(VLOOKUP(B592,infoTable__11[],4,FALSE),"")</f>
        <v>789327</v>
      </c>
      <c r="L592" s="4">
        <f>IFERROR(VLOOKUP(B592,infoTable__12[],4,FALSE),"")</f>
        <v>978232</v>
      </c>
      <c r="M592" s="4">
        <f>IFERROR(VLOOKUP(B592,infoTable__13[],4,FALSE),"")</f>
        <v>862058</v>
      </c>
      <c r="N592" s="4">
        <f>IFERROR(VLOOKUP(B592,infoTable__14[],4,FALSE),"")</f>
        <v>839364</v>
      </c>
      <c r="O592" s="4">
        <f>IFERROR(VLOOKUP(B592,infoTable__15[],4,FALSE),"")</f>
        <v>303896</v>
      </c>
      <c r="P592" s="4">
        <f>IFERROR(VLOOKUP(B592,infoTable__16[],4,FALSE),"")</f>
        <v>2113009</v>
      </c>
    </row>
    <row r="593" spans="1:16" x14ac:dyDescent="0.55000000000000004">
      <c r="A593" t="s">
        <v>3490</v>
      </c>
      <c r="B593" t="s">
        <v>3491</v>
      </c>
      <c r="C593" s="4" t="str">
        <f>IFERROR(VLOOKUP(B593,infoTable10[],4,FALSE),"")</f>
        <v/>
      </c>
      <c r="D593" s="4" t="str">
        <f>IFERROR(VLOOKUP(B593,infoTable__2[],4,FALSE),"")</f>
        <v/>
      </c>
      <c r="E593" s="4" t="str">
        <f>IFERROR(VLOOKUP(B593,infoTable__3[],4,FALSE),"")</f>
        <v/>
      </c>
      <c r="F593" s="4" t="str">
        <f>IFERROR(VLOOKUP(B593,infoTable__4[],4,FALSE),"")</f>
        <v/>
      </c>
      <c r="G593" s="4" t="str">
        <f>IFERROR(VLOOKUP(B593,infoTable[],4,FALSE),"")</f>
        <v/>
      </c>
      <c r="H593" s="4" t="str">
        <f>IFERROR(VLOOKUP(B593,infoTable__6[],4,FALSE),"")</f>
        <v/>
      </c>
      <c r="I593" s="4" t="str">
        <f>IFERROR(VLOOKUP(B593,infoTable__28[],4,FALSE),"")</f>
        <v/>
      </c>
      <c r="J593" s="4" t="str">
        <f>IFERROR(VLOOKUP(B593,infoTable__10[],4,FALSE),"")</f>
        <v/>
      </c>
      <c r="K593" s="4" t="str">
        <f>IFERROR(VLOOKUP(B593,infoTable__11[],4,FALSE),"")</f>
        <v/>
      </c>
      <c r="L593" s="4" t="str">
        <f>IFERROR(VLOOKUP(B593,infoTable__12[],4,FALSE),"")</f>
        <v/>
      </c>
      <c r="M593" s="4" t="str">
        <f>IFERROR(VLOOKUP(B593,infoTable__13[],4,FALSE),"")</f>
        <v/>
      </c>
      <c r="N593" s="4" t="str">
        <f>IFERROR(VLOOKUP(B593,infoTable__14[],4,FALSE),"")</f>
        <v/>
      </c>
      <c r="O593" s="4" t="str">
        <f>IFERROR(VLOOKUP(B593,infoTable__15[],4,FALSE),"")</f>
        <v/>
      </c>
      <c r="P593" s="4">
        <f>IFERROR(VLOOKUP(B593,infoTable__16[],4,FALSE),"")</f>
        <v>1986011</v>
      </c>
    </row>
    <row r="594" spans="1:16" x14ac:dyDescent="0.55000000000000004">
      <c r="A594" t="s">
        <v>3492</v>
      </c>
      <c r="B594" t="s">
        <v>3493</v>
      </c>
      <c r="C594" s="4" t="str">
        <f>IFERROR(VLOOKUP(B594,infoTable10[],4,FALSE),"")</f>
        <v/>
      </c>
      <c r="D594" s="4" t="str">
        <f>IFERROR(VLOOKUP(B594,infoTable__2[],4,FALSE),"")</f>
        <v/>
      </c>
      <c r="E594" s="4" t="str">
        <f>IFERROR(VLOOKUP(B594,infoTable__3[],4,FALSE),"")</f>
        <v/>
      </c>
      <c r="F594" s="4" t="str">
        <f>IFERROR(VLOOKUP(B594,infoTable__4[],4,FALSE),"")</f>
        <v/>
      </c>
      <c r="G594" s="4" t="str">
        <f>IFERROR(VLOOKUP(B594,infoTable[],4,FALSE),"")</f>
        <v/>
      </c>
      <c r="H594" s="4" t="str">
        <f>IFERROR(VLOOKUP(B594,infoTable__6[],4,FALSE),"")</f>
        <v/>
      </c>
      <c r="I594" s="4" t="str">
        <f>IFERROR(VLOOKUP(B594,infoTable__28[],4,FALSE),"")</f>
        <v/>
      </c>
      <c r="J594" s="4" t="str">
        <f>IFERROR(VLOOKUP(B594,infoTable__10[],4,FALSE),"")</f>
        <v/>
      </c>
      <c r="K594" s="4" t="str">
        <f>IFERROR(VLOOKUP(B594,infoTable__11[],4,FALSE),"")</f>
        <v/>
      </c>
      <c r="L594" s="4" t="str">
        <f>IFERROR(VLOOKUP(B594,infoTable__12[],4,FALSE),"")</f>
        <v/>
      </c>
      <c r="M594" s="4" t="str">
        <f>IFERROR(VLOOKUP(B594,infoTable__13[],4,FALSE),"")</f>
        <v/>
      </c>
      <c r="N594" s="4" t="str">
        <f>IFERROR(VLOOKUP(B594,infoTable__14[],4,FALSE),"")</f>
        <v/>
      </c>
      <c r="O594" s="4" t="str">
        <f>IFERROR(VLOOKUP(B594,infoTable__15[],4,FALSE),"")</f>
        <v/>
      </c>
      <c r="P594" s="4">
        <f>IFERROR(VLOOKUP(B594,infoTable__16[],4,FALSE),"")</f>
        <v>312005</v>
      </c>
    </row>
    <row r="595" spans="1:16" x14ac:dyDescent="0.55000000000000004">
      <c r="A595" t="s">
        <v>2746</v>
      </c>
      <c r="B595" t="s">
        <v>2745</v>
      </c>
      <c r="C595" s="4" t="str">
        <f>IFERROR(VLOOKUP(B595,infoTable10[],4,FALSE),"")</f>
        <v/>
      </c>
      <c r="D595" s="4" t="str">
        <f>IFERROR(VLOOKUP(B595,infoTable__2[],4,FALSE),"")</f>
        <v/>
      </c>
      <c r="E595" s="4" t="str">
        <f>IFERROR(VLOOKUP(B595,infoTable__3[],4,FALSE),"")</f>
        <v/>
      </c>
      <c r="F595" s="4" t="str">
        <f>IFERROR(VLOOKUP(B595,infoTable__4[],4,FALSE),"")</f>
        <v/>
      </c>
      <c r="G595" s="4" t="str">
        <f>IFERROR(VLOOKUP(B595,infoTable[],4,FALSE),"")</f>
        <v/>
      </c>
      <c r="H595" s="4" t="str">
        <f>IFERROR(VLOOKUP(B595,infoTable__6[],4,FALSE),"")</f>
        <v/>
      </c>
      <c r="I595" s="4" t="str">
        <f>IFERROR(VLOOKUP(B595,infoTable__28[],4,FALSE),"")</f>
        <v/>
      </c>
      <c r="J595" s="4" t="str">
        <f>IFERROR(VLOOKUP(B595,infoTable__10[],4,FALSE),"")</f>
        <v/>
      </c>
      <c r="K595" s="4" t="str">
        <f>IFERROR(VLOOKUP(B595,infoTable__11[],4,FALSE),"")</f>
        <v/>
      </c>
      <c r="L595" s="4" t="str">
        <f>IFERROR(VLOOKUP(B595,infoTable__12[],4,FALSE),"")</f>
        <v/>
      </c>
      <c r="M595" s="4" t="str">
        <f>IFERROR(VLOOKUP(B595,infoTable__13[],4,FALSE),"")</f>
        <v/>
      </c>
      <c r="N595" s="4">
        <f>IFERROR(VLOOKUP(B595,infoTable__14[],4,FALSE),"")</f>
        <v>1660216</v>
      </c>
      <c r="O595" s="4">
        <f>IFERROR(VLOOKUP(B595,infoTable__15[],4,FALSE),"")</f>
        <v>1595526</v>
      </c>
      <c r="P595" s="4">
        <f>IFERROR(VLOOKUP(B595,infoTable__16[],4,FALSE),"")</f>
        <v>427361</v>
      </c>
    </row>
    <row r="596" spans="1:16" x14ac:dyDescent="0.55000000000000004">
      <c r="A596" t="s">
        <v>1398</v>
      </c>
      <c r="B596" t="s">
        <v>1399</v>
      </c>
      <c r="C596" s="4" t="str">
        <f>IFERROR(VLOOKUP(B596,infoTable10[],4,FALSE),"")</f>
        <v/>
      </c>
      <c r="D596" s="4" t="str">
        <f>IFERROR(VLOOKUP(B596,infoTable__2[],4,FALSE),"")</f>
        <v/>
      </c>
      <c r="E596" s="4" t="str">
        <f>IFERROR(VLOOKUP(B596,infoTable__3[],4,FALSE),"")</f>
        <v/>
      </c>
      <c r="F596" s="4" t="str">
        <f>IFERROR(VLOOKUP(B596,infoTable__4[],4,FALSE),"")</f>
        <v/>
      </c>
      <c r="G596" s="4" t="str">
        <f>IFERROR(VLOOKUP(B596,infoTable[],4,FALSE),"")</f>
        <v/>
      </c>
      <c r="H596" s="4" t="str">
        <f>IFERROR(VLOOKUP(B596,infoTable__6[],4,FALSE),"")</f>
        <v/>
      </c>
      <c r="I596" s="4">
        <f>IFERROR(VLOOKUP(B596,infoTable__28[],4,FALSE),"")</f>
        <v>1044991</v>
      </c>
      <c r="J596" s="4">
        <f>IFERROR(VLOOKUP(B596,infoTable__10[],4,FALSE),"")</f>
        <v>554398</v>
      </c>
      <c r="K596" s="4">
        <f>IFERROR(VLOOKUP(B596,infoTable__11[],4,FALSE),"")</f>
        <v>345944</v>
      </c>
      <c r="L596" s="4">
        <f>IFERROR(VLOOKUP(B596,infoTable__12[],4,FALSE),"")</f>
        <v>353841</v>
      </c>
      <c r="M596" s="4" t="str">
        <f>IFERROR(VLOOKUP(B596,infoTable__13[],4,FALSE),"")</f>
        <v/>
      </c>
      <c r="N596" s="4" t="str">
        <f>IFERROR(VLOOKUP(B596,infoTable__14[],4,FALSE),"")</f>
        <v/>
      </c>
      <c r="O596" s="4" t="str">
        <f>IFERROR(VLOOKUP(B596,infoTable__15[],4,FALSE),"")</f>
        <v/>
      </c>
      <c r="P596" s="4" t="str">
        <f>IFERROR(VLOOKUP(B596,infoTable__16[],4,FALSE),"")</f>
        <v/>
      </c>
    </row>
    <row r="597" spans="1:16" x14ac:dyDescent="0.55000000000000004">
      <c r="A597" t="s">
        <v>1400</v>
      </c>
      <c r="B597" t="s">
        <v>1401</v>
      </c>
      <c r="C597" s="4" t="str">
        <f>IFERROR(VLOOKUP(B597,infoTable10[],4,FALSE),"")</f>
        <v/>
      </c>
      <c r="D597" s="4" t="str">
        <f>IFERROR(VLOOKUP(B597,infoTable__2[],4,FALSE),"")</f>
        <v/>
      </c>
      <c r="E597" s="4" t="str">
        <f>IFERROR(VLOOKUP(B597,infoTable__3[],4,FALSE),"")</f>
        <v/>
      </c>
      <c r="F597" s="4" t="str">
        <f>IFERROR(VLOOKUP(B597,infoTable__4[],4,FALSE),"")</f>
        <v/>
      </c>
      <c r="G597" s="4" t="str">
        <f>IFERROR(VLOOKUP(B597,infoTable[],4,FALSE),"")</f>
        <v/>
      </c>
      <c r="H597" s="4" t="str">
        <f>IFERROR(VLOOKUP(B597,infoTable__6[],4,FALSE),"")</f>
        <v/>
      </c>
      <c r="I597" s="4">
        <f>IFERROR(VLOOKUP(B597,infoTable__28[],4,FALSE),"")</f>
        <v>944327</v>
      </c>
      <c r="J597" s="4">
        <f>IFERROR(VLOOKUP(B597,infoTable__10[],4,FALSE),"")</f>
        <v>1162556</v>
      </c>
      <c r="K597" s="4" t="str">
        <f>IFERROR(VLOOKUP(B597,infoTable__11[],4,FALSE),"")</f>
        <v/>
      </c>
      <c r="L597" s="4" t="str">
        <f>IFERROR(VLOOKUP(B597,infoTable__12[],4,FALSE),"")</f>
        <v/>
      </c>
      <c r="M597" s="4" t="str">
        <f>IFERROR(VLOOKUP(B597,infoTable__13[],4,FALSE),"")</f>
        <v/>
      </c>
      <c r="N597" s="4">
        <f>IFERROR(VLOOKUP(B597,infoTable__14[],4,FALSE),"")</f>
        <v>299274</v>
      </c>
      <c r="O597" s="4">
        <f>IFERROR(VLOOKUP(B597,infoTable__15[],4,FALSE),"")</f>
        <v>206094</v>
      </c>
      <c r="P597" s="4">
        <f>IFERROR(VLOOKUP(B597,infoTable__16[],4,FALSE),"")</f>
        <v>246558</v>
      </c>
    </row>
    <row r="598" spans="1:16" x14ac:dyDescent="0.55000000000000004">
      <c r="A598" t="s">
        <v>3159</v>
      </c>
      <c r="B598" t="s">
        <v>3160</v>
      </c>
      <c r="C598" s="4" t="str">
        <f>IFERROR(VLOOKUP(B598,infoTable10[],4,FALSE),"")</f>
        <v/>
      </c>
      <c r="D598" s="4" t="str">
        <f>IFERROR(VLOOKUP(B598,infoTable__2[],4,FALSE),"")</f>
        <v/>
      </c>
      <c r="E598" s="4" t="str">
        <f>IFERROR(VLOOKUP(B598,infoTable__3[],4,FALSE),"")</f>
        <v/>
      </c>
      <c r="F598" s="4" t="str">
        <f>IFERROR(VLOOKUP(B598,infoTable__4[],4,FALSE),"")</f>
        <v/>
      </c>
      <c r="G598" s="4" t="str">
        <f>IFERROR(VLOOKUP(B598,infoTable[],4,FALSE),"")</f>
        <v/>
      </c>
      <c r="H598" s="4" t="str">
        <f>IFERROR(VLOOKUP(B598,infoTable__6[],4,FALSE),"")</f>
        <v/>
      </c>
      <c r="I598" s="4" t="str">
        <f>IFERROR(VLOOKUP(B598,infoTable__28[],4,FALSE),"")</f>
        <v/>
      </c>
      <c r="J598" s="4" t="str">
        <f>IFERROR(VLOOKUP(B598,infoTable__10[],4,FALSE),"")</f>
        <v/>
      </c>
      <c r="K598" s="4" t="str">
        <f>IFERROR(VLOOKUP(B598,infoTable__11[],4,FALSE),"")</f>
        <v/>
      </c>
      <c r="L598" s="4" t="str">
        <f>IFERROR(VLOOKUP(B598,infoTable__12[],4,FALSE),"")</f>
        <v/>
      </c>
      <c r="M598" s="4" t="str">
        <f>IFERROR(VLOOKUP(B598,infoTable__13[],4,FALSE),"")</f>
        <v/>
      </c>
      <c r="N598" s="4" t="str">
        <f>IFERROR(VLOOKUP(B598,infoTable__14[],4,FALSE),"")</f>
        <v/>
      </c>
      <c r="O598" s="4">
        <f>IFERROR(VLOOKUP(B598,infoTable__15[],4,FALSE),"")</f>
        <v>3457460</v>
      </c>
      <c r="P598" s="4">
        <f>IFERROR(VLOOKUP(B598,infoTable__16[],4,FALSE),"")</f>
        <v>1461834</v>
      </c>
    </row>
    <row r="599" spans="1:16" x14ac:dyDescent="0.55000000000000004">
      <c r="A599" t="s">
        <v>1102</v>
      </c>
      <c r="B599" t="s">
        <v>1103</v>
      </c>
      <c r="C599" s="4" t="str">
        <f>IFERROR(VLOOKUP(B599,infoTable10[],4,FALSE),"")</f>
        <v/>
      </c>
      <c r="D599" s="4" t="str">
        <f>IFERROR(VLOOKUP(B599,infoTable__2[],4,FALSE),"")</f>
        <v/>
      </c>
      <c r="E599" s="4" t="str">
        <f>IFERROR(VLOOKUP(B599,infoTable__3[],4,FALSE),"")</f>
        <v/>
      </c>
      <c r="F599" s="4" t="str">
        <f>IFERROR(VLOOKUP(B599,infoTable__4[],4,FALSE),"")</f>
        <v/>
      </c>
      <c r="G599" s="4" t="str">
        <f>IFERROR(VLOOKUP(B599,infoTable[],4,FALSE),"")</f>
        <v/>
      </c>
      <c r="H599" s="4">
        <f>IFERROR(VLOOKUP(B599,infoTable__6[],4,FALSE),"")</f>
        <v>308302</v>
      </c>
      <c r="I599" s="4" t="str">
        <f>IFERROR(VLOOKUP(B599,infoTable__28[],4,FALSE),"")</f>
        <v/>
      </c>
      <c r="J599" s="4" t="str">
        <f>IFERROR(VLOOKUP(B599,infoTable__10[],4,FALSE),"")</f>
        <v/>
      </c>
      <c r="K599" s="4" t="str">
        <f>IFERROR(VLOOKUP(B599,infoTable__11[],4,FALSE),"")</f>
        <v/>
      </c>
      <c r="L599" s="4" t="str">
        <f>IFERROR(VLOOKUP(B599,infoTable__12[],4,FALSE),"")</f>
        <v/>
      </c>
      <c r="M599" s="4" t="str">
        <f>IFERROR(VLOOKUP(B599,infoTable__13[],4,FALSE),"")</f>
        <v/>
      </c>
      <c r="N599" s="4" t="str">
        <f>IFERROR(VLOOKUP(B599,infoTable__14[],4,FALSE),"")</f>
        <v/>
      </c>
      <c r="O599" s="4" t="str">
        <f>IFERROR(VLOOKUP(B599,infoTable__15[],4,FALSE),"")</f>
        <v/>
      </c>
      <c r="P599" s="4" t="str">
        <f>IFERROR(VLOOKUP(B599,infoTable__16[],4,FALSE),"")</f>
        <v/>
      </c>
    </row>
    <row r="600" spans="1:16" x14ac:dyDescent="0.55000000000000004">
      <c r="A600" t="s">
        <v>1110</v>
      </c>
      <c r="B600" t="s">
        <v>1111</v>
      </c>
      <c r="C600" s="4" t="str">
        <f>IFERROR(VLOOKUP(B600,infoTable10[],4,FALSE),"")</f>
        <v/>
      </c>
      <c r="D600" s="4" t="str">
        <f>IFERROR(VLOOKUP(B600,infoTable__2[],4,FALSE),"")</f>
        <v/>
      </c>
      <c r="E600" s="4" t="str">
        <f>IFERROR(VLOOKUP(B600,infoTable__3[],4,FALSE),"")</f>
        <v/>
      </c>
      <c r="F600" s="4" t="str">
        <f>IFERROR(VLOOKUP(B600,infoTable__4[],4,FALSE),"")</f>
        <v/>
      </c>
      <c r="G600" s="4" t="str">
        <f>IFERROR(VLOOKUP(B600,infoTable[],4,FALSE),"")</f>
        <v/>
      </c>
      <c r="H600" s="4">
        <f>IFERROR(VLOOKUP(B600,infoTable__6[],4,FALSE),"")</f>
        <v>1248956</v>
      </c>
      <c r="I600" s="4">
        <f>IFERROR(VLOOKUP(B600,infoTable__28[],4,FALSE),"")</f>
        <v>643225</v>
      </c>
      <c r="J600" s="4">
        <f>IFERROR(VLOOKUP(B600,infoTable__10[],4,FALSE),"")</f>
        <v>405194</v>
      </c>
      <c r="K600" s="4" t="str">
        <f>IFERROR(VLOOKUP(B600,infoTable__11[],4,FALSE),"")</f>
        <v/>
      </c>
      <c r="L600" s="4" t="str">
        <f>IFERROR(VLOOKUP(B600,infoTable__12[],4,FALSE),"")</f>
        <v/>
      </c>
      <c r="M600" s="4">
        <f>IFERROR(VLOOKUP(B600,infoTable__13[],4,FALSE),"")</f>
        <v>151924</v>
      </c>
      <c r="N600" s="4">
        <f>IFERROR(VLOOKUP(B600,infoTable__14[],4,FALSE),"")</f>
        <v>207155</v>
      </c>
      <c r="O600" s="4">
        <f>IFERROR(VLOOKUP(B600,infoTable__15[],4,FALSE),"")</f>
        <v>741247</v>
      </c>
      <c r="P600" s="4" t="str">
        <f>IFERROR(VLOOKUP(B600,infoTable__16[],4,FALSE),"")</f>
        <v/>
      </c>
    </row>
    <row r="601" spans="1:16" x14ac:dyDescent="0.55000000000000004">
      <c r="A601" t="s">
        <v>682</v>
      </c>
      <c r="B601" t="s">
        <v>683</v>
      </c>
      <c r="C601" s="4" t="str">
        <f>IFERROR(VLOOKUP(B601,infoTable10[],4,FALSE),"")</f>
        <v/>
      </c>
      <c r="D601" s="4">
        <f>IFERROR(VLOOKUP(B601,infoTable__2[],4,FALSE),"")</f>
        <v>570157</v>
      </c>
      <c r="E601" s="4" t="str">
        <f>IFERROR(VLOOKUP(B601,infoTable__3[],4,FALSE),"")</f>
        <v/>
      </c>
      <c r="F601" s="4" t="str">
        <f>IFERROR(VLOOKUP(B601,infoTable__4[],4,FALSE),"")</f>
        <v/>
      </c>
      <c r="G601" s="4" t="str">
        <f>IFERROR(VLOOKUP(B601,infoTable[],4,FALSE),"")</f>
        <v/>
      </c>
      <c r="H601" s="4" t="str">
        <f>IFERROR(VLOOKUP(B601,infoTable__6[],4,FALSE),"")</f>
        <v/>
      </c>
      <c r="I601" s="4">
        <f>IFERROR(VLOOKUP(B601,infoTable__28[],4,FALSE),"")</f>
        <v>288106</v>
      </c>
      <c r="J601" s="4" t="str">
        <f>IFERROR(VLOOKUP(B601,infoTable__10[],4,FALSE),"")</f>
        <v/>
      </c>
      <c r="K601" s="4" t="str">
        <f>IFERROR(VLOOKUP(B601,infoTable__11[],4,FALSE),"")</f>
        <v/>
      </c>
      <c r="L601" s="4" t="str">
        <f>IFERROR(VLOOKUP(B601,infoTable__12[],4,FALSE),"")</f>
        <v/>
      </c>
      <c r="M601" s="4" t="str">
        <f>IFERROR(VLOOKUP(B601,infoTable__13[],4,FALSE),"")</f>
        <v/>
      </c>
      <c r="N601" s="4" t="str">
        <f>IFERROR(VLOOKUP(B601,infoTable__14[],4,FALSE),"")</f>
        <v/>
      </c>
      <c r="O601" s="4" t="str">
        <f>IFERROR(VLOOKUP(B601,infoTable__15[],4,FALSE),"")</f>
        <v/>
      </c>
      <c r="P601" s="4" t="str">
        <f>IFERROR(VLOOKUP(B601,infoTable__16[],4,FALSE),"")</f>
        <v/>
      </c>
    </row>
    <row r="602" spans="1:16" x14ac:dyDescent="0.55000000000000004">
      <c r="A602" t="s">
        <v>2582</v>
      </c>
      <c r="B602" t="s">
        <v>2583</v>
      </c>
      <c r="C602" s="4" t="str">
        <f>IFERROR(VLOOKUP(B602,infoTable10[],4,FALSE),"")</f>
        <v/>
      </c>
      <c r="D602" s="4" t="str">
        <f>IFERROR(VLOOKUP(B602,infoTable__2[],4,FALSE),"")</f>
        <v/>
      </c>
      <c r="E602" s="4" t="str">
        <f>IFERROR(VLOOKUP(B602,infoTable__3[],4,FALSE),"")</f>
        <v/>
      </c>
      <c r="F602" s="4" t="str">
        <f>IFERROR(VLOOKUP(B602,infoTable__4[],4,FALSE),"")</f>
        <v/>
      </c>
      <c r="G602" s="4" t="str">
        <f>IFERROR(VLOOKUP(B602,infoTable[],4,FALSE),"")</f>
        <v/>
      </c>
      <c r="H602" s="4" t="str">
        <f>IFERROR(VLOOKUP(B602,infoTable__6[],4,FALSE),"")</f>
        <v/>
      </c>
      <c r="I602" s="4" t="str">
        <f>IFERROR(VLOOKUP(B602,infoTable__28[],4,FALSE),"")</f>
        <v/>
      </c>
      <c r="J602" s="4" t="str">
        <f>IFERROR(VLOOKUP(B602,infoTable__10[],4,FALSE),"")</f>
        <v/>
      </c>
      <c r="K602" s="4" t="str">
        <f>IFERROR(VLOOKUP(B602,infoTable__11[],4,FALSE),"")</f>
        <v/>
      </c>
      <c r="L602" s="4" t="str">
        <f>IFERROR(VLOOKUP(B602,infoTable__12[],4,FALSE),"")</f>
        <v/>
      </c>
      <c r="M602" s="4">
        <f>IFERROR(VLOOKUP(B602,infoTable__13[],4,FALSE),"")</f>
        <v>1790577</v>
      </c>
      <c r="N602" s="4">
        <f>IFERROR(VLOOKUP(B602,infoTable__14[],4,FALSE),"")</f>
        <v>1546641</v>
      </c>
      <c r="O602" s="4">
        <f>IFERROR(VLOOKUP(B602,infoTable__15[],4,FALSE),"")</f>
        <v>1425555</v>
      </c>
      <c r="P602" s="4">
        <f>IFERROR(VLOOKUP(B602,infoTable__16[],4,FALSE),"")</f>
        <v>1127200</v>
      </c>
    </row>
    <row r="603" spans="1:16" x14ac:dyDescent="0.55000000000000004">
      <c r="A603" t="s">
        <v>395</v>
      </c>
      <c r="B603" t="s">
        <v>396</v>
      </c>
      <c r="C603" s="4" t="str">
        <f>IFERROR(VLOOKUP(B603,infoTable10[],4,FALSE),"")</f>
        <v/>
      </c>
      <c r="D603" s="4" t="str">
        <f>IFERROR(VLOOKUP(B603,infoTable__2[],4,FALSE),"")</f>
        <v/>
      </c>
      <c r="E603" s="4" t="str">
        <f>IFERROR(VLOOKUP(B603,infoTable__3[],4,FALSE),"")</f>
        <v/>
      </c>
      <c r="F603" s="4" t="str">
        <f>IFERROR(VLOOKUP(B603,infoTable__4[],4,FALSE),"")</f>
        <v/>
      </c>
      <c r="G603" s="4">
        <f>IFERROR(VLOOKUP(B603,infoTable[],4,FALSE),"")</f>
        <v>499625</v>
      </c>
      <c r="H603" s="4">
        <f>IFERROR(VLOOKUP(B603,infoTable__6[],4,FALSE),"")</f>
        <v>265757</v>
      </c>
      <c r="I603" s="4" t="str">
        <f>IFERROR(VLOOKUP(B603,infoTable__28[],4,FALSE),"")</f>
        <v/>
      </c>
      <c r="J603" s="4" t="str">
        <f>IFERROR(VLOOKUP(B603,infoTable__10[],4,FALSE),"")</f>
        <v/>
      </c>
      <c r="K603" s="4" t="str">
        <f>IFERROR(VLOOKUP(B603,infoTable__11[],4,FALSE),"")</f>
        <v/>
      </c>
      <c r="L603" s="4" t="str">
        <f>IFERROR(VLOOKUP(B603,infoTable__12[],4,FALSE),"")</f>
        <v/>
      </c>
      <c r="M603" s="4" t="str">
        <f>IFERROR(VLOOKUP(B603,infoTable__13[],4,FALSE),"")</f>
        <v/>
      </c>
      <c r="N603" s="4" t="str">
        <f>IFERROR(VLOOKUP(B603,infoTable__14[],4,FALSE),"")</f>
        <v/>
      </c>
      <c r="O603" s="4" t="str">
        <f>IFERROR(VLOOKUP(B603,infoTable__15[],4,FALSE),"")</f>
        <v/>
      </c>
      <c r="P603" s="4">
        <f>IFERROR(VLOOKUP(B603,infoTable__16[],4,FALSE),"")</f>
        <v>2616783</v>
      </c>
    </row>
    <row r="604" spans="1:16" x14ac:dyDescent="0.55000000000000004">
      <c r="A604" t="s">
        <v>2584</v>
      </c>
      <c r="B604" t="s">
        <v>2585</v>
      </c>
      <c r="C604" s="4" t="str">
        <f>IFERROR(VLOOKUP(B604,infoTable10[],4,FALSE),"")</f>
        <v/>
      </c>
      <c r="D604" s="4" t="str">
        <f>IFERROR(VLOOKUP(B604,infoTable__2[],4,FALSE),"")</f>
        <v/>
      </c>
      <c r="E604" s="4" t="str">
        <f>IFERROR(VLOOKUP(B604,infoTable__3[],4,FALSE),"")</f>
        <v/>
      </c>
      <c r="F604" s="4" t="str">
        <f>IFERROR(VLOOKUP(B604,infoTable__4[],4,FALSE),"")</f>
        <v/>
      </c>
      <c r="G604" s="4" t="str">
        <f>IFERROR(VLOOKUP(B604,infoTable[],4,FALSE),"")</f>
        <v/>
      </c>
      <c r="H604" s="4" t="str">
        <f>IFERROR(VLOOKUP(B604,infoTable__6[],4,FALSE),"")</f>
        <v/>
      </c>
      <c r="I604" s="4" t="str">
        <f>IFERROR(VLOOKUP(B604,infoTable__28[],4,FALSE),"")</f>
        <v/>
      </c>
      <c r="J604" s="4" t="str">
        <f>IFERROR(VLOOKUP(B604,infoTable__10[],4,FALSE),"")</f>
        <v/>
      </c>
      <c r="K604" s="4" t="str">
        <f>IFERROR(VLOOKUP(B604,infoTable__11[],4,FALSE),"")</f>
        <v/>
      </c>
      <c r="L604" s="4" t="str">
        <f>IFERROR(VLOOKUP(B604,infoTable__12[],4,FALSE),"")</f>
        <v/>
      </c>
      <c r="M604" s="4">
        <f>IFERROR(VLOOKUP(B604,infoTable__13[],4,FALSE),"")</f>
        <v>216200</v>
      </c>
      <c r="N604" s="4">
        <f>IFERROR(VLOOKUP(B604,infoTable__14[],4,FALSE),"")</f>
        <v>227472</v>
      </c>
      <c r="O604" s="4">
        <f>IFERROR(VLOOKUP(B604,infoTable__15[],4,FALSE),"")</f>
        <v>531528</v>
      </c>
      <c r="P604" s="4">
        <f>IFERROR(VLOOKUP(B604,infoTable__16[],4,FALSE),"")</f>
        <v>404491</v>
      </c>
    </row>
    <row r="605" spans="1:16" x14ac:dyDescent="0.55000000000000004">
      <c r="A605" t="s">
        <v>250</v>
      </c>
      <c r="B605" t="s">
        <v>251</v>
      </c>
      <c r="C605" s="4" t="str">
        <f>IFERROR(VLOOKUP(B605,infoTable10[],4,FALSE),"")</f>
        <v/>
      </c>
      <c r="D605" s="4" t="str">
        <f>IFERROR(VLOOKUP(B605,infoTable__2[],4,FALSE),"")</f>
        <v/>
      </c>
      <c r="E605" s="4" t="str">
        <f>IFERROR(VLOOKUP(B605,infoTable__3[],4,FALSE),"")</f>
        <v/>
      </c>
      <c r="F605" s="4" t="str">
        <f>IFERROR(VLOOKUP(B605,infoTable__4[],4,FALSE),"")</f>
        <v/>
      </c>
      <c r="G605" s="4">
        <f>IFERROR(VLOOKUP(B605,infoTable[],4,FALSE),"")</f>
        <v>540342</v>
      </c>
      <c r="H605" s="4" t="str">
        <f>IFERROR(VLOOKUP(B605,infoTable__6[],4,FALSE),"")</f>
        <v/>
      </c>
      <c r="I605" s="4" t="str">
        <f>IFERROR(VLOOKUP(B605,infoTable__28[],4,FALSE),"")</f>
        <v/>
      </c>
      <c r="J605" s="4" t="str">
        <f>IFERROR(VLOOKUP(B605,infoTable__10[],4,FALSE),"")</f>
        <v/>
      </c>
      <c r="K605" s="4" t="str">
        <f>IFERROR(VLOOKUP(B605,infoTable__11[],4,FALSE),"")</f>
        <v/>
      </c>
      <c r="L605" s="4" t="str">
        <f>IFERROR(VLOOKUP(B605,infoTable__12[],4,FALSE),"")</f>
        <v/>
      </c>
      <c r="M605" s="4" t="str">
        <f>IFERROR(VLOOKUP(B605,infoTable__13[],4,FALSE),"")</f>
        <v/>
      </c>
      <c r="N605" s="4" t="str">
        <f>IFERROR(VLOOKUP(B605,infoTable__14[],4,FALSE),"")</f>
        <v/>
      </c>
      <c r="O605" s="4" t="str">
        <f>IFERROR(VLOOKUP(B605,infoTable__15[],4,FALSE),"")</f>
        <v/>
      </c>
      <c r="P605" s="4" t="str">
        <f>IFERROR(VLOOKUP(B605,infoTable__16[],4,FALSE),"")</f>
        <v/>
      </c>
    </row>
    <row r="606" spans="1:16" x14ac:dyDescent="0.55000000000000004">
      <c r="A606" t="s">
        <v>1764</v>
      </c>
      <c r="B606" t="s">
        <v>1765</v>
      </c>
      <c r="C606" s="4" t="str">
        <f>IFERROR(VLOOKUP(B606,infoTable10[],4,FALSE),"")</f>
        <v/>
      </c>
      <c r="D606" s="4" t="str">
        <f>IFERROR(VLOOKUP(B606,infoTable__2[],4,FALSE),"")</f>
        <v/>
      </c>
      <c r="E606" s="4" t="str">
        <f>IFERROR(VLOOKUP(B606,infoTable__3[],4,FALSE),"")</f>
        <v/>
      </c>
      <c r="F606" s="4" t="str">
        <f>IFERROR(VLOOKUP(B606,infoTable__4[],4,FALSE),"")</f>
        <v/>
      </c>
      <c r="G606" s="4" t="str">
        <f>IFERROR(VLOOKUP(B606,infoTable[],4,FALSE),"")</f>
        <v/>
      </c>
      <c r="H606" s="4" t="str">
        <f>IFERROR(VLOOKUP(B606,infoTable__6[],4,FALSE),"")</f>
        <v/>
      </c>
      <c r="I606" s="4" t="str">
        <f>IFERROR(VLOOKUP(B606,infoTable__28[],4,FALSE),"")</f>
        <v/>
      </c>
      <c r="J606" s="4">
        <f>IFERROR(VLOOKUP(B606,infoTable__10[],4,FALSE),"")</f>
        <v>767266</v>
      </c>
      <c r="K606" s="4" t="str">
        <f>IFERROR(VLOOKUP(B606,infoTable__11[],4,FALSE),"")</f>
        <v/>
      </c>
      <c r="L606" s="4" t="str">
        <f>IFERROR(VLOOKUP(B606,infoTable__12[],4,FALSE),"")</f>
        <v/>
      </c>
      <c r="M606" s="4" t="str">
        <f>IFERROR(VLOOKUP(B606,infoTable__13[],4,FALSE),"")</f>
        <v/>
      </c>
      <c r="N606" s="4" t="str">
        <f>IFERROR(VLOOKUP(B606,infoTable__14[],4,FALSE),"")</f>
        <v/>
      </c>
      <c r="O606" s="4" t="str">
        <f>IFERROR(VLOOKUP(B606,infoTable__15[],4,FALSE),"")</f>
        <v/>
      </c>
      <c r="P606" s="4">
        <f>IFERROR(VLOOKUP(B606,infoTable__16[],4,FALSE),"")</f>
        <v>626187</v>
      </c>
    </row>
    <row r="607" spans="1:16" x14ac:dyDescent="0.55000000000000004">
      <c r="A607" t="s">
        <v>1390</v>
      </c>
      <c r="B607" t="s">
        <v>1391</v>
      </c>
      <c r="C607" s="4" t="str">
        <f>IFERROR(VLOOKUP(B607,infoTable10[],4,FALSE),"")</f>
        <v/>
      </c>
      <c r="D607" s="4" t="str">
        <f>IFERROR(VLOOKUP(B607,infoTable__2[],4,FALSE),"")</f>
        <v/>
      </c>
      <c r="E607" s="4" t="str">
        <f>IFERROR(VLOOKUP(B607,infoTable__3[],4,FALSE),"")</f>
        <v/>
      </c>
      <c r="F607" s="4" t="str">
        <f>IFERROR(VLOOKUP(B607,infoTable__4[],4,FALSE),"")</f>
        <v/>
      </c>
      <c r="G607" s="4" t="str">
        <f>IFERROR(VLOOKUP(B607,infoTable[],4,FALSE),"")</f>
        <v/>
      </c>
      <c r="H607" s="4" t="str">
        <f>IFERROR(VLOOKUP(B607,infoTable__6[],4,FALSE),"")</f>
        <v/>
      </c>
      <c r="I607" s="4">
        <f>IFERROR(VLOOKUP(B607,infoTable__28[],4,FALSE),"")</f>
        <v>839087</v>
      </c>
      <c r="J607" s="4">
        <f>IFERROR(VLOOKUP(B607,infoTable__10[],4,FALSE),"")</f>
        <v>1077526</v>
      </c>
      <c r="K607" s="4">
        <f>IFERROR(VLOOKUP(B607,infoTable__11[],4,FALSE),"")</f>
        <v>787802</v>
      </c>
      <c r="L607" s="4">
        <f>IFERROR(VLOOKUP(B607,infoTable__12[],4,FALSE),"")</f>
        <v>498382</v>
      </c>
      <c r="M607" s="4" t="str">
        <f>IFERROR(VLOOKUP(B607,infoTable__13[],4,FALSE),"")</f>
        <v/>
      </c>
      <c r="N607" s="4" t="str">
        <f>IFERROR(VLOOKUP(B607,infoTable__14[],4,FALSE),"")</f>
        <v/>
      </c>
      <c r="O607" s="4" t="str">
        <f>IFERROR(VLOOKUP(B607,infoTable__15[],4,FALSE),"")</f>
        <v/>
      </c>
      <c r="P607" s="4" t="str">
        <f>IFERROR(VLOOKUP(B607,infoTable__16[],4,FALSE),"")</f>
        <v/>
      </c>
    </row>
    <row r="608" spans="1:16" x14ac:dyDescent="0.55000000000000004">
      <c r="A608" t="s">
        <v>2586</v>
      </c>
      <c r="B608" t="s">
        <v>2587</v>
      </c>
      <c r="C608" s="4" t="str">
        <f>IFERROR(VLOOKUP(B608,infoTable10[],4,FALSE),"")</f>
        <v/>
      </c>
      <c r="D608" s="4" t="str">
        <f>IFERROR(VLOOKUP(B608,infoTable__2[],4,FALSE),"")</f>
        <v/>
      </c>
      <c r="E608" s="4" t="str">
        <f>IFERROR(VLOOKUP(B608,infoTable__3[],4,FALSE),"")</f>
        <v/>
      </c>
      <c r="F608" s="4" t="str">
        <f>IFERROR(VLOOKUP(B608,infoTable__4[],4,FALSE),"")</f>
        <v/>
      </c>
      <c r="G608" s="4" t="str">
        <f>IFERROR(VLOOKUP(B608,infoTable[],4,FALSE),"")</f>
        <v/>
      </c>
      <c r="H608" s="4" t="str">
        <f>IFERROR(VLOOKUP(B608,infoTable__6[],4,FALSE),"")</f>
        <v/>
      </c>
      <c r="I608" s="4" t="str">
        <f>IFERROR(VLOOKUP(B608,infoTable__28[],4,FALSE),"")</f>
        <v/>
      </c>
      <c r="J608" s="4" t="str">
        <f>IFERROR(VLOOKUP(B608,infoTable__10[],4,FALSE),"")</f>
        <v/>
      </c>
      <c r="K608" s="4" t="str">
        <f>IFERROR(VLOOKUP(B608,infoTable__11[],4,FALSE),"")</f>
        <v/>
      </c>
      <c r="L608" s="4" t="str">
        <f>IFERROR(VLOOKUP(B608,infoTable__12[],4,FALSE),"")</f>
        <v/>
      </c>
      <c r="M608" s="4">
        <f>IFERROR(VLOOKUP(B608,infoTable__13[],4,FALSE),"")</f>
        <v>313378</v>
      </c>
      <c r="N608" s="4">
        <f>IFERROR(VLOOKUP(B608,infoTable__14[],4,FALSE),"")</f>
        <v>208855</v>
      </c>
      <c r="O608" s="4">
        <f>IFERROR(VLOOKUP(B608,infoTable__15[],4,FALSE),"")</f>
        <v>372271</v>
      </c>
      <c r="P608" s="4" t="str">
        <f>IFERROR(VLOOKUP(B608,infoTable__16[],4,FALSE),"")</f>
        <v/>
      </c>
    </row>
    <row r="609" spans="1:16" x14ac:dyDescent="0.55000000000000004">
      <c r="A609" t="s">
        <v>784</v>
      </c>
      <c r="B609" t="s">
        <v>785</v>
      </c>
      <c r="C609" s="4" t="str">
        <f>IFERROR(VLOOKUP(B609,infoTable10[],4,FALSE),"")</f>
        <v/>
      </c>
      <c r="D609" s="4" t="str">
        <f>IFERROR(VLOOKUP(B609,infoTable__2[],4,FALSE),"")</f>
        <v/>
      </c>
      <c r="E609" s="4">
        <f>IFERROR(VLOOKUP(B609,infoTable__3[],4,FALSE),"")</f>
        <v>899115</v>
      </c>
      <c r="F609" s="4">
        <f>IFERROR(VLOOKUP(B609,infoTable__4[],4,FALSE),"")</f>
        <v>870879</v>
      </c>
      <c r="G609" s="4" t="str">
        <f>IFERROR(VLOOKUP(B609,infoTable[],4,FALSE),"")</f>
        <v/>
      </c>
      <c r="H609" s="4" t="str">
        <f>IFERROR(VLOOKUP(B609,infoTable__6[],4,FALSE),"")</f>
        <v/>
      </c>
      <c r="I609" s="4" t="str">
        <f>IFERROR(VLOOKUP(B609,infoTable__28[],4,FALSE),"")</f>
        <v/>
      </c>
      <c r="J609" s="4">
        <f>IFERROR(VLOOKUP(B609,infoTable__10[],4,FALSE),"")</f>
        <v>403896</v>
      </c>
      <c r="K609" s="4" t="str">
        <f>IFERROR(VLOOKUP(B609,infoTable__11[],4,FALSE),"")</f>
        <v/>
      </c>
      <c r="L609" s="4" t="str">
        <f>IFERROR(VLOOKUP(B609,infoTable__12[],4,FALSE),"")</f>
        <v/>
      </c>
      <c r="M609" s="4" t="str">
        <f>IFERROR(VLOOKUP(B609,infoTable__13[],4,FALSE),"")</f>
        <v/>
      </c>
      <c r="N609" s="4" t="str">
        <f>IFERROR(VLOOKUP(B609,infoTable__14[],4,FALSE),"")</f>
        <v/>
      </c>
      <c r="O609" s="4" t="str">
        <f>IFERROR(VLOOKUP(B609,infoTable__15[],4,FALSE),"")</f>
        <v/>
      </c>
      <c r="P609" s="4" t="str">
        <f>IFERROR(VLOOKUP(B609,infoTable__16[],4,FALSE),"")</f>
        <v/>
      </c>
    </row>
    <row r="610" spans="1:16" x14ac:dyDescent="0.55000000000000004">
      <c r="A610" t="s">
        <v>2527</v>
      </c>
      <c r="B610" t="s">
        <v>2528</v>
      </c>
      <c r="C610" s="4" t="str">
        <f>IFERROR(VLOOKUP(B610,infoTable10[],4,FALSE),"")</f>
        <v/>
      </c>
      <c r="D610" s="4" t="str">
        <f>IFERROR(VLOOKUP(B610,infoTable__2[],4,FALSE),"")</f>
        <v/>
      </c>
      <c r="E610" s="4" t="str">
        <f>IFERROR(VLOOKUP(B610,infoTable__3[],4,FALSE),"")</f>
        <v/>
      </c>
      <c r="F610" s="4" t="str">
        <f>IFERROR(VLOOKUP(B610,infoTable__4[],4,FALSE),"")</f>
        <v/>
      </c>
      <c r="G610" s="4" t="str">
        <f>IFERROR(VLOOKUP(B610,infoTable[],4,FALSE),"")</f>
        <v/>
      </c>
      <c r="H610" s="4" t="str">
        <f>IFERROR(VLOOKUP(B610,infoTable__6[],4,FALSE),"")</f>
        <v/>
      </c>
      <c r="I610" s="4" t="str">
        <f>IFERROR(VLOOKUP(B610,infoTable__28[],4,FALSE),"")</f>
        <v/>
      </c>
      <c r="J610" s="4" t="str">
        <f>IFERROR(VLOOKUP(B610,infoTable__10[],4,FALSE),"")</f>
        <v/>
      </c>
      <c r="K610" s="4" t="str">
        <f>IFERROR(VLOOKUP(B610,infoTable__11[],4,FALSE),"")</f>
        <v/>
      </c>
      <c r="L610" s="4" t="str">
        <f>IFERROR(VLOOKUP(B610,infoTable__12[],4,FALSE),"")</f>
        <v/>
      </c>
      <c r="M610" s="4">
        <f>IFERROR(VLOOKUP(B610,infoTable__13[],4,FALSE),"")</f>
        <v>70703</v>
      </c>
      <c r="N610" s="4" t="str">
        <f>IFERROR(VLOOKUP(B610,infoTable__14[],4,FALSE),"")</f>
        <v/>
      </c>
      <c r="O610" s="4" t="str">
        <f>IFERROR(VLOOKUP(B610,infoTable__15[],4,FALSE),"")</f>
        <v/>
      </c>
      <c r="P610" s="4" t="str">
        <f>IFERROR(VLOOKUP(B610,infoTable__16[],4,FALSE),"")</f>
        <v/>
      </c>
    </row>
    <row r="611" spans="1:16" x14ac:dyDescent="0.55000000000000004">
      <c r="A611" t="s">
        <v>1766</v>
      </c>
      <c r="B611" t="s">
        <v>1767</v>
      </c>
      <c r="C611" s="4" t="str">
        <f>IFERROR(VLOOKUP(B611,infoTable10[],4,FALSE),"")</f>
        <v/>
      </c>
      <c r="D611" s="4" t="str">
        <f>IFERROR(VLOOKUP(B611,infoTable__2[],4,FALSE),"")</f>
        <v/>
      </c>
      <c r="E611" s="4" t="str">
        <f>IFERROR(VLOOKUP(B611,infoTable__3[],4,FALSE),"")</f>
        <v/>
      </c>
      <c r="F611" s="4" t="str">
        <f>IFERROR(VLOOKUP(B611,infoTable__4[],4,FALSE),"")</f>
        <v/>
      </c>
      <c r="G611" s="4" t="str">
        <f>IFERROR(VLOOKUP(B611,infoTable[],4,FALSE),"")</f>
        <v/>
      </c>
      <c r="H611" s="4" t="str">
        <f>IFERROR(VLOOKUP(B611,infoTable__6[],4,FALSE),"")</f>
        <v/>
      </c>
      <c r="I611" s="4" t="str">
        <f>IFERROR(VLOOKUP(B611,infoTable__28[],4,FALSE),"")</f>
        <v/>
      </c>
      <c r="J611" s="4">
        <f>IFERROR(VLOOKUP(B611,infoTable__10[],4,FALSE),"")</f>
        <v>1077074</v>
      </c>
      <c r="K611" s="4">
        <f>IFERROR(VLOOKUP(B611,infoTable__11[],4,FALSE),"")</f>
        <v>210430</v>
      </c>
      <c r="L611" s="4" t="str">
        <f>IFERROR(VLOOKUP(B611,infoTable__12[],4,FALSE),"")</f>
        <v/>
      </c>
      <c r="M611" s="4" t="str">
        <f>IFERROR(VLOOKUP(B611,infoTable__13[],4,FALSE),"")</f>
        <v/>
      </c>
      <c r="N611" s="4" t="str">
        <f>IFERROR(VLOOKUP(B611,infoTable__14[],4,FALSE),"")</f>
        <v/>
      </c>
      <c r="O611" s="4" t="str">
        <f>IFERROR(VLOOKUP(B611,infoTable__15[],4,FALSE),"")</f>
        <v/>
      </c>
      <c r="P611" s="4" t="str">
        <f>IFERROR(VLOOKUP(B611,infoTable__16[],4,FALSE),"")</f>
        <v/>
      </c>
    </row>
    <row r="612" spans="1:16" x14ac:dyDescent="0.55000000000000004">
      <c r="A612" t="s">
        <v>2325</v>
      </c>
      <c r="B612" t="s">
        <v>2326</v>
      </c>
      <c r="C612" s="4" t="str">
        <f>IFERROR(VLOOKUP(B612,infoTable10[],4,FALSE),"")</f>
        <v/>
      </c>
      <c r="D612" s="4" t="str">
        <f>IFERROR(VLOOKUP(B612,infoTable__2[],4,FALSE),"")</f>
        <v/>
      </c>
      <c r="E612" s="4" t="str">
        <f>IFERROR(VLOOKUP(B612,infoTable__3[],4,FALSE),"")</f>
        <v/>
      </c>
      <c r="F612" s="4" t="str">
        <f>IFERROR(VLOOKUP(B612,infoTable__4[],4,FALSE),"")</f>
        <v/>
      </c>
      <c r="G612" s="4" t="str">
        <f>IFERROR(VLOOKUP(B612,infoTable[],4,FALSE),"")</f>
        <v/>
      </c>
      <c r="H612" s="4" t="str">
        <f>IFERROR(VLOOKUP(B612,infoTable__6[],4,FALSE),"")</f>
        <v/>
      </c>
      <c r="I612" s="4" t="str">
        <f>IFERROR(VLOOKUP(B612,infoTable__28[],4,FALSE),"")</f>
        <v/>
      </c>
      <c r="J612" s="4" t="str">
        <f>IFERROR(VLOOKUP(B612,infoTable__10[],4,FALSE),"")</f>
        <v/>
      </c>
      <c r="K612" s="4" t="str">
        <f>IFERROR(VLOOKUP(B612,infoTable__11[],4,FALSE),"")</f>
        <v/>
      </c>
      <c r="L612" s="4">
        <f>IFERROR(VLOOKUP(B612,infoTable__12[],4,FALSE),"")</f>
        <v>792953</v>
      </c>
      <c r="M612" s="4">
        <f>IFERROR(VLOOKUP(B612,infoTable__13[],4,FALSE),"")</f>
        <v>1536464</v>
      </c>
      <c r="N612" s="4">
        <f>IFERROR(VLOOKUP(B612,infoTable__14[],4,FALSE),"")</f>
        <v>795046</v>
      </c>
      <c r="O612" s="4" t="str">
        <f>IFERROR(VLOOKUP(B612,infoTable__15[],4,FALSE),"")</f>
        <v/>
      </c>
      <c r="P612" s="4" t="str">
        <f>IFERROR(VLOOKUP(B612,infoTable__16[],4,FALSE),"")</f>
        <v/>
      </c>
    </row>
    <row r="613" spans="1:16" x14ac:dyDescent="0.55000000000000004">
      <c r="A613" t="s">
        <v>2590</v>
      </c>
      <c r="B613" t="s">
        <v>2591</v>
      </c>
      <c r="C613" s="4" t="str">
        <f>IFERROR(VLOOKUP(B613,infoTable10[],4,FALSE),"")</f>
        <v/>
      </c>
      <c r="D613" s="4" t="str">
        <f>IFERROR(VLOOKUP(B613,infoTable__2[],4,FALSE),"")</f>
        <v/>
      </c>
      <c r="E613" s="4" t="str">
        <f>IFERROR(VLOOKUP(B613,infoTable__3[],4,FALSE),"")</f>
        <v/>
      </c>
      <c r="F613" s="4" t="str">
        <f>IFERROR(VLOOKUP(B613,infoTable__4[],4,FALSE),"")</f>
        <v/>
      </c>
      <c r="G613" s="4" t="str">
        <f>IFERROR(VLOOKUP(B613,infoTable[],4,FALSE),"")</f>
        <v/>
      </c>
      <c r="H613" s="4" t="str">
        <f>IFERROR(VLOOKUP(B613,infoTable__6[],4,FALSE),"")</f>
        <v/>
      </c>
      <c r="I613" s="4" t="str">
        <f>IFERROR(VLOOKUP(B613,infoTable__28[],4,FALSE),"")</f>
        <v/>
      </c>
      <c r="J613" s="4" t="str">
        <f>IFERROR(VLOOKUP(B613,infoTable__10[],4,FALSE),"")</f>
        <v/>
      </c>
      <c r="K613" s="4" t="str">
        <f>IFERROR(VLOOKUP(B613,infoTable__11[],4,FALSE),"")</f>
        <v/>
      </c>
      <c r="L613" s="4" t="str">
        <f>IFERROR(VLOOKUP(B613,infoTable__12[],4,FALSE),"")</f>
        <v/>
      </c>
      <c r="M613" s="4">
        <f>IFERROR(VLOOKUP(B613,infoTable__13[],4,FALSE),"")</f>
        <v>967976</v>
      </c>
      <c r="N613" s="4">
        <f>IFERROR(VLOOKUP(B613,infoTable__14[],4,FALSE),"")</f>
        <v>889734</v>
      </c>
      <c r="O613" s="4">
        <f>IFERROR(VLOOKUP(B613,infoTable__15[],4,FALSE),"")</f>
        <v>442548</v>
      </c>
      <c r="P613" s="4">
        <f>IFERROR(VLOOKUP(B613,infoTable__16[],4,FALSE),"")</f>
        <v>573120</v>
      </c>
    </row>
    <row r="614" spans="1:16" x14ac:dyDescent="0.55000000000000004">
      <c r="A614" t="s">
        <v>2327</v>
      </c>
      <c r="B614" t="s">
        <v>2328</v>
      </c>
      <c r="C614" s="4" t="str">
        <f>IFERROR(VLOOKUP(B614,infoTable10[],4,FALSE),"")</f>
        <v/>
      </c>
      <c r="D614" s="4" t="str">
        <f>IFERROR(VLOOKUP(B614,infoTable__2[],4,FALSE),"")</f>
        <v/>
      </c>
      <c r="E614" s="4" t="str">
        <f>IFERROR(VLOOKUP(B614,infoTable__3[],4,FALSE),"")</f>
        <v/>
      </c>
      <c r="F614" s="4" t="str">
        <f>IFERROR(VLOOKUP(B614,infoTable__4[],4,FALSE),"")</f>
        <v/>
      </c>
      <c r="G614" s="4" t="str">
        <f>IFERROR(VLOOKUP(B614,infoTable[],4,FALSE),"")</f>
        <v/>
      </c>
      <c r="H614" s="4" t="str">
        <f>IFERROR(VLOOKUP(B614,infoTable__6[],4,FALSE),"")</f>
        <v/>
      </c>
      <c r="I614" s="4" t="str">
        <f>IFERROR(VLOOKUP(B614,infoTable__28[],4,FALSE),"")</f>
        <v/>
      </c>
      <c r="J614" s="4" t="str">
        <f>IFERROR(VLOOKUP(B614,infoTable__10[],4,FALSE),"")</f>
        <v/>
      </c>
      <c r="K614" s="4" t="str">
        <f>IFERROR(VLOOKUP(B614,infoTable__11[],4,FALSE),"")</f>
        <v/>
      </c>
      <c r="L614" s="4">
        <f>IFERROR(VLOOKUP(B614,infoTable__12[],4,FALSE),"")</f>
        <v>507498</v>
      </c>
      <c r="M614" s="4" t="str">
        <f>IFERROR(VLOOKUP(B614,infoTable__13[],4,FALSE),"")</f>
        <v/>
      </c>
      <c r="N614" s="4" t="str">
        <f>IFERROR(VLOOKUP(B614,infoTable__14[],4,FALSE),"")</f>
        <v/>
      </c>
      <c r="O614" s="4" t="str">
        <f>IFERROR(VLOOKUP(B614,infoTable__15[],4,FALSE),"")</f>
        <v/>
      </c>
      <c r="P614" s="4" t="str">
        <f>IFERROR(VLOOKUP(B614,infoTable__16[],4,FALSE),"")</f>
        <v/>
      </c>
    </row>
    <row r="615" spans="1:16" x14ac:dyDescent="0.55000000000000004">
      <c r="A615" t="s">
        <v>397</v>
      </c>
      <c r="B615" t="s">
        <v>398</v>
      </c>
      <c r="C615" s="4">
        <f>IFERROR(VLOOKUP(B615,infoTable10[],4,FALSE),"")</f>
        <v>5070269</v>
      </c>
      <c r="D615" s="4">
        <f>IFERROR(VLOOKUP(B615,infoTable__2[],4,FALSE),"")</f>
        <v>5303968</v>
      </c>
      <c r="E615" s="4">
        <f>IFERROR(VLOOKUP(B615,infoTable__3[],4,FALSE),"")</f>
        <v>5305075</v>
      </c>
      <c r="F615" s="4" t="str">
        <f>IFERROR(VLOOKUP(B615,infoTable__4[],4,FALSE),"")</f>
        <v/>
      </c>
      <c r="G615" s="4">
        <f>IFERROR(VLOOKUP(B615,infoTable[],4,FALSE),"")</f>
        <v>209021</v>
      </c>
      <c r="H615" s="4">
        <f>IFERROR(VLOOKUP(B615,infoTable__6[],4,FALSE),"")</f>
        <v>1107187</v>
      </c>
      <c r="I615" s="4">
        <f>IFERROR(VLOOKUP(B615,infoTable__28[],4,FALSE),"")</f>
        <v>1233656</v>
      </c>
      <c r="J615" s="4">
        <f>IFERROR(VLOOKUP(B615,infoTable__10[],4,FALSE),"")</f>
        <v>1701885</v>
      </c>
      <c r="K615" s="4">
        <f>IFERROR(VLOOKUP(B615,infoTable__11[],4,FALSE),"")</f>
        <v>1046502</v>
      </c>
      <c r="L615" s="4" t="str">
        <f>IFERROR(VLOOKUP(B615,infoTable__12[],4,FALSE),"")</f>
        <v/>
      </c>
      <c r="M615" s="4" t="str">
        <f>IFERROR(VLOOKUP(B615,infoTable__13[],4,FALSE),"")</f>
        <v/>
      </c>
      <c r="N615" s="4" t="str">
        <f>IFERROR(VLOOKUP(B615,infoTable__14[],4,FALSE),"")</f>
        <v/>
      </c>
      <c r="O615" s="4" t="str">
        <f>IFERROR(VLOOKUP(B615,infoTable__15[],4,FALSE),"")</f>
        <v/>
      </c>
      <c r="P615" s="4">
        <f>IFERROR(VLOOKUP(B615,infoTable__16[],4,FALSE),"")</f>
        <v>436581</v>
      </c>
    </row>
    <row r="616" spans="1:16" x14ac:dyDescent="0.55000000000000004">
      <c r="A616" t="s">
        <v>2594</v>
      </c>
      <c r="B616" t="s">
        <v>2595</v>
      </c>
      <c r="C616" s="4" t="str">
        <f>IFERROR(VLOOKUP(B616,infoTable10[],4,FALSE),"")</f>
        <v/>
      </c>
      <c r="D616" s="4" t="str">
        <f>IFERROR(VLOOKUP(B616,infoTable__2[],4,FALSE),"")</f>
        <v/>
      </c>
      <c r="E616" s="4" t="str">
        <f>IFERROR(VLOOKUP(B616,infoTable__3[],4,FALSE),"")</f>
        <v/>
      </c>
      <c r="F616" s="4" t="str">
        <f>IFERROR(VLOOKUP(B616,infoTable__4[],4,FALSE),"")</f>
        <v/>
      </c>
      <c r="G616" s="4" t="str">
        <f>IFERROR(VLOOKUP(B616,infoTable[],4,FALSE),"")</f>
        <v/>
      </c>
      <c r="H616" s="4" t="str">
        <f>IFERROR(VLOOKUP(B616,infoTable__6[],4,FALSE),"")</f>
        <v/>
      </c>
      <c r="I616" s="4" t="str">
        <f>IFERROR(VLOOKUP(B616,infoTable__28[],4,FALSE),"")</f>
        <v/>
      </c>
      <c r="J616" s="4" t="str">
        <f>IFERROR(VLOOKUP(B616,infoTable__10[],4,FALSE),"")</f>
        <v/>
      </c>
      <c r="K616" s="4" t="str">
        <f>IFERROR(VLOOKUP(B616,infoTable__11[],4,FALSE),"")</f>
        <v/>
      </c>
      <c r="L616" s="4" t="str">
        <f>IFERROR(VLOOKUP(B616,infoTable__12[],4,FALSE),"")</f>
        <v/>
      </c>
      <c r="M616" s="4">
        <f>IFERROR(VLOOKUP(B616,infoTable__13[],4,FALSE),"")</f>
        <v>1671142</v>
      </c>
      <c r="N616" s="4">
        <f>IFERROR(VLOOKUP(B616,infoTable__14[],4,FALSE),"")</f>
        <v>2029236</v>
      </c>
      <c r="O616" s="4">
        <f>IFERROR(VLOOKUP(B616,infoTable__15[],4,FALSE),"")</f>
        <v>271180</v>
      </c>
      <c r="P616" s="4" t="str">
        <f>IFERROR(VLOOKUP(B616,infoTable__16[],4,FALSE),"")</f>
        <v/>
      </c>
    </row>
    <row r="617" spans="1:16" x14ac:dyDescent="0.55000000000000004">
      <c r="A617" t="s">
        <v>788</v>
      </c>
      <c r="B617" t="s">
        <v>789</v>
      </c>
      <c r="C617" s="4" t="str">
        <f>IFERROR(VLOOKUP(B617,infoTable10[],4,FALSE),"")</f>
        <v/>
      </c>
      <c r="D617" s="4" t="str">
        <f>IFERROR(VLOOKUP(B617,infoTable__2[],4,FALSE),"")</f>
        <v/>
      </c>
      <c r="E617" s="4">
        <f>IFERROR(VLOOKUP(B617,infoTable__3[],4,FALSE),"")</f>
        <v>295336</v>
      </c>
      <c r="F617" s="4" t="str">
        <f>IFERROR(VLOOKUP(B617,infoTable__4[],4,FALSE),"")</f>
        <v/>
      </c>
      <c r="G617" s="4" t="str">
        <f>IFERROR(VLOOKUP(B617,infoTable[],4,FALSE),"")</f>
        <v/>
      </c>
      <c r="H617" s="4">
        <f>IFERROR(VLOOKUP(B617,infoTable__6[],4,FALSE),"")</f>
        <v>409566</v>
      </c>
      <c r="I617" s="4">
        <f>IFERROR(VLOOKUP(B617,infoTable__28[],4,FALSE),"")</f>
        <v>1432170</v>
      </c>
      <c r="J617" s="4">
        <f>IFERROR(VLOOKUP(B617,infoTable__10[],4,FALSE),"")</f>
        <v>1196307</v>
      </c>
      <c r="K617" s="4">
        <f>IFERROR(VLOOKUP(B617,infoTable__11[],4,FALSE),"")</f>
        <v>325538</v>
      </c>
      <c r="L617" s="4" t="str">
        <f>IFERROR(VLOOKUP(B617,infoTable__12[],4,FALSE),"")</f>
        <v/>
      </c>
      <c r="M617" s="4" t="str">
        <f>IFERROR(VLOOKUP(B617,infoTable__13[],4,FALSE),"")</f>
        <v/>
      </c>
      <c r="N617" s="4" t="str">
        <f>IFERROR(VLOOKUP(B617,infoTable__14[],4,FALSE),"")</f>
        <v/>
      </c>
      <c r="O617" s="4" t="str">
        <f>IFERROR(VLOOKUP(B617,infoTable__15[],4,FALSE),"")</f>
        <v/>
      </c>
      <c r="P617" s="4" t="str">
        <f>IFERROR(VLOOKUP(B617,infoTable__16[],4,FALSE),"")</f>
        <v/>
      </c>
    </row>
    <row r="618" spans="1:16" x14ac:dyDescent="0.55000000000000004">
      <c r="A618" t="s">
        <v>2329</v>
      </c>
      <c r="B618" t="s">
        <v>2330</v>
      </c>
      <c r="C618" s="4" t="str">
        <f>IFERROR(VLOOKUP(B618,infoTable10[],4,FALSE),"")</f>
        <v/>
      </c>
      <c r="D618" s="4" t="str">
        <f>IFERROR(VLOOKUP(B618,infoTable__2[],4,FALSE),"")</f>
        <v/>
      </c>
      <c r="E618" s="4" t="str">
        <f>IFERROR(VLOOKUP(B618,infoTable__3[],4,FALSE),"")</f>
        <v/>
      </c>
      <c r="F618" s="4" t="str">
        <f>IFERROR(VLOOKUP(B618,infoTable__4[],4,FALSE),"")</f>
        <v/>
      </c>
      <c r="G618" s="4" t="str">
        <f>IFERROR(VLOOKUP(B618,infoTable[],4,FALSE),"")</f>
        <v/>
      </c>
      <c r="H618" s="4" t="str">
        <f>IFERROR(VLOOKUP(B618,infoTable__6[],4,FALSE),"")</f>
        <v/>
      </c>
      <c r="I618" s="4" t="str">
        <f>IFERROR(VLOOKUP(B618,infoTable__28[],4,FALSE),"")</f>
        <v/>
      </c>
      <c r="J618" s="4" t="str">
        <f>IFERROR(VLOOKUP(B618,infoTable__10[],4,FALSE),"")</f>
        <v/>
      </c>
      <c r="K618" s="4" t="str">
        <f>IFERROR(VLOOKUP(B618,infoTable__11[],4,FALSE),"")</f>
        <v/>
      </c>
      <c r="L618" s="4">
        <f>IFERROR(VLOOKUP(B618,infoTable__12[],4,FALSE),"")</f>
        <v>378522</v>
      </c>
      <c r="M618" s="4" t="str">
        <f>IFERROR(VLOOKUP(B618,infoTable__13[],4,FALSE),"")</f>
        <v/>
      </c>
      <c r="N618" s="4">
        <f>IFERROR(VLOOKUP(B618,infoTable__14[],4,FALSE),"")</f>
        <v>895428</v>
      </c>
      <c r="O618" s="4">
        <f>IFERROR(VLOOKUP(B618,infoTable__15[],4,FALSE),"")</f>
        <v>496414</v>
      </c>
      <c r="P618" s="4">
        <f>IFERROR(VLOOKUP(B618,infoTable__16[],4,FALSE),"")</f>
        <v>2971178</v>
      </c>
    </row>
    <row r="619" spans="1:16" x14ac:dyDescent="0.55000000000000004">
      <c r="A619" t="s">
        <v>2596</v>
      </c>
      <c r="B619" t="s">
        <v>2597</v>
      </c>
      <c r="C619" s="4" t="str">
        <f>IFERROR(VLOOKUP(B619,infoTable10[],4,FALSE),"")</f>
        <v/>
      </c>
      <c r="D619" s="4" t="str">
        <f>IFERROR(VLOOKUP(B619,infoTable__2[],4,FALSE),"")</f>
        <v/>
      </c>
      <c r="E619" s="4" t="str">
        <f>IFERROR(VLOOKUP(B619,infoTable__3[],4,FALSE),"")</f>
        <v/>
      </c>
      <c r="F619" s="4" t="str">
        <f>IFERROR(VLOOKUP(B619,infoTable__4[],4,FALSE),"")</f>
        <v/>
      </c>
      <c r="G619" s="4" t="str">
        <f>IFERROR(VLOOKUP(B619,infoTable[],4,FALSE),"")</f>
        <v/>
      </c>
      <c r="H619" s="4" t="str">
        <f>IFERROR(VLOOKUP(B619,infoTable__6[],4,FALSE),"")</f>
        <v/>
      </c>
      <c r="I619" s="4" t="str">
        <f>IFERROR(VLOOKUP(B619,infoTable__28[],4,FALSE),"")</f>
        <v/>
      </c>
      <c r="J619" s="4" t="str">
        <f>IFERROR(VLOOKUP(B619,infoTable__10[],4,FALSE),"")</f>
        <v/>
      </c>
      <c r="K619" s="4" t="str">
        <f>IFERROR(VLOOKUP(B619,infoTable__11[],4,FALSE),"")</f>
        <v/>
      </c>
      <c r="L619" s="4" t="str">
        <f>IFERROR(VLOOKUP(B619,infoTable__12[],4,FALSE),"")</f>
        <v/>
      </c>
      <c r="M619" s="4">
        <f>IFERROR(VLOOKUP(B619,infoTable__13[],4,FALSE),"")</f>
        <v>1875790</v>
      </c>
      <c r="N619" s="4">
        <f>IFERROR(VLOOKUP(B619,infoTable__14[],4,FALSE),"")</f>
        <v>758814</v>
      </c>
      <c r="O619" s="4">
        <f>IFERROR(VLOOKUP(B619,infoTable__15[],4,FALSE),"")</f>
        <v>474109</v>
      </c>
      <c r="P619" s="4">
        <f>IFERROR(VLOOKUP(B619,infoTable__16[],4,FALSE),"")</f>
        <v>383888</v>
      </c>
    </row>
    <row r="620" spans="1:16" x14ac:dyDescent="0.55000000000000004">
      <c r="A620" t="s">
        <v>399</v>
      </c>
      <c r="B620" t="s">
        <v>400</v>
      </c>
      <c r="C620" s="4" t="str">
        <f>IFERROR(VLOOKUP(B620,infoTable10[],4,FALSE),"")</f>
        <v/>
      </c>
      <c r="D620" s="4" t="str">
        <f>IFERROR(VLOOKUP(B620,infoTable__2[],4,FALSE),"")</f>
        <v/>
      </c>
      <c r="E620" s="4" t="str">
        <f>IFERROR(VLOOKUP(B620,infoTable__3[],4,FALSE),"")</f>
        <v/>
      </c>
      <c r="F620" s="4">
        <f>IFERROR(VLOOKUP(B620,infoTable__4[],4,FALSE),"")</f>
        <v>2697136</v>
      </c>
      <c r="G620" s="4">
        <f>IFERROR(VLOOKUP(B620,infoTable[],4,FALSE),"")</f>
        <v>520603</v>
      </c>
      <c r="H620" s="4" t="str">
        <f>IFERROR(VLOOKUP(B620,infoTable__6[],4,FALSE),"")</f>
        <v/>
      </c>
      <c r="I620" s="4" t="str">
        <f>IFERROR(VLOOKUP(B620,infoTable__28[],4,FALSE),"")</f>
        <v/>
      </c>
      <c r="J620" s="4" t="str">
        <f>IFERROR(VLOOKUP(B620,infoTable__10[],4,FALSE),"")</f>
        <v/>
      </c>
      <c r="K620" s="4" t="str">
        <f>IFERROR(VLOOKUP(B620,infoTable__11[],4,FALSE),"")</f>
        <v/>
      </c>
      <c r="L620" s="4" t="str">
        <f>IFERROR(VLOOKUP(B620,infoTable__12[],4,FALSE),"")</f>
        <v/>
      </c>
      <c r="M620" s="4" t="str">
        <f>IFERROR(VLOOKUP(B620,infoTable__13[],4,FALSE),"")</f>
        <v/>
      </c>
      <c r="N620" s="4" t="str">
        <f>IFERROR(VLOOKUP(B620,infoTable__14[],4,FALSE),"")</f>
        <v/>
      </c>
      <c r="O620" s="4" t="str">
        <f>IFERROR(VLOOKUP(B620,infoTable__15[],4,FALSE),"")</f>
        <v/>
      </c>
      <c r="P620" s="4" t="str">
        <f>IFERROR(VLOOKUP(B620,infoTable__16[],4,FALSE),"")</f>
        <v/>
      </c>
    </row>
    <row r="621" spans="1:16" x14ac:dyDescent="0.55000000000000004">
      <c r="A621" t="s">
        <v>401</v>
      </c>
      <c r="B621" t="s">
        <v>402</v>
      </c>
      <c r="C621" s="4" t="str">
        <f>IFERROR(VLOOKUP(B621,infoTable10[],4,FALSE),"")</f>
        <v/>
      </c>
      <c r="D621" s="4" t="str">
        <f>IFERROR(VLOOKUP(B621,infoTable__2[],4,FALSE),"")</f>
        <v/>
      </c>
      <c r="E621" s="4" t="str">
        <f>IFERROR(VLOOKUP(B621,infoTable__3[],4,FALSE),"")</f>
        <v/>
      </c>
      <c r="F621" s="4">
        <f>IFERROR(VLOOKUP(B621,infoTable__4[],4,FALSE),"")</f>
        <v>1657718</v>
      </c>
      <c r="G621" s="4">
        <f>IFERROR(VLOOKUP(B621,infoTable[],4,FALSE),"")</f>
        <v>1696515</v>
      </c>
      <c r="H621" s="4">
        <f>IFERROR(VLOOKUP(B621,infoTable__6[],4,FALSE),"")</f>
        <v>510524</v>
      </c>
      <c r="I621" s="4" t="str">
        <f>IFERROR(VLOOKUP(B621,infoTable__28[],4,FALSE),"")</f>
        <v/>
      </c>
      <c r="J621" s="4" t="str">
        <f>IFERROR(VLOOKUP(B621,infoTable__10[],4,FALSE),"")</f>
        <v/>
      </c>
      <c r="K621" s="4" t="str">
        <f>IFERROR(VLOOKUP(B621,infoTable__11[],4,FALSE),"")</f>
        <v/>
      </c>
      <c r="L621" s="4" t="str">
        <f>IFERROR(VLOOKUP(B621,infoTable__12[],4,FALSE),"")</f>
        <v/>
      </c>
      <c r="M621" s="4" t="str">
        <f>IFERROR(VLOOKUP(B621,infoTable__13[],4,FALSE),"")</f>
        <v/>
      </c>
      <c r="N621" s="4" t="str">
        <f>IFERROR(VLOOKUP(B621,infoTable__14[],4,FALSE),"")</f>
        <v/>
      </c>
      <c r="O621" s="4" t="str">
        <f>IFERROR(VLOOKUP(B621,infoTable__15[],4,FALSE),"")</f>
        <v/>
      </c>
      <c r="P621" s="4" t="str">
        <f>IFERROR(VLOOKUP(B621,infoTable__16[],4,FALSE),"")</f>
        <v/>
      </c>
    </row>
    <row r="622" spans="1:16" x14ac:dyDescent="0.55000000000000004">
      <c r="A622" t="s">
        <v>790</v>
      </c>
      <c r="B622" t="s">
        <v>791</v>
      </c>
      <c r="C622" s="4" t="str">
        <f>IFERROR(VLOOKUP(B622,infoTable10[],4,FALSE),"")</f>
        <v/>
      </c>
      <c r="D622" s="4" t="str">
        <f>IFERROR(VLOOKUP(B622,infoTable__2[],4,FALSE),"")</f>
        <v/>
      </c>
      <c r="E622" s="4">
        <f>IFERROR(VLOOKUP(B622,infoTable__3[],4,FALSE),"")</f>
        <v>877794</v>
      </c>
      <c r="F622" s="4" t="str">
        <f>IFERROR(VLOOKUP(B622,infoTable__4[],4,FALSE),"")</f>
        <v/>
      </c>
      <c r="G622" s="4" t="str">
        <f>IFERROR(VLOOKUP(B622,infoTable[],4,FALSE),"")</f>
        <v/>
      </c>
      <c r="H622" s="4" t="str">
        <f>IFERROR(VLOOKUP(B622,infoTable__6[],4,FALSE),"")</f>
        <v/>
      </c>
      <c r="I622" s="4" t="str">
        <f>IFERROR(VLOOKUP(B622,infoTable__28[],4,FALSE),"")</f>
        <v/>
      </c>
      <c r="J622" s="4" t="str">
        <f>IFERROR(VLOOKUP(B622,infoTable__10[],4,FALSE),"")</f>
        <v/>
      </c>
      <c r="K622" s="4" t="str">
        <f>IFERROR(VLOOKUP(B622,infoTable__11[],4,FALSE),"")</f>
        <v/>
      </c>
      <c r="L622" s="4" t="str">
        <f>IFERROR(VLOOKUP(B622,infoTable__12[],4,FALSE),"")</f>
        <v/>
      </c>
      <c r="M622" s="4" t="str">
        <f>IFERROR(VLOOKUP(B622,infoTable__13[],4,FALSE),"")</f>
        <v/>
      </c>
      <c r="N622" s="4" t="str">
        <f>IFERROR(VLOOKUP(B622,infoTable__14[],4,FALSE),"")</f>
        <v/>
      </c>
      <c r="O622" s="4" t="str">
        <f>IFERROR(VLOOKUP(B622,infoTable__15[],4,FALSE),"")</f>
        <v/>
      </c>
      <c r="P622" s="4" t="str">
        <f>IFERROR(VLOOKUP(B622,infoTable__16[],4,FALSE),"")</f>
        <v/>
      </c>
    </row>
    <row r="623" spans="1:16" x14ac:dyDescent="0.55000000000000004">
      <c r="A623" t="s">
        <v>1405</v>
      </c>
      <c r="B623" t="s">
        <v>1406</v>
      </c>
      <c r="C623" s="4" t="str">
        <f>IFERROR(VLOOKUP(B623,infoTable10[],4,FALSE),"")</f>
        <v/>
      </c>
      <c r="D623" s="4" t="str">
        <f>IFERROR(VLOOKUP(B623,infoTable__2[],4,FALSE),"")</f>
        <v/>
      </c>
      <c r="E623" s="4" t="str">
        <f>IFERROR(VLOOKUP(B623,infoTable__3[],4,FALSE),"")</f>
        <v/>
      </c>
      <c r="F623" s="4" t="str">
        <f>IFERROR(VLOOKUP(B623,infoTable__4[],4,FALSE),"")</f>
        <v/>
      </c>
      <c r="G623" s="4" t="str">
        <f>IFERROR(VLOOKUP(B623,infoTable[],4,FALSE),"")</f>
        <v/>
      </c>
      <c r="H623" s="4" t="str">
        <f>IFERROR(VLOOKUP(B623,infoTable__6[],4,FALSE),"")</f>
        <v/>
      </c>
      <c r="I623" s="4">
        <f>IFERROR(VLOOKUP(B623,infoTable__28[],4,FALSE),"")</f>
        <v>707123</v>
      </c>
      <c r="J623" s="4">
        <f>IFERROR(VLOOKUP(B623,infoTable__10[],4,FALSE),"")</f>
        <v>1043648</v>
      </c>
      <c r="K623" s="4">
        <f>IFERROR(VLOOKUP(B623,infoTable__11[],4,FALSE),"")</f>
        <v>1034702</v>
      </c>
      <c r="L623" s="4" t="str">
        <f>IFERROR(VLOOKUP(B623,infoTable__12[],4,FALSE),"")</f>
        <v/>
      </c>
      <c r="M623" s="4" t="str">
        <f>IFERROR(VLOOKUP(B623,infoTable__13[],4,FALSE),"")</f>
        <v/>
      </c>
      <c r="N623" s="4" t="str">
        <f>IFERROR(VLOOKUP(B623,infoTable__14[],4,FALSE),"")</f>
        <v/>
      </c>
      <c r="O623" s="4">
        <f>IFERROR(VLOOKUP(B623,infoTable__15[],4,FALSE),"")</f>
        <v>307418</v>
      </c>
      <c r="P623" s="4" t="str">
        <f>IFERROR(VLOOKUP(B623,infoTable__16[],4,FALSE),"")</f>
        <v/>
      </c>
    </row>
    <row r="624" spans="1:16" x14ac:dyDescent="0.55000000000000004">
      <c r="A624" t="s">
        <v>2748</v>
      </c>
      <c r="B624" t="s">
        <v>2747</v>
      </c>
      <c r="C624" s="4" t="str">
        <f>IFERROR(VLOOKUP(B624,infoTable10[],4,FALSE),"")</f>
        <v/>
      </c>
      <c r="D624" s="4" t="str">
        <f>IFERROR(VLOOKUP(B624,infoTable__2[],4,FALSE),"")</f>
        <v/>
      </c>
      <c r="E624" s="4" t="str">
        <f>IFERROR(VLOOKUP(B624,infoTable__3[],4,FALSE),"")</f>
        <v/>
      </c>
      <c r="F624" s="4" t="str">
        <f>IFERROR(VLOOKUP(B624,infoTable__4[],4,FALSE),"")</f>
        <v/>
      </c>
      <c r="G624" s="4" t="str">
        <f>IFERROR(VLOOKUP(B624,infoTable[],4,FALSE),"")</f>
        <v/>
      </c>
      <c r="H624" s="4" t="str">
        <f>IFERROR(VLOOKUP(B624,infoTable__6[],4,FALSE),"")</f>
        <v/>
      </c>
      <c r="I624" s="4" t="str">
        <f>IFERROR(VLOOKUP(B624,infoTable__28[],4,FALSE),"")</f>
        <v/>
      </c>
      <c r="J624" s="4" t="str">
        <f>IFERROR(VLOOKUP(B624,infoTable__10[],4,FALSE),"")</f>
        <v/>
      </c>
      <c r="K624" s="4" t="str">
        <f>IFERROR(VLOOKUP(B624,infoTable__11[],4,FALSE),"")</f>
        <v/>
      </c>
      <c r="L624" s="4" t="str">
        <f>IFERROR(VLOOKUP(B624,infoTable__12[],4,FALSE),"")</f>
        <v/>
      </c>
      <c r="M624" s="4" t="str">
        <f>IFERROR(VLOOKUP(B624,infoTable__13[],4,FALSE),"")</f>
        <v/>
      </c>
      <c r="N624" s="4">
        <f>IFERROR(VLOOKUP(B624,infoTable__14[],4,FALSE),"")</f>
        <v>4930121</v>
      </c>
      <c r="O624" s="4">
        <f>IFERROR(VLOOKUP(B624,infoTable__15[],4,FALSE),"")</f>
        <v>5604878</v>
      </c>
      <c r="P624" s="4">
        <f>IFERROR(VLOOKUP(B624,infoTable__16[],4,FALSE),"")</f>
        <v>4625307</v>
      </c>
    </row>
    <row r="625" spans="1:16" x14ac:dyDescent="0.55000000000000004">
      <c r="A625" t="s">
        <v>2000</v>
      </c>
      <c r="B625" t="s">
        <v>2001</v>
      </c>
      <c r="C625" s="4" t="str">
        <f>IFERROR(VLOOKUP(B625,infoTable10[],4,FALSE),"")</f>
        <v/>
      </c>
      <c r="D625" s="4" t="str">
        <f>IFERROR(VLOOKUP(B625,infoTable__2[],4,FALSE),"")</f>
        <v/>
      </c>
      <c r="E625" s="4" t="str">
        <f>IFERROR(VLOOKUP(B625,infoTable__3[],4,FALSE),"")</f>
        <v/>
      </c>
      <c r="F625" s="4" t="str">
        <f>IFERROR(VLOOKUP(B625,infoTable__4[],4,FALSE),"")</f>
        <v/>
      </c>
      <c r="G625" s="4" t="str">
        <f>IFERROR(VLOOKUP(B625,infoTable[],4,FALSE),"")</f>
        <v/>
      </c>
      <c r="H625" s="4" t="str">
        <f>IFERROR(VLOOKUP(B625,infoTable__6[],4,FALSE),"")</f>
        <v/>
      </c>
      <c r="I625" s="4" t="str">
        <f>IFERROR(VLOOKUP(B625,infoTable__28[],4,FALSE),"")</f>
        <v/>
      </c>
      <c r="J625" s="4" t="str">
        <f>IFERROR(VLOOKUP(B625,infoTable__10[],4,FALSE),"")</f>
        <v/>
      </c>
      <c r="K625" s="4">
        <f>IFERROR(VLOOKUP(B625,infoTable__11[],4,FALSE),"")</f>
        <v>1360469</v>
      </c>
      <c r="L625" s="4">
        <f>IFERROR(VLOOKUP(B625,infoTable__12[],4,FALSE),"")</f>
        <v>2955931</v>
      </c>
      <c r="M625" s="4">
        <f>IFERROR(VLOOKUP(B625,infoTable__13[],4,FALSE),"")</f>
        <v>2726001</v>
      </c>
      <c r="N625" s="4">
        <f>IFERROR(VLOOKUP(B625,infoTable__14[],4,FALSE),"")</f>
        <v>1068060</v>
      </c>
      <c r="O625" s="4" t="str">
        <f>IFERROR(VLOOKUP(B625,infoTable__15[],4,FALSE),"")</f>
        <v/>
      </c>
      <c r="P625" s="4" t="str">
        <f>IFERROR(VLOOKUP(B625,infoTable__16[],4,FALSE),"")</f>
        <v/>
      </c>
    </row>
    <row r="626" spans="1:16" x14ac:dyDescent="0.55000000000000004">
      <c r="A626" t="s">
        <v>2751</v>
      </c>
      <c r="B626" t="s">
        <v>2750</v>
      </c>
      <c r="C626" s="4" t="str">
        <f>IFERROR(VLOOKUP(B626,infoTable10[],4,FALSE),"")</f>
        <v/>
      </c>
      <c r="D626" s="4" t="str">
        <f>IFERROR(VLOOKUP(B626,infoTable__2[],4,FALSE),"")</f>
        <v/>
      </c>
      <c r="E626" s="4" t="str">
        <f>IFERROR(VLOOKUP(B626,infoTable__3[],4,FALSE),"")</f>
        <v/>
      </c>
      <c r="F626" s="4" t="str">
        <f>IFERROR(VLOOKUP(B626,infoTable__4[],4,FALSE),"")</f>
        <v/>
      </c>
      <c r="G626" s="4" t="str">
        <f>IFERROR(VLOOKUP(B626,infoTable[],4,FALSE),"")</f>
        <v/>
      </c>
      <c r="H626" s="4" t="str">
        <f>IFERROR(VLOOKUP(B626,infoTable__6[],4,FALSE),"")</f>
        <v/>
      </c>
      <c r="I626" s="4" t="str">
        <f>IFERROR(VLOOKUP(B626,infoTable__28[],4,FALSE),"")</f>
        <v/>
      </c>
      <c r="J626" s="4" t="str">
        <f>IFERROR(VLOOKUP(B626,infoTable__10[],4,FALSE),"")</f>
        <v/>
      </c>
      <c r="K626" s="4" t="str">
        <f>IFERROR(VLOOKUP(B626,infoTable__11[],4,FALSE),"")</f>
        <v/>
      </c>
      <c r="L626" s="4" t="str">
        <f>IFERROR(VLOOKUP(B626,infoTable__12[],4,FALSE),"")</f>
        <v/>
      </c>
      <c r="M626" s="4" t="str">
        <f>IFERROR(VLOOKUP(B626,infoTable__13[],4,FALSE),"")</f>
        <v/>
      </c>
      <c r="N626" s="4">
        <f>IFERROR(VLOOKUP(B626,infoTable__14[],4,FALSE),"")</f>
        <v>833537</v>
      </c>
      <c r="O626" s="4" t="str">
        <f>IFERROR(VLOOKUP(B626,infoTable__15[],4,FALSE),"")</f>
        <v/>
      </c>
      <c r="P626" s="4" t="str">
        <f>IFERROR(VLOOKUP(B626,infoTable__16[],4,FALSE),"")</f>
        <v/>
      </c>
    </row>
    <row r="627" spans="1:16" x14ac:dyDescent="0.55000000000000004">
      <c r="A627" t="s">
        <v>2331</v>
      </c>
      <c r="B627" t="s">
        <v>2332</v>
      </c>
      <c r="C627" s="4" t="str">
        <f>IFERROR(VLOOKUP(B627,infoTable10[],4,FALSE),"")</f>
        <v/>
      </c>
      <c r="D627" s="4" t="str">
        <f>IFERROR(VLOOKUP(B627,infoTable__2[],4,FALSE),"")</f>
        <v/>
      </c>
      <c r="E627" s="4" t="str">
        <f>IFERROR(VLOOKUP(B627,infoTable__3[],4,FALSE),"")</f>
        <v/>
      </c>
      <c r="F627" s="4" t="str">
        <f>IFERROR(VLOOKUP(B627,infoTable__4[],4,FALSE),"")</f>
        <v/>
      </c>
      <c r="G627" s="4" t="str">
        <f>IFERROR(VLOOKUP(B627,infoTable[],4,FALSE),"")</f>
        <v/>
      </c>
      <c r="H627" s="4" t="str">
        <f>IFERROR(VLOOKUP(B627,infoTable__6[],4,FALSE),"")</f>
        <v/>
      </c>
      <c r="I627" s="4" t="str">
        <f>IFERROR(VLOOKUP(B627,infoTable__28[],4,FALSE),"")</f>
        <v/>
      </c>
      <c r="J627" s="4" t="str">
        <f>IFERROR(VLOOKUP(B627,infoTable__10[],4,FALSE),"")</f>
        <v/>
      </c>
      <c r="K627" s="4" t="str">
        <f>IFERROR(VLOOKUP(B627,infoTable__11[],4,FALSE),"")</f>
        <v/>
      </c>
      <c r="L627" s="4">
        <f>IFERROR(VLOOKUP(B627,infoTable__12[],4,FALSE),"")</f>
        <v>711385</v>
      </c>
      <c r="M627" s="4">
        <f>IFERROR(VLOOKUP(B627,infoTable__13[],4,FALSE),"")</f>
        <v>2536485</v>
      </c>
      <c r="N627" s="4">
        <f>IFERROR(VLOOKUP(B627,infoTable__14[],4,FALSE),"")</f>
        <v>1730170</v>
      </c>
      <c r="O627" s="4" t="str">
        <f>IFERROR(VLOOKUP(B627,infoTable__15[],4,FALSE),"")</f>
        <v/>
      </c>
      <c r="P627" s="4" t="str">
        <f>IFERROR(VLOOKUP(B627,infoTable__16[],4,FALSE),"")</f>
        <v/>
      </c>
    </row>
    <row r="628" spans="1:16" x14ac:dyDescent="0.55000000000000004">
      <c r="A628" t="s">
        <v>2002</v>
      </c>
      <c r="B628" t="s">
        <v>2003</v>
      </c>
      <c r="C628" s="4" t="str">
        <f>IFERROR(VLOOKUP(B628,infoTable10[],4,FALSE),"")</f>
        <v/>
      </c>
      <c r="D628" s="4" t="str">
        <f>IFERROR(VLOOKUP(B628,infoTable__2[],4,FALSE),"")</f>
        <v/>
      </c>
      <c r="E628" s="4" t="str">
        <f>IFERROR(VLOOKUP(B628,infoTable__3[],4,FALSE),"")</f>
        <v/>
      </c>
      <c r="F628" s="4" t="str">
        <f>IFERROR(VLOOKUP(B628,infoTable__4[],4,FALSE),"")</f>
        <v/>
      </c>
      <c r="G628" s="4" t="str">
        <f>IFERROR(VLOOKUP(B628,infoTable[],4,FALSE),"")</f>
        <v/>
      </c>
      <c r="H628" s="4" t="str">
        <f>IFERROR(VLOOKUP(B628,infoTable__6[],4,FALSE),"")</f>
        <v/>
      </c>
      <c r="I628" s="4" t="str">
        <f>IFERROR(VLOOKUP(B628,infoTable__28[],4,FALSE),"")</f>
        <v/>
      </c>
      <c r="J628" s="4" t="str">
        <f>IFERROR(VLOOKUP(B628,infoTable__10[],4,FALSE),"")</f>
        <v/>
      </c>
      <c r="K628" s="4">
        <f>IFERROR(VLOOKUP(B628,infoTable__11[],4,FALSE),"")</f>
        <v>266043</v>
      </c>
      <c r="L628" s="4" t="str">
        <f>IFERROR(VLOOKUP(B628,infoTable__12[],4,FALSE),"")</f>
        <v/>
      </c>
      <c r="M628" s="4" t="str">
        <f>IFERROR(VLOOKUP(B628,infoTable__13[],4,FALSE),"")</f>
        <v/>
      </c>
      <c r="N628" s="4" t="str">
        <f>IFERROR(VLOOKUP(B628,infoTable__14[],4,FALSE),"")</f>
        <v/>
      </c>
      <c r="O628" s="4" t="str">
        <f>IFERROR(VLOOKUP(B628,infoTable__15[],4,FALSE),"")</f>
        <v/>
      </c>
      <c r="P628" s="4" t="str">
        <f>IFERROR(VLOOKUP(B628,infoTable__16[],4,FALSE),"")</f>
        <v/>
      </c>
    </row>
    <row r="629" spans="1:16" x14ac:dyDescent="0.55000000000000004">
      <c r="A629" t="s">
        <v>2004</v>
      </c>
      <c r="B629" t="s">
        <v>2005</v>
      </c>
      <c r="C629" s="4" t="str">
        <f>IFERROR(VLOOKUP(B629,infoTable10[],4,FALSE),"")</f>
        <v/>
      </c>
      <c r="D629" s="4" t="str">
        <f>IFERROR(VLOOKUP(B629,infoTable__2[],4,FALSE),"")</f>
        <v/>
      </c>
      <c r="E629" s="4" t="str">
        <f>IFERROR(VLOOKUP(B629,infoTable__3[],4,FALSE),"")</f>
        <v/>
      </c>
      <c r="F629" s="4" t="str">
        <f>IFERROR(VLOOKUP(B629,infoTable__4[],4,FALSE),"")</f>
        <v/>
      </c>
      <c r="G629" s="4" t="str">
        <f>IFERROR(VLOOKUP(B629,infoTable[],4,FALSE),"")</f>
        <v/>
      </c>
      <c r="H629" s="4" t="str">
        <f>IFERROR(VLOOKUP(B629,infoTable__6[],4,FALSE),"")</f>
        <v/>
      </c>
      <c r="I629" s="4" t="str">
        <f>IFERROR(VLOOKUP(B629,infoTable__28[],4,FALSE),"")</f>
        <v/>
      </c>
      <c r="J629" s="4" t="str">
        <f>IFERROR(VLOOKUP(B629,infoTable__10[],4,FALSE),"")</f>
        <v/>
      </c>
      <c r="K629" s="4">
        <f>IFERROR(VLOOKUP(B629,infoTable__11[],4,FALSE),"")</f>
        <v>1887439</v>
      </c>
      <c r="L629" s="4">
        <f>IFERROR(VLOOKUP(B629,infoTable__12[],4,FALSE),"")</f>
        <v>509612</v>
      </c>
      <c r="M629" s="4">
        <f>IFERROR(VLOOKUP(B629,infoTable__13[],4,FALSE),"")</f>
        <v>265165</v>
      </c>
      <c r="N629" s="4">
        <f>IFERROR(VLOOKUP(B629,infoTable__14[],4,FALSE),"")</f>
        <v>2885747</v>
      </c>
      <c r="O629" s="4">
        <f>IFERROR(VLOOKUP(B629,infoTable__15[],4,FALSE),"")</f>
        <v>930368</v>
      </c>
      <c r="P629" s="4" t="str">
        <f>IFERROR(VLOOKUP(B629,infoTable__16[],4,FALSE),"")</f>
        <v/>
      </c>
    </row>
    <row r="630" spans="1:16" x14ac:dyDescent="0.55000000000000004">
      <c r="A630" t="s">
        <v>3173</v>
      </c>
      <c r="B630" t="s">
        <v>3174</v>
      </c>
      <c r="C630" s="4" t="str">
        <f>IFERROR(VLOOKUP(B630,infoTable10[],4,FALSE),"")</f>
        <v/>
      </c>
      <c r="D630" s="4" t="str">
        <f>IFERROR(VLOOKUP(B630,infoTable__2[],4,FALSE),"")</f>
        <v/>
      </c>
      <c r="E630" s="4" t="str">
        <f>IFERROR(VLOOKUP(B630,infoTable__3[],4,FALSE),"")</f>
        <v/>
      </c>
      <c r="F630" s="4" t="str">
        <f>IFERROR(VLOOKUP(B630,infoTable__4[],4,FALSE),"")</f>
        <v/>
      </c>
      <c r="G630" s="4" t="str">
        <f>IFERROR(VLOOKUP(B630,infoTable[],4,FALSE),"")</f>
        <v/>
      </c>
      <c r="H630" s="4" t="str">
        <f>IFERROR(VLOOKUP(B630,infoTable__6[],4,FALSE),"")</f>
        <v/>
      </c>
      <c r="I630" s="4" t="str">
        <f>IFERROR(VLOOKUP(B630,infoTable__28[],4,FALSE),"")</f>
        <v/>
      </c>
      <c r="J630" s="4" t="str">
        <f>IFERROR(VLOOKUP(B630,infoTable__10[],4,FALSE),"")</f>
        <v/>
      </c>
      <c r="K630" s="4" t="str">
        <f>IFERROR(VLOOKUP(B630,infoTable__11[],4,FALSE),"")</f>
        <v/>
      </c>
      <c r="L630" s="4" t="str">
        <f>IFERROR(VLOOKUP(B630,infoTable__12[],4,FALSE),"")</f>
        <v/>
      </c>
      <c r="M630" s="4" t="str">
        <f>IFERROR(VLOOKUP(B630,infoTable__13[],4,FALSE),"")</f>
        <v/>
      </c>
      <c r="N630" s="4" t="str">
        <f>IFERROR(VLOOKUP(B630,infoTable__14[],4,FALSE),"")</f>
        <v/>
      </c>
      <c r="O630" s="4">
        <f>IFERROR(VLOOKUP(B630,infoTable__15[],4,FALSE),"")</f>
        <v>3826379</v>
      </c>
      <c r="P630" s="4">
        <f>IFERROR(VLOOKUP(B630,infoTable__16[],4,FALSE),"")</f>
        <v>3756147</v>
      </c>
    </row>
    <row r="631" spans="1:16" x14ac:dyDescent="0.55000000000000004">
      <c r="A631" t="s">
        <v>1409</v>
      </c>
      <c r="B631" t="s">
        <v>1410</v>
      </c>
      <c r="C631" s="4" t="str">
        <f>IFERROR(VLOOKUP(B631,infoTable10[],4,FALSE),"")</f>
        <v/>
      </c>
      <c r="D631" s="4" t="str">
        <f>IFERROR(VLOOKUP(B631,infoTable__2[],4,FALSE),"")</f>
        <v/>
      </c>
      <c r="E631" s="4" t="str">
        <f>IFERROR(VLOOKUP(B631,infoTable__3[],4,FALSE),"")</f>
        <v/>
      </c>
      <c r="F631" s="4" t="str">
        <f>IFERROR(VLOOKUP(B631,infoTable__4[],4,FALSE),"")</f>
        <v/>
      </c>
      <c r="G631" s="4" t="str">
        <f>IFERROR(VLOOKUP(B631,infoTable[],4,FALSE),"")</f>
        <v/>
      </c>
      <c r="H631" s="4" t="str">
        <f>IFERROR(VLOOKUP(B631,infoTable__6[],4,FALSE),"")</f>
        <v/>
      </c>
      <c r="I631" s="4">
        <f>IFERROR(VLOOKUP(B631,infoTable__28[],4,FALSE),"")</f>
        <v>919752</v>
      </c>
      <c r="J631" s="4" t="str">
        <f>IFERROR(VLOOKUP(B631,infoTable__10[],4,FALSE),"")</f>
        <v/>
      </c>
      <c r="K631" s="4" t="str">
        <f>IFERROR(VLOOKUP(B631,infoTable__11[],4,FALSE),"")</f>
        <v/>
      </c>
      <c r="L631" s="4" t="str">
        <f>IFERROR(VLOOKUP(B631,infoTable__12[],4,FALSE),"")</f>
        <v/>
      </c>
      <c r="M631" s="4" t="str">
        <f>IFERROR(VLOOKUP(B631,infoTable__13[],4,FALSE),"")</f>
        <v/>
      </c>
      <c r="N631" s="4" t="str">
        <f>IFERROR(VLOOKUP(B631,infoTable__14[],4,FALSE),"")</f>
        <v/>
      </c>
      <c r="O631" s="4" t="str">
        <f>IFERROR(VLOOKUP(B631,infoTable__15[],4,FALSE),"")</f>
        <v/>
      </c>
      <c r="P631" s="4">
        <f>IFERROR(VLOOKUP(B631,infoTable__16[],4,FALSE),"")</f>
        <v>2612077</v>
      </c>
    </row>
    <row r="632" spans="1:16" x14ac:dyDescent="0.55000000000000004">
      <c r="A632" t="s">
        <v>1411</v>
      </c>
      <c r="B632" t="s">
        <v>1412</v>
      </c>
      <c r="C632" s="4" t="str">
        <f>IFERROR(VLOOKUP(B632,infoTable10[],4,FALSE),"")</f>
        <v/>
      </c>
      <c r="D632" s="4" t="str">
        <f>IFERROR(VLOOKUP(B632,infoTable__2[],4,FALSE),"")</f>
        <v/>
      </c>
      <c r="E632" s="4" t="str">
        <f>IFERROR(VLOOKUP(B632,infoTable__3[],4,FALSE),"")</f>
        <v/>
      </c>
      <c r="F632" s="4" t="str">
        <f>IFERROR(VLOOKUP(B632,infoTable__4[],4,FALSE),"")</f>
        <v/>
      </c>
      <c r="G632" s="4" t="str">
        <f>IFERROR(VLOOKUP(B632,infoTable[],4,FALSE),"")</f>
        <v/>
      </c>
      <c r="H632" s="4" t="str">
        <f>IFERROR(VLOOKUP(B632,infoTable__6[],4,FALSE),"")</f>
        <v/>
      </c>
      <c r="I632" s="4">
        <f>IFERROR(VLOOKUP(B632,infoTable__28[],4,FALSE),"")</f>
        <v>201270</v>
      </c>
      <c r="J632" s="4">
        <f>IFERROR(VLOOKUP(B632,infoTable__10[],4,FALSE),"")</f>
        <v>270299</v>
      </c>
      <c r="K632" s="4" t="str">
        <f>IFERROR(VLOOKUP(B632,infoTable__11[],4,FALSE),"")</f>
        <v/>
      </c>
      <c r="L632" s="4" t="str">
        <f>IFERROR(VLOOKUP(B632,infoTable__12[],4,FALSE),"")</f>
        <v/>
      </c>
      <c r="M632" s="4">
        <f>IFERROR(VLOOKUP(B632,infoTable__13[],4,FALSE),"")</f>
        <v>5290060</v>
      </c>
      <c r="N632" s="4">
        <f>IFERROR(VLOOKUP(B632,infoTable__14[],4,FALSE),"")</f>
        <v>4200637</v>
      </c>
      <c r="O632" s="4">
        <f>IFERROR(VLOOKUP(B632,infoTable__15[],4,FALSE),"")</f>
        <v>2082418</v>
      </c>
      <c r="P632" s="4">
        <f>IFERROR(VLOOKUP(B632,infoTable__16[],4,FALSE),"")</f>
        <v>6706131</v>
      </c>
    </row>
    <row r="633" spans="1:16" x14ac:dyDescent="0.55000000000000004">
      <c r="A633" t="s">
        <v>1413</v>
      </c>
      <c r="B633" t="s">
        <v>1414</v>
      </c>
      <c r="C633" s="4" t="str">
        <f>IFERROR(VLOOKUP(B633,infoTable10[],4,FALSE),"")</f>
        <v/>
      </c>
      <c r="D633" s="4" t="str">
        <f>IFERROR(VLOOKUP(B633,infoTable__2[],4,FALSE),"")</f>
        <v/>
      </c>
      <c r="E633" s="4" t="str">
        <f>IFERROR(VLOOKUP(B633,infoTable__3[],4,FALSE),"")</f>
        <v/>
      </c>
      <c r="F633" s="4" t="str">
        <f>IFERROR(VLOOKUP(B633,infoTable__4[],4,FALSE),"")</f>
        <v/>
      </c>
      <c r="G633" s="4" t="str">
        <f>IFERROR(VLOOKUP(B633,infoTable[],4,FALSE),"")</f>
        <v/>
      </c>
      <c r="H633" s="4" t="str">
        <f>IFERROR(VLOOKUP(B633,infoTable__6[],4,FALSE),"")</f>
        <v/>
      </c>
      <c r="I633" s="4">
        <f>IFERROR(VLOOKUP(B633,infoTable__28[],4,FALSE),"")</f>
        <v>685447</v>
      </c>
      <c r="J633" s="4">
        <f>IFERROR(VLOOKUP(B633,infoTable__10[],4,FALSE),"")</f>
        <v>4357329</v>
      </c>
      <c r="K633" s="4">
        <f>IFERROR(VLOOKUP(B633,infoTable__11[],4,FALSE),"")</f>
        <v>2669131</v>
      </c>
      <c r="L633" s="4">
        <f>IFERROR(VLOOKUP(B633,infoTable__12[],4,FALSE),"")</f>
        <v>2208916</v>
      </c>
      <c r="M633" s="4">
        <f>IFERROR(VLOOKUP(B633,infoTable__13[],4,FALSE),"")</f>
        <v>3981987</v>
      </c>
      <c r="N633" s="4">
        <f>IFERROR(VLOOKUP(B633,infoTable__14[],4,FALSE),"")</f>
        <v>1331422</v>
      </c>
      <c r="O633" s="4" t="str">
        <f>IFERROR(VLOOKUP(B633,infoTable__15[],4,FALSE),"")</f>
        <v/>
      </c>
      <c r="P633" s="4" t="str">
        <f>IFERROR(VLOOKUP(B633,infoTable__16[],4,FALSE),"")</f>
        <v/>
      </c>
    </row>
    <row r="634" spans="1:16" x14ac:dyDescent="0.55000000000000004">
      <c r="A634" t="s">
        <v>405</v>
      </c>
      <c r="B634" t="s">
        <v>406</v>
      </c>
      <c r="C634" s="4" t="str">
        <f>IFERROR(VLOOKUP(B634,infoTable10[],4,FALSE),"")</f>
        <v/>
      </c>
      <c r="D634" s="4" t="str">
        <f>IFERROR(VLOOKUP(B634,infoTable__2[],4,FALSE),"")</f>
        <v/>
      </c>
      <c r="E634" s="4" t="str">
        <f>IFERROR(VLOOKUP(B634,infoTable__3[],4,FALSE),"")</f>
        <v/>
      </c>
      <c r="F634" s="4">
        <f>IFERROR(VLOOKUP(B634,infoTable__4[],4,FALSE),"")</f>
        <v>1087326</v>
      </c>
      <c r="G634" s="4">
        <f>IFERROR(VLOOKUP(B634,infoTable[],4,FALSE),"")</f>
        <v>816037</v>
      </c>
      <c r="H634" s="4">
        <f>IFERROR(VLOOKUP(B634,infoTable__6[],4,FALSE),"")</f>
        <v>247613</v>
      </c>
      <c r="I634" s="4" t="str">
        <f>IFERROR(VLOOKUP(B634,infoTable__28[],4,FALSE),"")</f>
        <v/>
      </c>
      <c r="J634" s="4" t="str">
        <f>IFERROR(VLOOKUP(B634,infoTable__10[],4,FALSE),"")</f>
        <v/>
      </c>
      <c r="K634" s="4" t="str">
        <f>IFERROR(VLOOKUP(B634,infoTable__11[],4,FALSE),"")</f>
        <v/>
      </c>
      <c r="L634" s="4" t="str">
        <f>IFERROR(VLOOKUP(B634,infoTable__12[],4,FALSE),"")</f>
        <v/>
      </c>
      <c r="M634" s="4" t="str">
        <f>IFERROR(VLOOKUP(B634,infoTable__13[],4,FALSE),"")</f>
        <v/>
      </c>
      <c r="N634" s="4" t="str">
        <f>IFERROR(VLOOKUP(B634,infoTable__14[],4,FALSE),"")</f>
        <v/>
      </c>
      <c r="O634" s="4" t="str">
        <f>IFERROR(VLOOKUP(B634,infoTable__15[],4,FALSE),"")</f>
        <v/>
      </c>
      <c r="P634" s="4">
        <f>IFERROR(VLOOKUP(B634,infoTable__16[],4,FALSE),"")</f>
        <v>716909</v>
      </c>
    </row>
    <row r="635" spans="1:16" x14ac:dyDescent="0.55000000000000004">
      <c r="A635" t="s">
        <v>3515</v>
      </c>
      <c r="B635" t="s">
        <v>3516</v>
      </c>
      <c r="C635" s="4" t="str">
        <f>IFERROR(VLOOKUP(B635,infoTable10[],4,FALSE),"")</f>
        <v/>
      </c>
      <c r="D635" s="4" t="str">
        <f>IFERROR(VLOOKUP(B635,infoTable__2[],4,FALSE),"")</f>
        <v/>
      </c>
      <c r="E635" s="4" t="str">
        <f>IFERROR(VLOOKUP(B635,infoTable__3[],4,FALSE),"")</f>
        <v/>
      </c>
      <c r="F635" s="4" t="str">
        <f>IFERROR(VLOOKUP(B635,infoTable__4[],4,FALSE),"")</f>
        <v/>
      </c>
      <c r="G635" s="4" t="str">
        <f>IFERROR(VLOOKUP(B635,infoTable[],4,FALSE),"")</f>
        <v/>
      </c>
      <c r="H635" s="4" t="str">
        <f>IFERROR(VLOOKUP(B635,infoTable__6[],4,FALSE),"")</f>
        <v/>
      </c>
      <c r="I635" s="4" t="str">
        <f>IFERROR(VLOOKUP(B635,infoTable__28[],4,FALSE),"")</f>
        <v/>
      </c>
      <c r="J635" s="4" t="str">
        <f>IFERROR(VLOOKUP(B635,infoTable__10[],4,FALSE),"")</f>
        <v/>
      </c>
      <c r="K635" s="4" t="str">
        <f>IFERROR(VLOOKUP(B635,infoTable__11[],4,FALSE),"")</f>
        <v/>
      </c>
      <c r="L635" s="4" t="str">
        <f>IFERROR(VLOOKUP(B635,infoTable__12[],4,FALSE),"")</f>
        <v/>
      </c>
      <c r="M635" s="4" t="str">
        <f>IFERROR(VLOOKUP(B635,infoTable__13[],4,FALSE),"")</f>
        <v/>
      </c>
      <c r="N635" s="4" t="str">
        <f>IFERROR(VLOOKUP(B635,infoTable__14[],4,FALSE),"")</f>
        <v/>
      </c>
      <c r="O635" s="4" t="str">
        <f>IFERROR(VLOOKUP(B635,infoTable__15[],4,FALSE),"")</f>
        <v/>
      </c>
      <c r="P635" s="4">
        <f>IFERROR(VLOOKUP(B635,infoTable__16[],4,FALSE),"")</f>
        <v>337736</v>
      </c>
    </row>
    <row r="636" spans="1:16" x14ac:dyDescent="0.55000000000000004">
      <c r="A636" t="s">
        <v>407</v>
      </c>
      <c r="B636" t="s">
        <v>408</v>
      </c>
      <c r="C636" s="4" t="str">
        <f>IFERROR(VLOOKUP(B636,infoTable10[],4,FALSE),"")</f>
        <v/>
      </c>
      <c r="D636" s="4" t="str">
        <f>IFERROR(VLOOKUP(B636,infoTable__2[],4,FALSE),"")</f>
        <v/>
      </c>
      <c r="E636" s="4">
        <f>IFERROR(VLOOKUP(B636,infoTable__3[],4,FALSE),"")</f>
        <v>2416606</v>
      </c>
      <c r="F636" s="4">
        <f>IFERROR(VLOOKUP(B636,infoTable__4[],4,FALSE),"")</f>
        <v>1381886</v>
      </c>
      <c r="G636" s="4">
        <f>IFERROR(VLOOKUP(B636,infoTable[],4,FALSE),"")</f>
        <v>593464</v>
      </c>
      <c r="H636" s="4" t="str">
        <f>IFERROR(VLOOKUP(B636,infoTable__6[],4,FALSE),"")</f>
        <v/>
      </c>
      <c r="I636" s="4" t="str">
        <f>IFERROR(VLOOKUP(B636,infoTable__28[],4,FALSE),"")</f>
        <v/>
      </c>
      <c r="J636" s="4" t="str">
        <f>IFERROR(VLOOKUP(B636,infoTable__10[],4,FALSE),"")</f>
        <v/>
      </c>
      <c r="K636" s="4" t="str">
        <f>IFERROR(VLOOKUP(B636,infoTable__11[],4,FALSE),"")</f>
        <v/>
      </c>
      <c r="L636" s="4" t="str">
        <f>IFERROR(VLOOKUP(B636,infoTable__12[],4,FALSE),"")</f>
        <v/>
      </c>
      <c r="M636" s="4" t="str">
        <f>IFERROR(VLOOKUP(B636,infoTable__13[],4,FALSE),"")</f>
        <v/>
      </c>
      <c r="N636" s="4" t="str">
        <f>IFERROR(VLOOKUP(B636,infoTable__14[],4,FALSE),"")</f>
        <v/>
      </c>
      <c r="O636" s="4" t="str">
        <f>IFERROR(VLOOKUP(B636,infoTable__15[],4,FALSE),"")</f>
        <v/>
      </c>
      <c r="P636" s="4" t="str">
        <f>IFERROR(VLOOKUP(B636,infoTable__16[],4,FALSE),"")</f>
        <v/>
      </c>
    </row>
    <row r="637" spans="1:16" x14ac:dyDescent="0.55000000000000004">
      <c r="A637" t="s">
        <v>2006</v>
      </c>
      <c r="B637" t="s">
        <v>2008</v>
      </c>
      <c r="C637" s="4" t="str">
        <f>IFERROR(VLOOKUP(B637,infoTable10[],4,FALSE),"")</f>
        <v/>
      </c>
      <c r="D637" s="4" t="str">
        <f>IFERROR(VLOOKUP(B637,infoTable__2[],4,FALSE),"")</f>
        <v/>
      </c>
      <c r="E637" s="4" t="str">
        <f>IFERROR(VLOOKUP(B637,infoTable__3[],4,FALSE),"")</f>
        <v/>
      </c>
      <c r="F637" s="4" t="str">
        <f>IFERROR(VLOOKUP(B637,infoTable__4[],4,FALSE),"")</f>
        <v/>
      </c>
      <c r="G637" s="4" t="str">
        <f>IFERROR(VLOOKUP(B637,infoTable[],4,FALSE),"")</f>
        <v/>
      </c>
      <c r="H637" s="4" t="str">
        <f>IFERROR(VLOOKUP(B637,infoTable__6[],4,FALSE),"")</f>
        <v/>
      </c>
      <c r="I637" s="4" t="str">
        <f>IFERROR(VLOOKUP(B637,infoTable__28[],4,FALSE),"")</f>
        <v/>
      </c>
      <c r="J637" s="4" t="str">
        <f>IFERROR(VLOOKUP(B637,infoTable__10[],4,FALSE),"")</f>
        <v/>
      </c>
      <c r="K637" s="4">
        <f>IFERROR(VLOOKUP(B637,infoTable__11[],4,FALSE),"")</f>
        <v>233956</v>
      </c>
      <c r="L637" s="4" t="str">
        <f>IFERROR(VLOOKUP(B637,infoTable__12[],4,FALSE),"")</f>
        <v/>
      </c>
      <c r="M637" s="4" t="str">
        <f>IFERROR(VLOOKUP(B637,infoTable__13[],4,FALSE),"")</f>
        <v/>
      </c>
      <c r="N637" s="4" t="str">
        <f>IFERROR(VLOOKUP(B637,infoTable__14[],4,FALSE),"")</f>
        <v/>
      </c>
      <c r="O637" s="4" t="str">
        <f>IFERROR(VLOOKUP(B637,infoTable__15[],4,FALSE),"")</f>
        <v/>
      </c>
      <c r="P637" s="4" t="str">
        <f>IFERROR(VLOOKUP(B637,infoTable__16[],4,FALSE),"")</f>
        <v/>
      </c>
    </row>
    <row r="638" spans="1:16" x14ac:dyDescent="0.55000000000000004">
      <c r="A638" t="s">
        <v>2753</v>
      </c>
      <c r="B638" t="s">
        <v>2752</v>
      </c>
      <c r="C638" s="4" t="str">
        <f>IFERROR(VLOOKUP(B638,infoTable10[],4,FALSE),"")</f>
        <v/>
      </c>
      <c r="D638" s="4" t="str">
        <f>IFERROR(VLOOKUP(B638,infoTable__2[],4,FALSE),"")</f>
        <v/>
      </c>
      <c r="E638" s="4" t="str">
        <f>IFERROR(VLOOKUP(B638,infoTable__3[],4,FALSE),"")</f>
        <v/>
      </c>
      <c r="F638" s="4" t="str">
        <f>IFERROR(VLOOKUP(B638,infoTable__4[],4,FALSE),"")</f>
        <v/>
      </c>
      <c r="G638" s="4" t="str">
        <f>IFERROR(VLOOKUP(B638,infoTable[],4,FALSE),"")</f>
        <v/>
      </c>
      <c r="H638" s="4" t="str">
        <f>IFERROR(VLOOKUP(B638,infoTable__6[],4,FALSE),"")</f>
        <v/>
      </c>
      <c r="I638" s="4" t="str">
        <f>IFERROR(VLOOKUP(B638,infoTable__28[],4,FALSE),"")</f>
        <v/>
      </c>
      <c r="J638" s="4" t="str">
        <f>IFERROR(VLOOKUP(B638,infoTable__10[],4,FALSE),"")</f>
        <v/>
      </c>
      <c r="K638" s="4" t="str">
        <f>IFERROR(VLOOKUP(B638,infoTable__11[],4,FALSE),"")</f>
        <v/>
      </c>
      <c r="L638" s="4" t="str">
        <f>IFERROR(VLOOKUP(B638,infoTable__12[],4,FALSE),"")</f>
        <v/>
      </c>
      <c r="M638" s="4" t="str">
        <f>IFERROR(VLOOKUP(B638,infoTable__13[],4,FALSE),"")</f>
        <v/>
      </c>
      <c r="N638" s="4">
        <f>IFERROR(VLOOKUP(B638,infoTable__14[],4,FALSE),"")</f>
        <v>387137</v>
      </c>
      <c r="O638" s="4">
        <f>IFERROR(VLOOKUP(B638,infoTable__15[],4,FALSE),"")</f>
        <v>2227398</v>
      </c>
      <c r="P638" s="4">
        <f>IFERROR(VLOOKUP(B638,infoTable__16[],4,FALSE),"")</f>
        <v>1596859</v>
      </c>
    </row>
    <row r="639" spans="1:16" x14ac:dyDescent="0.55000000000000004">
      <c r="A639" t="s">
        <v>2600</v>
      </c>
      <c r="B639" t="s">
        <v>2601</v>
      </c>
      <c r="C639" s="4" t="str">
        <f>IFERROR(VLOOKUP(B639,infoTable10[],4,FALSE),"")</f>
        <v/>
      </c>
      <c r="D639" s="4" t="str">
        <f>IFERROR(VLOOKUP(B639,infoTable__2[],4,FALSE),"")</f>
        <v/>
      </c>
      <c r="E639" s="4" t="str">
        <f>IFERROR(VLOOKUP(B639,infoTable__3[],4,FALSE),"")</f>
        <v/>
      </c>
      <c r="F639" s="4" t="str">
        <f>IFERROR(VLOOKUP(B639,infoTable__4[],4,FALSE),"")</f>
        <v/>
      </c>
      <c r="G639" s="4" t="str">
        <f>IFERROR(VLOOKUP(B639,infoTable[],4,FALSE),"")</f>
        <v/>
      </c>
      <c r="H639" s="4" t="str">
        <f>IFERROR(VLOOKUP(B639,infoTable__6[],4,FALSE),"")</f>
        <v/>
      </c>
      <c r="I639" s="4" t="str">
        <f>IFERROR(VLOOKUP(B639,infoTable__28[],4,FALSE),"")</f>
        <v/>
      </c>
      <c r="J639" s="4" t="str">
        <f>IFERROR(VLOOKUP(B639,infoTable__10[],4,FALSE),"")</f>
        <v/>
      </c>
      <c r="K639" s="4" t="str">
        <f>IFERROR(VLOOKUP(B639,infoTable__11[],4,FALSE),"")</f>
        <v/>
      </c>
      <c r="L639" s="4" t="str">
        <f>IFERROR(VLOOKUP(B639,infoTable__12[],4,FALSE),"")</f>
        <v/>
      </c>
      <c r="M639" s="4">
        <f>IFERROR(VLOOKUP(B639,infoTable__13[],4,FALSE),"")</f>
        <v>374457</v>
      </c>
      <c r="N639" s="4" t="str">
        <f>IFERROR(VLOOKUP(B639,infoTable__14[],4,FALSE),"")</f>
        <v/>
      </c>
      <c r="O639" s="4" t="str">
        <f>IFERROR(VLOOKUP(B639,infoTable__15[],4,FALSE),"")</f>
        <v/>
      </c>
      <c r="P639" s="4" t="str">
        <f>IFERROR(VLOOKUP(B639,infoTable__16[],4,FALSE),"")</f>
        <v/>
      </c>
    </row>
    <row r="640" spans="1:16" x14ac:dyDescent="0.55000000000000004">
      <c r="A640" t="s">
        <v>692</v>
      </c>
      <c r="B640" t="s">
        <v>693</v>
      </c>
      <c r="C640" s="4">
        <f>IFERROR(VLOOKUP(B640,infoTable10[],4,FALSE),"")</f>
        <v>801080</v>
      </c>
      <c r="D640" s="4">
        <f>IFERROR(VLOOKUP(B640,infoTable__2[],4,FALSE),"")</f>
        <v>326832</v>
      </c>
      <c r="E640" s="4" t="str">
        <f>IFERROR(VLOOKUP(B640,infoTable__3[],4,FALSE),"")</f>
        <v/>
      </c>
      <c r="F640" s="4" t="str">
        <f>IFERROR(VLOOKUP(B640,infoTable__4[],4,FALSE),"")</f>
        <v/>
      </c>
      <c r="G640" s="4" t="str">
        <f>IFERROR(VLOOKUP(B640,infoTable[],4,FALSE),"")</f>
        <v/>
      </c>
      <c r="H640" s="4" t="str">
        <f>IFERROR(VLOOKUP(B640,infoTable__6[],4,FALSE),"")</f>
        <v/>
      </c>
      <c r="I640" s="4">
        <f>IFERROR(VLOOKUP(B640,infoTable__28[],4,FALSE),"")</f>
        <v>231202</v>
      </c>
      <c r="J640" s="4" t="str">
        <f>IFERROR(VLOOKUP(B640,infoTable__10[],4,FALSE),"")</f>
        <v/>
      </c>
      <c r="K640" s="4" t="str">
        <f>IFERROR(VLOOKUP(B640,infoTable__11[],4,FALSE),"")</f>
        <v/>
      </c>
      <c r="L640" s="4" t="str">
        <f>IFERROR(VLOOKUP(B640,infoTable__12[],4,FALSE),"")</f>
        <v/>
      </c>
      <c r="M640" s="4" t="str">
        <f>IFERROR(VLOOKUP(B640,infoTable__13[],4,FALSE),"")</f>
        <v/>
      </c>
      <c r="N640" s="4" t="str">
        <f>IFERROR(VLOOKUP(B640,infoTable__14[],4,FALSE),"")</f>
        <v/>
      </c>
      <c r="O640" s="4" t="str">
        <f>IFERROR(VLOOKUP(B640,infoTable__15[],4,FALSE),"")</f>
        <v/>
      </c>
      <c r="P640" s="4" t="str">
        <f>IFERROR(VLOOKUP(B640,infoTable__16[],4,FALSE),"")</f>
        <v/>
      </c>
    </row>
    <row r="641" spans="1:16" x14ac:dyDescent="0.55000000000000004">
      <c r="A641" t="s">
        <v>1112</v>
      </c>
      <c r="B641" t="s">
        <v>1113</v>
      </c>
      <c r="C641" s="4" t="str">
        <f>IFERROR(VLOOKUP(B641,infoTable10[],4,FALSE),"")</f>
        <v/>
      </c>
      <c r="D641" s="4" t="str">
        <f>IFERROR(VLOOKUP(B641,infoTable__2[],4,FALSE),"")</f>
        <v/>
      </c>
      <c r="E641" s="4" t="str">
        <f>IFERROR(VLOOKUP(B641,infoTable__3[],4,FALSE),"")</f>
        <v/>
      </c>
      <c r="F641" s="4" t="str">
        <f>IFERROR(VLOOKUP(B641,infoTable__4[],4,FALSE),"")</f>
        <v/>
      </c>
      <c r="G641" s="4" t="str">
        <f>IFERROR(VLOOKUP(B641,infoTable[],4,FALSE),"")</f>
        <v/>
      </c>
      <c r="H641" s="4">
        <f>IFERROR(VLOOKUP(B641,infoTable__6[],4,FALSE),"")</f>
        <v>1960955</v>
      </c>
      <c r="I641" s="4" t="str">
        <f>IFERROR(VLOOKUP(B641,infoTable__28[],4,FALSE),"")</f>
        <v/>
      </c>
      <c r="J641" s="4" t="str">
        <f>IFERROR(VLOOKUP(B641,infoTable__10[],4,FALSE),"")</f>
        <v/>
      </c>
      <c r="K641" s="4" t="str">
        <f>IFERROR(VLOOKUP(B641,infoTable__11[],4,FALSE),"")</f>
        <v/>
      </c>
      <c r="L641" s="4" t="str">
        <f>IFERROR(VLOOKUP(B641,infoTable__12[],4,FALSE),"")</f>
        <v/>
      </c>
      <c r="M641" s="4" t="str">
        <f>IFERROR(VLOOKUP(B641,infoTable__13[],4,FALSE),"")</f>
        <v/>
      </c>
      <c r="N641" s="4" t="str">
        <f>IFERROR(VLOOKUP(B641,infoTable__14[],4,FALSE),"")</f>
        <v/>
      </c>
      <c r="O641" s="4" t="str">
        <f>IFERROR(VLOOKUP(B641,infoTable__15[],4,FALSE),"")</f>
        <v/>
      </c>
      <c r="P641" s="4" t="str">
        <f>IFERROR(VLOOKUP(B641,infoTable__16[],4,FALSE),"")</f>
        <v/>
      </c>
    </row>
    <row r="642" spans="1:16" x14ac:dyDescent="0.55000000000000004">
      <c r="A642" t="s">
        <v>412</v>
      </c>
      <c r="B642" t="s">
        <v>413</v>
      </c>
      <c r="C642" s="4" t="str">
        <f>IFERROR(VLOOKUP(B642,infoTable10[],4,FALSE),"")</f>
        <v/>
      </c>
      <c r="D642" s="4" t="str">
        <f>IFERROR(VLOOKUP(B642,infoTable__2[],4,FALSE),"")</f>
        <v/>
      </c>
      <c r="E642" s="4" t="str">
        <f>IFERROR(VLOOKUP(B642,infoTable__3[],4,FALSE),"")</f>
        <v/>
      </c>
      <c r="F642" s="4">
        <f>IFERROR(VLOOKUP(B642,infoTable__4[],4,FALSE),"")</f>
        <v>1847025</v>
      </c>
      <c r="G642" s="4">
        <f>IFERROR(VLOOKUP(B642,infoTable[],4,FALSE),"")</f>
        <v>241133</v>
      </c>
      <c r="H642" s="4" t="str">
        <f>IFERROR(VLOOKUP(B642,infoTable__6[],4,FALSE),"")</f>
        <v/>
      </c>
      <c r="I642" s="4" t="str">
        <f>IFERROR(VLOOKUP(B642,infoTable__28[],4,FALSE),"")</f>
        <v/>
      </c>
      <c r="J642" s="4" t="str">
        <f>IFERROR(VLOOKUP(B642,infoTable__10[],4,FALSE),"")</f>
        <v/>
      </c>
      <c r="K642" s="4" t="str">
        <f>IFERROR(VLOOKUP(B642,infoTable__11[],4,FALSE),"")</f>
        <v/>
      </c>
      <c r="L642" s="4" t="str">
        <f>IFERROR(VLOOKUP(B642,infoTable__12[],4,FALSE),"")</f>
        <v/>
      </c>
      <c r="M642" s="4" t="str">
        <f>IFERROR(VLOOKUP(B642,infoTable__13[],4,FALSE),"")</f>
        <v/>
      </c>
      <c r="N642" s="4" t="str">
        <f>IFERROR(VLOOKUP(B642,infoTable__14[],4,FALSE),"")</f>
        <v/>
      </c>
      <c r="O642" s="4" t="str">
        <f>IFERROR(VLOOKUP(B642,infoTable__15[],4,FALSE),"")</f>
        <v/>
      </c>
      <c r="P642" s="4" t="str">
        <f>IFERROR(VLOOKUP(B642,infoTable__16[],4,FALSE),"")</f>
        <v/>
      </c>
    </row>
    <row r="643" spans="1:16" x14ac:dyDescent="0.55000000000000004">
      <c r="A643" t="s">
        <v>1778</v>
      </c>
      <c r="B643" t="s">
        <v>1779</v>
      </c>
      <c r="C643" s="4" t="str">
        <f>IFERROR(VLOOKUP(B643,infoTable10[],4,FALSE),"")</f>
        <v/>
      </c>
      <c r="D643" s="4" t="str">
        <f>IFERROR(VLOOKUP(B643,infoTable__2[],4,FALSE),"")</f>
        <v/>
      </c>
      <c r="E643" s="4" t="str">
        <f>IFERROR(VLOOKUP(B643,infoTable__3[],4,FALSE),"")</f>
        <v/>
      </c>
      <c r="F643" s="4" t="str">
        <f>IFERROR(VLOOKUP(B643,infoTable__4[],4,FALSE),"")</f>
        <v/>
      </c>
      <c r="G643" s="4" t="str">
        <f>IFERROR(VLOOKUP(B643,infoTable[],4,FALSE),"")</f>
        <v/>
      </c>
      <c r="H643" s="4" t="str">
        <f>IFERROR(VLOOKUP(B643,infoTable__6[],4,FALSE),"")</f>
        <v/>
      </c>
      <c r="I643" s="4" t="str">
        <f>IFERROR(VLOOKUP(B643,infoTable__28[],4,FALSE),"")</f>
        <v/>
      </c>
      <c r="J643" s="4">
        <f>IFERROR(VLOOKUP(B643,infoTable__10[],4,FALSE),"")</f>
        <v>1525946</v>
      </c>
      <c r="K643" s="4">
        <f>IFERROR(VLOOKUP(B643,infoTable__11[],4,FALSE),"")</f>
        <v>914271</v>
      </c>
      <c r="L643" s="4" t="str">
        <f>IFERROR(VLOOKUP(B643,infoTable__12[],4,FALSE),"")</f>
        <v/>
      </c>
      <c r="M643" s="4" t="str">
        <f>IFERROR(VLOOKUP(B643,infoTable__13[],4,FALSE),"")</f>
        <v/>
      </c>
      <c r="N643" s="4">
        <f>IFERROR(VLOOKUP(B643,infoTable__14[],4,FALSE),"")</f>
        <v>557302</v>
      </c>
      <c r="O643" s="4" t="str">
        <f>IFERROR(VLOOKUP(B643,infoTable__15[],4,FALSE),"")</f>
        <v/>
      </c>
      <c r="P643" s="4" t="str">
        <f>IFERROR(VLOOKUP(B643,infoTable__16[],4,FALSE),"")</f>
        <v/>
      </c>
    </row>
    <row r="644" spans="1:16" x14ac:dyDescent="0.55000000000000004">
      <c r="A644" t="s">
        <v>2340</v>
      </c>
      <c r="B644" t="s">
        <v>2341</v>
      </c>
      <c r="C644" s="4" t="str">
        <f>IFERROR(VLOOKUP(B644,infoTable10[],4,FALSE),"")</f>
        <v/>
      </c>
      <c r="D644" s="4" t="str">
        <f>IFERROR(VLOOKUP(B644,infoTable__2[],4,FALSE),"")</f>
        <v/>
      </c>
      <c r="E644" s="4" t="str">
        <f>IFERROR(VLOOKUP(B644,infoTable__3[],4,FALSE),"")</f>
        <v/>
      </c>
      <c r="F644" s="4" t="str">
        <f>IFERROR(VLOOKUP(B644,infoTable__4[],4,FALSE),"")</f>
        <v/>
      </c>
      <c r="G644" s="4" t="str">
        <f>IFERROR(VLOOKUP(B644,infoTable[],4,FALSE),"")</f>
        <v/>
      </c>
      <c r="H644" s="4" t="str">
        <f>IFERROR(VLOOKUP(B644,infoTable__6[],4,FALSE),"")</f>
        <v/>
      </c>
      <c r="I644" s="4" t="str">
        <f>IFERROR(VLOOKUP(B644,infoTable__28[],4,FALSE),"")</f>
        <v/>
      </c>
      <c r="J644" s="4" t="str">
        <f>IFERROR(VLOOKUP(B644,infoTable__10[],4,FALSE),"")</f>
        <v/>
      </c>
      <c r="K644" s="4" t="str">
        <f>IFERROR(VLOOKUP(B644,infoTable__11[],4,FALSE),"")</f>
        <v/>
      </c>
      <c r="L644" s="4">
        <f>IFERROR(VLOOKUP(B644,infoTable__12[],4,FALSE),"")</f>
        <v>970486</v>
      </c>
      <c r="M644" s="4" t="str">
        <f>IFERROR(VLOOKUP(B644,infoTable__13[],4,FALSE),"")</f>
        <v/>
      </c>
      <c r="N644" s="4" t="str">
        <f>IFERROR(VLOOKUP(B644,infoTable__14[],4,FALSE),"")</f>
        <v/>
      </c>
      <c r="O644" s="4" t="str">
        <f>IFERROR(VLOOKUP(B644,infoTable__15[],4,FALSE),"")</f>
        <v/>
      </c>
      <c r="P644" s="4" t="str">
        <f>IFERROR(VLOOKUP(B644,infoTable__16[],4,FALSE),"")</f>
        <v/>
      </c>
    </row>
    <row r="645" spans="1:16" x14ac:dyDescent="0.55000000000000004">
      <c r="A645" t="s">
        <v>2009</v>
      </c>
      <c r="B645" t="s">
        <v>2010</v>
      </c>
      <c r="C645" s="4" t="str">
        <f>IFERROR(VLOOKUP(B645,infoTable10[],4,FALSE),"")</f>
        <v/>
      </c>
      <c r="D645" s="4" t="str">
        <f>IFERROR(VLOOKUP(B645,infoTable__2[],4,FALSE),"")</f>
        <v/>
      </c>
      <c r="E645" s="4" t="str">
        <f>IFERROR(VLOOKUP(B645,infoTable__3[],4,FALSE),"")</f>
        <v/>
      </c>
      <c r="F645" s="4" t="str">
        <f>IFERROR(VLOOKUP(B645,infoTable__4[],4,FALSE),"")</f>
        <v/>
      </c>
      <c r="G645" s="4" t="str">
        <f>IFERROR(VLOOKUP(B645,infoTable[],4,FALSE),"")</f>
        <v/>
      </c>
      <c r="H645" s="4" t="str">
        <f>IFERROR(VLOOKUP(B645,infoTable__6[],4,FALSE),"")</f>
        <v/>
      </c>
      <c r="I645" s="4" t="str">
        <f>IFERROR(VLOOKUP(B645,infoTable__28[],4,FALSE),"")</f>
        <v/>
      </c>
      <c r="J645" s="4" t="str">
        <f>IFERROR(VLOOKUP(B645,infoTable__10[],4,FALSE),"")</f>
        <v/>
      </c>
      <c r="K645" s="4">
        <f>IFERROR(VLOOKUP(B645,infoTable__11[],4,FALSE),"")</f>
        <v>1065480</v>
      </c>
      <c r="L645" s="4">
        <f>IFERROR(VLOOKUP(B645,infoTable__12[],4,FALSE),"")</f>
        <v>1549486</v>
      </c>
      <c r="M645" s="4">
        <f>IFERROR(VLOOKUP(B645,infoTable__13[],4,FALSE),"")</f>
        <v>2105969</v>
      </c>
      <c r="N645" s="4">
        <f>IFERROR(VLOOKUP(B645,infoTable__14[],4,FALSE),"")</f>
        <v>3087192</v>
      </c>
      <c r="O645" s="4">
        <f>IFERROR(VLOOKUP(B645,infoTable__15[],4,FALSE),"")</f>
        <v>2306906</v>
      </c>
      <c r="P645" s="4">
        <f>IFERROR(VLOOKUP(B645,infoTable__16[],4,FALSE),"")</f>
        <v>2632647</v>
      </c>
    </row>
    <row r="646" spans="1:16" x14ac:dyDescent="0.55000000000000004">
      <c r="A646" t="s">
        <v>2342</v>
      </c>
      <c r="B646" t="s">
        <v>2343</v>
      </c>
      <c r="C646" s="4" t="str">
        <f>IFERROR(VLOOKUP(B646,infoTable10[],4,FALSE),"")</f>
        <v/>
      </c>
      <c r="D646" s="4" t="str">
        <f>IFERROR(VLOOKUP(B646,infoTable__2[],4,FALSE),"")</f>
        <v/>
      </c>
      <c r="E646" s="4" t="str">
        <f>IFERROR(VLOOKUP(B646,infoTable__3[],4,FALSE),"")</f>
        <v/>
      </c>
      <c r="F646" s="4" t="str">
        <f>IFERROR(VLOOKUP(B646,infoTable__4[],4,FALSE),"")</f>
        <v/>
      </c>
      <c r="G646" s="4" t="str">
        <f>IFERROR(VLOOKUP(B646,infoTable[],4,FALSE),"")</f>
        <v/>
      </c>
      <c r="H646" s="4" t="str">
        <f>IFERROR(VLOOKUP(B646,infoTable__6[],4,FALSE),"")</f>
        <v/>
      </c>
      <c r="I646" s="4" t="str">
        <f>IFERROR(VLOOKUP(B646,infoTable__28[],4,FALSE),"")</f>
        <v/>
      </c>
      <c r="J646" s="4" t="str">
        <f>IFERROR(VLOOKUP(B646,infoTable__10[],4,FALSE),"")</f>
        <v/>
      </c>
      <c r="K646" s="4" t="str">
        <f>IFERROR(VLOOKUP(B646,infoTable__11[],4,FALSE),"")</f>
        <v/>
      </c>
      <c r="L646" s="4">
        <f>IFERROR(VLOOKUP(B646,infoTable__12[],4,FALSE),"")</f>
        <v>716920</v>
      </c>
      <c r="M646" s="4" t="str">
        <f>IFERROR(VLOOKUP(B646,infoTable__13[],4,FALSE),"")</f>
        <v/>
      </c>
      <c r="N646" s="4" t="str">
        <f>IFERROR(VLOOKUP(B646,infoTable__14[],4,FALSE),"")</f>
        <v/>
      </c>
      <c r="O646" s="4" t="str">
        <f>IFERROR(VLOOKUP(B646,infoTable__15[],4,FALSE),"")</f>
        <v/>
      </c>
      <c r="P646" s="4" t="str">
        <f>IFERROR(VLOOKUP(B646,infoTable__16[],4,FALSE),"")</f>
        <v/>
      </c>
    </row>
    <row r="647" spans="1:16" x14ac:dyDescent="0.55000000000000004">
      <c r="A647" t="s">
        <v>2755</v>
      </c>
      <c r="B647" t="s">
        <v>2754</v>
      </c>
      <c r="C647" s="4" t="str">
        <f>IFERROR(VLOOKUP(B647,infoTable10[],4,FALSE),"")</f>
        <v/>
      </c>
      <c r="D647" s="4" t="str">
        <f>IFERROR(VLOOKUP(B647,infoTable__2[],4,FALSE),"")</f>
        <v/>
      </c>
      <c r="E647" s="4" t="str">
        <f>IFERROR(VLOOKUP(B647,infoTable__3[],4,FALSE),"")</f>
        <v/>
      </c>
      <c r="F647" s="4" t="str">
        <f>IFERROR(VLOOKUP(B647,infoTable__4[],4,FALSE),"")</f>
        <v/>
      </c>
      <c r="G647" s="4" t="str">
        <f>IFERROR(VLOOKUP(B647,infoTable[],4,FALSE),"")</f>
        <v/>
      </c>
      <c r="H647" s="4" t="str">
        <f>IFERROR(VLOOKUP(B647,infoTable__6[],4,FALSE),"")</f>
        <v/>
      </c>
      <c r="I647" s="4" t="str">
        <f>IFERROR(VLOOKUP(B647,infoTable__28[],4,FALSE),"")</f>
        <v/>
      </c>
      <c r="J647" s="4" t="str">
        <f>IFERROR(VLOOKUP(B647,infoTable__10[],4,FALSE),"")</f>
        <v/>
      </c>
      <c r="K647" s="4" t="str">
        <f>IFERROR(VLOOKUP(B647,infoTable__11[],4,FALSE),"")</f>
        <v/>
      </c>
      <c r="L647" s="4" t="str">
        <f>IFERROR(VLOOKUP(B647,infoTable__12[],4,FALSE),"")</f>
        <v/>
      </c>
      <c r="M647" s="4" t="str">
        <f>IFERROR(VLOOKUP(B647,infoTable__13[],4,FALSE),"")</f>
        <v/>
      </c>
      <c r="N647" s="4">
        <f>IFERROR(VLOOKUP(B647,infoTable__14[],4,FALSE),"")</f>
        <v>207202</v>
      </c>
      <c r="O647" s="4" t="str">
        <f>IFERROR(VLOOKUP(B647,infoTable__15[],4,FALSE),"")</f>
        <v/>
      </c>
      <c r="P647" s="4" t="str">
        <f>IFERROR(VLOOKUP(B647,infoTable__16[],4,FALSE),"")</f>
        <v/>
      </c>
    </row>
    <row r="648" spans="1:16" x14ac:dyDescent="0.55000000000000004">
      <c r="A648" t="s">
        <v>2757</v>
      </c>
      <c r="B648" t="s">
        <v>2756</v>
      </c>
      <c r="C648" s="4" t="str">
        <f>IFERROR(VLOOKUP(B648,infoTable10[],4,FALSE),"")</f>
        <v/>
      </c>
      <c r="D648" s="4" t="str">
        <f>IFERROR(VLOOKUP(B648,infoTable__2[],4,FALSE),"")</f>
        <v/>
      </c>
      <c r="E648" s="4" t="str">
        <f>IFERROR(VLOOKUP(B648,infoTable__3[],4,FALSE),"")</f>
        <v/>
      </c>
      <c r="F648" s="4" t="str">
        <f>IFERROR(VLOOKUP(B648,infoTable__4[],4,FALSE),"")</f>
        <v/>
      </c>
      <c r="G648" s="4" t="str">
        <f>IFERROR(VLOOKUP(B648,infoTable[],4,FALSE),"")</f>
        <v/>
      </c>
      <c r="H648" s="4" t="str">
        <f>IFERROR(VLOOKUP(B648,infoTable__6[],4,FALSE),"")</f>
        <v/>
      </c>
      <c r="I648" s="4" t="str">
        <f>IFERROR(VLOOKUP(B648,infoTable__28[],4,FALSE),"")</f>
        <v/>
      </c>
      <c r="J648" s="4" t="str">
        <f>IFERROR(VLOOKUP(B648,infoTable__10[],4,FALSE),"")</f>
        <v/>
      </c>
      <c r="K648" s="4" t="str">
        <f>IFERROR(VLOOKUP(B648,infoTable__11[],4,FALSE),"")</f>
        <v/>
      </c>
      <c r="L648" s="4" t="str">
        <f>IFERROR(VLOOKUP(B648,infoTable__12[],4,FALSE),"")</f>
        <v/>
      </c>
      <c r="M648" s="4" t="str">
        <f>IFERROR(VLOOKUP(B648,infoTable__13[],4,FALSE),"")</f>
        <v/>
      </c>
      <c r="N648" s="4">
        <f>IFERROR(VLOOKUP(B648,infoTable__14[],4,FALSE),"")</f>
        <v>2018858</v>
      </c>
      <c r="O648" s="4">
        <f>IFERROR(VLOOKUP(B648,infoTable__15[],4,FALSE),"")</f>
        <v>764343</v>
      </c>
      <c r="P648" s="4">
        <f>IFERROR(VLOOKUP(B648,infoTable__16[],4,FALSE),"")</f>
        <v>546195</v>
      </c>
    </row>
    <row r="649" spans="1:16" x14ac:dyDescent="0.55000000000000004">
      <c r="A649" t="s">
        <v>1420</v>
      </c>
      <c r="B649" t="s">
        <v>1421</v>
      </c>
      <c r="C649" s="4" t="str">
        <f>IFERROR(VLOOKUP(B649,infoTable10[],4,FALSE),"")</f>
        <v/>
      </c>
      <c r="D649" s="4" t="str">
        <f>IFERROR(VLOOKUP(B649,infoTable__2[],4,FALSE),"")</f>
        <v/>
      </c>
      <c r="E649" s="4" t="str">
        <f>IFERROR(VLOOKUP(B649,infoTable__3[],4,FALSE),"")</f>
        <v/>
      </c>
      <c r="F649" s="4" t="str">
        <f>IFERROR(VLOOKUP(B649,infoTable__4[],4,FALSE),"")</f>
        <v/>
      </c>
      <c r="G649" s="4" t="str">
        <f>IFERROR(VLOOKUP(B649,infoTable[],4,FALSE),"")</f>
        <v/>
      </c>
      <c r="H649" s="4" t="str">
        <f>IFERROR(VLOOKUP(B649,infoTable__6[],4,FALSE),"")</f>
        <v/>
      </c>
      <c r="I649" s="4">
        <f>IFERROR(VLOOKUP(B649,infoTable__28[],4,FALSE),"")</f>
        <v>307557</v>
      </c>
      <c r="J649" s="4" t="str">
        <f>IFERROR(VLOOKUP(B649,infoTable__10[],4,FALSE),"")</f>
        <v/>
      </c>
      <c r="K649" s="4" t="str">
        <f>IFERROR(VLOOKUP(B649,infoTable__11[],4,FALSE),"")</f>
        <v/>
      </c>
      <c r="L649" s="4" t="str">
        <f>IFERROR(VLOOKUP(B649,infoTable__12[],4,FALSE),"")</f>
        <v/>
      </c>
      <c r="M649" s="4" t="str">
        <f>IFERROR(VLOOKUP(B649,infoTable__13[],4,FALSE),"")</f>
        <v/>
      </c>
      <c r="N649" s="4" t="str">
        <f>IFERROR(VLOOKUP(B649,infoTable__14[],4,FALSE),"")</f>
        <v/>
      </c>
      <c r="O649" s="4">
        <f>IFERROR(VLOOKUP(B649,infoTable__15[],4,FALSE),"")</f>
        <v>1280879</v>
      </c>
      <c r="P649" s="4">
        <f>IFERROR(VLOOKUP(B649,infoTable__16[],4,FALSE),"")</f>
        <v>2623427</v>
      </c>
    </row>
    <row r="650" spans="1:16" x14ac:dyDescent="0.55000000000000004">
      <c r="A650" t="s">
        <v>1422</v>
      </c>
      <c r="B650" t="s">
        <v>1423</v>
      </c>
      <c r="C650" s="4" t="str">
        <f>IFERROR(VLOOKUP(B650,infoTable10[],4,FALSE),"")</f>
        <v/>
      </c>
      <c r="D650" s="4" t="str">
        <f>IFERROR(VLOOKUP(B650,infoTable__2[],4,FALSE),"")</f>
        <v/>
      </c>
      <c r="E650" s="4" t="str">
        <f>IFERROR(VLOOKUP(B650,infoTable__3[],4,FALSE),"")</f>
        <v/>
      </c>
      <c r="F650" s="4" t="str">
        <f>IFERROR(VLOOKUP(B650,infoTable__4[],4,FALSE),"")</f>
        <v/>
      </c>
      <c r="G650" s="4" t="str">
        <f>IFERROR(VLOOKUP(B650,infoTable[],4,FALSE),"")</f>
        <v/>
      </c>
      <c r="H650" s="4" t="str">
        <f>IFERROR(VLOOKUP(B650,infoTable__6[],4,FALSE),"")</f>
        <v/>
      </c>
      <c r="I650" s="4">
        <f>IFERROR(VLOOKUP(B650,infoTable__28[],4,FALSE),"")</f>
        <v>861622</v>
      </c>
      <c r="J650" s="4" t="str">
        <f>IFERROR(VLOOKUP(B650,infoTable__10[],4,FALSE),"")</f>
        <v/>
      </c>
      <c r="K650" s="4" t="str">
        <f>IFERROR(VLOOKUP(B650,infoTable__11[],4,FALSE),"")</f>
        <v/>
      </c>
      <c r="L650" s="4" t="str">
        <f>IFERROR(VLOOKUP(B650,infoTable__12[],4,FALSE),"")</f>
        <v/>
      </c>
      <c r="M650" s="4" t="str">
        <f>IFERROR(VLOOKUP(B650,infoTable__13[],4,FALSE),"")</f>
        <v/>
      </c>
      <c r="N650" s="4" t="str">
        <f>IFERROR(VLOOKUP(B650,infoTable__14[],4,FALSE),"")</f>
        <v/>
      </c>
      <c r="O650" s="4" t="str">
        <f>IFERROR(VLOOKUP(B650,infoTable__15[],4,FALSE),"")</f>
        <v/>
      </c>
      <c r="P650" s="4" t="str">
        <f>IFERROR(VLOOKUP(B650,infoTable__16[],4,FALSE),"")</f>
        <v/>
      </c>
    </row>
    <row r="651" spans="1:16" x14ac:dyDescent="0.55000000000000004">
      <c r="A651" t="s">
        <v>1424</v>
      </c>
      <c r="B651" t="s">
        <v>1425</v>
      </c>
      <c r="C651" s="4" t="str">
        <f>IFERROR(VLOOKUP(B651,infoTable10[],4,FALSE),"")</f>
        <v/>
      </c>
      <c r="D651" s="4" t="str">
        <f>IFERROR(VLOOKUP(B651,infoTable__2[],4,FALSE),"")</f>
        <v/>
      </c>
      <c r="E651" s="4" t="str">
        <f>IFERROR(VLOOKUP(B651,infoTable__3[],4,FALSE),"")</f>
        <v/>
      </c>
      <c r="F651" s="4" t="str">
        <f>IFERROR(VLOOKUP(B651,infoTable__4[],4,FALSE),"")</f>
        <v/>
      </c>
      <c r="G651" s="4" t="str">
        <f>IFERROR(VLOOKUP(B651,infoTable[],4,FALSE),"")</f>
        <v/>
      </c>
      <c r="H651" s="4" t="str">
        <f>IFERROR(VLOOKUP(B651,infoTable__6[],4,FALSE),"")</f>
        <v/>
      </c>
      <c r="I651" s="4">
        <f>IFERROR(VLOOKUP(B651,infoTable__28[],4,FALSE),"")</f>
        <v>3356991</v>
      </c>
      <c r="J651" s="4" t="str">
        <f>IFERROR(VLOOKUP(B651,infoTable__10[],4,FALSE),"")</f>
        <v/>
      </c>
      <c r="K651" s="4" t="str">
        <f>IFERROR(VLOOKUP(B651,infoTable__11[],4,FALSE),"")</f>
        <v/>
      </c>
      <c r="L651" s="4" t="str">
        <f>IFERROR(VLOOKUP(B651,infoTable__12[],4,FALSE),"")</f>
        <v/>
      </c>
      <c r="M651" s="4" t="str">
        <f>IFERROR(VLOOKUP(B651,infoTable__13[],4,FALSE),"")</f>
        <v/>
      </c>
      <c r="N651" s="4" t="str">
        <f>IFERROR(VLOOKUP(B651,infoTable__14[],4,FALSE),"")</f>
        <v/>
      </c>
      <c r="O651" s="4">
        <f>IFERROR(VLOOKUP(B651,infoTable__15[],4,FALSE),"")</f>
        <v>2564078</v>
      </c>
      <c r="P651" s="4">
        <f>IFERROR(VLOOKUP(B651,infoTable__16[],4,FALSE),"")</f>
        <v>1176441</v>
      </c>
    </row>
    <row r="652" spans="1:16" x14ac:dyDescent="0.55000000000000004">
      <c r="A652" t="s">
        <v>3525</v>
      </c>
      <c r="B652" t="s">
        <v>3526</v>
      </c>
      <c r="C652" s="4" t="str">
        <f>IFERROR(VLOOKUP(B652,infoTable10[],4,FALSE),"")</f>
        <v/>
      </c>
      <c r="D652" s="4" t="str">
        <f>IFERROR(VLOOKUP(B652,infoTable__2[],4,FALSE),"")</f>
        <v/>
      </c>
      <c r="E652" s="4" t="str">
        <f>IFERROR(VLOOKUP(B652,infoTable__3[],4,FALSE),"")</f>
        <v/>
      </c>
      <c r="F652" s="4" t="str">
        <f>IFERROR(VLOOKUP(B652,infoTable__4[],4,FALSE),"")</f>
        <v/>
      </c>
      <c r="G652" s="4" t="str">
        <f>IFERROR(VLOOKUP(B652,infoTable[],4,FALSE),"")</f>
        <v/>
      </c>
      <c r="H652" s="4" t="str">
        <f>IFERROR(VLOOKUP(B652,infoTable__6[],4,FALSE),"")</f>
        <v/>
      </c>
      <c r="I652" s="4" t="str">
        <f>IFERROR(VLOOKUP(B652,infoTable__28[],4,FALSE),"")</f>
        <v/>
      </c>
      <c r="J652" s="4" t="str">
        <f>IFERROR(VLOOKUP(B652,infoTable__10[],4,FALSE),"")</f>
        <v/>
      </c>
      <c r="K652" s="4" t="str">
        <f>IFERROR(VLOOKUP(B652,infoTable__11[],4,FALSE),"")</f>
        <v/>
      </c>
      <c r="L652" s="4" t="str">
        <f>IFERROR(VLOOKUP(B652,infoTable__12[],4,FALSE),"")</f>
        <v/>
      </c>
      <c r="M652" s="4" t="str">
        <f>IFERROR(VLOOKUP(B652,infoTable__13[],4,FALSE),"")</f>
        <v/>
      </c>
      <c r="N652" s="4" t="str">
        <f>IFERROR(VLOOKUP(B652,infoTable__14[],4,FALSE),"")</f>
        <v/>
      </c>
      <c r="O652" s="4" t="str">
        <f>IFERROR(VLOOKUP(B652,infoTable__15[],4,FALSE),"")</f>
        <v/>
      </c>
      <c r="P652" s="4">
        <f>IFERROR(VLOOKUP(B652,infoTable__16[],4,FALSE),"")</f>
        <v>287893</v>
      </c>
    </row>
    <row r="653" spans="1:16" x14ac:dyDescent="0.55000000000000004">
      <c r="A653" t="s">
        <v>2348</v>
      </c>
      <c r="B653" t="s">
        <v>2349</v>
      </c>
      <c r="C653" s="4" t="str">
        <f>IFERROR(VLOOKUP(B653,infoTable10[],4,FALSE),"")</f>
        <v/>
      </c>
      <c r="D653" s="4" t="str">
        <f>IFERROR(VLOOKUP(B653,infoTable__2[],4,FALSE),"")</f>
        <v/>
      </c>
      <c r="E653" s="4" t="str">
        <f>IFERROR(VLOOKUP(B653,infoTable__3[],4,FALSE),"")</f>
        <v/>
      </c>
      <c r="F653" s="4" t="str">
        <f>IFERROR(VLOOKUP(B653,infoTable__4[],4,FALSE),"")</f>
        <v/>
      </c>
      <c r="G653" s="4" t="str">
        <f>IFERROR(VLOOKUP(B653,infoTable[],4,FALSE),"")</f>
        <v/>
      </c>
      <c r="H653" s="4" t="str">
        <f>IFERROR(VLOOKUP(B653,infoTable__6[],4,FALSE),"")</f>
        <v/>
      </c>
      <c r="I653" s="4" t="str">
        <f>IFERROR(VLOOKUP(B653,infoTable__28[],4,FALSE),"")</f>
        <v/>
      </c>
      <c r="J653" s="4" t="str">
        <f>IFERROR(VLOOKUP(B653,infoTable__10[],4,FALSE),"")</f>
        <v/>
      </c>
      <c r="K653" s="4" t="str">
        <f>IFERROR(VLOOKUP(B653,infoTable__11[],4,FALSE),"")</f>
        <v/>
      </c>
      <c r="L653" s="4">
        <f>IFERROR(VLOOKUP(B653,infoTable__12[],4,FALSE),"")</f>
        <v>984379</v>
      </c>
      <c r="M653" s="4">
        <f>IFERROR(VLOOKUP(B653,infoTable__13[],4,FALSE),"")</f>
        <v>1812617</v>
      </c>
      <c r="N653" s="4" t="str">
        <f>IFERROR(VLOOKUP(B653,infoTable__14[],4,FALSE),"")</f>
        <v/>
      </c>
      <c r="O653" s="4" t="str">
        <f>IFERROR(VLOOKUP(B653,infoTable__15[],4,FALSE),"")</f>
        <v/>
      </c>
      <c r="P653" s="4" t="str">
        <f>IFERROR(VLOOKUP(B653,infoTable__16[],4,FALSE),"")</f>
        <v/>
      </c>
    </row>
    <row r="654" spans="1:16" x14ac:dyDescent="0.55000000000000004">
      <c r="A654" t="s">
        <v>2352</v>
      </c>
      <c r="B654" t="s">
        <v>2353</v>
      </c>
      <c r="C654" s="4" t="str">
        <f>IFERROR(VLOOKUP(B654,infoTable10[],4,FALSE),"")</f>
        <v/>
      </c>
      <c r="D654" s="4" t="str">
        <f>IFERROR(VLOOKUP(B654,infoTable__2[],4,FALSE),"")</f>
        <v/>
      </c>
      <c r="E654" s="4" t="str">
        <f>IFERROR(VLOOKUP(B654,infoTable__3[],4,FALSE),"")</f>
        <v/>
      </c>
      <c r="F654" s="4" t="str">
        <f>IFERROR(VLOOKUP(B654,infoTable__4[],4,FALSE),"")</f>
        <v/>
      </c>
      <c r="G654" s="4" t="str">
        <f>IFERROR(VLOOKUP(B654,infoTable[],4,FALSE),"")</f>
        <v/>
      </c>
      <c r="H654" s="4" t="str">
        <f>IFERROR(VLOOKUP(B654,infoTable__6[],4,FALSE),"")</f>
        <v/>
      </c>
      <c r="I654" s="4" t="str">
        <f>IFERROR(VLOOKUP(B654,infoTable__28[],4,FALSE),"")</f>
        <v/>
      </c>
      <c r="J654" s="4" t="str">
        <f>IFERROR(VLOOKUP(B654,infoTable__10[],4,FALSE),"")</f>
        <v/>
      </c>
      <c r="K654" s="4" t="str">
        <f>IFERROR(VLOOKUP(B654,infoTable__11[],4,FALSE),"")</f>
        <v/>
      </c>
      <c r="L654" s="4">
        <f>IFERROR(VLOOKUP(B654,infoTable__12[],4,FALSE),"")</f>
        <v>2620274</v>
      </c>
      <c r="M654" s="4" t="str">
        <f>IFERROR(VLOOKUP(B654,infoTable__13[],4,FALSE),"")</f>
        <v/>
      </c>
      <c r="N654" s="4" t="str">
        <f>IFERROR(VLOOKUP(B654,infoTable__14[],4,FALSE),"")</f>
        <v/>
      </c>
      <c r="O654" s="4" t="str">
        <f>IFERROR(VLOOKUP(B654,infoTable__15[],4,FALSE),"")</f>
        <v/>
      </c>
      <c r="P654" s="4" t="str">
        <f>IFERROR(VLOOKUP(B654,infoTable__16[],4,FALSE),"")</f>
        <v/>
      </c>
    </row>
    <row r="655" spans="1:16" x14ac:dyDescent="0.55000000000000004">
      <c r="A655" t="s">
        <v>2366</v>
      </c>
      <c r="B655" t="s">
        <v>2367</v>
      </c>
      <c r="C655" s="4" t="str">
        <f>IFERROR(VLOOKUP(B655,infoTable10[],4,FALSE),"")</f>
        <v/>
      </c>
      <c r="D655" s="4" t="str">
        <f>IFERROR(VLOOKUP(B655,infoTable__2[],4,FALSE),"")</f>
        <v/>
      </c>
      <c r="E655" s="4" t="str">
        <f>IFERROR(VLOOKUP(B655,infoTable__3[],4,FALSE),"")</f>
        <v/>
      </c>
      <c r="F655" s="4" t="str">
        <f>IFERROR(VLOOKUP(B655,infoTable__4[],4,FALSE),"")</f>
        <v/>
      </c>
      <c r="G655" s="4" t="str">
        <f>IFERROR(VLOOKUP(B655,infoTable[],4,FALSE),"")</f>
        <v/>
      </c>
      <c r="H655" s="4" t="str">
        <f>IFERROR(VLOOKUP(B655,infoTable__6[],4,FALSE),"")</f>
        <v/>
      </c>
      <c r="I655" s="4" t="str">
        <f>IFERROR(VLOOKUP(B655,infoTable__28[],4,FALSE),"")</f>
        <v/>
      </c>
      <c r="J655" s="4" t="str">
        <f>IFERROR(VLOOKUP(B655,infoTable__10[],4,FALSE),"")</f>
        <v/>
      </c>
      <c r="K655" s="4" t="str">
        <f>IFERROR(VLOOKUP(B655,infoTable__11[],4,FALSE),"")</f>
        <v/>
      </c>
      <c r="L655" s="4">
        <f>IFERROR(VLOOKUP(B655,infoTable__12[],4,FALSE),"")</f>
        <v>1873528</v>
      </c>
      <c r="M655" s="4">
        <f>IFERROR(VLOOKUP(B655,infoTable__13[],4,FALSE),"")</f>
        <v>1231689</v>
      </c>
      <c r="N655" s="4" t="str">
        <f>IFERROR(VLOOKUP(B655,infoTable__14[],4,FALSE),"")</f>
        <v/>
      </c>
      <c r="O655" s="4" t="str">
        <f>IFERROR(VLOOKUP(B655,infoTable__15[],4,FALSE),"")</f>
        <v/>
      </c>
      <c r="P655" s="4">
        <f>IFERROR(VLOOKUP(B655,infoTable__16[],4,FALSE),"")</f>
        <v>1192320</v>
      </c>
    </row>
    <row r="656" spans="1:16" x14ac:dyDescent="0.55000000000000004">
      <c r="A656" t="s">
        <v>2354</v>
      </c>
      <c r="B656" t="s">
        <v>2355</v>
      </c>
      <c r="C656" s="4" t="str">
        <f>IFERROR(VLOOKUP(B656,infoTable10[],4,FALSE),"")</f>
        <v/>
      </c>
      <c r="D656" s="4" t="str">
        <f>IFERROR(VLOOKUP(B656,infoTable__2[],4,FALSE),"")</f>
        <v/>
      </c>
      <c r="E656" s="4" t="str">
        <f>IFERROR(VLOOKUP(B656,infoTable__3[],4,FALSE),"")</f>
        <v/>
      </c>
      <c r="F656" s="4" t="str">
        <f>IFERROR(VLOOKUP(B656,infoTable__4[],4,FALSE),"")</f>
        <v/>
      </c>
      <c r="G656" s="4" t="str">
        <f>IFERROR(VLOOKUP(B656,infoTable[],4,FALSE),"")</f>
        <v/>
      </c>
      <c r="H656" s="4" t="str">
        <f>IFERROR(VLOOKUP(B656,infoTable__6[],4,FALSE),"")</f>
        <v/>
      </c>
      <c r="I656" s="4" t="str">
        <f>IFERROR(VLOOKUP(B656,infoTable__28[],4,FALSE),"")</f>
        <v/>
      </c>
      <c r="J656" s="4" t="str">
        <f>IFERROR(VLOOKUP(B656,infoTable__10[],4,FALSE),"")</f>
        <v/>
      </c>
      <c r="K656" s="4" t="str">
        <f>IFERROR(VLOOKUP(B656,infoTable__11[],4,FALSE),"")</f>
        <v/>
      </c>
      <c r="L656" s="4">
        <f>IFERROR(VLOOKUP(B656,infoTable__12[],4,FALSE),"")</f>
        <v>203766</v>
      </c>
      <c r="M656" s="4">
        <f>IFERROR(VLOOKUP(B656,infoTable__13[],4,FALSE),"")</f>
        <v>200138</v>
      </c>
      <c r="N656" s="4">
        <f>IFERROR(VLOOKUP(B656,infoTable__14[],4,FALSE),"")</f>
        <v>201079</v>
      </c>
      <c r="O656" s="4">
        <f>IFERROR(VLOOKUP(B656,infoTable__15[],4,FALSE),"")</f>
        <v>873478</v>
      </c>
      <c r="P656" s="4">
        <f>IFERROR(VLOOKUP(B656,infoTable__16[],4,FALSE),"")</f>
        <v>828358</v>
      </c>
    </row>
    <row r="657" spans="1:16" x14ac:dyDescent="0.55000000000000004">
      <c r="A657" t="s">
        <v>424</v>
      </c>
      <c r="B657" t="s">
        <v>425</v>
      </c>
      <c r="C657" s="4" t="str">
        <f>IFERROR(VLOOKUP(B657,infoTable10[],4,FALSE),"")</f>
        <v/>
      </c>
      <c r="D657" s="4" t="str">
        <f>IFERROR(VLOOKUP(B657,infoTable__2[],4,FALSE),"")</f>
        <v/>
      </c>
      <c r="E657" s="4" t="str">
        <f>IFERROR(VLOOKUP(B657,infoTable__3[],4,FALSE),"")</f>
        <v/>
      </c>
      <c r="F657" s="4" t="str">
        <f>IFERROR(VLOOKUP(B657,infoTable__4[],4,FALSE),"")</f>
        <v/>
      </c>
      <c r="G657" s="4">
        <f>IFERROR(VLOOKUP(B657,infoTable[],4,FALSE),"")</f>
        <v>1169389</v>
      </c>
      <c r="H657" s="4">
        <f>IFERROR(VLOOKUP(B657,infoTable__6[],4,FALSE),"")</f>
        <v>1206274</v>
      </c>
      <c r="I657" s="4">
        <f>IFERROR(VLOOKUP(B657,infoTable__28[],4,FALSE),"")</f>
        <v>351537</v>
      </c>
      <c r="J657" s="4" t="str">
        <f>IFERROR(VLOOKUP(B657,infoTable__10[],4,FALSE),"")</f>
        <v/>
      </c>
      <c r="K657" s="4" t="str">
        <f>IFERROR(VLOOKUP(B657,infoTable__11[],4,FALSE),"")</f>
        <v/>
      </c>
      <c r="L657" s="4" t="str">
        <f>IFERROR(VLOOKUP(B657,infoTable__12[],4,FALSE),"")</f>
        <v/>
      </c>
      <c r="M657" s="4" t="str">
        <f>IFERROR(VLOOKUP(B657,infoTable__13[],4,FALSE),"")</f>
        <v/>
      </c>
      <c r="N657" s="4" t="str">
        <f>IFERROR(VLOOKUP(B657,infoTable__14[],4,FALSE),"")</f>
        <v/>
      </c>
      <c r="O657" s="4">
        <f>IFERROR(VLOOKUP(B657,infoTable__15[],4,FALSE),"")</f>
        <v>1495069</v>
      </c>
      <c r="P657" s="4" t="str">
        <f>IFERROR(VLOOKUP(B657,infoTable__16[],4,FALSE),"")</f>
        <v/>
      </c>
    </row>
    <row r="658" spans="1:16" x14ac:dyDescent="0.55000000000000004">
      <c r="A658" t="s">
        <v>1428</v>
      </c>
      <c r="B658" t="s">
        <v>1429</v>
      </c>
      <c r="C658" s="4" t="str">
        <f>IFERROR(VLOOKUP(B658,infoTable10[],4,FALSE),"")</f>
        <v/>
      </c>
      <c r="D658" s="4" t="str">
        <f>IFERROR(VLOOKUP(B658,infoTable__2[],4,FALSE),"")</f>
        <v/>
      </c>
      <c r="E658" s="4" t="str">
        <f>IFERROR(VLOOKUP(B658,infoTable__3[],4,FALSE),"")</f>
        <v/>
      </c>
      <c r="F658" s="4" t="str">
        <f>IFERROR(VLOOKUP(B658,infoTable__4[],4,FALSE),"")</f>
        <v/>
      </c>
      <c r="G658" s="4" t="str">
        <f>IFERROR(VLOOKUP(B658,infoTable[],4,FALSE),"")</f>
        <v/>
      </c>
      <c r="H658" s="4" t="str">
        <f>IFERROR(VLOOKUP(B658,infoTable__6[],4,FALSE),"")</f>
        <v/>
      </c>
      <c r="I658" s="4">
        <f>IFERROR(VLOOKUP(B658,infoTable__28[],4,FALSE),"")</f>
        <v>541993</v>
      </c>
      <c r="J658" s="4">
        <f>IFERROR(VLOOKUP(B658,infoTable__10[],4,FALSE),"")</f>
        <v>327956</v>
      </c>
      <c r="K658" s="4" t="str">
        <f>IFERROR(VLOOKUP(B658,infoTable__11[],4,FALSE),"")</f>
        <v/>
      </c>
      <c r="L658" s="4" t="str">
        <f>IFERROR(VLOOKUP(B658,infoTable__12[],4,FALSE),"")</f>
        <v/>
      </c>
      <c r="M658" s="4" t="str">
        <f>IFERROR(VLOOKUP(B658,infoTable__13[],4,FALSE),"")</f>
        <v/>
      </c>
      <c r="N658" s="4" t="str">
        <f>IFERROR(VLOOKUP(B658,infoTable__14[],4,FALSE),"")</f>
        <v/>
      </c>
      <c r="O658" s="4" t="str">
        <f>IFERROR(VLOOKUP(B658,infoTable__15[],4,FALSE),"")</f>
        <v/>
      </c>
      <c r="P658" s="4">
        <f>IFERROR(VLOOKUP(B658,infoTable__16[],4,FALSE),"")</f>
        <v>644975</v>
      </c>
    </row>
    <row r="659" spans="1:16" x14ac:dyDescent="0.55000000000000004">
      <c r="A659" t="s">
        <v>2604</v>
      </c>
      <c r="B659" t="s">
        <v>2605</v>
      </c>
      <c r="C659" s="4" t="str">
        <f>IFERROR(VLOOKUP(B659,infoTable10[],4,FALSE),"")</f>
        <v/>
      </c>
      <c r="D659" s="4" t="str">
        <f>IFERROR(VLOOKUP(B659,infoTable__2[],4,FALSE),"")</f>
        <v/>
      </c>
      <c r="E659" s="4" t="str">
        <f>IFERROR(VLOOKUP(B659,infoTable__3[],4,FALSE),"")</f>
        <v/>
      </c>
      <c r="F659" s="4" t="str">
        <f>IFERROR(VLOOKUP(B659,infoTable__4[],4,FALSE),"")</f>
        <v/>
      </c>
      <c r="G659" s="4" t="str">
        <f>IFERROR(VLOOKUP(B659,infoTable[],4,FALSE),"")</f>
        <v/>
      </c>
      <c r="H659" s="4" t="str">
        <f>IFERROR(VLOOKUP(B659,infoTable__6[],4,FALSE),"")</f>
        <v/>
      </c>
      <c r="I659" s="4" t="str">
        <f>IFERROR(VLOOKUP(B659,infoTable__28[],4,FALSE),"")</f>
        <v/>
      </c>
      <c r="J659" s="4" t="str">
        <f>IFERROR(VLOOKUP(B659,infoTable__10[],4,FALSE),"")</f>
        <v/>
      </c>
      <c r="K659" s="4" t="str">
        <f>IFERROR(VLOOKUP(B659,infoTable__11[],4,FALSE),"")</f>
        <v/>
      </c>
      <c r="L659" s="4" t="str">
        <f>IFERROR(VLOOKUP(B659,infoTable__12[],4,FALSE),"")</f>
        <v/>
      </c>
      <c r="M659" s="4">
        <f>IFERROR(VLOOKUP(B659,infoTable__13[],4,FALSE),"")</f>
        <v>454944</v>
      </c>
      <c r="N659" s="4">
        <f>IFERROR(VLOOKUP(B659,infoTable__14[],4,FALSE),"")</f>
        <v>708304</v>
      </c>
      <c r="O659" s="4" t="str">
        <f>IFERROR(VLOOKUP(B659,infoTable__15[],4,FALSE),"")</f>
        <v/>
      </c>
      <c r="P659" s="4" t="str">
        <f>IFERROR(VLOOKUP(B659,infoTable__16[],4,FALSE),"")</f>
        <v/>
      </c>
    </row>
    <row r="660" spans="1:16" x14ac:dyDescent="0.55000000000000004">
      <c r="A660" t="s">
        <v>3530</v>
      </c>
      <c r="B660" t="s">
        <v>3531</v>
      </c>
      <c r="C660" s="4" t="str">
        <f>IFERROR(VLOOKUP(B660,infoTable10[],4,FALSE),"")</f>
        <v/>
      </c>
      <c r="D660" s="4" t="str">
        <f>IFERROR(VLOOKUP(B660,infoTable__2[],4,FALSE),"")</f>
        <v/>
      </c>
      <c r="E660" s="4" t="str">
        <f>IFERROR(VLOOKUP(B660,infoTable__3[],4,FALSE),"")</f>
        <v/>
      </c>
      <c r="F660" s="4" t="str">
        <f>IFERROR(VLOOKUP(B660,infoTable__4[],4,FALSE),"")</f>
        <v/>
      </c>
      <c r="G660" s="4" t="str">
        <f>IFERROR(VLOOKUP(B660,infoTable[],4,FALSE),"")</f>
        <v/>
      </c>
      <c r="H660" s="4" t="str">
        <f>IFERROR(VLOOKUP(B660,infoTable__6[],4,FALSE),"")</f>
        <v/>
      </c>
      <c r="I660" s="4" t="str">
        <f>IFERROR(VLOOKUP(B660,infoTable__28[],4,FALSE),"")</f>
        <v/>
      </c>
      <c r="J660" s="4" t="str">
        <f>IFERROR(VLOOKUP(B660,infoTable__10[],4,FALSE),"")</f>
        <v/>
      </c>
      <c r="K660" s="4" t="str">
        <f>IFERROR(VLOOKUP(B660,infoTable__11[],4,FALSE),"")</f>
        <v/>
      </c>
      <c r="L660" s="4" t="str">
        <f>IFERROR(VLOOKUP(B660,infoTable__12[],4,FALSE),"")</f>
        <v/>
      </c>
      <c r="M660" s="4" t="str">
        <f>IFERROR(VLOOKUP(B660,infoTable__13[],4,FALSE),"")</f>
        <v/>
      </c>
      <c r="N660" s="4" t="str">
        <f>IFERROR(VLOOKUP(B660,infoTable__14[],4,FALSE),"")</f>
        <v/>
      </c>
      <c r="O660" s="4" t="str">
        <f>IFERROR(VLOOKUP(B660,infoTable__15[],4,FALSE),"")</f>
        <v/>
      </c>
      <c r="P660" s="4">
        <f>IFERROR(VLOOKUP(B660,infoTable__16[],4,FALSE),"")</f>
        <v>2590642</v>
      </c>
    </row>
    <row r="661" spans="1:16" x14ac:dyDescent="0.55000000000000004">
      <c r="A661" t="s">
        <v>2608</v>
      </c>
      <c r="B661" t="s">
        <v>2609</v>
      </c>
      <c r="C661" s="4" t="str">
        <f>IFERROR(VLOOKUP(B661,infoTable10[],4,FALSE),"")</f>
        <v/>
      </c>
      <c r="D661" s="4" t="str">
        <f>IFERROR(VLOOKUP(B661,infoTable__2[],4,FALSE),"")</f>
        <v/>
      </c>
      <c r="E661" s="4" t="str">
        <f>IFERROR(VLOOKUP(B661,infoTable__3[],4,FALSE),"")</f>
        <v/>
      </c>
      <c r="F661" s="4" t="str">
        <f>IFERROR(VLOOKUP(B661,infoTable__4[],4,FALSE),"")</f>
        <v/>
      </c>
      <c r="G661" s="4" t="str">
        <f>IFERROR(VLOOKUP(B661,infoTable[],4,FALSE),"")</f>
        <v/>
      </c>
      <c r="H661" s="4" t="str">
        <f>IFERROR(VLOOKUP(B661,infoTable__6[],4,FALSE),"")</f>
        <v/>
      </c>
      <c r="I661" s="4" t="str">
        <f>IFERROR(VLOOKUP(B661,infoTable__28[],4,FALSE),"")</f>
        <v/>
      </c>
      <c r="J661" s="4" t="str">
        <f>IFERROR(VLOOKUP(B661,infoTable__10[],4,FALSE),"")</f>
        <v/>
      </c>
      <c r="K661" s="4" t="str">
        <f>IFERROR(VLOOKUP(B661,infoTable__11[],4,FALSE),"")</f>
        <v/>
      </c>
      <c r="L661" s="4" t="str">
        <f>IFERROR(VLOOKUP(B661,infoTable__12[],4,FALSE),"")</f>
        <v/>
      </c>
      <c r="M661" s="4">
        <f>IFERROR(VLOOKUP(B661,infoTable__13[],4,FALSE),"")</f>
        <v>254434</v>
      </c>
      <c r="N661" s="4" t="str">
        <f>IFERROR(VLOOKUP(B661,infoTable__14[],4,FALSE),"")</f>
        <v/>
      </c>
      <c r="O661" s="4" t="str">
        <f>IFERROR(VLOOKUP(B661,infoTable__15[],4,FALSE),"")</f>
        <v/>
      </c>
      <c r="P661" s="4" t="str">
        <f>IFERROR(VLOOKUP(B661,infoTable__16[],4,FALSE),"")</f>
        <v/>
      </c>
    </row>
    <row r="662" spans="1:16" x14ac:dyDescent="0.55000000000000004">
      <c r="A662" t="s">
        <v>3532</v>
      </c>
      <c r="B662" t="s">
        <v>3533</v>
      </c>
      <c r="C662" s="4" t="str">
        <f>IFERROR(VLOOKUP(B662,infoTable10[],4,FALSE),"")</f>
        <v/>
      </c>
      <c r="D662" s="4" t="str">
        <f>IFERROR(VLOOKUP(B662,infoTable__2[],4,FALSE),"")</f>
        <v/>
      </c>
      <c r="E662" s="4" t="str">
        <f>IFERROR(VLOOKUP(B662,infoTable__3[],4,FALSE),"")</f>
        <v/>
      </c>
      <c r="F662" s="4" t="str">
        <f>IFERROR(VLOOKUP(B662,infoTable__4[],4,FALSE),"")</f>
        <v/>
      </c>
      <c r="G662" s="4" t="str">
        <f>IFERROR(VLOOKUP(B662,infoTable[],4,FALSE),"")</f>
        <v/>
      </c>
      <c r="H662" s="4" t="str">
        <f>IFERROR(VLOOKUP(B662,infoTable__6[],4,FALSE),"")</f>
        <v/>
      </c>
      <c r="I662" s="4" t="str">
        <f>IFERROR(VLOOKUP(B662,infoTable__28[],4,FALSE),"")</f>
        <v/>
      </c>
      <c r="J662" s="4" t="str">
        <f>IFERROR(VLOOKUP(B662,infoTable__10[],4,FALSE),"")</f>
        <v/>
      </c>
      <c r="K662" s="4" t="str">
        <f>IFERROR(VLOOKUP(B662,infoTable__11[],4,FALSE),"")</f>
        <v/>
      </c>
      <c r="L662" s="4" t="str">
        <f>IFERROR(VLOOKUP(B662,infoTable__12[],4,FALSE),"")</f>
        <v/>
      </c>
      <c r="M662" s="4" t="str">
        <f>IFERROR(VLOOKUP(B662,infoTable__13[],4,FALSE),"")</f>
        <v/>
      </c>
      <c r="N662" s="4" t="str">
        <f>IFERROR(VLOOKUP(B662,infoTable__14[],4,FALSE),"")</f>
        <v/>
      </c>
      <c r="O662" s="4" t="str">
        <f>IFERROR(VLOOKUP(B662,infoTable__15[],4,FALSE),"")</f>
        <v/>
      </c>
      <c r="P662" s="4">
        <f>IFERROR(VLOOKUP(B662,infoTable__16[],4,FALSE),"")</f>
        <v>252569</v>
      </c>
    </row>
    <row r="663" spans="1:16" x14ac:dyDescent="0.55000000000000004">
      <c r="A663" t="s">
        <v>1780</v>
      </c>
      <c r="B663" t="s">
        <v>1781</v>
      </c>
      <c r="C663" s="4" t="str">
        <f>IFERROR(VLOOKUP(B663,infoTable10[],4,FALSE),"")</f>
        <v/>
      </c>
      <c r="D663" s="4" t="str">
        <f>IFERROR(VLOOKUP(B663,infoTable__2[],4,FALSE),"")</f>
        <v/>
      </c>
      <c r="E663" s="4" t="str">
        <f>IFERROR(VLOOKUP(B663,infoTable__3[],4,FALSE),"")</f>
        <v/>
      </c>
      <c r="F663" s="4" t="str">
        <f>IFERROR(VLOOKUP(B663,infoTable__4[],4,FALSE),"")</f>
        <v/>
      </c>
      <c r="G663" s="4" t="str">
        <f>IFERROR(VLOOKUP(B663,infoTable[],4,FALSE),"")</f>
        <v/>
      </c>
      <c r="H663" s="4" t="str">
        <f>IFERROR(VLOOKUP(B663,infoTable__6[],4,FALSE),"")</f>
        <v/>
      </c>
      <c r="I663" s="4" t="str">
        <f>IFERROR(VLOOKUP(B663,infoTable__28[],4,FALSE),"")</f>
        <v/>
      </c>
      <c r="J663" s="4">
        <f>IFERROR(VLOOKUP(B663,infoTable__10[],4,FALSE),"")</f>
        <v>847310</v>
      </c>
      <c r="K663" s="4" t="str">
        <f>IFERROR(VLOOKUP(B663,infoTable__11[],4,FALSE),"")</f>
        <v/>
      </c>
      <c r="L663" s="4" t="str">
        <f>IFERROR(VLOOKUP(B663,infoTable__12[],4,FALSE),"")</f>
        <v/>
      </c>
      <c r="M663" s="4" t="str">
        <f>IFERROR(VLOOKUP(B663,infoTable__13[],4,FALSE),"")</f>
        <v/>
      </c>
      <c r="N663" s="4" t="str">
        <f>IFERROR(VLOOKUP(B663,infoTable__14[],4,FALSE),"")</f>
        <v/>
      </c>
      <c r="O663" s="4" t="str">
        <f>IFERROR(VLOOKUP(B663,infoTable__15[],4,FALSE),"")</f>
        <v/>
      </c>
      <c r="P663" s="4" t="str">
        <f>IFERROR(VLOOKUP(B663,infoTable__16[],4,FALSE),"")</f>
        <v/>
      </c>
    </row>
    <row r="664" spans="1:16" x14ac:dyDescent="0.55000000000000004">
      <c r="A664" t="s">
        <v>2022</v>
      </c>
      <c r="B664" t="s">
        <v>2023</v>
      </c>
      <c r="C664" s="4" t="str">
        <f>IFERROR(VLOOKUP(B664,infoTable10[],4,FALSE),"")</f>
        <v/>
      </c>
      <c r="D664" s="4" t="str">
        <f>IFERROR(VLOOKUP(B664,infoTable__2[],4,FALSE),"")</f>
        <v/>
      </c>
      <c r="E664" s="4" t="str">
        <f>IFERROR(VLOOKUP(B664,infoTable__3[],4,FALSE),"")</f>
        <v/>
      </c>
      <c r="F664" s="4" t="str">
        <f>IFERROR(VLOOKUP(B664,infoTable__4[],4,FALSE),"")</f>
        <v/>
      </c>
      <c r="G664" s="4" t="str">
        <f>IFERROR(VLOOKUP(B664,infoTable[],4,FALSE),"")</f>
        <v/>
      </c>
      <c r="H664" s="4" t="str">
        <f>IFERROR(VLOOKUP(B664,infoTable__6[],4,FALSE),"")</f>
        <v/>
      </c>
      <c r="I664" s="4" t="str">
        <f>IFERROR(VLOOKUP(B664,infoTable__28[],4,FALSE),"")</f>
        <v/>
      </c>
      <c r="J664" s="4" t="str">
        <f>IFERROR(VLOOKUP(B664,infoTable__10[],4,FALSE),"")</f>
        <v/>
      </c>
      <c r="K664" s="4">
        <f>IFERROR(VLOOKUP(B664,infoTable__11[],4,FALSE),"")</f>
        <v>240807</v>
      </c>
      <c r="L664" s="4">
        <f>IFERROR(VLOOKUP(B664,infoTable__12[],4,FALSE),"")</f>
        <v>4442118</v>
      </c>
      <c r="M664" s="4">
        <f>IFERROR(VLOOKUP(B664,infoTable__13[],4,FALSE),"")</f>
        <v>5813962</v>
      </c>
      <c r="N664" s="4" t="str">
        <f>IFERROR(VLOOKUP(B664,infoTable__14[],4,FALSE),"")</f>
        <v/>
      </c>
      <c r="O664" s="4" t="str">
        <f>IFERROR(VLOOKUP(B664,infoTable__15[],4,FALSE),"")</f>
        <v/>
      </c>
      <c r="P664" s="4" t="str">
        <f>IFERROR(VLOOKUP(B664,infoTable__16[],4,FALSE),"")</f>
        <v/>
      </c>
    </row>
    <row r="665" spans="1:16" x14ac:dyDescent="0.55000000000000004">
      <c r="A665" t="s">
        <v>2362</v>
      </c>
      <c r="B665" t="s">
        <v>2363</v>
      </c>
      <c r="C665" s="4" t="str">
        <f>IFERROR(VLOOKUP(B665,infoTable10[],4,FALSE),"")</f>
        <v/>
      </c>
      <c r="D665" s="4" t="str">
        <f>IFERROR(VLOOKUP(B665,infoTable__2[],4,FALSE),"")</f>
        <v/>
      </c>
      <c r="E665" s="4" t="str">
        <f>IFERROR(VLOOKUP(B665,infoTable__3[],4,FALSE),"")</f>
        <v/>
      </c>
      <c r="F665" s="4" t="str">
        <f>IFERROR(VLOOKUP(B665,infoTable__4[],4,FALSE),"")</f>
        <v/>
      </c>
      <c r="G665" s="4" t="str">
        <f>IFERROR(VLOOKUP(B665,infoTable[],4,FALSE),"")</f>
        <v/>
      </c>
      <c r="H665" s="4" t="str">
        <f>IFERROR(VLOOKUP(B665,infoTable__6[],4,FALSE),"")</f>
        <v/>
      </c>
      <c r="I665" s="4" t="str">
        <f>IFERROR(VLOOKUP(B665,infoTable__28[],4,FALSE),"")</f>
        <v/>
      </c>
      <c r="J665" s="4" t="str">
        <f>IFERROR(VLOOKUP(B665,infoTable__10[],4,FALSE),"")</f>
        <v/>
      </c>
      <c r="K665" s="4" t="str">
        <f>IFERROR(VLOOKUP(B665,infoTable__11[],4,FALSE),"")</f>
        <v/>
      </c>
      <c r="L665" s="4">
        <f>IFERROR(VLOOKUP(B665,infoTable__12[],4,FALSE),"")</f>
        <v>1054614</v>
      </c>
      <c r="M665" s="4">
        <f>IFERROR(VLOOKUP(B665,infoTable__13[],4,FALSE),"")</f>
        <v>473945</v>
      </c>
      <c r="N665" s="4" t="str">
        <f>IFERROR(VLOOKUP(B665,infoTable__14[],4,FALSE),"")</f>
        <v/>
      </c>
      <c r="O665" s="4">
        <f>IFERROR(VLOOKUP(B665,infoTable__15[],4,FALSE),"")</f>
        <v>1035264</v>
      </c>
      <c r="P665" s="4">
        <f>IFERROR(VLOOKUP(B665,infoTable__16[],4,FALSE),"")</f>
        <v>512409</v>
      </c>
    </row>
    <row r="666" spans="1:16" x14ac:dyDescent="0.55000000000000004">
      <c r="A666" t="s">
        <v>1785</v>
      </c>
      <c r="B666" t="s">
        <v>1786</v>
      </c>
      <c r="C666" s="4" t="str">
        <f>IFERROR(VLOOKUP(B666,infoTable10[],4,FALSE),"")</f>
        <v/>
      </c>
      <c r="D666" s="4" t="str">
        <f>IFERROR(VLOOKUP(B666,infoTable__2[],4,FALSE),"")</f>
        <v/>
      </c>
      <c r="E666" s="4" t="str">
        <f>IFERROR(VLOOKUP(B666,infoTable__3[],4,FALSE),"")</f>
        <v/>
      </c>
      <c r="F666" s="4" t="str">
        <f>IFERROR(VLOOKUP(B666,infoTable__4[],4,FALSE),"")</f>
        <v/>
      </c>
      <c r="G666" s="4" t="str">
        <f>IFERROR(VLOOKUP(B666,infoTable[],4,FALSE),"")</f>
        <v/>
      </c>
      <c r="H666" s="4" t="str">
        <f>IFERROR(VLOOKUP(B666,infoTable__6[],4,FALSE),"")</f>
        <v/>
      </c>
      <c r="I666" s="4" t="str">
        <f>IFERROR(VLOOKUP(B666,infoTable__28[],4,FALSE),"")</f>
        <v/>
      </c>
      <c r="J666" s="4">
        <f>IFERROR(VLOOKUP(B666,infoTable__10[],4,FALSE),"")</f>
        <v>642788</v>
      </c>
      <c r="K666" s="4" t="str">
        <f>IFERROR(VLOOKUP(B666,infoTable__11[],4,FALSE),"")</f>
        <v/>
      </c>
      <c r="L666" s="4">
        <f>IFERROR(VLOOKUP(B666,infoTable__12[],4,FALSE),"")</f>
        <v>405579</v>
      </c>
      <c r="M666" s="4">
        <f>IFERROR(VLOOKUP(B666,infoTable__13[],4,FALSE),"")</f>
        <v>345277</v>
      </c>
      <c r="N666" s="4">
        <f>IFERROR(VLOOKUP(B666,infoTable__14[],4,FALSE),"")</f>
        <v>461770</v>
      </c>
      <c r="O666" s="4">
        <f>IFERROR(VLOOKUP(B666,infoTable__15[],4,FALSE),"")</f>
        <v>1555975</v>
      </c>
      <c r="P666" s="4">
        <f>IFERROR(VLOOKUP(B666,infoTable__16[],4,FALSE),"")</f>
        <v>1426248</v>
      </c>
    </row>
    <row r="667" spans="1:16" x14ac:dyDescent="0.55000000000000004">
      <c r="A667" t="s">
        <v>3534</v>
      </c>
      <c r="B667" t="s">
        <v>3535</v>
      </c>
      <c r="C667" s="4" t="str">
        <f>IFERROR(VLOOKUP(B667,infoTable10[],4,FALSE),"")</f>
        <v/>
      </c>
      <c r="D667" s="4" t="str">
        <f>IFERROR(VLOOKUP(B667,infoTable__2[],4,FALSE),"")</f>
        <v/>
      </c>
      <c r="E667" s="4" t="str">
        <f>IFERROR(VLOOKUP(B667,infoTable__3[],4,FALSE),"")</f>
        <v/>
      </c>
      <c r="F667" s="4" t="str">
        <f>IFERROR(VLOOKUP(B667,infoTable__4[],4,FALSE),"")</f>
        <v/>
      </c>
      <c r="G667" s="4" t="str">
        <f>IFERROR(VLOOKUP(B667,infoTable[],4,FALSE),"")</f>
        <v/>
      </c>
      <c r="H667" s="4" t="str">
        <f>IFERROR(VLOOKUP(B667,infoTable__6[],4,FALSE),"")</f>
        <v/>
      </c>
      <c r="I667" s="4" t="str">
        <f>IFERROR(VLOOKUP(B667,infoTable__28[],4,FALSE),"")</f>
        <v/>
      </c>
      <c r="J667" s="4" t="str">
        <f>IFERROR(VLOOKUP(B667,infoTable__10[],4,FALSE),"")</f>
        <v/>
      </c>
      <c r="K667" s="4" t="str">
        <f>IFERROR(VLOOKUP(B667,infoTable__11[],4,FALSE),"")</f>
        <v/>
      </c>
      <c r="L667" s="4" t="str">
        <f>IFERROR(VLOOKUP(B667,infoTable__12[],4,FALSE),"")</f>
        <v/>
      </c>
      <c r="M667" s="4" t="str">
        <f>IFERROR(VLOOKUP(B667,infoTable__13[],4,FALSE),"")</f>
        <v/>
      </c>
      <c r="N667" s="4" t="str">
        <f>IFERROR(VLOOKUP(B667,infoTable__14[],4,FALSE),"")</f>
        <v/>
      </c>
      <c r="O667" s="4" t="str">
        <f>IFERROR(VLOOKUP(B667,infoTable__15[],4,FALSE),"")</f>
        <v/>
      </c>
      <c r="P667" s="4">
        <f>IFERROR(VLOOKUP(B667,infoTable__16[],4,FALSE),"")</f>
        <v>2017889</v>
      </c>
    </row>
    <row r="668" spans="1:16" x14ac:dyDescent="0.55000000000000004">
      <c r="A668" t="s">
        <v>1430</v>
      </c>
      <c r="B668" t="s">
        <v>1431</v>
      </c>
      <c r="C668" s="4" t="str">
        <f>IFERROR(VLOOKUP(B668,infoTable10[],4,FALSE),"")</f>
        <v/>
      </c>
      <c r="D668" s="4" t="str">
        <f>IFERROR(VLOOKUP(B668,infoTable__2[],4,FALSE),"")</f>
        <v/>
      </c>
      <c r="E668" s="4" t="str">
        <f>IFERROR(VLOOKUP(B668,infoTable__3[],4,FALSE),"")</f>
        <v/>
      </c>
      <c r="F668" s="4" t="str">
        <f>IFERROR(VLOOKUP(B668,infoTable__4[],4,FALSE),"")</f>
        <v/>
      </c>
      <c r="G668" s="4" t="str">
        <f>IFERROR(VLOOKUP(B668,infoTable[],4,FALSE),"")</f>
        <v/>
      </c>
      <c r="H668" s="4" t="str">
        <f>IFERROR(VLOOKUP(B668,infoTable__6[],4,FALSE),"")</f>
        <v/>
      </c>
      <c r="I668" s="4">
        <f>IFERROR(VLOOKUP(B668,infoTable__28[],4,FALSE),"")</f>
        <v>238849</v>
      </c>
      <c r="J668" s="4">
        <f>IFERROR(VLOOKUP(B668,infoTable__10[],4,FALSE),"")</f>
        <v>523089</v>
      </c>
      <c r="K668" s="4">
        <f>IFERROR(VLOOKUP(B668,infoTable__11[],4,FALSE),"")</f>
        <v>2326645</v>
      </c>
      <c r="L668" s="4">
        <f>IFERROR(VLOOKUP(B668,infoTable__12[],4,FALSE),"")</f>
        <v>536549</v>
      </c>
      <c r="M668" s="4">
        <f>IFERROR(VLOOKUP(B668,infoTable__13[],4,FALSE),"")</f>
        <v>441725</v>
      </c>
      <c r="N668" s="4" t="str">
        <f>IFERROR(VLOOKUP(B668,infoTable__14[],4,FALSE),"")</f>
        <v/>
      </c>
      <c r="O668" s="4" t="str">
        <f>IFERROR(VLOOKUP(B668,infoTable__15[],4,FALSE),"")</f>
        <v/>
      </c>
      <c r="P668" s="4">
        <f>IFERROR(VLOOKUP(B668,infoTable__16[],4,FALSE),"")</f>
        <v>953849</v>
      </c>
    </row>
    <row r="669" spans="1:16" x14ac:dyDescent="0.55000000000000004">
      <c r="A669" t="s">
        <v>2026</v>
      </c>
      <c r="B669" t="s">
        <v>2027</v>
      </c>
      <c r="C669" s="4" t="str">
        <f>IFERROR(VLOOKUP(B669,infoTable10[],4,FALSE),"")</f>
        <v/>
      </c>
      <c r="D669" s="4" t="str">
        <f>IFERROR(VLOOKUP(B669,infoTable__2[],4,FALSE),"")</f>
        <v/>
      </c>
      <c r="E669" s="4" t="str">
        <f>IFERROR(VLOOKUP(B669,infoTable__3[],4,FALSE),"")</f>
        <v/>
      </c>
      <c r="F669" s="4" t="str">
        <f>IFERROR(VLOOKUP(B669,infoTable__4[],4,FALSE),"")</f>
        <v/>
      </c>
      <c r="G669" s="4" t="str">
        <f>IFERROR(VLOOKUP(B669,infoTable[],4,FALSE),"")</f>
        <v/>
      </c>
      <c r="H669" s="4" t="str">
        <f>IFERROR(VLOOKUP(B669,infoTable__6[],4,FALSE),"")</f>
        <v/>
      </c>
      <c r="I669" s="4" t="str">
        <f>IFERROR(VLOOKUP(B669,infoTable__28[],4,FALSE),"")</f>
        <v/>
      </c>
      <c r="J669" s="4" t="str">
        <f>IFERROR(VLOOKUP(B669,infoTable__10[],4,FALSE),"")</f>
        <v/>
      </c>
      <c r="K669" s="4">
        <f>IFERROR(VLOOKUP(B669,infoTable__11[],4,FALSE),"")</f>
        <v>1647365</v>
      </c>
      <c r="L669" s="4">
        <f>IFERROR(VLOOKUP(B669,infoTable__12[],4,FALSE),"")</f>
        <v>6172968</v>
      </c>
      <c r="M669" s="4" t="str">
        <f>IFERROR(VLOOKUP(B669,infoTable__13[],4,FALSE),"")</f>
        <v/>
      </c>
      <c r="N669" s="4">
        <f>IFERROR(VLOOKUP(B669,infoTable__14[],4,FALSE),"")</f>
        <v>3808471</v>
      </c>
      <c r="O669" s="4">
        <f>IFERROR(VLOOKUP(B669,infoTable__15[],4,FALSE),"")</f>
        <v>7575683</v>
      </c>
      <c r="P669" s="4">
        <f>IFERROR(VLOOKUP(B669,infoTable__16[],4,FALSE),"")</f>
        <v>575182</v>
      </c>
    </row>
    <row r="670" spans="1:16" x14ac:dyDescent="0.55000000000000004">
      <c r="A670" t="s">
        <v>2610</v>
      </c>
      <c r="B670" t="s">
        <v>2611</v>
      </c>
      <c r="C670" s="4" t="str">
        <f>IFERROR(VLOOKUP(B670,infoTable10[],4,FALSE),"")</f>
        <v/>
      </c>
      <c r="D670" s="4" t="str">
        <f>IFERROR(VLOOKUP(B670,infoTable__2[],4,FALSE),"")</f>
        <v/>
      </c>
      <c r="E670" s="4" t="str">
        <f>IFERROR(VLOOKUP(B670,infoTable__3[],4,FALSE),"")</f>
        <v/>
      </c>
      <c r="F670" s="4" t="str">
        <f>IFERROR(VLOOKUP(B670,infoTable__4[],4,FALSE),"")</f>
        <v/>
      </c>
      <c r="G670" s="4" t="str">
        <f>IFERROR(VLOOKUP(B670,infoTable[],4,FALSE),"")</f>
        <v/>
      </c>
      <c r="H670" s="4" t="str">
        <f>IFERROR(VLOOKUP(B670,infoTable__6[],4,FALSE),"")</f>
        <v/>
      </c>
      <c r="I670" s="4" t="str">
        <f>IFERROR(VLOOKUP(B670,infoTable__28[],4,FALSE),"")</f>
        <v/>
      </c>
      <c r="J670" s="4" t="str">
        <f>IFERROR(VLOOKUP(B670,infoTable__10[],4,FALSE),"")</f>
        <v/>
      </c>
      <c r="K670" s="4" t="str">
        <f>IFERROR(VLOOKUP(B670,infoTable__11[],4,FALSE),"")</f>
        <v/>
      </c>
      <c r="L670" s="4" t="str">
        <f>IFERROR(VLOOKUP(B670,infoTable__12[],4,FALSE),"")</f>
        <v/>
      </c>
      <c r="M670" s="4">
        <f>IFERROR(VLOOKUP(B670,infoTable__13[],4,FALSE),"")</f>
        <v>3087578</v>
      </c>
      <c r="N670" s="4" t="str">
        <f>IFERROR(VLOOKUP(B670,infoTable__14[],4,FALSE),"")</f>
        <v/>
      </c>
      <c r="O670" s="4" t="str">
        <f>IFERROR(VLOOKUP(B670,infoTable__15[],4,FALSE),"")</f>
        <v/>
      </c>
      <c r="P670" s="4" t="str">
        <f>IFERROR(VLOOKUP(B670,infoTable__16[],4,FALSE),"")</f>
        <v/>
      </c>
    </row>
    <row r="671" spans="1:16" x14ac:dyDescent="0.55000000000000004">
      <c r="A671" t="s">
        <v>2032</v>
      </c>
      <c r="B671" t="s">
        <v>2033</v>
      </c>
      <c r="C671" s="4" t="str">
        <f>IFERROR(VLOOKUP(B671,infoTable10[],4,FALSE),"")</f>
        <v/>
      </c>
      <c r="D671" s="4" t="str">
        <f>IFERROR(VLOOKUP(B671,infoTable__2[],4,FALSE),"")</f>
        <v/>
      </c>
      <c r="E671" s="4" t="str">
        <f>IFERROR(VLOOKUP(B671,infoTable__3[],4,FALSE),"")</f>
        <v/>
      </c>
      <c r="F671" s="4" t="str">
        <f>IFERROR(VLOOKUP(B671,infoTable__4[],4,FALSE),"")</f>
        <v/>
      </c>
      <c r="G671" s="4" t="str">
        <f>IFERROR(VLOOKUP(B671,infoTable[],4,FALSE),"")</f>
        <v/>
      </c>
      <c r="H671" s="4" t="str">
        <f>IFERROR(VLOOKUP(B671,infoTable__6[],4,FALSE),"")</f>
        <v/>
      </c>
      <c r="I671" s="4" t="str">
        <f>IFERROR(VLOOKUP(B671,infoTable__28[],4,FALSE),"")</f>
        <v/>
      </c>
      <c r="J671" s="4" t="str">
        <f>IFERROR(VLOOKUP(B671,infoTable__10[],4,FALSE),"")</f>
        <v/>
      </c>
      <c r="K671" s="4">
        <f>IFERROR(VLOOKUP(B671,infoTable__11[],4,FALSE),"")</f>
        <v>639114</v>
      </c>
      <c r="L671" s="4">
        <f>IFERROR(VLOOKUP(B671,infoTable__12[],4,FALSE),"")</f>
        <v>744855</v>
      </c>
      <c r="M671" s="4">
        <f>IFERROR(VLOOKUP(B671,infoTable__13[],4,FALSE),"")</f>
        <v>684244</v>
      </c>
      <c r="N671" s="4">
        <f>IFERROR(VLOOKUP(B671,infoTable__14[],4,FALSE),"")</f>
        <v>2648221</v>
      </c>
      <c r="O671" s="4">
        <f>IFERROR(VLOOKUP(B671,infoTable__15[],4,FALSE),"")</f>
        <v>6929764</v>
      </c>
      <c r="P671" s="4">
        <f>IFERROR(VLOOKUP(B671,infoTable__16[],4,FALSE),"")</f>
        <v>3024138</v>
      </c>
    </row>
    <row r="672" spans="1:16" x14ac:dyDescent="0.55000000000000004">
      <c r="A672" t="s">
        <v>2034</v>
      </c>
      <c r="B672" t="s">
        <v>2035</v>
      </c>
      <c r="C672" s="4" t="str">
        <f>IFERROR(VLOOKUP(B672,infoTable10[],4,FALSE),"")</f>
        <v/>
      </c>
      <c r="D672" s="4" t="str">
        <f>IFERROR(VLOOKUP(B672,infoTable__2[],4,FALSE),"")</f>
        <v/>
      </c>
      <c r="E672" s="4" t="str">
        <f>IFERROR(VLOOKUP(B672,infoTable__3[],4,FALSE),"")</f>
        <v/>
      </c>
      <c r="F672" s="4" t="str">
        <f>IFERROR(VLOOKUP(B672,infoTable__4[],4,FALSE),"")</f>
        <v/>
      </c>
      <c r="G672" s="4" t="str">
        <f>IFERROR(VLOOKUP(B672,infoTable[],4,FALSE),"")</f>
        <v/>
      </c>
      <c r="H672" s="4" t="str">
        <f>IFERROR(VLOOKUP(B672,infoTable__6[],4,FALSE),"")</f>
        <v/>
      </c>
      <c r="I672" s="4" t="str">
        <f>IFERROR(VLOOKUP(B672,infoTable__28[],4,FALSE),"")</f>
        <v/>
      </c>
      <c r="J672" s="4" t="str">
        <f>IFERROR(VLOOKUP(B672,infoTable__10[],4,FALSE),"")</f>
        <v/>
      </c>
      <c r="K672" s="4">
        <f>IFERROR(VLOOKUP(B672,infoTable__11[],4,FALSE),"")</f>
        <v>2218465</v>
      </c>
      <c r="L672" s="4">
        <f>IFERROR(VLOOKUP(B672,infoTable__12[],4,FALSE),"")</f>
        <v>1952924</v>
      </c>
      <c r="M672" s="4">
        <f>IFERROR(VLOOKUP(B672,infoTable__13[],4,FALSE),"")</f>
        <v>458081</v>
      </c>
      <c r="N672" s="4" t="str">
        <f>IFERROR(VLOOKUP(B672,infoTable__14[],4,FALSE),"")</f>
        <v/>
      </c>
      <c r="O672" s="4" t="str">
        <f>IFERROR(VLOOKUP(B672,infoTable__15[],4,FALSE),"")</f>
        <v/>
      </c>
      <c r="P672" s="4" t="str">
        <f>IFERROR(VLOOKUP(B672,infoTable__16[],4,FALSE),"")</f>
        <v/>
      </c>
    </row>
    <row r="673" spans="1:16" x14ac:dyDescent="0.55000000000000004">
      <c r="A673" t="s">
        <v>1434</v>
      </c>
      <c r="B673" t="s">
        <v>1435</v>
      </c>
      <c r="C673" s="4" t="str">
        <f>IFERROR(VLOOKUP(B673,infoTable10[],4,FALSE),"")</f>
        <v/>
      </c>
      <c r="D673" s="4" t="str">
        <f>IFERROR(VLOOKUP(B673,infoTable__2[],4,FALSE),"")</f>
        <v/>
      </c>
      <c r="E673" s="4" t="str">
        <f>IFERROR(VLOOKUP(B673,infoTable__3[],4,FALSE),"")</f>
        <v/>
      </c>
      <c r="F673" s="4" t="str">
        <f>IFERROR(VLOOKUP(B673,infoTable__4[],4,FALSE),"")</f>
        <v/>
      </c>
      <c r="G673" s="4" t="str">
        <f>IFERROR(VLOOKUP(B673,infoTable[],4,FALSE),"")</f>
        <v/>
      </c>
      <c r="H673" s="4" t="str">
        <f>IFERROR(VLOOKUP(B673,infoTable__6[],4,FALSE),"")</f>
        <v/>
      </c>
      <c r="I673" s="4">
        <f>IFERROR(VLOOKUP(B673,infoTable__28[],4,FALSE),"")</f>
        <v>2743912</v>
      </c>
      <c r="J673" s="4" t="str">
        <f>IFERROR(VLOOKUP(B673,infoTable__10[],4,FALSE),"")</f>
        <v/>
      </c>
      <c r="K673" s="4" t="str">
        <f>IFERROR(VLOOKUP(B673,infoTable__11[],4,FALSE),"")</f>
        <v/>
      </c>
      <c r="L673" s="4" t="str">
        <f>IFERROR(VLOOKUP(B673,infoTable__12[],4,FALSE),"")</f>
        <v/>
      </c>
      <c r="M673" s="4" t="str">
        <f>IFERROR(VLOOKUP(B673,infoTable__13[],4,FALSE),"")</f>
        <v/>
      </c>
      <c r="N673" s="4" t="str">
        <f>IFERROR(VLOOKUP(B673,infoTable__14[],4,FALSE),"")</f>
        <v/>
      </c>
      <c r="O673" s="4" t="str">
        <f>IFERROR(VLOOKUP(B673,infoTable__15[],4,FALSE),"")</f>
        <v/>
      </c>
      <c r="P673" s="4" t="str">
        <f>IFERROR(VLOOKUP(B673,infoTable__16[],4,FALSE),"")</f>
        <v/>
      </c>
    </row>
    <row r="674" spans="1:16" x14ac:dyDescent="0.55000000000000004">
      <c r="A674" t="s">
        <v>704</v>
      </c>
      <c r="B674" t="s">
        <v>705</v>
      </c>
      <c r="C674" s="4">
        <f>IFERROR(VLOOKUP(B674,infoTable10[],4,FALSE),"")</f>
        <v>480630</v>
      </c>
      <c r="D674" s="4">
        <f>IFERROR(VLOOKUP(B674,infoTable__2[],4,FALSE),"")</f>
        <v>1501170</v>
      </c>
      <c r="E674" s="4">
        <f>IFERROR(VLOOKUP(B674,infoTable__3[],4,FALSE),"")</f>
        <v>2982758</v>
      </c>
      <c r="F674" s="4">
        <f>IFERROR(VLOOKUP(B674,infoTable__4[],4,FALSE),"")</f>
        <v>992543</v>
      </c>
      <c r="G674" s="4" t="str">
        <f>IFERROR(VLOOKUP(B674,infoTable[],4,FALSE),"")</f>
        <v/>
      </c>
      <c r="H674" s="4" t="str">
        <f>IFERROR(VLOOKUP(B674,infoTable__6[],4,FALSE),"")</f>
        <v/>
      </c>
      <c r="I674" s="4" t="str">
        <f>IFERROR(VLOOKUP(B674,infoTable__28[],4,FALSE),"")</f>
        <v/>
      </c>
      <c r="J674" s="4">
        <f>IFERROR(VLOOKUP(B674,infoTable__10[],4,FALSE),"")</f>
        <v>228491</v>
      </c>
      <c r="K674" s="4" t="str">
        <f>IFERROR(VLOOKUP(B674,infoTable__11[],4,FALSE),"")</f>
        <v/>
      </c>
      <c r="L674" s="4" t="str">
        <f>IFERROR(VLOOKUP(B674,infoTable__12[],4,FALSE),"")</f>
        <v/>
      </c>
      <c r="M674" s="4">
        <f>IFERROR(VLOOKUP(B674,infoTable__13[],4,FALSE),"")</f>
        <v>4432124</v>
      </c>
      <c r="N674" s="4">
        <f>IFERROR(VLOOKUP(B674,infoTable__14[],4,FALSE),"")</f>
        <v>3075411</v>
      </c>
      <c r="O674" s="4">
        <f>IFERROR(VLOOKUP(B674,infoTable__15[],4,FALSE),"")</f>
        <v>3342909</v>
      </c>
      <c r="P674" s="4">
        <f>IFERROR(VLOOKUP(B674,infoTable__16[],4,FALSE),"")</f>
        <v>462633</v>
      </c>
    </row>
    <row r="675" spans="1:16" x14ac:dyDescent="0.55000000000000004">
      <c r="A675" t="s">
        <v>422</v>
      </c>
      <c r="B675" t="s">
        <v>423</v>
      </c>
      <c r="C675" s="4" t="str">
        <f>IFERROR(VLOOKUP(B675,infoTable10[],4,FALSE),"")</f>
        <v/>
      </c>
      <c r="D675" s="4" t="str">
        <f>IFERROR(VLOOKUP(B675,infoTable__2[],4,FALSE),"")</f>
        <v/>
      </c>
      <c r="E675" s="4" t="str">
        <f>IFERROR(VLOOKUP(B675,infoTable__3[],4,FALSE),"")</f>
        <v/>
      </c>
      <c r="F675" s="4">
        <f>IFERROR(VLOOKUP(B675,infoTable__4[],4,FALSE),"")</f>
        <v>419452</v>
      </c>
      <c r="G675" s="4">
        <f>IFERROR(VLOOKUP(B675,infoTable[],4,FALSE),"")</f>
        <v>353068</v>
      </c>
      <c r="H675" s="4">
        <f>IFERROR(VLOOKUP(B675,infoTable__6[],4,FALSE),"")</f>
        <v>283837</v>
      </c>
      <c r="I675" s="4" t="str">
        <f>IFERROR(VLOOKUP(B675,infoTable__28[],4,FALSE),"")</f>
        <v/>
      </c>
      <c r="J675" s="4" t="str">
        <f>IFERROR(VLOOKUP(B675,infoTable__10[],4,FALSE),"")</f>
        <v/>
      </c>
      <c r="K675" s="4" t="str">
        <f>IFERROR(VLOOKUP(B675,infoTable__11[],4,FALSE),"")</f>
        <v/>
      </c>
      <c r="L675" s="4" t="str">
        <f>IFERROR(VLOOKUP(B675,infoTable__12[],4,FALSE),"")</f>
        <v/>
      </c>
      <c r="M675" s="4" t="str">
        <f>IFERROR(VLOOKUP(B675,infoTable__13[],4,FALSE),"")</f>
        <v/>
      </c>
      <c r="N675" s="4" t="str">
        <f>IFERROR(VLOOKUP(B675,infoTable__14[],4,FALSE),"")</f>
        <v/>
      </c>
      <c r="O675" s="4" t="str">
        <f>IFERROR(VLOOKUP(B675,infoTable__15[],4,FALSE),"")</f>
        <v/>
      </c>
      <c r="P675" s="4" t="str">
        <f>IFERROR(VLOOKUP(B675,infoTable__16[],4,FALSE),"")</f>
        <v/>
      </c>
    </row>
    <row r="676" spans="1:16" x14ac:dyDescent="0.55000000000000004">
      <c r="A676" t="s">
        <v>1436</v>
      </c>
      <c r="B676" t="s">
        <v>1437</v>
      </c>
      <c r="C676" s="4" t="str">
        <f>IFERROR(VLOOKUP(B676,infoTable10[],4,FALSE),"")</f>
        <v/>
      </c>
      <c r="D676" s="4" t="str">
        <f>IFERROR(VLOOKUP(B676,infoTable__2[],4,FALSE),"")</f>
        <v/>
      </c>
      <c r="E676" s="4" t="str">
        <f>IFERROR(VLOOKUP(B676,infoTable__3[],4,FALSE),"")</f>
        <v/>
      </c>
      <c r="F676" s="4" t="str">
        <f>IFERROR(VLOOKUP(B676,infoTable__4[],4,FALSE),"")</f>
        <v/>
      </c>
      <c r="G676" s="4" t="str">
        <f>IFERROR(VLOOKUP(B676,infoTable[],4,FALSE),"")</f>
        <v/>
      </c>
      <c r="H676" s="4" t="str">
        <f>IFERROR(VLOOKUP(B676,infoTable__6[],4,FALSE),"")</f>
        <v/>
      </c>
      <c r="I676" s="4">
        <f>IFERROR(VLOOKUP(B676,infoTable__28[],4,FALSE),"")</f>
        <v>896672</v>
      </c>
      <c r="J676" s="4">
        <f>IFERROR(VLOOKUP(B676,infoTable__10[],4,FALSE),"")</f>
        <v>474134</v>
      </c>
      <c r="K676" s="4">
        <f>IFERROR(VLOOKUP(B676,infoTable__11[],4,FALSE),"")</f>
        <v>2413316</v>
      </c>
      <c r="L676" s="4">
        <f>IFERROR(VLOOKUP(B676,infoTable__12[],4,FALSE),"")</f>
        <v>896043</v>
      </c>
      <c r="M676" s="4" t="str">
        <f>IFERROR(VLOOKUP(B676,infoTable__13[],4,FALSE),"")</f>
        <v/>
      </c>
      <c r="N676" s="4" t="str">
        <f>IFERROR(VLOOKUP(B676,infoTable__14[],4,FALSE),"")</f>
        <v/>
      </c>
      <c r="O676" s="4" t="str">
        <f>IFERROR(VLOOKUP(B676,infoTable__15[],4,FALSE),"")</f>
        <v/>
      </c>
      <c r="P676" s="4" t="str">
        <f>IFERROR(VLOOKUP(B676,infoTable__16[],4,FALSE),"")</f>
        <v/>
      </c>
    </row>
    <row r="677" spans="1:16" x14ac:dyDescent="0.55000000000000004">
      <c r="A677" t="s">
        <v>2368</v>
      </c>
      <c r="B677" t="s">
        <v>2369</v>
      </c>
      <c r="C677" s="4" t="str">
        <f>IFERROR(VLOOKUP(B677,infoTable10[],4,FALSE),"")</f>
        <v/>
      </c>
      <c r="D677" s="4" t="str">
        <f>IFERROR(VLOOKUP(B677,infoTable__2[],4,FALSE),"")</f>
        <v/>
      </c>
      <c r="E677" s="4" t="str">
        <f>IFERROR(VLOOKUP(B677,infoTable__3[],4,FALSE),"")</f>
        <v/>
      </c>
      <c r="F677" s="4" t="str">
        <f>IFERROR(VLOOKUP(B677,infoTable__4[],4,FALSE),"")</f>
        <v/>
      </c>
      <c r="G677" s="4" t="str">
        <f>IFERROR(VLOOKUP(B677,infoTable[],4,FALSE),"")</f>
        <v/>
      </c>
      <c r="H677" s="4" t="str">
        <f>IFERROR(VLOOKUP(B677,infoTable__6[],4,FALSE),"")</f>
        <v/>
      </c>
      <c r="I677" s="4" t="str">
        <f>IFERROR(VLOOKUP(B677,infoTable__28[],4,FALSE),"")</f>
        <v/>
      </c>
      <c r="J677" s="4" t="str">
        <f>IFERROR(VLOOKUP(B677,infoTable__10[],4,FALSE),"")</f>
        <v/>
      </c>
      <c r="K677" s="4" t="str">
        <f>IFERROR(VLOOKUP(B677,infoTable__11[],4,FALSE),"")</f>
        <v/>
      </c>
      <c r="L677" s="4">
        <f>IFERROR(VLOOKUP(B677,infoTable__12[],4,FALSE),"")</f>
        <v>239189</v>
      </c>
      <c r="M677" s="4">
        <f>IFERROR(VLOOKUP(B677,infoTable__13[],4,FALSE),"")</f>
        <v>284061</v>
      </c>
      <c r="N677" s="4">
        <f>IFERROR(VLOOKUP(B677,infoTable__14[],4,FALSE),"")</f>
        <v>402014</v>
      </c>
      <c r="O677" s="4">
        <f>IFERROR(VLOOKUP(B677,infoTable__15[],4,FALSE),"")</f>
        <v>238498</v>
      </c>
      <c r="P677" s="4">
        <f>IFERROR(VLOOKUP(B677,infoTable__16[],4,FALSE),"")</f>
        <v>320769</v>
      </c>
    </row>
    <row r="678" spans="1:16" x14ac:dyDescent="0.55000000000000004">
      <c r="A678" t="s">
        <v>2759</v>
      </c>
      <c r="B678" t="s">
        <v>2758</v>
      </c>
      <c r="C678" s="4" t="str">
        <f>IFERROR(VLOOKUP(B678,infoTable10[],4,FALSE),"")</f>
        <v/>
      </c>
      <c r="D678" s="4" t="str">
        <f>IFERROR(VLOOKUP(B678,infoTable__2[],4,FALSE),"")</f>
        <v/>
      </c>
      <c r="E678" s="4" t="str">
        <f>IFERROR(VLOOKUP(B678,infoTable__3[],4,FALSE),"")</f>
        <v/>
      </c>
      <c r="F678" s="4" t="str">
        <f>IFERROR(VLOOKUP(B678,infoTable__4[],4,FALSE),"")</f>
        <v/>
      </c>
      <c r="G678" s="4" t="str">
        <f>IFERROR(VLOOKUP(B678,infoTable[],4,FALSE),"")</f>
        <v/>
      </c>
      <c r="H678" s="4" t="str">
        <f>IFERROR(VLOOKUP(B678,infoTable__6[],4,FALSE),"")</f>
        <v/>
      </c>
      <c r="I678" s="4" t="str">
        <f>IFERROR(VLOOKUP(B678,infoTable__28[],4,FALSE),"")</f>
        <v/>
      </c>
      <c r="J678" s="4" t="str">
        <f>IFERROR(VLOOKUP(B678,infoTable__10[],4,FALSE),"")</f>
        <v/>
      </c>
      <c r="K678" s="4" t="str">
        <f>IFERROR(VLOOKUP(B678,infoTable__11[],4,FALSE),"")</f>
        <v/>
      </c>
      <c r="L678" s="4" t="str">
        <f>IFERROR(VLOOKUP(B678,infoTable__12[],4,FALSE),"")</f>
        <v/>
      </c>
      <c r="M678" s="4" t="str">
        <f>IFERROR(VLOOKUP(B678,infoTable__13[],4,FALSE),"")</f>
        <v/>
      </c>
      <c r="N678" s="4">
        <f>IFERROR(VLOOKUP(B678,infoTable__14[],4,FALSE),"")</f>
        <v>248817</v>
      </c>
      <c r="O678" s="4">
        <f>IFERROR(VLOOKUP(B678,infoTable__15[],4,FALSE),"")</f>
        <v>2229842</v>
      </c>
      <c r="P678" s="4" t="str">
        <f>IFERROR(VLOOKUP(B678,infoTable__16[],4,FALSE),"")</f>
        <v/>
      </c>
    </row>
    <row r="679" spans="1:16" x14ac:dyDescent="0.55000000000000004">
      <c r="A679" t="s">
        <v>2370</v>
      </c>
      <c r="B679" t="s">
        <v>2371</v>
      </c>
      <c r="C679" s="4" t="str">
        <f>IFERROR(VLOOKUP(B679,infoTable10[],4,FALSE),"")</f>
        <v/>
      </c>
      <c r="D679" s="4" t="str">
        <f>IFERROR(VLOOKUP(B679,infoTable__2[],4,FALSE),"")</f>
        <v/>
      </c>
      <c r="E679" s="4" t="str">
        <f>IFERROR(VLOOKUP(B679,infoTable__3[],4,FALSE),"")</f>
        <v/>
      </c>
      <c r="F679" s="4" t="str">
        <f>IFERROR(VLOOKUP(B679,infoTable__4[],4,FALSE),"")</f>
        <v/>
      </c>
      <c r="G679" s="4" t="str">
        <f>IFERROR(VLOOKUP(B679,infoTable[],4,FALSE),"")</f>
        <v/>
      </c>
      <c r="H679" s="4" t="str">
        <f>IFERROR(VLOOKUP(B679,infoTable__6[],4,FALSE),"")</f>
        <v/>
      </c>
      <c r="I679" s="4" t="str">
        <f>IFERROR(VLOOKUP(B679,infoTable__28[],4,FALSE),"")</f>
        <v/>
      </c>
      <c r="J679" s="4" t="str">
        <f>IFERROR(VLOOKUP(B679,infoTable__10[],4,FALSE),"")</f>
        <v/>
      </c>
      <c r="K679" s="4" t="str">
        <f>IFERROR(VLOOKUP(B679,infoTable__11[],4,FALSE),"")</f>
        <v/>
      </c>
      <c r="L679" s="4">
        <f>IFERROR(VLOOKUP(B679,infoTable__12[],4,FALSE),"")</f>
        <v>1107965</v>
      </c>
      <c r="M679" s="4">
        <f>IFERROR(VLOOKUP(B679,infoTable__13[],4,FALSE),"")</f>
        <v>325960</v>
      </c>
      <c r="N679" s="4">
        <f>IFERROR(VLOOKUP(B679,infoTable__14[],4,FALSE),"")</f>
        <v>701915</v>
      </c>
      <c r="O679" s="4">
        <f>IFERROR(VLOOKUP(B679,infoTable__15[],4,FALSE),"")</f>
        <v>644226</v>
      </c>
      <c r="P679" s="4">
        <f>IFERROR(VLOOKUP(B679,infoTable__16[],4,FALSE),"")</f>
        <v>434016</v>
      </c>
    </row>
    <row r="680" spans="1:16" x14ac:dyDescent="0.55000000000000004">
      <c r="A680" t="s">
        <v>1791</v>
      </c>
      <c r="B680" t="s">
        <v>1792</v>
      </c>
      <c r="C680" s="4" t="str">
        <f>IFERROR(VLOOKUP(B680,infoTable10[],4,FALSE),"")</f>
        <v/>
      </c>
      <c r="D680" s="4" t="str">
        <f>IFERROR(VLOOKUP(B680,infoTable__2[],4,FALSE),"")</f>
        <v/>
      </c>
      <c r="E680" s="4" t="str">
        <f>IFERROR(VLOOKUP(B680,infoTable__3[],4,FALSE),"")</f>
        <v/>
      </c>
      <c r="F680" s="4" t="str">
        <f>IFERROR(VLOOKUP(B680,infoTable__4[],4,FALSE),"")</f>
        <v/>
      </c>
      <c r="G680" s="4" t="str">
        <f>IFERROR(VLOOKUP(B680,infoTable[],4,FALSE),"")</f>
        <v/>
      </c>
      <c r="H680" s="4" t="str">
        <f>IFERROR(VLOOKUP(B680,infoTable__6[],4,FALSE),"")</f>
        <v/>
      </c>
      <c r="I680" s="4" t="str">
        <f>IFERROR(VLOOKUP(B680,infoTable__28[],4,FALSE),"")</f>
        <v/>
      </c>
      <c r="J680" s="4">
        <f>IFERROR(VLOOKUP(B680,infoTable__10[],4,FALSE),"")</f>
        <v>206934</v>
      </c>
      <c r="K680" s="4">
        <f>IFERROR(VLOOKUP(B680,infoTable__11[],4,FALSE),"")</f>
        <v>1036635</v>
      </c>
      <c r="L680" s="4">
        <f>IFERROR(VLOOKUP(B680,infoTable__12[],4,FALSE),"")</f>
        <v>1015335</v>
      </c>
      <c r="M680" s="4">
        <f>IFERROR(VLOOKUP(B680,infoTable__13[],4,FALSE),"")</f>
        <v>815063</v>
      </c>
      <c r="N680" s="4">
        <f>IFERROR(VLOOKUP(B680,infoTable__14[],4,FALSE),"")</f>
        <v>674826</v>
      </c>
      <c r="O680" s="4" t="str">
        <f>IFERROR(VLOOKUP(B680,infoTable__15[],4,FALSE),"")</f>
        <v/>
      </c>
      <c r="P680" s="4" t="str">
        <f>IFERROR(VLOOKUP(B680,infoTable__16[],4,FALSE),"")</f>
        <v/>
      </c>
    </row>
    <row r="681" spans="1:16" x14ac:dyDescent="0.55000000000000004">
      <c r="A681" t="s">
        <v>917</v>
      </c>
      <c r="B681" t="s">
        <v>918</v>
      </c>
      <c r="C681" s="4" t="str">
        <f>IFERROR(VLOOKUP(B681,infoTable10[],4,FALSE),"")</f>
        <v/>
      </c>
      <c r="D681" s="4" t="str">
        <f>IFERROR(VLOOKUP(B681,infoTable__2[],4,FALSE),"")</f>
        <v/>
      </c>
      <c r="E681" s="4" t="str">
        <f>IFERROR(VLOOKUP(B681,infoTable__3[],4,FALSE),"")</f>
        <v/>
      </c>
      <c r="F681" s="4">
        <f>IFERROR(VLOOKUP(B681,infoTable__4[],4,FALSE),"")</f>
        <v>665551</v>
      </c>
      <c r="G681" s="4" t="str">
        <f>IFERROR(VLOOKUP(B681,infoTable[],4,FALSE),"")</f>
        <v/>
      </c>
      <c r="H681" s="4" t="str">
        <f>IFERROR(VLOOKUP(B681,infoTable__6[],4,FALSE),"")</f>
        <v/>
      </c>
      <c r="I681" s="4" t="str">
        <f>IFERROR(VLOOKUP(B681,infoTable__28[],4,FALSE),"")</f>
        <v/>
      </c>
      <c r="J681" s="4" t="str">
        <f>IFERROR(VLOOKUP(B681,infoTable__10[],4,FALSE),"")</f>
        <v/>
      </c>
      <c r="K681" s="4" t="str">
        <f>IFERROR(VLOOKUP(B681,infoTable__11[],4,FALSE),"")</f>
        <v/>
      </c>
      <c r="L681" s="4">
        <f>IFERROR(VLOOKUP(B681,infoTable__12[],4,FALSE),"")</f>
        <v>984981</v>
      </c>
      <c r="M681" s="4" t="str">
        <f>IFERROR(VLOOKUP(B681,infoTable__13[],4,FALSE),"")</f>
        <v/>
      </c>
      <c r="N681" s="4" t="str">
        <f>IFERROR(VLOOKUP(B681,infoTable__14[],4,FALSE),"")</f>
        <v/>
      </c>
      <c r="O681" s="4" t="str">
        <f>IFERROR(VLOOKUP(B681,infoTable__15[],4,FALSE),"")</f>
        <v/>
      </c>
      <c r="P681" s="4" t="str">
        <f>IFERROR(VLOOKUP(B681,infoTable__16[],4,FALSE),"")</f>
        <v/>
      </c>
    </row>
    <row r="682" spans="1:16" x14ac:dyDescent="0.55000000000000004">
      <c r="A682" t="s">
        <v>2612</v>
      </c>
      <c r="B682" t="s">
        <v>2613</v>
      </c>
      <c r="C682" s="4" t="str">
        <f>IFERROR(VLOOKUP(B682,infoTable10[],4,FALSE),"")</f>
        <v/>
      </c>
      <c r="D682" s="4" t="str">
        <f>IFERROR(VLOOKUP(B682,infoTable__2[],4,FALSE),"")</f>
        <v/>
      </c>
      <c r="E682" s="4" t="str">
        <f>IFERROR(VLOOKUP(B682,infoTable__3[],4,FALSE),"")</f>
        <v/>
      </c>
      <c r="F682" s="4" t="str">
        <f>IFERROR(VLOOKUP(B682,infoTable__4[],4,FALSE),"")</f>
        <v/>
      </c>
      <c r="G682" s="4" t="str">
        <f>IFERROR(VLOOKUP(B682,infoTable[],4,FALSE),"")</f>
        <v/>
      </c>
      <c r="H682" s="4" t="str">
        <f>IFERROR(VLOOKUP(B682,infoTable__6[],4,FALSE),"")</f>
        <v/>
      </c>
      <c r="I682" s="4" t="str">
        <f>IFERROR(VLOOKUP(B682,infoTable__28[],4,FALSE),"")</f>
        <v/>
      </c>
      <c r="J682" s="4" t="str">
        <f>IFERROR(VLOOKUP(B682,infoTable__10[],4,FALSE),"")</f>
        <v/>
      </c>
      <c r="K682" s="4" t="str">
        <f>IFERROR(VLOOKUP(B682,infoTable__11[],4,FALSE),"")</f>
        <v/>
      </c>
      <c r="L682" s="4" t="str">
        <f>IFERROR(VLOOKUP(B682,infoTable__12[],4,FALSE),"")</f>
        <v/>
      </c>
      <c r="M682" s="4">
        <f>IFERROR(VLOOKUP(B682,infoTable__13[],4,FALSE),"")</f>
        <v>4360036</v>
      </c>
      <c r="N682" s="4">
        <f>IFERROR(VLOOKUP(B682,infoTable__14[],4,FALSE),"")</f>
        <v>2097997</v>
      </c>
      <c r="O682" s="4" t="str">
        <f>IFERROR(VLOOKUP(B682,infoTable__15[],4,FALSE),"")</f>
        <v/>
      </c>
      <c r="P682" s="4">
        <f>IFERROR(VLOOKUP(B682,infoTable__16[],4,FALSE),"")</f>
        <v>239720</v>
      </c>
    </row>
    <row r="683" spans="1:16" x14ac:dyDescent="0.55000000000000004">
      <c r="A683" t="s">
        <v>1793</v>
      </c>
      <c r="B683" t="s">
        <v>1794</v>
      </c>
      <c r="C683" s="4" t="str">
        <f>IFERROR(VLOOKUP(B683,infoTable10[],4,FALSE),"")</f>
        <v/>
      </c>
      <c r="D683" s="4" t="str">
        <f>IFERROR(VLOOKUP(B683,infoTable__2[],4,FALSE),"")</f>
        <v/>
      </c>
      <c r="E683" s="4" t="str">
        <f>IFERROR(VLOOKUP(B683,infoTable__3[],4,FALSE),"")</f>
        <v/>
      </c>
      <c r="F683" s="4" t="str">
        <f>IFERROR(VLOOKUP(B683,infoTable__4[],4,FALSE),"")</f>
        <v/>
      </c>
      <c r="G683" s="4" t="str">
        <f>IFERROR(VLOOKUP(B683,infoTable[],4,FALSE),"")</f>
        <v/>
      </c>
      <c r="H683" s="4" t="str">
        <f>IFERROR(VLOOKUP(B683,infoTable__6[],4,FALSE),"")</f>
        <v/>
      </c>
      <c r="I683" s="4" t="str">
        <f>IFERROR(VLOOKUP(B683,infoTable__28[],4,FALSE),"")</f>
        <v/>
      </c>
      <c r="J683" s="4">
        <f>IFERROR(VLOOKUP(B683,infoTable__10[],4,FALSE),"")</f>
        <v>1413241</v>
      </c>
      <c r="K683" s="4">
        <f>IFERROR(VLOOKUP(B683,infoTable__11[],4,FALSE),"")</f>
        <v>824282</v>
      </c>
      <c r="L683" s="4">
        <f>IFERROR(VLOOKUP(B683,infoTable__12[],4,FALSE),"")</f>
        <v>514664</v>
      </c>
      <c r="M683" s="4" t="str">
        <f>IFERROR(VLOOKUP(B683,infoTable__13[],4,FALSE),"")</f>
        <v/>
      </c>
      <c r="N683" s="4" t="str">
        <f>IFERROR(VLOOKUP(B683,infoTable__14[],4,FALSE),"")</f>
        <v/>
      </c>
      <c r="O683" s="4" t="str">
        <f>IFERROR(VLOOKUP(B683,infoTable__15[],4,FALSE),"")</f>
        <v/>
      </c>
      <c r="P683" s="4" t="str">
        <f>IFERROR(VLOOKUP(B683,infoTable__16[],4,FALSE),"")</f>
        <v/>
      </c>
    </row>
    <row r="684" spans="1:16" x14ac:dyDescent="0.55000000000000004">
      <c r="A684" t="s">
        <v>1580</v>
      </c>
      <c r="B684" t="s">
        <v>1117</v>
      </c>
      <c r="C684" s="4" t="str">
        <f>IFERROR(VLOOKUP(B684,infoTable10[],4,FALSE),"")</f>
        <v/>
      </c>
      <c r="D684" s="4" t="str">
        <f>IFERROR(VLOOKUP(B684,infoTable__2[],4,FALSE),"")</f>
        <v/>
      </c>
      <c r="E684" s="4" t="str">
        <f>IFERROR(VLOOKUP(B684,infoTable__3[],4,FALSE),"")</f>
        <v/>
      </c>
      <c r="F684" s="4" t="str">
        <f>IFERROR(VLOOKUP(B684,infoTable__4[],4,FALSE),"")</f>
        <v/>
      </c>
      <c r="G684" s="4" t="str">
        <f>IFERROR(VLOOKUP(B684,infoTable[],4,FALSE),"")</f>
        <v/>
      </c>
      <c r="H684" s="4">
        <f>IFERROR(VLOOKUP(B684,infoTable__6[],4,FALSE),"")</f>
        <v>933758</v>
      </c>
      <c r="I684" s="4">
        <f>IFERROR(VLOOKUP(B684,infoTable__28[],4,FALSE),"")</f>
        <v>1370273</v>
      </c>
      <c r="J684" s="4">
        <f>IFERROR(VLOOKUP(B684,infoTable__10[],4,FALSE),"")</f>
        <v>999723</v>
      </c>
      <c r="K684" s="4" t="str">
        <f>IFERROR(VLOOKUP(B684,infoTable__11[],4,FALSE),"")</f>
        <v/>
      </c>
      <c r="L684" s="4" t="str">
        <f>IFERROR(VLOOKUP(B684,infoTable__12[],4,FALSE),"")</f>
        <v/>
      </c>
      <c r="M684" s="4" t="str">
        <f>IFERROR(VLOOKUP(B684,infoTable__13[],4,FALSE),"")</f>
        <v/>
      </c>
      <c r="N684" s="4" t="str">
        <f>IFERROR(VLOOKUP(B684,infoTable__14[],4,FALSE),"")</f>
        <v/>
      </c>
      <c r="O684" s="4" t="str">
        <f>IFERROR(VLOOKUP(B684,infoTable__15[],4,FALSE),"")</f>
        <v/>
      </c>
      <c r="P684" s="4" t="str">
        <f>IFERROR(VLOOKUP(B684,infoTable__16[],4,FALSE),"")</f>
        <v/>
      </c>
    </row>
    <row r="685" spans="1:16" x14ac:dyDescent="0.55000000000000004">
      <c r="A685" t="s">
        <v>1438</v>
      </c>
      <c r="B685" t="s">
        <v>1439</v>
      </c>
      <c r="C685" s="4" t="str">
        <f>IFERROR(VLOOKUP(B685,infoTable10[],4,FALSE),"")</f>
        <v/>
      </c>
      <c r="D685" s="4" t="str">
        <f>IFERROR(VLOOKUP(B685,infoTable__2[],4,FALSE),"")</f>
        <v/>
      </c>
      <c r="E685" s="4" t="str">
        <f>IFERROR(VLOOKUP(B685,infoTable__3[],4,FALSE),"")</f>
        <v/>
      </c>
      <c r="F685" s="4" t="str">
        <f>IFERROR(VLOOKUP(B685,infoTable__4[],4,FALSE),"")</f>
        <v/>
      </c>
      <c r="G685" s="4" t="str">
        <f>IFERROR(VLOOKUP(B685,infoTable[],4,FALSE),"")</f>
        <v/>
      </c>
      <c r="H685" s="4" t="str">
        <f>IFERROR(VLOOKUP(B685,infoTable__6[],4,FALSE),"")</f>
        <v/>
      </c>
      <c r="I685" s="4">
        <f>IFERROR(VLOOKUP(B685,infoTable__28[],4,FALSE),"")</f>
        <v>2085136</v>
      </c>
      <c r="J685" s="4">
        <f>IFERROR(VLOOKUP(B685,infoTable__10[],4,FALSE),"")</f>
        <v>2015880</v>
      </c>
      <c r="K685" s="4">
        <f>IFERROR(VLOOKUP(B685,infoTable__11[],4,FALSE),"")</f>
        <v>1032492</v>
      </c>
      <c r="L685" s="4">
        <f>IFERROR(VLOOKUP(B685,infoTable__12[],4,FALSE),"")</f>
        <v>767725</v>
      </c>
      <c r="M685" s="4">
        <f>IFERROR(VLOOKUP(B685,infoTable__13[],4,FALSE),"")</f>
        <v>841154</v>
      </c>
      <c r="N685" s="4">
        <f>IFERROR(VLOOKUP(B685,infoTable__14[],4,FALSE),"")</f>
        <v>476037</v>
      </c>
      <c r="O685" s="4">
        <f>IFERROR(VLOOKUP(B685,infoTable__15[],4,FALSE),"")</f>
        <v>363274</v>
      </c>
      <c r="P685" s="4">
        <f>IFERROR(VLOOKUP(B685,infoTable__16[],4,FALSE),"")</f>
        <v>1337943</v>
      </c>
    </row>
    <row r="686" spans="1:16" x14ac:dyDescent="0.55000000000000004">
      <c r="A686" t="s">
        <v>1440</v>
      </c>
      <c r="B686" t="s">
        <v>1441</v>
      </c>
      <c r="C686" s="4" t="str">
        <f>IFERROR(VLOOKUP(B686,infoTable10[],4,FALSE),"")</f>
        <v/>
      </c>
      <c r="D686" s="4" t="str">
        <f>IFERROR(VLOOKUP(B686,infoTable__2[],4,FALSE),"")</f>
        <v/>
      </c>
      <c r="E686" s="4" t="str">
        <f>IFERROR(VLOOKUP(B686,infoTable__3[],4,FALSE),"")</f>
        <v/>
      </c>
      <c r="F686" s="4" t="str">
        <f>IFERROR(VLOOKUP(B686,infoTable__4[],4,FALSE),"")</f>
        <v/>
      </c>
      <c r="G686" s="4" t="str">
        <f>IFERROR(VLOOKUP(B686,infoTable[],4,FALSE),"")</f>
        <v/>
      </c>
      <c r="H686" s="4" t="str">
        <f>IFERROR(VLOOKUP(B686,infoTable__6[],4,FALSE),"")</f>
        <v/>
      </c>
      <c r="I686" s="4">
        <f>IFERROR(VLOOKUP(B686,infoTable__28[],4,FALSE),"")</f>
        <v>312816</v>
      </c>
      <c r="J686" s="4">
        <f>IFERROR(VLOOKUP(B686,infoTable__10[],4,FALSE),"")</f>
        <v>444659</v>
      </c>
      <c r="K686" s="4">
        <f>IFERROR(VLOOKUP(B686,infoTable__11[],4,FALSE),"")</f>
        <v>447886</v>
      </c>
      <c r="L686" s="4">
        <f>IFERROR(VLOOKUP(B686,infoTable__12[],4,FALSE),"")</f>
        <v>556656</v>
      </c>
      <c r="M686" s="4" t="str">
        <f>IFERROR(VLOOKUP(B686,infoTable__13[],4,FALSE),"")</f>
        <v/>
      </c>
      <c r="N686" s="4" t="str">
        <f>IFERROR(VLOOKUP(B686,infoTable__14[],4,FALSE),"")</f>
        <v/>
      </c>
      <c r="O686" s="4" t="str">
        <f>IFERROR(VLOOKUP(B686,infoTable__15[],4,FALSE),"")</f>
        <v/>
      </c>
      <c r="P686" s="4" t="str">
        <f>IFERROR(VLOOKUP(B686,infoTable__16[],4,FALSE),"")</f>
        <v/>
      </c>
    </row>
    <row r="687" spans="1:16" x14ac:dyDescent="0.55000000000000004">
      <c r="A687" t="s">
        <v>434</v>
      </c>
      <c r="B687" t="s">
        <v>435</v>
      </c>
      <c r="C687" s="4" t="str">
        <f>IFERROR(VLOOKUP(B687,infoTable10[],4,FALSE),"")</f>
        <v/>
      </c>
      <c r="D687" s="4" t="str">
        <f>IFERROR(VLOOKUP(B687,infoTable__2[],4,FALSE),"")</f>
        <v/>
      </c>
      <c r="E687" s="4" t="str">
        <f>IFERROR(VLOOKUP(B687,infoTable__3[],4,FALSE),"")</f>
        <v/>
      </c>
      <c r="F687" s="4" t="str">
        <f>IFERROR(VLOOKUP(B687,infoTable__4[],4,FALSE),"")</f>
        <v/>
      </c>
      <c r="G687" s="4">
        <f>IFERROR(VLOOKUP(B687,infoTable[],4,FALSE),"")</f>
        <v>317386</v>
      </c>
      <c r="H687" s="4" t="str">
        <f>IFERROR(VLOOKUP(B687,infoTable__6[],4,FALSE),"")</f>
        <v/>
      </c>
      <c r="I687" s="4" t="str">
        <f>IFERROR(VLOOKUP(B687,infoTable__28[],4,FALSE),"")</f>
        <v/>
      </c>
      <c r="J687" s="4" t="str">
        <f>IFERROR(VLOOKUP(B687,infoTable__10[],4,FALSE),"")</f>
        <v/>
      </c>
      <c r="K687" s="4" t="str">
        <f>IFERROR(VLOOKUP(B687,infoTable__11[],4,FALSE),"")</f>
        <v/>
      </c>
      <c r="L687" s="4" t="str">
        <f>IFERROR(VLOOKUP(B687,infoTable__12[],4,FALSE),"")</f>
        <v/>
      </c>
      <c r="M687" s="4" t="str">
        <f>IFERROR(VLOOKUP(B687,infoTable__13[],4,FALSE),"")</f>
        <v/>
      </c>
      <c r="N687" s="4" t="str">
        <f>IFERROR(VLOOKUP(B687,infoTable__14[],4,FALSE),"")</f>
        <v/>
      </c>
      <c r="O687" s="4" t="str">
        <f>IFERROR(VLOOKUP(B687,infoTable__15[],4,FALSE),"")</f>
        <v/>
      </c>
      <c r="P687" s="4" t="str">
        <f>IFERROR(VLOOKUP(B687,infoTable__16[],4,FALSE),"")</f>
        <v/>
      </c>
    </row>
    <row r="688" spans="1:16" x14ac:dyDescent="0.55000000000000004">
      <c r="A688" t="s">
        <v>438</v>
      </c>
      <c r="B688" t="s">
        <v>439</v>
      </c>
      <c r="C688" s="4">
        <f>IFERROR(VLOOKUP(B688,infoTable10[],4,FALSE),"")</f>
        <v>2079610</v>
      </c>
      <c r="D688" s="4">
        <f>IFERROR(VLOOKUP(B688,infoTable__2[],4,FALSE),"")</f>
        <v>1747548</v>
      </c>
      <c r="E688" s="4">
        <f>IFERROR(VLOOKUP(B688,infoTable__3[],4,FALSE),"")</f>
        <v>1950534</v>
      </c>
      <c r="F688" s="4">
        <f>IFERROR(VLOOKUP(B688,infoTable__4[],4,FALSE),"")</f>
        <v>1480238</v>
      </c>
      <c r="G688" s="4">
        <f>IFERROR(VLOOKUP(B688,infoTable[],4,FALSE),"")</f>
        <v>956264</v>
      </c>
      <c r="H688" s="4">
        <f>IFERROR(VLOOKUP(B688,infoTable__6[],4,FALSE),"")</f>
        <v>1259596</v>
      </c>
      <c r="I688" s="4" t="str">
        <f>IFERROR(VLOOKUP(B688,infoTable__28[],4,FALSE),"")</f>
        <v/>
      </c>
      <c r="J688" s="4" t="str">
        <f>IFERROR(VLOOKUP(B688,infoTable__10[],4,FALSE),"")</f>
        <v/>
      </c>
      <c r="K688" s="4" t="str">
        <f>IFERROR(VLOOKUP(B688,infoTable__11[],4,FALSE),"")</f>
        <v/>
      </c>
      <c r="L688" s="4" t="str">
        <f>IFERROR(VLOOKUP(B688,infoTable__12[],4,FALSE),"")</f>
        <v/>
      </c>
      <c r="M688" s="4" t="str">
        <f>IFERROR(VLOOKUP(B688,infoTable__13[],4,FALSE),"")</f>
        <v/>
      </c>
      <c r="N688" s="4" t="str">
        <f>IFERROR(VLOOKUP(B688,infoTable__14[],4,FALSE),"")</f>
        <v/>
      </c>
      <c r="O688" s="4" t="str">
        <f>IFERROR(VLOOKUP(B688,infoTable__15[],4,FALSE),"")</f>
        <v/>
      </c>
      <c r="P688" s="4">
        <f>IFERROR(VLOOKUP(B688,infoTable__16[],4,FALSE),"")</f>
        <v>1343646</v>
      </c>
    </row>
    <row r="689" spans="1:16" x14ac:dyDescent="0.55000000000000004">
      <c r="A689" t="s">
        <v>3191</v>
      </c>
      <c r="B689" t="s">
        <v>3192</v>
      </c>
      <c r="C689" s="4" t="str">
        <f>IFERROR(VLOOKUP(B689,infoTable10[],4,FALSE),"")</f>
        <v/>
      </c>
      <c r="D689" s="4" t="str">
        <f>IFERROR(VLOOKUP(B689,infoTable__2[],4,FALSE),"")</f>
        <v/>
      </c>
      <c r="E689" s="4" t="str">
        <f>IFERROR(VLOOKUP(B689,infoTable__3[],4,FALSE),"")</f>
        <v/>
      </c>
      <c r="F689" s="4" t="str">
        <f>IFERROR(VLOOKUP(B689,infoTable__4[],4,FALSE),"")</f>
        <v/>
      </c>
      <c r="G689" s="4" t="str">
        <f>IFERROR(VLOOKUP(B689,infoTable[],4,FALSE),"")</f>
        <v/>
      </c>
      <c r="H689" s="4" t="str">
        <f>IFERROR(VLOOKUP(B689,infoTable__6[],4,FALSE),"")</f>
        <v/>
      </c>
      <c r="I689" s="4" t="str">
        <f>IFERROR(VLOOKUP(B689,infoTable__28[],4,FALSE),"")</f>
        <v/>
      </c>
      <c r="J689" s="4" t="str">
        <f>IFERROR(VLOOKUP(B689,infoTable__10[],4,FALSE),"")</f>
        <v/>
      </c>
      <c r="K689" s="4" t="str">
        <f>IFERROR(VLOOKUP(B689,infoTable__11[],4,FALSE),"")</f>
        <v/>
      </c>
      <c r="L689" s="4" t="str">
        <f>IFERROR(VLOOKUP(B689,infoTable__12[],4,FALSE),"")</f>
        <v/>
      </c>
      <c r="M689" s="4" t="str">
        <f>IFERROR(VLOOKUP(B689,infoTable__13[],4,FALSE),"")</f>
        <v/>
      </c>
      <c r="N689" s="4" t="str">
        <f>IFERROR(VLOOKUP(B689,infoTable__14[],4,FALSE),"")</f>
        <v/>
      </c>
      <c r="O689" s="4">
        <f>IFERROR(VLOOKUP(B689,infoTable__15[],4,FALSE),"")</f>
        <v>523858</v>
      </c>
      <c r="P689" s="4">
        <f>IFERROR(VLOOKUP(B689,infoTable__16[],4,FALSE),"")</f>
        <v>361211</v>
      </c>
    </row>
    <row r="690" spans="1:16" x14ac:dyDescent="0.55000000000000004">
      <c r="A690" t="s">
        <v>440</v>
      </c>
      <c r="B690" t="s">
        <v>441</v>
      </c>
      <c r="C690" s="4">
        <f>IFERROR(VLOOKUP(B690,infoTable10[],4,FALSE),"")</f>
        <v>272282</v>
      </c>
      <c r="D690" s="4">
        <f>IFERROR(VLOOKUP(B690,infoTable__2[],4,FALSE),"")</f>
        <v>9229302</v>
      </c>
      <c r="E690" s="4">
        <f>IFERROR(VLOOKUP(B690,infoTable__3[],4,FALSE),"")</f>
        <v>9024944</v>
      </c>
      <c r="F690" s="4" t="str">
        <f>IFERROR(VLOOKUP(B690,infoTable__4[],4,FALSE),"")</f>
        <v/>
      </c>
      <c r="G690" s="4">
        <f>IFERROR(VLOOKUP(B690,infoTable[],4,FALSE),"")</f>
        <v>636561</v>
      </c>
      <c r="H690" s="4" t="str">
        <f>IFERROR(VLOOKUP(B690,infoTable__6[],4,FALSE),"")</f>
        <v/>
      </c>
      <c r="I690" s="4" t="str">
        <f>IFERROR(VLOOKUP(B690,infoTable__28[],4,FALSE),"")</f>
        <v/>
      </c>
      <c r="J690" s="4" t="str">
        <f>IFERROR(VLOOKUP(B690,infoTable__10[],4,FALSE),"")</f>
        <v/>
      </c>
      <c r="K690" s="4" t="str">
        <f>IFERROR(VLOOKUP(B690,infoTable__11[],4,FALSE),"")</f>
        <v/>
      </c>
      <c r="L690" s="4" t="str">
        <f>IFERROR(VLOOKUP(B690,infoTable__12[],4,FALSE),"")</f>
        <v/>
      </c>
      <c r="M690" s="4" t="str">
        <f>IFERROR(VLOOKUP(B690,infoTable__13[],4,FALSE),"")</f>
        <v/>
      </c>
      <c r="N690" s="4" t="str">
        <f>IFERROR(VLOOKUP(B690,infoTable__14[],4,FALSE),"")</f>
        <v/>
      </c>
      <c r="O690" s="4" t="str">
        <f>IFERROR(VLOOKUP(B690,infoTable__15[],4,FALSE),"")</f>
        <v/>
      </c>
      <c r="P690" s="4">
        <f>IFERROR(VLOOKUP(B690,infoTable__16[],4,FALSE),"")</f>
        <v>4571202</v>
      </c>
    </row>
    <row r="691" spans="1:16" x14ac:dyDescent="0.55000000000000004">
      <c r="A691" t="s">
        <v>2039</v>
      </c>
      <c r="B691" t="s">
        <v>2040</v>
      </c>
      <c r="C691" s="4" t="str">
        <f>IFERROR(VLOOKUP(B691,infoTable10[],4,FALSE),"")</f>
        <v/>
      </c>
      <c r="D691" s="4" t="str">
        <f>IFERROR(VLOOKUP(B691,infoTable__2[],4,FALSE),"")</f>
        <v/>
      </c>
      <c r="E691" s="4" t="str">
        <f>IFERROR(VLOOKUP(B691,infoTable__3[],4,FALSE),"")</f>
        <v/>
      </c>
      <c r="F691" s="4" t="str">
        <f>IFERROR(VLOOKUP(B691,infoTable__4[],4,FALSE),"")</f>
        <v/>
      </c>
      <c r="G691" s="4" t="str">
        <f>IFERROR(VLOOKUP(B691,infoTable[],4,FALSE),"")</f>
        <v/>
      </c>
      <c r="H691" s="4" t="str">
        <f>IFERROR(VLOOKUP(B691,infoTable__6[],4,FALSE),"")</f>
        <v/>
      </c>
      <c r="I691" s="4" t="str">
        <f>IFERROR(VLOOKUP(B691,infoTable__28[],4,FALSE),"")</f>
        <v/>
      </c>
      <c r="J691" s="4" t="str">
        <f>IFERROR(VLOOKUP(B691,infoTable__10[],4,FALSE),"")</f>
        <v/>
      </c>
      <c r="K691" s="4">
        <f>IFERROR(VLOOKUP(B691,infoTable__11[],4,FALSE),"")</f>
        <v>1270474</v>
      </c>
      <c r="L691" s="4">
        <f>IFERROR(VLOOKUP(B691,infoTable__12[],4,FALSE),"")</f>
        <v>528884</v>
      </c>
      <c r="M691" s="4" t="str">
        <f>IFERROR(VLOOKUP(B691,infoTable__13[],4,FALSE),"")</f>
        <v/>
      </c>
      <c r="N691" s="4" t="str">
        <f>IFERROR(VLOOKUP(B691,infoTable__14[],4,FALSE),"")</f>
        <v/>
      </c>
      <c r="O691" s="4" t="str">
        <f>IFERROR(VLOOKUP(B691,infoTable__15[],4,FALSE),"")</f>
        <v/>
      </c>
      <c r="P691" s="4" t="str">
        <f>IFERROR(VLOOKUP(B691,infoTable__16[],4,FALSE),"")</f>
        <v/>
      </c>
    </row>
    <row r="692" spans="1:16" x14ac:dyDescent="0.55000000000000004">
      <c r="A692" t="s">
        <v>1581</v>
      </c>
      <c r="B692" t="s">
        <v>445</v>
      </c>
      <c r="C692" s="4" t="str">
        <f>IFERROR(VLOOKUP(B692,infoTable10[],4,FALSE),"")</f>
        <v/>
      </c>
      <c r="D692" s="4" t="str">
        <f>IFERROR(VLOOKUP(B692,infoTable__2[],4,FALSE),"")</f>
        <v/>
      </c>
      <c r="E692" s="4" t="str">
        <f>IFERROR(VLOOKUP(B692,infoTable__3[],4,FALSE),"")</f>
        <v/>
      </c>
      <c r="F692" s="4">
        <f>IFERROR(VLOOKUP(B692,infoTable__4[],4,FALSE),"")</f>
        <v>442244</v>
      </c>
      <c r="G692" s="4">
        <f>IFERROR(VLOOKUP(B692,infoTable[],4,FALSE),"")</f>
        <v>1169336</v>
      </c>
      <c r="H692" s="4">
        <f>IFERROR(VLOOKUP(B692,infoTable__6[],4,FALSE),"")</f>
        <v>1699984</v>
      </c>
      <c r="I692" s="4" t="str">
        <f>IFERROR(VLOOKUP(B692,infoTable__28[],4,FALSE),"")</f>
        <v/>
      </c>
      <c r="J692" s="4" t="str">
        <f>IFERROR(VLOOKUP(B692,infoTable__10[],4,FALSE),"")</f>
        <v/>
      </c>
      <c r="K692" s="4" t="str">
        <f>IFERROR(VLOOKUP(B692,infoTable__11[],4,FALSE),"")</f>
        <v/>
      </c>
      <c r="L692" s="4" t="str">
        <f>IFERROR(VLOOKUP(B692,infoTable__12[],4,FALSE),"")</f>
        <v/>
      </c>
      <c r="M692" s="4" t="str">
        <f>IFERROR(VLOOKUP(B692,infoTable__13[],4,FALSE),"")</f>
        <v/>
      </c>
      <c r="N692" s="4" t="str">
        <f>IFERROR(VLOOKUP(B692,infoTable__14[],4,FALSE),"")</f>
        <v/>
      </c>
      <c r="O692" s="4" t="str">
        <f>IFERROR(VLOOKUP(B692,infoTable__15[],4,FALSE),"")</f>
        <v/>
      </c>
      <c r="P692" s="4" t="str">
        <f>IFERROR(VLOOKUP(B692,infoTable__16[],4,FALSE),"")</f>
        <v/>
      </c>
    </row>
    <row r="693" spans="1:16" x14ac:dyDescent="0.55000000000000004">
      <c r="A693" t="s">
        <v>442</v>
      </c>
      <c r="B693" t="s">
        <v>443</v>
      </c>
      <c r="C693" s="4" t="str">
        <f>IFERROR(VLOOKUP(B693,infoTable10[],4,FALSE),"")</f>
        <v/>
      </c>
      <c r="D693" s="4" t="str">
        <f>IFERROR(VLOOKUP(B693,infoTable__2[],4,FALSE),"")</f>
        <v/>
      </c>
      <c r="E693" s="4" t="str">
        <f>IFERROR(VLOOKUP(B693,infoTable__3[],4,FALSE),"")</f>
        <v/>
      </c>
      <c r="F693" s="4" t="str">
        <f>IFERROR(VLOOKUP(B693,infoTable__4[],4,FALSE),"")</f>
        <v/>
      </c>
      <c r="G693" s="4">
        <f>IFERROR(VLOOKUP(B693,infoTable[],4,FALSE),"")</f>
        <v>531797</v>
      </c>
      <c r="H693" s="4">
        <f>IFERROR(VLOOKUP(B693,infoTable__6[],4,FALSE),"")</f>
        <v>635446</v>
      </c>
      <c r="I693" s="4" t="str">
        <f>IFERROR(VLOOKUP(B693,infoTable__28[],4,FALSE),"")</f>
        <v/>
      </c>
      <c r="J693" s="4">
        <f>IFERROR(VLOOKUP(B693,infoTable__10[],4,FALSE),"")</f>
        <v>195791</v>
      </c>
      <c r="K693" s="4">
        <f>IFERROR(VLOOKUP(B693,infoTable__11[],4,FALSE),"")</f>
        <v>455448</v>
      </c>
      <c r="L693" s="4">
        <f>IFERROR(VLOOKUP(B693,infoTable__12[],4,FALSE),"")</f>
        <v>329497</v>
      </c>
      <c r="M693" s="4">
        <f>IFERROR(VLOOKUP(B693,infoTable__13[],4,FALSE),"")</f>
        <v>224348</v>
      </c>
      <c r="N693" s="4" t="str">
        <f>IFERROR(VLOOKUP(B693,infoTable__14[],4,FALSE),"")</f>
        <v/>
      </c>
      <c r="O693" s="4" t="str">
        <f>IFERROR(VLOOKUP(B693,infoTable__15[],4,FALSE),"")</f>
        <v/>
      </c>
      <c r="P693" s="4" t="str">
        <f>IFERROR(VLOOKUP(B693,infoTable__16[],4,FALSE),"")</f>
        <v/>
      </c>
    </row>
    <row r="694" spans="1:16" x14ac:dyDescent="0.55000000000000004">
      <c r="A694" t="s">
        <v>805</v>
      </c>
      <c r="B694" t="s">
        <v>806</v>
      </c>
      <c r="C694" s="4" t="str">
        <f>IFERROR(VLOOKUP(B694,infoTable10[],4,FALSE),"")</f>
        <v/>
      </c>
      <c r="D694" s="4" t="str">
        <f>IFERROR(VLOOKUP(B694,infoTable__2[],4,FALSE),"")</f>
        <v/>
      </c>
      <c r="E694" s="4">
        <f>IFERROR(VLOOKUP(B694,infoTable__3[],4,FALSE),"")</f>
        <v>428165</v>
      </c>
      <c r="F694" s="4" t="str">
        <f>IFERROR(VLOOKUP(B694,infoTable__4[],4,FALSE),"")</f>
        <v/>
      </c>
      <c r="G694" s="4" t="str">
        <f>IFERROR(VLOOKUP(B694,infoTable[],4,FALSE),"")</f>
        <v/>
      </c>
      <c r="H694" s="4" t="str">
        <f>IFERROR(VLOOKUP(B694,infoTable__6[],4,FALSE),"")</f>
        <v/>
      </c>
      <c r="I694" s="4" t="str">
        <f>IFERROR(VLOOKUP(B694,infoTable__28[],4,FALSE),"")</f>
        <v/>
      </c>
      <c r="J694" s="4" t="str">
        <f>IFERROR(VLOOKUP(B694,infoTable__10[],4,FALSE),"")</f>
        <v/>
      </c>
      <c r="K694" s="4" t="str">
        <f>IFERROR(VLOOKUP(B694,infoTable__11[],4,FALSE),"")</f>
        <v/>
      </c>
      <c r="L694" s="4" t="str">
        <f>IFERROR(VLOOKUP(B694,infoTable__12[],4,FALSE),"")</f>
        <v/>
      </c>
      <c r="M694" s="4">
        <f>IFERROR(VLOOKUP(B694,infoTable__13[],4,FALSE),"")</f>
        <v>1208673</v>
      </c>
      <c r="N694" s="4">
        <f>IFERROR(VLOOKUP(B694,infoTable__14[],4,FALSE),"")</f>
        <v>229761</v>
      </c>
      <c r="O694" s="4" t="str">
        <f>IFERROR(VLOOKUP(B694,infoTable__15[],4,FALSE),"")</f>
        <v/>
      </c>
      <c r="P694" s="4" t="str">
        <f>IFERROR(VLOOKUP(B694,infoTable__16[],4,FALSE),"")</f>
        <v/>
      </c>
    </row>
    <row r="695" spans="1:16" x14ac:dyDescent="0.55000000000000004">
      <c r="A695" t="s">
        <v>2616</v>
      </c>
      <c r="B695" t="s">
        <v>2617</v>
      </c>
      <c r="C695" s="4" t="str">
        <f>IFERROR(VLOOKUP(B695,infoTable10[],4,FALSE),"")</f>
        <v/>
      </c>
      <c r="D695" s="4" t="str">
        <f>IFERROR(VLOOKUP(B695,infoTable__2[],4,FALSE),"")</f>
        <v/>
      </c>
      <c r="E695" s="4" t="str">
        <f>IFERROR(VLOOKUP(B695,infoTable__3[],4,FALSE),"")</f>
        <v/>
      </c>
      <c r="F695" s="4" t="str">
        <f>IFERROR(VLOOKUP(B695,infoTable__4[],4,FALSE),"")</f>
        <v/>
      </c>
      <c r="G695" s="4" t="str">
        <f>IFERROR(VLOOKUP(B695,infoTable[],4,FALSE),"")</f>
        <v/>
      </c>
      <c r="H695" s="4" t="str">
        <f>IFERROR(VLOOKUP(B695,infoTable__6[],4,FALSE),"")</f>
        <v/>
      </c>
      <c r="I695" s="4" t="str">
        <f>IFERROR(VLOOKUP(B695,infoTable__28[],4,FALSE),"")</f>
        <v/>
      </c>
      <c r="J695" s="4" t="str">
        <f>IFERROR(VLOOKUP(B695,infoTable__10[],4,FALSE),"")</f>
        <v/>
      </c>
      <c r="K695" s="4" t="str">
        <f>IFERROR(VLOOKUP(B695,infoTable__11[],4,FALSE),"")</f>
        <v/>
      </c>
      <c r="L695" s="4" t="str">
        <f>IFERROR(VLOOKUP(B695,infoTable__12[],4,FALSE),"")</f>
        <v/>
      </c>
      <c r="M695" s="4">
        <f>IFERROR(VLOOKUP(B695,infoTable__13[],4,FALSE),"")</f>
        <v>93086</v>
      </c>
      <c r="N695" s="4" t="str">
        <f>IFERROR(VLOOKUP(B695,infoTable__14[],4,FALSE),"")</f>
        <v/>
      </c>
      <c r="O695" s="4" t="str">
        <f>IFERROR(VLOOKUP(B695,infoTable__15[],4,FALSE),"")</f>
        <v/>
      </c>
      <c r="P695" s="4" t="str">
        <f>IFERROR(VLOOKUP(B695,infoTable__16[],4,FALSE),"")</f>
        <v/>
      </c>
    </row>
    <row r="696" spans="1:16" x14ac:dyDescent="0.55000000000000004">
      <c r="A696" t="s">
        <v>1446</v>
      </c>
      <c r="B696" t="s">
        <v>1447</v>
      </c>
      <c r="C696" s="4" t="str">
        <f>IFERROR(VLOOKUP(B696,infoTable10[],4,FALSE),"")</f>
        <v/>
      </c>
      <c r="D696" s="4" t="str">
        <f>IFERROR(VLOOKUP(B696,infoTable__2[],4,FALSE),"")</f>
        <v/>
      </c>
      <c r="E696" s="4" t="str">
        <f>IFERROR(VLOOKUP(B696,infoTable__3[],4,FALSE),"")</f>
        <v/>
      </c>
      <c r="F696" s="4" t="str">
        <f>IFERROR(VLOOKUP(B696,infoTable__4[],4,FALSE),"")</f>
        <v/>
      </c>
      <c r="G696" s="4" t="str">
        <f>IFERROR(VLOOKUP(B696,infoTable[],4,FALSE),"")</f>
        <v/>
      </c>
      <c r="H696" s="4" t="str">
        <f>IFERROR(VLOOKUP(B696,infoTable__6[],4,FALSE),"")</f>
        <v/>
      </c>
      <c r="I696" s="4">
        <f>IFERROR(VLOOKUP(B696,infoTable__28[],4,FALSE),"")</f>
        <v>1564182</v>
      </c>
      <c r="J696" s="4">
        <f>IFERROR(VLOOKUP(B696,infoTable__10[],4,FALSE),"")</f>
        <v>282480</v>
      </c>
      <c r="K696" s="4">
        <f>IFERROR(VLOOKUP(B696,infoTable__11[],4,FALSE),"")</f>
        <v>243290</v>
      </c>
      <c r="L696" s="4" t="str">
        <f>IFERROR(VLOOKUP(B696,infoTable__12[],4,FALSE),"")</f>
        <v/>
      </c>
      <c r="M696" s="4" t="str">
        <f>IFERROR(VLOOKUP(B696,infoTable__13[],4,FALSE),"")</f>
        <v/>
      </c>
      <c r="N696" s="4">
        <f>IFERROR(VLOOKUP(B696,infoTable__14[],4,FALSE),"")</f>
        <v>1938568</v>
      </c>
      <c r="O696" s="4" t="str">
        <f>IFERROR(VLOOKUP(B696,infoTable__15[],4,FALSE),"")</f>
        <v/>
      </c>
      <c r="P696" s="4" t="str">
        <f>IFERROR(VLOOKUP(B696,infoTable__16[],4,FALSE),"")</f>
        <v/>
      </c>
    </row>
    <row r="697" spans="1:16" x14ac:dyDescent="0.55000000000000004">
      <c r="A697" t="s">
        <v>2618</v>
      </c>
      <c r="B697" t="s">
        <v>2619</v>
      </c>
      <c r="C697" s="4" t="str">
        <f>IFERROR(VLOOKUP(B697,infoTable10[],4,FALSE),"")</f>
        <v/>
      </c>
      <c r="D697" s="4" t="str">
        <f>IFERROR(VLOOKUP(B697,infoTable__2[],4,FALSE),"")</f>
        <v/>
      </c>
      <c r="E697" s="4" t="str">
        <f>IFERROR(VLOOKUP(B697,infoTable__3[],4,FALSE),"")</f>
        <v/>
      </c>
      <c r="F697" s="4" t="str">
        <f>IFERROR(VLOOKUP(B697,infoTable__4[],4,FALSE),"")</f>
        <v/>
      </c>
      <c r="G697" s="4" t="str">
        <f>IFERROR(VLOOKUP(B697,infoTable[],4,FALSE),"")</f>
        <v/>
      </c>
      <c r="H697" s="4" t="str">
        <f>IFERROR(VLOOKUP(B697,infoTable__6[],4,FALSE),"")</f>
        <v/>
      </c>
      <c r="I697" s="4" t="str">
        <f>IFERROR(VLOOKUP(B697,infoTable__28[],4,FALSE),"")</f>
        <v/>
      </c>
      <c r="J697" s="4" t="str">
        <f>IFERROR(VLOOKUP(B697,infoTable__10[],4,FALSE),"")</f>
        <v/>
      </c>
      <c r="K697" s="4" t="str">
        <f>IFERROR(VLOOKUP(B697,infoTable__11[],4,FALSE),"")</f>
        <v/>
      </c>
      <c r="L697" s="4" t="str">
        <f>IFERROR(VLOOKUP(B697,infoTable__12[],4,FALSE),"")</f>
        <v/>
      </c>
      <c r="M697" s="4">
        <f>IFERROR(VLOOKUP(B697,infoTable__13[],4,FALSE),"")</f>
        <v>527343</v>
      </c>
      <c r="N697" s="4">
        <f>IFERROR(VLOOKUP(B697,infoTable__14[],4,FALSE),"")</f>
        <v>1541132</v>
      </c>
      <c r="O697" s="4">
        <f>IFERROR(VLOOKUP(B697,infoTable__15[],4,FALSE),"")</f>
        <v>1470733</v>
      </c>
      <c r="P697" s="4">
        <f>IFERROR(VLOOKUP(B697,infoTable__16[],4,FALSE),"")</f>
        <v>3718637</v>
      </c>
    </row>
    <row r="698" spans="1:16" x14ac:dyDescent="0.55000000000000004">
      <c r="A698" t="s">
        <v>446</v>
      </c>
      <c r="B698" t="s">
        <v>447</v>
      </c>
      <c r="C698" s="4" t="str">
        <f>IFERROR(VLOOKUP(B698,infoTable10[],4,FALSE),"")</f>
        <v/>
      </c>
      <c r="D698" s="4" t="str">
        <f>IFERROR(VLOOKUP(B698,infoTable__2[],4,FALSE),"")</f>
        <v/>
      </c>
      <c r="E698" s="4">
        <f>IFERROR(VLOOKUP(B698,infoTable__3[],4,FALSE),"")</f>
        <v>563608</v>
      </c>
      <c r="F698" s="4">
        <f>IFERROR(VLOOKUP(B698,infoTable__4[],4,FALSE),"")</f>
        <v>601739</v>
      </c>
      <c r="G698" s="4">
        <f>IFERROR(VLOOKUP(B698,infoTable[],4,FALSE),"")</f>
        <v>696251</v>
      </c>
      <c r="H698" s="4">
        <f>IFERROR(VLOOKUP(B698,infoTable__6[],4,FALSE),"")</f>
        <v>100901</v>
      </c>
      <c r="I698" s="4" t="str">
        <f>IFERROR(VLOOKUP(B698,infoTable__28[],4,FALSE),"")</f>
        <v/>
      </c>
      <c r="J698" s="4" t="str">
        <f>IFERROR(VLOOKUP(B698,infoTable__10[],4,FALSE),"")</f>
        <v/>
      </c>
      <c r="K698" s="4" t="str">
        <f>IFERROR(VLOOKUP(B698,infoTable__11[],4,FALSE),"")</f>
        <v/>
      </c>
      <c r="L698" s="4" t="str">
        <f>IFERROR(VLOOKUP(B698,infoTable__12[],4,FALSE),"")</f>
        <v/>
      </c>
      <c r="M698" s="4" t="str">
        <f>IFERROR(VLOOKUP(B698,infoTable__13[],4,FALSE),"")</f>
        <v/>
      </c>
      <c r="N698" s="4" t="str">
        <f>IFERROR(VLOOKUP(B698,infoTable__14[],4,FALSE),"")</f>
        <v/>
      </c>
      <c r="O698" s="4" t="str">
        <f>IFERROR(VLOOKUP(B698,infoTable__15[],4,FALSE),"")</f>
        <v/>
      </c>
      <c r="P698" s="4" t="str">
        <f>IFERROR(VLOOKUP(B698,infoTable__16[],4,FALSE),"")</f>
        <v/>
      </c>
    </row>
    <row r="699" spans="1:16" x14ac:dyDescent="0.55000000000000004">
      <c r="A699" t="s">
        <v>1799</v>
      </c>
      <c r="B699" t="s">
        <v>1800</v>
      </c>
      <c r="C699" s="4" t="str">
        <f>IFERROR(VLOOKUP(B699,infoTable10[],4,FALSE),"")</f>
        <v/>
      </c>
      <c r="D699" s="4" t="str">
        <f>IFERROR(VLOOKUP(B699,infoTable__2[],4,FALSE),"")</f>
        <v/>
      </c>
      <c r="E699" s="4" t="str">
        <f>IFERROR(VLOOKUP(B699,infoTable__3[],4,FALSE),"")</f>
        <v/>
      </c>
      <c r="F699" s="4" t="str">
        <f>IFERROR(VLOOKUP(B699,infoTable__4[],4,FALSE),"")</f>
        <v/>
      </c>
      <c r="G699" s="4" t="str">
        <f>IFERROR(VLOOKUP(B699,infoTable[],4,FALSE),"")</f>
        <v/>
      </c>
      <c r="H699" s="4" t="str">
        <f>IFERROR(VLOOKUP(B699,infoTable__6[],4,FALSE),"")</f>
        <v/>
      </c>
      <c r="I699" s="4" t="str">
        <f>IFERROR(VLOOKUP(B699,infoTable__28[],4,FALSE),"")</f>
        <v/>
      </c>
      <c r="J699" s="4">
        <f>IFERROR(VLOOKUP(B699,infoTable__10[],4,FALSE),"")</f>
        <v>982973</v>
      </c>
      <c r="K699" s="4">
        <f>IFERROR(VLOOKUP(B699,infoTable__11[],4,FALSE),"")</f>
        <v>2562372</v>
      </c>
      <c r="L699" s="4">
        <f>IFERROR(VLOOKUP(B699,infoTable__12[],4,FALSE),"")</f>
        <v>1151754</v>
      </c>
      <c r="M699" s="4" t="str">
        <f>IFERROR(VLOOKUP(B699,infoTable__13[],4,FALSE),"")</f>
        <v/>
      </c>
      <c r="N699" s="4" t="str">
        <f>IFERROR(VLOOKUP(B699,infoTable__14[],4,FALSE),"")</f>
        <v/>
      </c>
      <c r="O699" s="4" t="str">
        <f>IFERROR(VLOOKUP(B699,infoTable__15[],4,FALSE),"")</f>
        <v/>
      </c>
      <c r="P699" s="4" t="str">
        <f>IFERROR(VLOOKUP(B699,infoTable__16[],4,FALSE),"")</f>
        <v/>
      </c>
    </row>
    <row r="700" spans="1:16" x14ac:dyDescent="0.55000000000000004">
      <c r="A700" t="s">
        <v>1448</v>
      </c>
      <c r="B700" t="s">
        <v>1449</v>
      </c>
      <c r="C700" s="4" t="str">
        <f>IFERROR(VLOOKUP(B700,infoTable10[],4,FALSE),"")</f>
        <v/>
      </c>
      <c r="D700" s="4" t="str">
        <f>IFERROR(VLOOKUP(B700,infoTable__2[],4,FALSE),"")</f>
        <v/>
      </c>
      <c r="E700" s="4" t="str">
        <f>IFERROR(VLOOKUP(B700,infoTable__3[],4,FALSE),"")</f>
        <v/>
      </c>
      <c r="F700" s="4" t="str">
        <f>IFERROR(VLOOKUP(B700,infoTable__4[],4,FALSE),"")</f>
        <v/>
      </c>
      <c r="G700" s="4" t="str">
        <f>IFERROR(VLOOKUP(B700,infoTable[],4,FALSE),"")</f>
        <v/>
      </c>
      <c r="H700" s="4" t="str">
        <f>IFERROR(VLOOKUP(B700,infoTable__6[],4,FALSE),"")</f>
        <v/>
      </c>
      <c r="I700" s="4">
        <f>IFERROR(VLOOKUP(B700,infoTable__28[],4,FALSE),"")</f>
        <v>276018</v>
      </c>
      <c r="J700" s="4" t="str">
        <f>IFERROR(VLOOKUP(B700,infoTable__10[],4,FALSE),"")</f>
        <v/>
      </c>
      <c r="K700" s="4" t="str">
        <f>IFERROR(VLOOKUP(B700,infoTable__11[],4,FALSE),"")</f>
        <v/>
      </c>
      <c r="L700" s="4" t="str">
        <f>IFERROR(VLOOKUP(B700,infoTable__12[],4,FALSE),"")</f>
        <v/>
      </c>
      <c r="M700" s="4" t="str">
        <f>IFERROR(VLOOKUP(B700,infoTable__13[],4,FALSE),"")</f>
        <v/>
      </c>
      <c r="N700" s="4" t="str">
        <f>IFERROR(VLOOKUP(B700,infoTable__14[],4,FALSE),"")</f>
        <v/>
      </c>
      <c r="O700" s="4" t="str">
        <f>IFERROR(VLOOKUP(B700,infoTable__15[],4,FALSE),"")</f>
        <v/>
      </c>
      <c r="P700" s="4" t="str">
        <f>IFERROR(VLOOKUP(B700,infoTable__16[],4,FALSE),"")</f>
        <v/>
      </c>
    </row>
    <row r="701" spans="1:16" x14ac:dyDescent="0.55000000000000004">
      <c r="A701" t="s">
        <v>803</v>
      </c>
      <c r="B701" t="s">
        <v>804</v>
      </c>
      <c r="C701" s="4" t="str">
        <f>IFERROR(VLOOKUP(B701,infoTable10[],4,FALSE),"")</f>
        <v/>
      </c>
      <c r="D701" s="4" t="str">
        <f>IFERROR(VLOOKUP(B701,infoTable__2[],4,FALSE),"")</f>
        <v/>
      </c>
      <c r="E701" s="4">
        <f>IFERROR(VLOOKUP(B701,infoTable__3[],4,FALSE),"")</f>
        <v>1947336</v>
      </c>
      <c r="F701" s="4" t="str">
        <f>IFERROR(VLOOKUP(B701,infoTable__4[],4,FALSE),"")</f>
        <v/>
      </c>
      <c r="G701" s="4" t="str">
        <f>IFERROR(VLOOKUP(B701,infoTable[],4,FALSE),"")</f>
        <v/>
      </c>
      <c r="H701" s="4" t="str">
        <f>IFERROR(VLOOKUP(B701,infoTable__6[],4,FALSE),"")</f>
        <v/>
      </c>
      <c r="I701" s="4" t="str">
        <f>IFERROR(VLOOKUP(B701,infoTable__28[],4,FALSE),"")</f>
        <v/>
      </c>
      <c r="J701" s="4" t="str">
        <f>IFERROR(VLOOKUP(B701,infoTable__10[],4,FALSE),"")</f>
        <v/>
      </c>
      <c r="K701" s="4">
        <f>IFERROR(VLOOKUP(B701,infoTable__11[],4,FALSE),"")</f>
        <v>1067111</v>
      </c>
      <c r="L701" s="4">
        <f>IFERROR(VLOOKUP(B701,infoTable__12[],4,FALSE),"")</f>
        <v>433118</v>
      </c>
      <c r="M701" s="4" t="str">
        <f>IFERROR(VLOOKUP(B701,infoTable__13[],4,FALSE),"")</f>
        <v/>
      </c>
      <c r="N701" s="4" t="str">
        <f>IFERROR(VLOOKUP(B701,infoTable__14[],4,FALSE),"")</f>
        <v/>
      </c>
      <c r="O701" s="4" t="str">
        <f>IFERROR(VLOOKUP(B701,infoTable__15[],4,FALSE),"")</f>
        <v/>
      </c>
      <c r="P701" s="4" t="str">
        <f>IFERROR(VLOOKUP(B701,infoTable__16[],4,FALSE),"")</f>
        <v/>
      </c>
    </row>
    <row r="702" spans="1:16" x14ac:dyDescent="0.55000000000000004">
      <c r="A702" t="s">
        <v>1450</v>
      </c>
      <c r="B702" t="s">
        <v>1451</v>
      </c>
      <c r="C702" s="4" t="str">
        <f>IFERROR(VLOOKUP(B702,infoTable10[],4,FALSE),"")</f>
        <v/>
      </c>
      <c r="D702" s="4" t="str">
        <f>IFERROR(VLOOKUP(B702,infoTable__2[],4,FALSE),"")</f>
        <v/>
      </c>
      <c r="E702" s="4" t="str">
        <f>IFERROR(VLOOKUP(B702,infoTable__3[],4,FALSE),"")</f>
        <v/>
      </c>
      <c r="F702" s="4" t="str">
        <f>IFERROR(VLOOKUP(B702,infoTable__4[],4,FALSE),"")</f>
        <v/>
      </c>
      <c r="G702" s="4" t="str">
        <f>IFERROR(VLOOKUP(B702,infoTable[],4,FALSE),"")</f>
        <v/>
      </c>
      <c r="H702" s="4" t="str">
        <f>IFERROR(VLOOKUP(B702,infoTable__6[],4,FALSE),"")</f>
        <v/>
      </c>
      <c r="I702" s="4">
        <f>IFERROR(VLOOKUP(B702,infoTable__28[],4,FALSE),"")</f>
        <v>281911</v>
      </c>
      <c r="J702" s="4">
        <f>IFERROR(VLOOKUP(B702,infoTable__10[],4,FALSE),"")</f>
        <v>5708692</v>
      </c>
      <c r="K702" s="4">
        <f>IFERROR(VLOOKUP(B702,infoTable__11[],4,FALSE),"")</f>
        <v>987741</v>
      </c>
      <c r="L702" s="4">
        <f>IFERROR(VLOOKUP(B702,infoTable__12[],4,FALSE),"")</f>
        <v>757171</v>
      </c>
      <c r="M702" s="4">
        <f>IFERROR(VLOOKUP(B702,infoTable__13[],4,FALSE),"")</f>
        <v>1120636</v>
      </c>
      <c r="N702" s="4" t="str">
        <f>IFERROR(VLOOKUP(B702,infoTable__14[],4,FALSE),"")</f>
        <v/>
      </c>
      <c r="O702" s="4" t="str">
        <f>IFERROR(VLOOKUP(B702,infoTable__15[],4,FALSE),"")</f>
        <v/>
      </c>
      <c r="P702" s="4" t="str">
        <f>IFERROR(VLOOKUP(B702,infoTable__16[],4,FALSE),"")</f>
        <v/>
      </c>
    </row>
    <row r="703" spans="1:16" x14ac:dyDescent="0.55000000000000004">
      <c r="A703" t="s">
        <v>2761</v>
      </c>
      <c r="B703" t="s">
        <v>2760</v>
      </c>
      <c r="C703" s="4" t="str">
        <f>IFERROR(VLOOKUP(B703,infoTable10[],4,FALSE),"")</f>
        <v/>
      </c>
      <c r="D703" s="4" t="str">
        <f>IFERROR(VLOOKUP(B703,infoTable__2[],4,FALSE),"")</f>
        <v/>
      </c>
      <c r="E703" s="4" t="str">
        <f>IFERROR(VLOOKUP(B703,infoTable__3[],4,FALSE),"")</f>
        <v/>
      </c>
      <c r="F703" s="4" t="str">
        <f>IFERROR(VLOOKUP(B703,infoTable__4[],4,FALSE),"")</f>
        <v/>
      </c>
      <c r="G703" s="4" t="str">
        <f>IFERROR(VLOOKUP(B703,infoTable[],4,FALSE),"")</f>
        <v/>
      </c>
      <c r="H703" s="4" t="str">
        <f>IFERROR(VLOOKUP(B703,infoTable__6[],4,FALSE),"")</f>
        <v/>
      </c>
      <c r="I703" s="4" t="str">
        <f>IFERROR(VLOOKUP(B703,infoTable__28[],4,FALSE),"")</f>
        <v/>
      </c>
      <c r="J703" s="4" t="str">
        <f>IFERROR(VLOOKUP(B703,infoTable__10[],4,FALSE),"")</f>
        <v/>
      </c>
      <c r="K703" s="4" t="str">
        <f>IFERROR(VLOOKUP(B703,infoTable__11[],4,FALSE),"")</f>
        <v/>
      </c>
      <c r="L703" s="4" t="str">
        <f>IFERROR(VLOOKUP(B703,infoTable__12[],4,FALSE),"")</f>
        <v/>
      </c>
      <c r="M703" s="4" t="str">
        <f>IFERROR(VLOOKUP(B703,infoTable__13[],4,FALSE),"")</f>
        <v/>
      </c>
      <c r="N703" s="4">
        <f>IFERROR(VLOOKUP(B703,infoTable__14[],4,FALSE),"")</f>
        <v>130733</v>
      </c>
      <c r="O703" s="4" t="str">
        <f>IFERROR(VLOOKUP(B703,infoTable__15[],4,FALSE),"")</f>
        <v/>
      </c>
      <c r="P703" s="4" t="str">
        <f>IFERROR(VLOOKUP(B703,infoTable__16[],4,FALSE),"")</f>
        <v/>
      </c>
    </row>
    <row r="704" spans="1:16" x14ac:dyDescent="0.55000000000000004">
      <c r="A704" t="s">
        <v>3550</v>
      </c>
      <c r="B704" t="s">
        <v>3551</v>
      </c>
      <c r="C704" s="4" t="str">
        <f>IFERROR(VLOOKUP(B704,infoTable10[],4,FALSE),"")</f>
        <v/>
      </c>
      <c r="D704" s="4" t="str">
        <f>IFERROR(VLOOKUP(B704,infoTable__2[],4,FALSE),"")</f>
        <v/>
      </c>
      <c r="E704" s="4" t="str">
        <f>IFERROR(VLOOKUP(B704,infoTable__3[],4,FALSE),"")</f>
        <v/>
      </c>
      <c r="F704" s="4" t="str">
        <f>IFERROR(VLOOKUP(B704,infoTable__4[],4,FALSE),"")</f>
        <v/>
      </c>
      <c r="G704" s="4" t="str">
        <f>IFERROR(VLOOKUP(B704,infoTable[],4,FALSE),"")</f>
        <v/>
      </c>
      <c r="H704" s="4" t="str">
        <f>IFERROR(VLOOKUP(B704,infoTable__6[],4,FALSE),"")</f>
        <v/>
      </c>
      <c r="I704" s="4" t="str">
        <f>IFERROR(VLOOKUP(B704,infoTable__28[],4,FALSE),"")</f>
        <v/>
      </c>
      <c r="J704" s="4" t="str">
        <f>IFERROR(VLOOKUP(B704,infoTable__10[],4,FALSE),"")</f>
        <v/>
      </c>
      <c r="K704" s="4" t="str">
        <f>IFERROR(VLOOKUP(B704,infoTable__11[],4,FALSE),"")</f>
        <v/>
      </c>
      <c r="L704" s="4" t="str">
        <f>IFERROR(VLOOKUP(B704,infoTable__12[],4,FALSE),"")</f>
        <v/>
      </c>
      <c r="M704" s="4" t="str">
        <f>IFERROR(VLOOKUP(B704,infoTable__13[],4,FALSE),"")</f>
        <v/>
      </c>
      <c r="N704" s="4" t="str">
        <f>IFERROR(VLOOKUP(B704,infoTable__14[],4,FALSE),"")</f>
        <v/>
      </c>
      <c r="O704" s="4" t="str">
        <f>IFERROR(VLOOKUP(B704,infoTable__15[],4,FALSE),"")</f>
        <v/>
      </c>
      <c r="P704" s="4">
        <f>IFERROR(VLOOKUP(B704,infoTable__16[],4,FALSE),"")</f>
        <v>586179</v>
      </c>
    </row>
    <row r="705" spans="1:16" x14ac:dyDescent="0.55000000000000004">
      <c r="A705" t="s">
        <v>3193</v>
      </c>
      <c r="B705" t="s">
        <v>3194</v>
      </c>
      <c r="C705" s="4" t="str">
        <f>IFERROR(VLOOKUP(B705,infoTable10[],4,FALSE),"")</f>
        <v/>
      </c>
      <c r="D705" s="4" t="str">
        <f>IFERROR(VLOOKUP(B705,infoTable__2[],4,FALSE),"")</f>
        <v/>
      </c>
      <c r="E705" s="4" t="str">
        <f>IFERROR(VLOOKUP(B705,infoTable__3[],4,FALSE),"")</f>
        <v/>
      </c>
      <c r="F705" s="4" t="str">
        <f>IFERROR(VLOOKUP(B705,infoTable__4[],4,FALSE),"")</f>
        <v/>
      </c>
      <c r="G705" s="4" t="str">
        <f>IFERROR(VLOOKUP(B705,infoTable[],4,FALSE),"")</f>
        <v/>
      </c>
      <c r="H705" s="4" t="str">
        <f>IFERROR(VLOOKUP(B705,infoTable__6[],4,FALSE),"")</f>
        <v/>
      </c>
      <c r="I705" s="4" t="str">
        <f>IFERROR(VLOOKUP(B705,infoTable__28[],4,FALSE),"")</f>
        <v/>
      </c>
      <c r="J705" s="4" t="str">
        <f>IFERROR(VLOOKUP(B705,infoTable__10[],4,FALSE),"")</f>
        <v/>
      </c>
      <c r="K705" s="4" t="str">
        <f>IFERROR(VLOOKUP(B705,infoTable__11[],4,FALSE),"")</f>
        <v/>
      </c>
      <c r="L705" s="4" t="str">
        <f>IFERROR(VLOOKUP(B705,infoTable__12[],4,FALSE),"")</f>
        <v/>
      </c>
      <c r="M705" s="4" t="str">
        <f>IFERROR(VLOOKUP(B705,infoTable__13[],4,FALSE),"")</f>
        <v/>
      </c>
      <c r="N705" s="4" t="str">
        <f>IFERROR(VLOOKUP(B705,infoTable__14[],4,FALSE),"")</f>
        <v/>
      </c>
      <c r="O705" s="4">
        <f>IFERROR(VLOOKUP(B705,infoTable__15[],4,FALSE),"")</f>
        <v>502971</v>
      </c>
      <c r="P705" s="4">
        <f>IFERROR(VLOOKUP(B705,infoTable__16[],4,FALSE),"")</f>
        <v>553350</v>
      </c>
    </row>
    <row r="706" spans="1:16" x14ac:dyDescent="0.55000000000000004">
      <c r="A706" t="s">
        <v>3195</v>
      </c>
      <c r="B706" t="s">
        <v>3196</v>
      </c>
      <c r="C706" s="4" t="str">
        <f>IFERROR(VLOOKUP(B706,infoTable10[],4,FALSE),"")</f>
        <v/>
      </c>
      <c r="D706" s="4" t="str">
        <f>IFERROR(VLOOKUP(B706,infoTable__2[],4,FALSE),"")</f>
        <v/>
      </c>
      <c r="E706" s="4" t="str">
        <f>IFERROR(VLOOKUP(B706,infoTable__3[],4,FALSE),"")</f>
        <v/>
      </c>
      <c r="F706" s="4" t="str">
        <f>IFERROR(VLOOKUP(B706,infoTable__4[],4,FALSE),"")</f>
        <v/>
      </c>
      <c r="G706" s="4" t="str">
        <f>IFERROR(VLOOKUP(B706,infoTable[],4,FALSE),"")</f>
        <v/>
      </c>
      <c r="H706" s="4" t="str">
        <f>IFERROR(VLOOKUP(B706,infoTable__6[],4,FALSE),"")</f>
        <v/>
      </c>
      <c r="I706" s="4" t="str">
        <f>IFERROR(VLOOKUP(B706,infoTable__28[],4,FALSE),"")</f>
        <v/>
      </c>
      <c r="J706" s="4" t="str">
        <f>IFERROR(VLOOKUP(B706,infoTable__10[],4,FALSE),"")</f>
        <v/>
      </c>
      <c r="K706" s="4" t="str">
        <f>IFERROR(VLOOKUP(B706,infoTable__11[],4,FALSE),"")</f>
        <v/>
      </c>
      <c r="L706" s="4" t="str">
        <f>IFERROR(VLOOKUP(B706,infoTable__12[],4,FALSE),"")</f>
        <v/>
      </c>
      <c r="M706" s="4" t="str">
        <f>IFERROR(VLOOKUP(B706,infoTable__13[],4,FALSE),"")</f>
        <v/>
      </c>
      <c r="N706" s="4" t="str">
        <f>IFERROR(VLOOKUP(B706,infoTable__14[],4,FALSE),"")</f>
        <v/>
      </c>
      <c r="O706" s="4">
        <f>IFERROR(VLOOKUP(B706,infoTable__15[],4,FALSE),"")</f>
        <v>259226</v>
      </c>
      <c r="P706" s="4">
        <f>IFERROR(VLOOKUP(B706,infoTable__16[],4,FALSE),"")</f>
        <v>1613057</v>
      </c>
    </row>
    <row r="707" spans="1:16" x14ac:dyDescent="0.55000000000000004">
      <c r="A707" t="s">
        <v>448</v>
      </c>
      <c r="B707" t="s">
        <v>449</v>
      </c>
      <c r="C707" s="4" t="str">
        <f>IFERROR(VLOOKUP(B707,infoTable10[],4,FALSE),"")</f>
        <v/>
      </c>
      <c r="D707" s="4" t="str">
        <f>IFERROR(VLOOKUP(B707,infoTable__2[],4,FALSE),"")</f>
        <v/>
      </c>
      <c r="E707" s="4" t="str">
        <f>IFERROR(VLOOKUP(B707,infoTable__3[],4,FALSE),"")</f>
        <v/>
      </c>
      <c r="F707" s="4" t="str">
        <f>IFERROR(VLOOKUP(B707,infoTable__4[],4,FALSE),"")</f>
        <v/>
      </c>
      <c r="G707" s="4">
        <f>IFERROR(VLOOKUP(B707,infoTable[],4,FALSE),"")</f>
        <v>459822</v>
      </c>
      <c r="H707" s="4">
        <f>IFERROR(VLOOKUP(B707,infoTable__6[],4,FALSE),"")</f>
        <v>268924</v>
      </c>
      <c r="I707" s="4" t="str">
        <f>IFERROR(VLOOKUP(B707,infoTable__28[],4,FALSE),"")</f>
        <v/>
      </c>
      <c r="J707" s="4" t="str">
        <f>IFERROR(VLOOKUP(B707,infoTable__10[],4,FALSE),"")</f>
        <v/>
      </c>
      <c r="K707" s="4" t="str">
        <f>IFERROR(VLOOKUP(B707,infoTable__11[],4,FALSE),"")</f>
        <v/>
      </c>
      <c r="L707" s="4" t="str">
        <f>IFERROR(VLOOKUP(B707,infoTable__12[],4,FALSE),"")</f>
        <v/>
      </c>
      <c r="M707" s="4" t="str">
        <f>IFERROR(VLOOKUP(B707,infoTable__13[],4,FALSE),"")</f>
        <v/>
      </c>
      <c r="N707" s="4" t="str">
        <f>IFERROR(VLOOKUP(B707,infoTable__14[],4,FALSE),"")</f>
        <v/>
      </c>
      <c r="O707" s="4" t="str">
        <f>IFERROR(VLOOKUP(B707,infoTable__15[],4,FALSE),"")</f>
        <v/>
      </c>
      <c r="P707" s="4" t="str">
        <f>IFERROR(VLOOKUP(B707,infoTable__16[],4,FALSE),"")</f>
        <v/>
      </c>
    </row>
    <row r="708" spans="1:16" x14ac:dyDescent="0.55000000000000004">
      <c r="A708" t="s">
        <v>1118</v>
      </c>
      <c r="B708" t="s">
        <v>1119</v>
      </c>
      <c r="C708" s="4" t="str">
        <f>IFERROR(VLOOKUP(B708,infoTable10[],4,FALSE),"")</f>
        <v/>
      </c>
      <c r="D708" s="4" t="str">
        <f>IFERROR(VLOOKUP(B708,infoTable__2[],4,FALSE),"")</f>
        <v/>
      </c>
      <c r="E708" s="4" t="str">
        <f>IFERROR(VLOOKUP(B708,infoTable__3[],4,FALSE),"")</f>
        <v/>
      </c>
      <c r="F708" s="4" t="str">
        <f>IFERROR(VLOOKUP(B708,infoTable__4[],4,FALSE),"")</f>
        <v/>
      </c>
      <c r="G708" s="4" t="str">
        <f>IFERROR(VLOOKUP(B708,infoTable[],4,FALSE),"")</f>
        <v/>
      </c>
      <c r="H708" s="4">
        <f>IFERROR(VLOOKUP(B708,infoTable__6[],4,FALSE),"")</f>
        <v>234198</v>
      </c>
      <c r="I708" s="4" t="str">
        <f>IFERROR(VLOOKUP(B708,infoTable__28[],4,FALSE),"")</f>
        <v/>
      </c>
      <c r="J708" s="4">
        <f>IFERROR(VLOOKUP(B708,infoTable__10[],4,FALSE),"")</f>
        <v>728452</v>
      </c>
      <c r="K708" s="4">
        <f>IFERROR(VLOOKUP(B708,infoTable__11[],4,FALSE),"")</f>
        <v>95379</v>
      </c>
      <c r="L708" s="4" t="str">
        <f>IFERROR(VLOOKUP(B708,infoTable__12[],4,FALSE),"")</f>
        <v/>
      </c>
      <c r="M708" s="4" t="str">
        <f>IFERROR(VLOOKUP(B708,infoTable__13[],4,FALSE),"")</f>
        <v/>
      </c>
      <c r="N708" s="4" t="str">
        <f>IFERROR(VLOOKUP(B708,infoTable__14[],4,FALSE),"")</f>
        <v/>
      </c>
      <c r="O708" s="4">
        <f>IFERROR(VLOOKUP(B708,infoTable__15[],4,FALSE),"")</f>
        <v>137847</v>
      </c>
      <c r="P708" s="4">
        <f>IFERROR(VLOOKUP(B708,infoTable__16[],4,FALSE),"")</f>
        <v>1860394</v>
      </c>
    </row>
    <row r="709" spans="1:16" x14ac:dyDescent="0.55000000000000004">
      <c r="A709" t="s">
        <v>2043</v>
      </c>
      <c r="B709" t="s">
        <v>2044</v>
      </c>
      <c r="C709" s="4" t="str">
        <f>IFERROR(VLOOKUP(B709,infoTable10[],4,FALSE),"")</f>
        <v/>
      </c>
      <c r="D709" s="4" t="str">
        <f>IFERROR(VLOOKUP(B709,infoTable__2[],4,FALSE),"")</f>
        <v/>
      </c>
      <c r="E709" s="4" t="str">
        <f>IFERROR(VLOOKUP(B709,infoTable__3[],4,FALSE),"")</f>
        <v/>
      </c>
      <c r="F709" s="4" t="str">
        <f>IFERROR(VLOOKUP(B709,infoTable__4[],4,FALSE),"")</f>
        <v/>
      </c>
      <c r="G709" s="4" t="str">
        <f>IFERROR(VLOOKUP(B709,infoTable[],4,FALSE),"")</f>
        <v/>
      </c>
      <c r="H709" s="4" t="str">
        <f>IFERROR(VLOOKUP(B709,infoTable__6[],4,FALSE),"")</f>
        <v/>
      </c>
      <c r="I709" s="4" t="str">
        <f>IFERROR(VLOOKUP(B709,infoTable__28[],4,FALSE),"")</f>
        <v/>
      </c>
      <c r="J709" s="4" t="str">
        <f>IFERROR(VLOOKUP(B709,infoTable__10[],4,FALSE),"")</f>
        <v/>
      </c>
      <c r="K709" s="4">
        <f>IFERROR(VLOOKUP(B709,infoTable__11[],4,FALSE),"")</f>
        <v>662182</v>
      </c>
      <c r="L709" s="4">
        <f>IFERROR(VLOOKUP(B709,infoTable__12[],4,FALSE),"")</f>
        <v>466674</v>
      </c>
      <c r="M709" s="4">
        <f>IFERROR(VLOOKUP(B709,infoTable__13[],4,FALSE),"")</f>
        <v>432629</v>
      </c>
      <c r="N709" s="4">
        <f>IFERROR(VLOOKUP(B709,infoTable__14[],4,FALSE),"")</f>
        <v>266148</v>
      </c>
      <c r="O709" s="4">
        <f>IFERROR(VLOOKUP(B709,infoTable__15[],4,FALSE),"")</f>
        <v>661761</v>
      </c>
      <c r="P709" s="4" t="str">
        <f>IFERROR(VLOOKUP(B709,infoTable__16[],4,FALSE),"")</f>
        <v/>
      </c>
    </row>
    <row r="710" spans="1:16" x14ac:dyDescent="0.55000000000000004">
      <c r="A710" t="s">
        <v>3552</v>
      </c>
      <c r="B710" t="s">
        <v>3553</v>
      </c>
      <c r="C710" s="4" t="str">
        <f>IFERROR(VLOOKUP(B710,infoTable10[],4,FALSE),"")</f>
        <v/>
      </c>
      <c r="D710" s="4" t="str">
        <f>IFERROR(VLOOKUP(B710,infoTable__2[],4,FALSE),"")</f>
        <v/>
      </c>
      <c r="E710" s="4" t="str">
        <f>IFERROR(VLOOKUP(B710,infoTable__3[],4,FALSE),"")</f>
        <v/>
      </c>
      <c r="F710" s="4" t="str">
        <f>IFERROR(VLOOKUP(B710,infoTable__4[],4,FALSE),"")</f>
        <v/>
      </c>
      <c r="G710" s="4" t="str">
        <f>IFERROR(VLOOKUP(B710,infoTable[],4,FALSE),"")</f>
        <v/>
      </c>
      <c r="H710" s="4" t="str">
        <f>IFERROR(VLOOKUP(B710,infoTable__6[],4,FALSE),"")</f>
        <v/>
      </c>
      <c r="I710" s="4" t="str">
        <f>IFERROR(VLOOKUP(B710,infoTable__28[],4,FALSE),"")</f>
        <v/>
      </c>
      <c r="J710" s="4" t="str">
        <f>IFERROR(VLOOKUP(B710,infoTable__10[],4,FALSE),"")</f>
        <v/>
      </c>
      <c r="K710" s="4" t="str">
        <f>IFERROR(VLOOKUP(B710,infoTable__11[],4,FALSE),"")</f>
        <v/>
      </c>
      <c r="L710" s="4" t="str">
        <f>IFERROR(VLOOKUP(B710,infoTable__12[],4,FALSE),"")</f>
        <v/>
      </c>
      <c r="M710" s="4" t="str">
        <f>IFERROR(VLOOKUP(B710,infoTable__13[],4,FALSE),"")</f>
        <v/>
      </c>
      <c r="N710" s="4" t="str">
        <f>IFERROR(VLOOKUP(B710,infoTable__14[],4,FALSE),"")</f>
        <v/>
      </c>
      <c r="O710" s="4" t="str">
        <f>IFERROR(VLOOKUP(B710,infoTable__15[],4,FALSE),"")</f>
        <v/>
      </c>
      <c r="P710" s="4">
        <f>IFERROR(VLOOKUP(B710,infoTable__16[],4,FALSE),"")</f>
        <v>348163</v>
      </c>
    </row>
    <row r="711" spans="1:16" x14ac:dyDescent="0.55000000000000004">
      <c r="A711" t="s">
        <v>2628</v>
      </c>
      <c r="B711" t="s">
        <v>2629</v>
      </c>
      <c r="C711" s="4" t="str">
        <f>IFERROR(VLOOKUP(B711,infoTable10[],4,FALSE),"")</f>
        <v/>
      </c>
      <c r="D711" s="4" t="str">
        <f>IFERROR(VLOOKUP(B711,infoTable__2[],4,FALSE),"")</f>
        <v/>
      </c>
      <c r="E711" s="4" t="str">
        <f>IFERROR(VLOOKUP(B711,infoTable__3[],4,FALSE),"")</f>
        <v/>
      </c>
      <c r="F711" s="4" t="str">
        <f>IFERROR(VLOOKUP(B711,infoTable__4[],4,FALSE),"")</f>
        <v/>
      </c>
      <c r="G711" s="4" t="str">
        <f>IFERROR(VLOOKUP(B711,infoTable[],4,FALSE),"")</f>
        <v/>
      </c>
      <c r="H711" s="4" t="str">
        <f>IFERROR(VLOOKUP(B711,infoTable__6[],4,FALSE),"")</f>
        <v/>
      </c>
      <c r="I711" s="4" t="str">
        <f>IFERROR(VLOOKUP(B711,infoTable__28[],4,FALSE),"")</f>
        <v/>
      </c>
      <c r="J711" s="4" t="str">
        <f>IFERROR(VLOOKUP(B711,infoTable__10[],4,FALSE),"")</f>
        <v/>
      </c>
      <c r="K711" s="4" t="str">
        <f>IFERROR(VLOOKUP(B711,infoTable__11[],4,FALSE),"")</f>
        <v/>
      </c>
      <c r="L711" s="4" t="str">
        <f>IFERROR(VLOOKUP(B711,infoTable__12[],4,FALSE),"")</f>
        <v/>
      </c>
      <c r="M711" s="4">
        <f>IFERROR(VLOOKUP(B711,infoTable__13[],4,FALSE),"")</f>
        <v>1066701</v>
      </c>
      <c r="N711" s="4">
        <f>IFERROR(VLOOKUP(B711,infoTable__14[],4,FALSE),"")</f>
        <v>233401</v>
      </c>
      <c r="O711" s="4" t="str">
        <f>IFERROR(VLOOKUP(B711,infoTable__15[],4,FALSE),"")</f>
        <v/>
      </c>
      <c r="P711" s="4" t="str">
        <f>IFERROR(VLOOKUP(B711,infoTable__16[],4,FALSE),"")</f>
        <v/>
      </c>
    </row>
    <row r="712" spans="1:16" x14ac:dyDescent="0.55000000000000004">
      <c r="A712" t="s">
        <v>3556</v>
      </c>
      <c r="B712" t="s">
        <v>3557</v>
      </c>
      <c r="C712" s="4" t="str">
        <f>IFERROR(VLOOKUP(B712,infoTable10[],4,FALSE),"")</f>
        <v/>
      </c>
      <c r="D712" s="4" t="str">
        <f>IFERROR(VLOOKUP(B712,infoTable__2[],4,FALSE),"")</f>
        <v/>
      </c>
      <c r="E712" s="4" t="str">
        <f>IFERROR(VLOOKUP(B712,infoTable__3[],4,FALSE),"")</f>
        <v/>
      </c>
      <c r="F712" s="4" t="str">
        <f>IFERROR(VLOOKUP(B712,infoTable__4[],4,FALSE),"")</f>
        <v/>
      </c>
      <c r="G712" s="4" t="str">
        <f>IFERROR(VLOOKUP(B712,infoTable[],4,FALSE),"")</f>
        <v/>
      </c>
      <c r="H712" s="4" t="str">
        <f>IFERROR(VLOOKUP(B712,infoTable__6[],4,FALSE),"")</f>
        <v/>
      </c>
      <c r="I712" s="4" t="str">
        <f>IFERROR(VLOOKUP(B712,infoTable__28[],4,FALSE),"")</f>
        <v/>
      </c>
      <c r="J712" s="4" t="str">
        <f>IFERROR(VLOOKUP(B712,infoTable__10[],4,FALSE),"")</f>
        <v/>
      </c>
      <c r="K712" s="4" t="str">
        <f>IFERROR(VLOOKUP(B712,infoTable__11[],4,FALSE),"")</f>
        <v/>
      </c>
      <c r="L712" s="4" t="str">
        <f>IFERROR(VLOOKUP(B712,infoTable__12[],4,FALSE),"")</f>
        <v/>
      </c>
      <c r="M712" s="4" t="str">
        <f>IFERROR(VLOOKUP(B712,infoTable__13[],4,FALSE),"")</f>
        <v/>
      </c>
      <c r="N712" s="4" t="str">
        <f>IFERROR(VLOOKUP(B712,infoTable__14[],4,FALSE),"")</f>
        <v/>
      </c>
      <c r="O712" s="4" t="str">
        <f>IFERROR(VLOOKUP(B712,infoTable__15[],4,FALSE),"")</f>
        <v/>
      </c>
      <c r="P712" s="4">
        <f>IFERROR(VLOOKUP(B712,infoTable__16[],4,FALSE),"")</f>
        <v>366988</v>
      </c>
    </row>
    <row r="713" spans="1:16" x14ac:dyDescent="0.55000000000000004">
      <c r="A713" t="s">
        <v>452</v>
      </c>
      <c r="B713" t="s">
        <v>453</v>
      </c>
      <c r="C713" s="4" t="str">
        <f>IFERROR(VLOOKUP(B713,infoTable10[],4,FALSE),"")</f>
        <v/>
      </c>
      <c r="D713" s="4" t="str">
        <f>IFERROR(VLOOKUP(B713,infoTable__2[],4,FALSE),"")</f>
        <v/>
      </c>
      <c r="E713" s="4" t="str">
        <f>IFERROR(VLOOKUP(B713,infoTable__3[],4,FALSE),"")</f>
        <v/>
      </c>
      <c r="F713" s="4">
        <f>IFERROR(VLOOKUP(B713,infoTable__4[],4,FALSE),"")</f>
        <v>5830858</v>
      </c>
      <c r="G713" s="4">
        <f>IFERROR(VLOOKUP(B713,infoTable[],4,FALSE),"")</f>
        <v>6436470</v>
      </c>
      <c r="H713" s="4">
        <f>IFERROR(VLOOKUP(B713,infoTable__6[],4,FALSE),"")</f>
        <v>1126790</v>
      </c>
      <c r="I713" s="4" t="str">
        <f>IFERROR(VLOOKUP(B713,infoTable__28[],4,FALSE),"")</f>
        <v/>
      </c>
      <c r="J713" s="4" t="str">
        <f>IFERROR(VLOOKUP(B713,infoTable__10[],4,FALSE),"")</f>
        <v/>
      </c>
      <c r="K713" s="4" t="str">
        <f>IFERROR(VLOOKUP(B713,infoTable__11[],4,FALSE),"")</f>
        <v/>
      </c>
      <c r="L713" s="4" t="str">
        <f>IFERROR(VLOOKUP(B713,infoTable__12[],4,FALSE),"")</f>
        <v/>
      </c>
      <c r="M713" s="4" t="str">
        <f>IFERROR(VLOOKUP(B713,infoTable__13[],4,FALSE),"")</f>
        <v/>
      </c>
      <c r="N713" s="4" t="str">
        <f>IFERROR(VLOOKUP(B713,infoTable__14[],4,FALSE),"")</f>
        <v/>
      </c>
      <c r="O713" s="4" t="str">
        <f>IFERROR(VLOOKUP(B713,infoTable__15[],4,FALSE),"")</f>
        <v/>
      </c>
      <c r="P713" s="4" t="str">
        <f>IFERROR(VLOOKUP(B713,infoTable__16[],4,FALSE),"")</f>
        <v/>
      </c>
    </row>
    <row r="714" spans="1:16" x14ac:dyDescent="0.55000000000000004">
      <c r="A714" t="s">
        <v>3558</v>
      </c>
      <c r="B714" t="s">
        <v>3560</v>
      </c>
      <c r="C714" s="4" t="str">
        <f>IFERROR(VLOOKUP(B714,infoTable10[],4,FALSE),"")</f>
        <v/>
      </c>
      <c r="D714" s="4" t="str">
        <f>IFERROR(VLOOKUP(B714,infoTable__2[],4,FALSE),"")</f>
        <v/>
      </c>
      <c r="E714" s="4" t="str">
        <f>IFERROR(VLOOKUP(B714,infoTable__3[],4,FALSE),"")</f>
        <v/>
      </c>
      <c r="F714" s="4" t="str">
        <f>IFERROR(VLOOKUP(B714,infoTable__4[],4,FALSE),"")</f>
        <v/>
      </c>
      <c r="G714" s="4" t="str">
        <f>IFERROR(VLOOKUP(B714,infoTable[],4,FALSE),"")</f>
        <v/>
      </c>
      <c r="H714" s="4" t="str">
        <f>IFERROR(VLOOKUP(B714,infoTable__6[],4,FALSE),"")</f>
        <v/>
      </c>
      <c r="I714" s="4" t="str">
        <f>IFERROR(VLOOKUP(B714,infoTable__28[],4,FALSE),"")</f>
        <v/>
      </c>
      <c r="J714" s="4" t="str">
        <f>IFERROR(VLOOKUP(B714,infoTable__10[],4,FALSE),"")</f>
        <v/>
      </c>
      <c r="K714" s="4" t="str">
        <f>IFERROR(VLOOKUP(B714,infoTable__11[],4,FALSE),"")</f>
        <v/>
      </c>
      <c r="L714" s="4" t="str">
        <f>IFERROR(VLOOKUP(B714,infoTable__12[],4,FALSE),"")</f>
        <v/>
      </c>
      <c r="M714" s="4" t="str">
        <f>IFERROR(VLOOKUP(B714,infoTable__13[],4,FALSE),"")</f>
        <v/>
      </c>
      <c r="N714" s="4" t="str">
        <f>IFERROR(VLOOKUP(B714,infoTable__14[],4,FALSE),"")</f>
        <v/>
      </c>
      <c r="O714" s="4" t="str">
        <f>IFERROR(VLOOKUP(B714,infoTable__15[],4,FALSE),"")</f>
        <v/>
      </c>
      <c r="P714" s="4">
        <f>IFERROR(VLOOKUP(B714,infoTable__16[],4,FALSE),"")</f>
        <v>5039966</v>
      </c>
    </row>
    <row r="715" spans="1:16" x14ac:dyDescent="0.55000000000000004">
      <c r="A715" t="s">
        <v>2376</v>
      </c>
      <c r="B715" t="s">
        <v>2377</v>
      </c>
      <c r="C715" s="4" t="str">
        <f>IFERROR(VLOOKUP(B715,infoTable10[],4,FALSE),"")</f>
        <v/>
      </c>
      <c r="D715" s="4" t="str">
        <f>IFERROR(VLOOKUP(B715,infoTable__2[],4,FALSE),"")</f>
        <v/>
      </c>
      <c r="E715" s="4" t="str">
        <f>IFERROR(VLOOKUP(B715,infoTable__3[],4,FALSE),"")</f>
        <v/>
      </c>
      <c r="F715" s="4" t="str">
        <f>IFERROR(VLOOKUP(B715,infoTable__4[],4,FALSE),"")</f>
        <v/>
      </c>
      <c r="G715" s="4" t="str">
        <f>IFERROR(VLOOKUP(B715,infoTable[],4,FALSE),"")</f>
        <v/>
      </c>
      <c r="H715" s="4" t="str">
        <f>IFERROR(VLOOKUP(B715,infoTable__6[],4,FALSE),"")</f>
        <v/>
      </c>
      <c r="I715" s="4" t="str">
        <f>IFERROR(VLOOKUP(B715,infoTable__28[],4,FALSE),"")</f>
        <v/>
      </c>
      <c r="J715" s="4" t="str">
        <f>IFERROR(VLOOKUP(B715,infoTable__10[],4,FALSE),"")</f>
        <v/>
      </c>
      <c r="K715" s="4" t="str">
        <f>IFERROR(VLOOKUP(B715,infoTable__11[],4,FALSE),"")</f>
        <v/>
      </c>
      <c r="L715" s="4">
        <f>IFERROR(VLOOKUP(B715,infoTable__12[],4,FALSE),"")</f>
        <v>932053</v>
      </c>
      <c r="M715" s="4">
        <f>IFERROR(VLOOKUP(B715,infoTable__13[],4,FALSE),"")</f>
        <v>1701841</v>
      </c>
      <c r="N715" s="4" t="str">
        <f>IFERROR(VLOOKUP(B715,infoTable__14[],4,FALSE),"")</f>
        <v/>
      </c>
      <c r="O715" s="4" t="str">
        <f>IFERROR(VLOOKUP(B715,infoTable__15[],4,FALSE),"")</f>
        <v/>
      </c>
      <c r="P715" s="4" t="str">
        <f>IFERROR(VLOOKUP(B715,infoTable__16[],4,FALSE),"")</f>
        <v/>
      </c>
    </row>
    <row r="716" spans="1:16" x14ac:dyDescent="0.55000000000000004">
      <c r="A716" t="s">
        <v>2622</v>
      </c>
      <c r="B716" t="s">
        <v>2623</v>
      </c>
      <c r="C716" s="4" t="str">
        <f>IFERROR(VLOOKUP(B716,infoTable10[],4,FALSE),"")</f>
        <v/>
      </c>
      <c r="D716" s="4" t="str">
        <f>IFERROR(VLOOKUP(B716,infoTable__2[],4,FALSE),"")</f>
        <v/>
      </c>
      <c r="E716" s="4" t="str">
        <f>IFERROR(VLOOKUP(B716,infoTable__3[],4,FALSE),"")</f>
        <v/>
      </c>
      <c r="F716" s="4" t="str">
        <f>IFERROR(VLOOKUP(B716,infoTable__4[],4,FALSE),"")</f>
        <v/>
      </c>
      <c r="G716" s="4" t="str">
        <f>IFERROR(VLOOKUP(B716,infoTable[],4,FALSE),"")</f>
        <v/>
      </c>
      <c r="H716" s="4" t="str">
        <f>IFERROR(VLOOKUP(B716,infoTable__6[],4,FALSE),"")</f>
        <v/>
      </c>
      <c r="I716" s="4" t="str">
        <f>IFERROR(VLOOKUP(B716,infoTable__28[],4,FALSE),"")</f>
        <v/>
      </c>
      <c r="J716" s="4" t="str">
        <f>IFERROR(VLOOKUP(B716,infoTable__10[],4,FALSE),"")</f>
        <v/>
      </c>
      <c r="K716" s="4" t="str">
        <f>IFERROR(VLOOKUP(B716,infoTable__11[],4,FALSE),"")</f>
        <v/>
      </c>
      <c r="L716" s="4" t="str">
        <f>IFERROR(VLOOKUP(B716,infoTable__12[],4,FALSE),"")</f>
        <v/>
      </c>
      <c r="M716" s="4">
        <f>IFERROR(VLOOKUP(B716,infoTable__13[],4,FALSE),"")</f>
        <v>2877208</v>
      </c>
      <c r="N716" s="4">
        <f>IFERROR(VLOOKUP(B716,infoTable__14[],4,FALSE),"")</f>
        <v>3424773</v>
      </c>
      <c r="O716" s="4">
        <f>IFERROR(VLOOKUP(B716,infoTable__15[],4,FALSE),"")</f>
        <v>2980120</v>
      </c>
      <c r="P716" s="4">
        <f>IFERROR(VLOOKUP(B716,infoTable__16[],4,FALSE),"")</f>
        <v>1830202</v>
      </c>
    </row>
    <row r="717" spans="1:16" x14ac:dyDescent="0.55000000000000004">
      <c r="A717" t="s">
        <v>458</v>
      </c>
      <c r="B717" t="s">
        <v>459</v>
      </c>
      <c r="C717" s="4" t="str">
        <f>IFERROR(VLOOKUP(B717,infoTable10[],4,FALSE),"")</f>
        <v/>
      </c>
      <c r="D717" s="4" t="str">
        <f>IFERROR(VLOOKUP(B717,infoTable__2[],4,FALSE),"")</f>
        <v/>
      </c>
      <c r="E717" s="4" t="str">
        <f>IFERROR(VLOOKUP(B717,infoTable__3[],4,FALSE),"")</f>
        <v/>
      </c>
      <c r="F717" s="4" t="str">
        <f>IFERROR(VLOOKUP(B717,infoTable__4[],4,FALSE),"")</f>
        <v/>
      </c>
      <c r="G717" s="4">
        <f>IFERROR(VLOOKUP(B717,infoTable[],4,FALSE),"")</f>
        <v>202891</v>
      </c>
      <c r="H717" s="4" t="str">
        <f>IFERROR(VLOOKUP(B717,infoTable__6[],4,FALSE),"")</f>
        <v/>
      </c>
      <c r="I717" s="4" t="str">
        <f>IFERROR(VLOOKUP(B717,infoTable__28[],4,FALSE),"")</f>
        <v/>
      </c>
      <c r="J717" s="4" t="str">
        <f>IFERROR(VLOOKUP(B717,infoTable__10[],4,FALSE),"")</f>
        <v/>
      </c>
      <c r="K717" s="4" t="str">
        <f>IFERROR(VLOOKUP(B717,infoTable__11[],4,FALSE),"")</f>
        <v/>
      </c>
      <c r="L717" s="4">
        <f>IFERROR(VLOOKUP(B717,infoTable__12[],4,FALSE),"")</f>
        <v>2889878</v>
      </c>
      <c r="M717" s="4">
        <f>IFERROR(VLOOKUP(B717,infoTable__13[],4,FALSE),"")</f>
        <v>3304234</v>
      </c>
      <c r="N717" s="4" t="str">
        <f>IFERROR(VLOOKUP(B717,infoTable__14[],4,FALSE),"")</f>
        <v/>
      </c>
      <c r="O717" s="4" t="str">
        <f>IFERROR(VLOOKUP(B717,infoTable__15[],4,FALSE),"")</f>
        <v/>
      </c>
      <c r="P717" s="4" t="str">
        <f>IFERROR(VLOOKUP(B717,infoTable__16[],4,FALSE),"")</f>
        <v/>
      </c>
    </row>
    <row r="718" spans="1:16" x14ac:dyDescent="0.55000000000000004">
      <c r="A718" t="s">
        <v>708</v>
      </c>
      <c r="B718" t="s">
        <v>709</v>
      </c>
      <c r="C718" s="4" t="str">
        <f>IFERROR(VLOOKUP(B718,infoTable10[],4,FALSE),"")</f>
        <v/>
      </c>
      <c r="D718" s="4">
        <f>IFERROR(VLOOKUP(B718,infoTable__2[],4,FALSE),"")</f>
        <v>354076</v>
      </c>
      <c r="E718" s="4">
        <f>IFERROR(VLOOKUP(B718,infoTable__3[],4,FALSE),"")</f>
        <v>766322</v>
      </c>
      <c r="F718" s="4" t="str">
        <f>IFERROR(VLOOKUP(B718,infoTable__4[],4,FALSE),"")</f>
        <v/>
      </c>
      <c r="G718" s="4" t="str">
        <f>IFERROR(VLOOKUP(B718,infoTable[],4,FALSE),"")</f>
        <v/>
      </c>
      <c r="H718" s="4" t="str">
        <f>IFERROR(VLOOKUP(B718,infoTable__6[],4,FALSE),"")</f>
        <v/>
      </c>
      <c r="I718" s="4" t="str">
        <f>IFERROR(VLOOKUP(B718,infoTable__28[],4,FALSE),"")</f>
        <v/>
      </c>
      <c r="J718" s="4" t="str">
        <f>IFERROR(VLOOKUP(B718,infoTable__10[],4,FALSE),"")</f>
        <v/>
      </c>
      <c r="K718" s="4">
        <f>IFERROR(VLOOKUP(B718,infoTable__11[],4,FALSE),"")</f>
        <v>1312296</v>
      </c>
      <c r="L718" s="4">
        <f>IFERROR(VLOOKUP(B718,infoTable__12[],4,FALSE),"")</f>
        <v>1596972</v>
      </c>
      <c r="M718" s="4">
        <f>IFERROR(VLOOKUP(B718,infoTable__13[],4,FALSE),"")</f>
        <v>1572116</v>
      </c>
      <c r="N718" s="4">
        <f>IFERROR(VLOOKUP(B718,infoTable__14[],4,FALSE),"")</f>
        <v>2302075</v>
      </c>
      <c r="O718" s="4">
        <f>IFERROR(VLOOKUP(B718,infoTable__15[],4,FALSE),"")</f>
        <v>2456305</v>
      </c>
      <c r="P718" s="4">
        <f>IFERROR(VLOOKUP(B718,infoTable__16[],4,FALSE),"")</f>
        <v>3368287</v>
      </c>
    </row>
    <row r="719" spans="1:16" x14ac:dyDescent="0.55000000000000004">
      <c r="A719" t="s">
        <v>2763</v>
      </c>
      <c r="B719" t="s">
        <v>2762</v>
      </c>
      <c r="C719" s="4" t="str">
        <f>IFERROR(VLOOKUP(B719,infoTable10[],4,FALSE),"")</f>
        <v/>
      </c>
      <c r="D719" s="4" t="str">
        <f>IFERROR(VLOOKUP(B719,infoTable__2[],4,FALSE),"")</f>
        <v/>
      </c>
      <c r="E719" s="4" t="str">
        <f>IFERROR(VLOOKUP(B719,infoTable__3[],4,FALSE),"")</f>
        <v/>
      </c>
      <c r="F719" s="4" t="str">
        <f>IFERROR(VLOOKUP(B719,infoTable__4[],4,FALSE),"")</f>
        <v/>
      </c>
      <c r="G719" s="4" t="str">
        <f>IFERROR(VLOOKUP(B719,infoTable[],4,FALSE),"")</f>
        <v/>
      </c>
      <c r="H719" s="4" t="str">
        <f>IFERROR(VLOOKUP(B719,infoTable__6[],4,FALSE),"")</f>
        <v/>
      </c>
      <c r="I719" s="4" t="str">
        <f>IFERROR(VLOOKUP(B719,infoTable__28[],4,FALSE),"")</f>
        <v/>
      </c>
      <c r="J719" s="4" t="str">
        <f>IFERROR(VLOOKUP(B719,infoTable__10[],4,FALSE),"")</f>
        <v/>
      </c>
      <c r="K719" s="4" t="str">
        <f>IFERROR(VLOOKUP(B719,infoTable__11[],4,FALSE),"")</f>
        <v/>
      </c>
      <c r="L719" s="4" t="str">
        <f>IFERROR(VLOOKUP(B719,infoTable__12[],4,FALSE),"")</f>
        <v/>
      </c>
      <c r="M719" s="4" t="str">
        <f>IFERROR(VLOOKUP(B719,infoTable__13[],4,FALSE),"")</f>
        <v/>
      </c>
      <c r="N719" s="4">
        <f>IFERROR(VLOOKUP(B719,infoTable__14[],4,FALSE),"")</f>
        <v>889277</v>
      </c>
      <c r="O719" s="4">
        <f>IFERROR(VLOOKUP(B719,infoTable__15[],4,FALSE),"")</f>
        <v>814035</v>
      </c>
      <c r="P719" s="4">
        <f>IFERROR(VLOOKUP(B719,infoTable__16[],4,FALSE),"")</f>
        <v>1146130</v>
      </c>
    </row>
    <row r="720" spans="1:16" x14ac:dyDescent="0.55000000000000004">
      <c r="A720" t="s">
        <v>710</v>
      </c>
      <c r="B720" t="s">
        <v>711</v>
      </c>
      <c r="C720" s="4">
        <f>IFERROR(VLOOKUP(B720,infoTable10[],4,FALSE),"")</f>
        <v>560720</v>
      </c>
      <c r="D720" s="4">
        <f>IFERROR(VLOOKUP(B720,infoTable__2[],4,FALSE),"")</f>
        <v>3703754</v>
      </c>
      <c r="E720" s="4">
        <f>IFERROR(VLOOKUP(B720,infoTable__3[],4,FALSE),"")</f>
        <v>1852686</v>
      </c>
      <c r="F720" s="4">
        <f>IFERROR(VLOOKUP(B720,infoTable__4[],4,FALSE),"")</f>
        <v>205526</v>
      </c>
      <c r="G720" s="4" t="str">
        <f>IFERROR(VLOOKUP(B720,infoTable[],4,FALSE),"")</f>
        <v/>
      </c>
      <c r="H720" s="4">
        <f>IFERROR(VLOOKUP(B720,infoTable__6[],4,FALSE),"")</f>
        <v>1817012</v>
      </c>
      <c r="I720" s="4">
        <f>IFERROR(VLOOKUP(B720,infoTable__28[],4,FALSE),"")</f>
        <v>2147110</v>
      </c>
      <c r="J720" s="4" t="str">
        <f>IFERROR(VLOOKUP(B720,infoTable__10[],4,FALSE),"")</f>
        <v/>
      </c>
      <c r="K720" s="4" t="str">
        <f>IFERROR(VLOOKUP(B720,infoTable__11[],4,FALSE),"")</f>
        <v/>
      </c>
      <c r="L720" s="4" t="str">
        <f>IFERROR(VLOOKUP(B720,infoTable__12[],4,FALSE),"")</f>
        <v/>
      </c>
      <c r="M720" s="4" t="str">
        <f>IFERROR(VLOOKUP(B720,infoTable__13[],4,FALSE),"")</f>
        <v/>
      </c>
      <c r="N720" s="4" t="str">
        <f>IFERROR(VLOOKUP(B720,infoTable__14[],4,FALSE),"")</f>
        <v/>
      </c>
      <c r="O720" s="4" t="str">
        <f>IFERROR(VLOOKUP(B720,infoTable__15[],4,FALSE),"")</f>
        <v/>
      </c>
      <c r="P720" s="4" t="str">
        <f>IFERROR(VLOOKUP(B720,infoTable__16[],4,FALSE),"")</f>
        <v/>
      </c>
    </row>
    <row r="721" spans="1:16" x14ac:dyDescent="0.55000000000000004">
      <c r="A721" t="s">
        <v>3197</v>
      </c>
      <c r="B721" t="s">
        <v>3198</v>
      </c>
      <c r="C721" s="4" t="str">
        <f>IFERROR(VLOOKUP(B721,infoTable10[],4,FALSE),"")</f>
        <v/>
      </c>
      <c r="D721" s="4" t="str">
        <f>IFERROR(VLOOKUP(B721,infoTable__2[],4,FALSE),"")</f>
        <v/>
      </c>
      <c r="E721" s="4" t="str">
        <f>IFERROR(VLOOKUP(B721,infoTable__3[],4,FALSE),"")</f>
        <v/>
      </c>
      <c r="F721" s="4" t="str">
        <f>IFERROR(VLOOKUP(B721,infoTable__4[],4,FALSE),"")</f>
        <v/>
      </c>
      <c r="G721" s="4" t="str">
        <f>IFERROR(VLOOKUP(B721,infoTable[],4,FALSE),"")</f>
        <v/>
      </c>
      <c r="H721" s="4" t="str">
        <f>IFERROR(VLOOKUP(B721,infoTable__6[],4,FALSE),"")</f>
        <v/>
      </c>
      <c r="I721" s="4" t="str">
        <f>IFERROR(VLOOKUP(B721,infoTable__28[],4,FALSE),"")</f>
        <v/>
      </c>
      <c r="J721" s="4" t="str">
        <f>IFERROR(VLOOKUP(B721,infoTable__10[],4,FALSE),"")</f>
        <v/>
      </c>
      <c r="K721" s="4" t="str">
        <f>IFERROR(VLOOKUP(B721,infoTable__11[],4,FALSE),"")</f>
        <v/>
      </c>
      <c r="L721" s="4" t="str">
        <f>IFERROR(VLOOKUP(B721,infoTable__12[],4,FALSE),"")</f>
        <v/>
      </c>
      <c r="M721" s="4" t="str">
        <f>IFERROR(VLOOKUP(B721,infoTable__13[],4,FALSE),"")</f>
        <v/>
      </c>
      <c r="N721" s="4" t="str">
        <f>IFERROR(VLOOKUP(B721,infoTable__14[],4,FALSE),"")</f>
        <v/>
      </c>
      <c r="O721" s="4">
        <f>IFERROR(VLOOKUP(B721,infoTable__15[],4,FALSE),"")</f>
        <v>702856</v>
      </c>
      <c r="P721" s="4">
        <f>IFERROR(VLOOKUP(B721,infoTable__16[],4,FALSE),"")</f>
        <v>408478</v>
      </c>
    </row>
    <row r="722" spans="1:16" x14ac:dyDescent="0.55000000000000004">
      <c r="A722" t="s">
        <v>1120</v>
      </c>
      <c r="B722" t="s">
        <v>1121</v>
      </c>
      <c r="C722" s="4" t="str">
        <f>IFERROR(VLOOKUP(B722,infoTable10[],4,FALSE),"")</f>
        <v/>
      </c>
      <c r="D722" s="4" t="str">
        <f>IFERROR(VLOOKUP(B722,infoTable__2[],4,FALSE),"")</f>
        <v/>
      </c>
      <c r="E722" s="4" t="str">
        <f>IFERROR(VLOOKUP(B722,infoTable__3[],4,FALSE),"")</f>
        <v/>
      </c>
      <c r="F722" s="4" t="str">
        <f>IFERROR(VLOOKUP(B722,infoTable__4[],4,FALSE),"")</f>
        <v/>
      </c>
      <c r="G722" s="4" t="str">
        <f>IFERROR(VLOOKUP(B722,infoTable[],4,FALSE),"")</f>
        <v/>
      </c>
      <c r="H722" s="4">
        <f>IFERROR(VLOOKUP(B722,infoTable__6[],4,FALSE),"")</f>
        <v>230406</v>
      </c>
      <c r="I722" s="4" t="str">
        <f>IFERROR(VLOOKUP(B722,infoTable__28[],4,FALSE),"")</f>
        <v/>
      </c>
      <c r="J722" s="4" t="str">
        <f>IFERROR(VLOOKUP(B722,infoTable__10[],4,FALSE),"")</f>
        <v/>
      </c>
      <c r="K722" s="4">
        <f>IFERROR(VLOOKUP(B722,infoTable__11[],4,FALSE),"")</f>
        <v>2594564</v>
      </c>
      <c r="L722" s="4">
        <f>IFERROR(VLOOKUP(B722,infoTable__12[],4,FALSE),"")</f>
        <v>1429012</v>
      </c>
      <c r="M722" s="4">
        <f>IFERROR(VLOOKUP(B722,infoTable__13[],4,FALSE),"")</f>
        <v>681744</v>
      </c>
      <c r="N722" s="4">
        <f>IFERROR(VLOOKUP(B722,infoTable__14[],4,FALSE),"")</f>
        <v>292077</v>
      </c>
      <c r="O722" s="4" t="str">
        <f>IFERROR(VLOOKUP(B722,infoTable__15[],4,FALSE),"")</f>
        <v/>
      </c>
      <c r="P722" s="4">
        <f>IFERROR(VLOOKUP(B722,infoTable__16[],4,FALSE),"")</f>
        <v>203094</v>
      </c>
    </row>
    <row r="723" spans="1:16" x14ac:dyDescent="0.55000000000000004">
      <c r="A723" t="s">
        <v>2626</v>
      </c>
      <c r="B723" t="s">
        <v>2627</v>
      </c>
      <c r="C723" s="4" t="str">
        <f>IFERROR(VLOOKUP(B723,infoTable10[],4,FALSE),"")</f>
        <v/>
      </c>
      <c r="D723" s="4" t="str">
        <f>IFERROR(VLOOKUP(B723,infoTable__2[],4,FALSE),"")</f>
        <v/>
      </c>
      <c r="E723" s="4" t="str">
        <f>IFERROR(VLOOKUP(B723,infoTable__3[],4,FALSE),"")</f>
        <v/>
      </c>
      <c r="F723" s="4" t="str">
        <f>IFERROR(VLOOKUP(B723,infoTable__4[],4,FALSE),"")</f>
        <v/>
      </c>
      <c r="G723" s="4" t="str">
        <f>IFERROR(VLOOKUP(B723,infoTable[],4,FALSE),"")</f>
        <v/>
      </c>
      <c r="H723" s="4" t="str">
        <f>IFERROR(VLOOKUP(B723,infoTable__6[],4,FALSE),"")</f>
        <v/>
      </c>
      <c r="I723" s="4" t="str">
        <f>IFERROR(VLOOKUP(B723,infoTable__28[],4,FALSE),"")</f>
        <v/>
      </c>
      <c r="J723" s="4" t="str">
        <f>IFERROR(VLOOKUP(B723,infoTable__10[],4,FALSE),"")</f>
        <v/>
      </c>
      <c r="K723" s="4" t="str">
        <f>IFERROR(VLOOKUP(B723,infoTable__11[],4,FALSE),"")</f>
        <v/>
      </c>
      <c r="L723" s="4" t="str">
        <f>IFERROR(VLOOKUP(B723,infoTable__12[],4,FALSE),"")</f>
        <v/>
      </c>
      <c r="M723" s="4">
        <f>IFERROR(VLOOKUP(B723,infoTable__13[],4,FALSE),"")</f>
        <v>7353432</v>
      </c>
      <c r="N723" s="4">
        <f>IFERROR(VLOOKUP(B723,infoTable__14[],4,FALSE),"")</f>
        <v>8261291</v>
      </c>
      <c r="O723" s="4">
        <f>IFERROR(VLOOKUP(B723,infoTable__15[],4,FALSE),"")</f>
        <v>2680529</v>
      </c>
      <c r="P723" s="4">
        <f>IFERROR(VLOOKUP(B723,infoTable__16[],4,FALSE),"")</f>
        <v>810560</v>
      </c>
    </row>
    <row r="724" spans="1:16" x14ac:dyDescent="0.55000000000000004">
      <c r="A724" t="s">
        <v>3199</v>
      </c>
      <c r="B724" t="s">
        <v>3200</v>
      </c>
      <c r="C724" s="4" t="str">
        <f>IFERROR(VLOOKUP(B724,infoTable10[],4,FALSE),"")</f>
        <v/>
      </c>
      <c r="D724" s="4" t="str">
        <f>IFERROR(VLOOKUP(B724,infoTable__2[],4,FALSE),"")</f>
        <v/>
      </c>
      <c r="E724" s="4" t="str">
        <f>IFERROR(VLOOKUP(B724,infoTable__3[],4,FALSE),"")</f>
        <v/>
      </c>
      <c r="F724" s="4" t="str">
        <f>IFERROR(VLOOKUP(B724,infoTable__4[],4,FALSE),"")</f>
        <v/>
      </c>
      <c r="G724" s="4" t="str">
        <f>IFERROR(VLOOKUP(B724,infoTable[],4,FALSE),"")</f>
        <v/>
      </c>
      <c r="H724" s="4" t="str">
        <f>IFERROR(VLOOKUP(B724,infoTable__6[],4,FALSE),"")</f>
        <v/>
      </c>
      <c r="I724" s="4" t="str">
        <f>IFERROR(VLOOKUP(B724,infoTable__28[],4,FALSE),"")</f>
        <v/>
      </c>
      <c r="J724" s="4" t="str">
        <f>IFERROR(VLOOKUP(B724,infoTable__10[],4,FALSE),"")</f>
        <v/>
      </c>
      <c r="K724" s="4" t="str">
        <f>IFERROR(VLOOKUP(B724,infoTable__11[],4,FALSE),"")</f>
        <v/>
      </c>
      <c r="L724" s="4" t="str">
        <f>IFERROR(VLOOKUP(B724,infoTable__12[],4,FALSE),"")</f>
        <v/>
      </c>
      <c r="M724" s="4" t="str">
        <f>IFERROR(VLOOKUP(B724,infoTable__13[],4,FALSE),"")</f>
        <v/>
      </c>
      <c r="N724" s="4" t="str">
        <f>IFERROR(VLOOKUP(B724,infoTable__14[],4,FALSE),"")</f>
        <v/>
      </c>
      <c r="O724" s="4">
        <f>IFERROR(VLOOKUP(B724,infoTable__15[],4,FALSE),"")</f>
        <v>1561310</v>
      </c>
      <c r="P724" s="4">
        <f>IFERROR(VLOOKUP(B724,infoTable__16[],4,FALSE),"")</f>
        <v>5132403</v>
      </c>
    </row>
    <row r="725" spans="1:16" x14ac:dyDescent="0.55000000000000004">
      <c r="A725" t="s">
        <v>2047</v>
      </c>
      <c r="B725" t="s">
        <v>2048</v>
      </c>
      <c r="C725" s="4" t="str">
        <f>IFERROR(VLOOKUP(B725,infoTable10[],4,FALSE),"")</f>
        <v/>
      </c>
      <c r="D725" s="4" t="str">
        <f>IFERROR(VLOOKUP(B725,infoTable__2[],4,FALSE),"")</f>
        <v/>
      </c>
      <c r="E725" s="4" t="str">
        <f>IFERROR(VLOOKUP(B725,infoTable__3[],4,FALSE),"")</f>
        <v/>
      </c>
      <c r="F725" s="4" t="str">
        <f>IFERROR(VLOOKUP(B725,infoTable__4[],4,FALSE),"")</f>
        <v/>
      </c>
      <c r="G725" s="4" t="str">
        <f>IFERROR(VLOOKUP(B725,infoTable[],4,FALSE),"")</f>
        <v/>
      </c>
      <c r="H725" s="4" t="str">
        <f>IFERROR(VLOOKUP(B725,infoTable__6[],4,FALSE),"")</f>
        <v/>
      </c>
      <c r="I725" s="4" t="str">
        <f>IFERROR(VLOOKUP(B725,infoTable__28[],4,FALSE),"")</f>
        <v/>
      </c>
      <c r="J725" s="4" t="str">
        <f>IFERROR(VLOOKUP(B725,infoTable__10[],4,FALSE),"")</f>
        <v/>
      </c>
      <c r="K725" s="4">
        <f>IFERROR(VLOOKUP(B725,infoTable__11[],4,FALSE),"")</f>
        <v>1027119</v>
      </c>
      <c r="L725" s="4">
        <f>IFERROR(VLOOKUP(B725,infoTable__12[],4,FALSE),"")</f>
        <v>4575713</v>
      </c>
      <c r="M725" s="4">
        <f>IFERROR(VLOOKUP(B725,infoTable__13[],4,FALSE),"")</f>
        <v>2677056</v>
      </c>
      <c r="N725" s="4">
        <f>IFERROR(VLOOKUP(B725,infoTable__14[],4,FALSE),"")</f>
        <v>4116878</v>
      </c>
      <c r="O725" s="4">
        <f>IFERROR(VLOOKUP(B725,infoTable__15[],4,FALSE),"")</f>
        <v>4667911</v>
      </c>
      <c r="P725" s="4">
        <f>IFERROR(VLOOKUP(B725,infoTable__16[],4,FALSE),"")</f>
        <v>5296235</v>
      </c>
    </row>
    <row r="726" spans="1:16" x14ac:dyDescent="0.55000000000000004">
      <c r="A726" t="s">
        <v>2051</v>
      </c>
      <c r="B726" t="s">
        <v>2052</v>
      </c>
      <c r="C726" s="4" t="str">
        <f>IFERROR(VLOOKUP(B726,infoTable10[],4,FALSE),"")</f>
        <v/>
      </c>
      <c r="D726" s="4" t="str">
        <f>IFERROR(VLOOKUP(B726,infoTable__2[],4,FALSE),"")</f>
        <v/>
      </c>
      <c r="E726" s="4" t="str">
        <f>IFERROR(VLOOKUP(B726,infoTable__3[],4,FALSE),"")</f>
        <v/>
      </c>
      <c r="F726" s="4" t="str">
        <f>IFERROR(VLOOKUP(B726,infoTable__4[],4,FALSE),"")</f>
        <v/>
      </c>
      <c r="G726" s="4" t="str">
        <f>IFERROR(VLOOKUP(B726,infoTable[],4,FALSE),"")</f>
        <v/>
      </c>
      <c r="H726" s="4" t="str">
        <f>IFERROR(VLOOKUP(B726,infoTable__6[],4,FALSE),"")</f>
        <v/>
      </c>
      <c r="I726" s="4" t="str">
        <f>IFERROR(VLOOKUP(B726,infoTable__28[],4,FALSE),"")</f>
        <v/>
      </c>
      <c r="J726" s="4" t="str">
        <f>IFERROR(VLOOKUP(B726,infoTable__10[],4,FALSE),"")</f>
        <v/>
      </c>
      <c r="K726" s="4">
        <f>IFERROR(VLOOKUP(B726,infoTable__11[],4,FALSE),"")</f>
        <v>345334</v>
      </c>
      <c r="L726" s="4" t="str">
        <f>IFERROR(VLOOKUP(B726,infoTable__12[],4,FALSE),"")</f>
        <v/>
      </c>
      <c r="M726" s="4" t="str">
        <f>IFERROR(VLOOKUP(B726,infoTable__13[],4,FALSE),"")</f>
        <v/>
      </c>
      <c r="N726" s="4" t="str">
        <f>IFERROR(VLOOKUP(B726,infoTable__14[],4,FALSE),"")</f>
        <v/>
      </c>
      <c r="O726" s="4" t="str">
        <f>IFERROR(VLOOKUP(B726,infoTable__15[],4,FALSE),"")</f>
        <v/>
      </c>
      <c r="P726" s="4">
        <f>IFERROR(VLOOKUP(B726,infoTable__16[],4,FALSE),"")</f>
        <v>443977</v>
      </c>
    </row>
    <row r="727" spans="1:16" x14ac:dyDescent="0.55000000000000004">
      <c r="A727" t="s">
        <v>2765</v>
      </c>
      <c r="B727" t="s">
        <v>2764</v>
      </c>
      <c r="C727" s="4" t="str">
        <f>IFERROR(VLOOKUP(B727,infoTable10[],4,FALSE),"")</f>
        <v/>
      </c>
      <c r="D727" s="4" t="str">
        <f>IFERROR(VLOOKUP(B727,infoTable__2[],4,FALSE),"")</f>
        <v/>
      </c>
      <c r="E727" s="4" t="str">
        <f>IFERROR(VLOOKUP(B727,infoTable__3[],4,FALSE),"")</f>
        <v/>
      </c>
      <c r="F727" s="4" t="str">
        <f>IFERROR(VLOOKUP(B727,infoTable__4[],4,FALSE),"")</f>
        <v/>
      </c>
      <c r="G727" s="4" t="str">
        <f>IFERROR(VLOOKUP(B727,infoTable[],4,FALSE),"")</f>
        <v/>
      </c>
      <c r="H727" s="4" t="str">
        <f>IFERROR(VLOOKUP(B727,infoTable__6[],4,FALSE),"")</f>
        <v/>
      </c>
      <c r="I727" s="4" t="str">
        <f>IFERROR(VLOOKUP(B727,infoTable__28[],4,FALSE),"")</f>
        <v/>
      </c>
      <c r="J727" s="4" t="str">
        <f>IFERROR(VLOOKUP(B727,infoTable__10[],4,FALSE),"")</f>
        <v/>
      </c>
      <c r="K727" s="4" t="str">
        <f>IFERROR(VLOOKUP(B727,infoTable__11[],4,FALSE),"")</f>
        <v/>
      </c>
      <c r="L727" s="4" t="str">
        <f>IFERROR(VLOOKUP(B727,infoTable__12[],4,FALSE),"")</f>
        <v/>
      </c>
      <c r="M727" s="4" t="str">
        <f>IFERROR(VLOOKUP(B727,infoTable__13[],4,FALSE),"")</f>
        <v/>
      </c>
      <c r="N727" s="4">
        <f>IFERROR(VLOOKUP(B727,infoTable__14[],4,FALSE),"")</f>
        <v>5713398</v>
      </c>
      <c r="O727" s="4">
        <f>IFERROR(VLOOKUP(B727,infoTable__15[],4,FALSE),"")</f>
        <v>4814000</v>
      </c>
      <c r="P727" s="4">
        <f>IFERROR(VLOOKUP(B727,infoTable__16[],4,FALSE),"")</f>
        <v>338494</v>
      </c>
    </row>
    <row r="728" spans="1:16" x14ac:dyDescent="0.55000000000000004">
      <c r="A728" t="s">
        <v>923</v>
      </c>
      <c r="B728" t="s">
        <v>924</v>
      </c>
      <c r="C728" s="4" t="str">
        <f>IFERROR(VLOOKUP(B728,infoTable10[],4,FALSE),"")</f>
        <v/>
      </c>
      <c r="D728" s="4" t="str">
        <f>IFERROR(VLOOKUP(B728,infoTable__2[],4,FALSE),"")</f>
        <v/>
      </c>
      <c r="E728" s="4" t="str">
        <f>IFERROR(VLOOKUP(B728,infoTable__3[],4,FALSE),"")</f>
        <v/>
      </c>
      <c r="F728" s="4">
        <f>IFERROR(VLOOKUP(B728,infoTable__4[],4,FALSE),"")</f>
        <v>450585</v>
      </c>
      <c r="G728" s="4" t="str">
        <f>IFERROR(VLOOKUP(B728,infoTable[],4,FALSE),"")</f>
        <v/>
      </c>
      <c r="H728" s="4" t="str">
        <f>IFERROR(VLOOKUP(B728,infoTable__6[],4,FALSE),"")</f>
        <v/>
      </c>
      <c r="I728" s="4" t="str">
        <f>IFERROR(VLOOKUP(B728,infoTable__28[],4,FALSE),"")</f>
        <v/>
      </c>
      <c r="J728" s="4" t="str">
        <f>IFERROR(VLOOKUP(B728,infoTable__10[],4,FALSE),"")</f>
        <v/>
      </c>
      <c r="K728" s="4" t="str">
        <f>IFERROR(VLOOKUP(B728,infoTable__11[],4,FALSE),"")</f>
        <v/>
      </c>
      <c r="L728" s="4" t="str">
        <f>IFERROR(VLOOKUP(B728,infoTable__12[],4,FALSE),"")</f>
        <v/>
      </c>
      <c r="M728" s="4" t="str">
        <f>IFERROR(VLOOKUP(B728,infoTable__13[],4,FALSE),"")</f>
        <v/>
      </c>
      <c r="N728" s="4">
        <f>IFERROR(VLOOKUP(B728,infoTable__14[],4,FALSE),"")</f>
        <v>3929412</v>
      </c>
      <c r="O728" s="4">
        <f>IFERROR(VLOOKUP(B728,infoTable__15[],4,FALSE),"")</f>
        <v>884323</v>
      </c>
      <c r="P728" s="4">
        <f>IFERROR(VLOOKUP(B728,infoTable__16[],4,FALSE),"")</f>
        <v>1009886</v>
      </c>
    </row>
    <row r="729" spans="1:16" x14ac:dyDescent="0.55000000000000004">
      <c r="A729" t="s">
        <v>2388</v>
      </c>
      <c r="B729" t="s">
        <v>2389</v>
      </c>
      <c r="C729" s="4" t="str">
        <f>IFERROR(VLOOKUP(B729,infoTable10[],4,FALSE),"")</f>
        <v/>
      </c>
      <c r="D729" s="4" t="str">
        <f>IFERROR(VLOOKUP(B729,infoTable__2[],4,FALSE),"")</f>
        <v/>
      </c>
      <c r="E729" s="4" t="str">
        <f>IFERROR(VLOOKUP(B729,infoTable__3[],4,FALSE),"")</f>
        <v/>
      </c>
      <c r="F729" s="4" t="str">
        <f>IFERROR(VLOOKUP(B729,infoTable__4[],4,FALSE),"")</f>
        <v/>
      </c>
      <c r="G729" s="4" t="str">
        <f>IFERROR(VLOOKUP(B729,infoTable[],4,FALSE),"")</f>
        <v/>
      </c>
      <c r="H729" s="4" t="str">
        <f>IFERROR(VLOOKUP(B729,infoTable__6[],4,FALSE),"")</f>
        <v/>
      </c>
      <c r="I729" s="4" t="str">
        <f>IFERROR(VLOOKUP(B729,infoTable__28[],4,FALSE),"")</f>
        <v/>
      </c>
      <c r="J729" s="4" t="str">
        <f>IFERROR(VLOOKUP(B729,infoTable__10[],4,FALSE),"")</f>
        <v/>
      </c>
      <c r="K729" s="4" t="str">
        <f>IFERROR(VLOOKUP(B729,infoTable__11[],4,FALSE),"")</f>
        <v/>
      </c>
      <c r="L729" s="4">
        <f>IFERROR(VLOOKUP(B729,infoTable__12[],4,FALSE),"")</f>
        <v>719593</v>
      </c>
      <c r="M729" s="4">
        <f>IFERROR(VLOOKUP(B729,infoTable__13[],4,FALSE),"")</f>
        <v>277483</v>
      </c>
      <c r="N729" s="4">
        <f>IFERROR(VLOOKUP(B729,infoTable__14[],4,FALSE),"")</f>
        <v>283567</v>
      </c>
      <c r="O729" s="4">
        <f>IFERROR(VLOOKUP(B729,infoTable__15[],4,FALSE),"")</f>
        <v>723768</v>
      </c>
      <c r="P729" s="4">
        <f>IFERROR(VLOOKUP(B729,infoTable__16[],4,FALSE),"")</f>
        <v>205311</v>
      </c>
    </row>
    <row r="730" spans="1:16" x14ac:dyDescent="0.55000000000000004">
      <c r="A730" t="s">
        <v>2767</v>
      </c>
      <c r="B730" t="s">
        <v>2766</v>
      </c>
      <c r="C730" s="4" t="str">
        <f>IFERROR(VLOOKUP(B730,infoTable10[],4,FALSE),"")</f>
        <v/>
      </c>
      <c r="D730" s="4" t="str">
        <f>IFERROR(VLOOKUP(B730,infoTable__2[],4,FALSE),"")</f>
        <v/>
      </c>
      <c r="E730" s="4" t="str">
        <f>IFERROR(VLOOKUP(B730,infoTable__3[],4,FALSE),"")</f>
        <v/>
      </c>
      <c r="F730" s="4" t="str">
        <f>IFERROR(VLOOKUP(B730,infoTable__4[],4,FALSE),"")</f>
        <v/>
      </c>
      <c r="G730" s="4" t="str">
        <f>IFERROR(VLOOKUP(B730,infoTable[],4,FALSE),"")</f>
        <v/>
      </c>
      <c r="H730" s="4" t="str">
        <f>IFERROR(VLOOKUP(B730,infoTable__6[],4,FALSE),"")</f>
        <v/>
      </c>
      <c r="I730" s="4" t="str">
        <f>IFERROR(VLOOKUP(B730,infoTable__28[],4,FALSE),"")</f>
        <v/>
      </c>
      <c r="J730" s="4" t="str">
        <f>IFERROR(VLOOKUP(B730,infoTable__10[],4,FALSE),"")</f>
        <v/>
      </c>
      <c r="K730" s="4" t="str">
        <f>IFERROR(VLOOKUP(B730,infoTable__11[],4,FALSE),"")</f>
        <v/>
      </c>
      <c r="L730" s="4" t="str">
        <f>IFERROR(VLOOKUP(B730,infoTable__12[],4,FALSE),"")</f>
        <v/>
      </c>
      <c r="M730" s="4" t="str">
        <f>IFERROR(VLOOKUP(B730,infoTable__13[],4,FALSE),"")</f>
        <v/>
      </c>
      <c r="N730" s="4">
        <f>IFERROR(VLOOKUP(B730,infoTable__14[],4,FALSE),"")</f>
        <v>1126086</v>
      </c>
      <c r="O730" s="4" t="str">
        <f>IFERROR(VLOOKUP(B730,infoTable__15[],4,FALSE),"")</f>
        <v/>
      </c>
      <c r="P730" s="4" t="str">
        <f>IFERROR(VLOOKUP(B730,infoTable__16[],4,FALSE),"")</f>
        <v/>
      </c>
    </row>
    <row r="731" spans="1:16" x14ac:dyDescent="0.55000000000000004">
      <c r="A731" t="s">
        <v>1124</v>
      </c>
      <c r="B731" t="s">
        <v>1125</v>
      </c>
      <c r="C731" s="4" t="str">
        <f>IFERROR(VLOOKUP(B731,infoTable10[],4,FALSE),"")</f>
        <v/>
      </c>
      <c r="D731" s="4" t="str">
        <f>IFERROR(VLOOKUP(B731,infoTable__2[],4,FALSE),"")</f>
        <v/>
      </c>
      <c r="E731" s="4" t="str">
        <f>IFERROR(VLOOKUP(B731,infoTable__3[],4,FALSE),"")</f>
        <v/>
      </c>
      <c r="F731" s="4" t="str">
        <f>IFERROR(VLOOKUP(B731,infoTable__4[],4,FALSE),"")</f>
        <v/>
      </c>
      <c r="G731" s="4" t="str">
        <f>IFERROR(VLOOKUP(B731,infoTable[],4,FALSE),"")</f>
        <v/>
      </c>
      <c r="H731" s="4">
        <f>IFERROR(VLOOKUP(B731,infoTable__6[],4,FALSE),"")</f>
        <v>302811</v>
      </c>
      <c r="I731" s="4" t="str">
        <f>IFERROR(VLOOKUP(B731,infoTable__28[],4,FALSE),"")</f>
        <v/>
      </c>
      <c r="J731" s="4" t="str">
        <f>IFERROR(VLOOKUP(B731,infoTable__10[],4,FALSE),"")</f>
        <v/>
      </c>
      <c r="K731" s="4" t="str">
        <f>IFERROR(VLOOKUP(B731,infoTable__11[],4,FALSE),"")</f>
        <v/>
      </c>
      <c r="L731" s="4" t="str">
        <f>IFERROR(VLOOKUP(B731,infoTable__12[],4,FALSE),"")</f>
        <v/>
      </c>
      <c r="M731" s="4" t="str">
        <f>IFERROR(VLOOKUP(B731,infoTable__13[],4,FALSE),"")</f>
        <v/>
      </c>
      <c r="N731" s="4">
        <f>IFERROR(VLOOKUP(B731,infoTable__14[],4,FALSE),"")</f>
        <v>998217</v>
      </c>
      <c r="O731" s="4">
        <f>IFERROR(VLOOKUP(B731,infoTable__15[],4,FALSE),"")</f>
        <v>6067796</v>
      </c>
      <c r="P731" s="4">
        <f>IFERROR(VLOOKUP(B731,infoTable__16[],4,FALSE),"")</f>
        <v>2617833</v>
      </c>
    </row>
    <row r="732" spans="1:16" x14ac:dyDescent="0.55000000000000004">
      <c r="A732" t="s">
        <v>3201</v>
      </c>
      <c r="B732" t="s">
        <v>3202</v>
      </c>
      <c r="C732" s="4" t="str">
        <f>IFERROR(VLOOKUP(B732,infoTable10[],4,FALSE),"")</f>
        <v/>
      </c>
      <c r="D732" s="4" t="str">
        <f>IFERROR(VLOOKUP(B732,infoTable__2[],4,FALSE),"")</f>
        <v/>
      </c>
      <c r="E732" s="4" t="str">
        <f>IFERROR(VLOOKUP(B732,infoTable__3[],4,FALSE),"")</f>
        <v/>
      </c>
      <c r="F732" s="4" t="str">
        <f>IFERROR(VLOOKUP(B732,infoTable__4[],4,FALSE),"")</f>
        <v/>
      </c>
      <c r="G732" s="4" t="str">
        <f>IFERROR(VLOOKUP(B732,infoTable[],4,FALSE),"")</f>
        <v/>
      </c>
      <c r="H732" s="4" t="str">
        <f>IFERROR(VLOOKUP(B732,infoTable__6[],4,FALSE),"")</f>
        <v/>
      </c>
      <c r="I732" s="4" t="str">
        <f>IFERROR(VLOOKUP(B732,infoTable__28[],4,FALSE),"")</f>
        <v/>
      </c>
      <c r="J732" s="4" t="str">
        <f>IFERROR(VLOOKUP(B732,infoTable__10[],4,FALSE),"")</f>
        <v/>
      </c>
      <c r="K732" s="4" t="str">
        <f>IFERROR(VLOOKUP(B732,infoTable__11[],4,FALSE),"")</f>
        <v/>
      </c>
      <c r="L732" s="4" t="str">
        <f>IFERROR(VLOOKUP(B732,infoTable__12[],4,FALSE),"")</f>
        <v/>
      </c>
      <c r="M732" s="4" t="str">
        <f>IFERROR(VLOOKUP(B732,infoTable__13[],4,FALSE),"")</f>
        <v/>
      </c>
      <c r="N732" s="4" t="str">
        <f>IFERROR(VLOOKUP(B732,infoTable__14[],4,FALSE),"")</f>
        <v/>
      </c>
      <c r="O732" s="4">
        <f>IFERROR(VLOOKUP(B732,infoTable__15[],4,FALSE),"")</f>
        <v>267187</v>
      </c>
      <c r="P732" s="4" t="str">
        <f>IFERROR(VLOOKUP(B732,infoTable__16[],4,FALSE),"")</f>
        <v/>
      </c>
    </row>
    <row r="733" spans="1:16" x14ac:dyDescent="0.55000000000000004">
      <c r="A733" t="s">
        <v>1641</v>
      </c>
      <c r="B733" t="s">
        <v>1642</v>
      </c>
      <c r="C733" s="4" t="str">
        <f>IFERROR(VLOOKUP(B733,infoTable10[],4,FALSE),"")</f>
        <v/>
      </c>
      <c r="D733" s="4" t="str">
        <f>IFERROR(VLOOKUP(B733,infoTable__2[],4,FALSE),"")</f>
        <v/>
      </c>
      <c r="E733" s="4" t="str">
        <f>IFERROR(VLOOKUP(B733,infoTable__3[],4,FALSE),"")</f>
        <v/>
      </c>
      <c r="F733" s="4" t="str">
        <f>IFERROR(VLOOKUP(B733,infoTable__4[],4,FALSE),"")</f>
        <v/>
      </c>
      <c r="G733" s="4" t="str">
        <f>IFERROR(VLOOKUP(B733,infoTable[],4,FALSE),"")</f>
        <v/>
      </c>
      <c r="H733" s="4" t="str">
        <f>IFERROR(VLOOKUP(B733,infoTable__6[],4,FALSE),"")</f>
        <v/>
      </c>
      <c r="I733" s="4" t="str">
        <f>IFERROR(VLOOKUP(B733,infoTable__28[],4,FALSE),"")</f>
        <v/>
      </c>
      <c r="J733" s="4">
        <f>IFERROR(VLOOKUP(B733,infoTable__10[],4,FALSE),"")</f>
        <v>1066272</v>
      </c>
      <c r="K733" s="4">
        <f>IFERROR(VLOOKUP(B733,infoTable__11[],4,FALSE),"")</f>
        <v>773175</v>
      </c>
      <c r="L733" s="4">
        <f>IFERROR(VLOOKUP(B733,infoTable__12[],4,FALSE),"")</f>
        <v>498088</v>
      </c>
      <c r="M733" s="4" t="str">
        <f>IFERROR(VLOOKUP(B733,infoTable__13[],4,FALSE),"")</f>
        <v/>
      </c>
      <c r="N733" s="4" t="str">
        <f>IFERROR(VLOOKUP(B733,infoTable__14[],4,FALSE),"")</f>
        <v/>
      </c>
      <c r="O733" s="4" t="str">
        <f>IFERROR(VLOOKUP(B733,infoTable__15[],4,FALSE),"")</f>
        <v/>
      </c>
      <c r="P733" s="4">
        <f>IFERROR(VLOOKUP(B733,infoTable__16[],4,FALSE),"")</f>
        <v>793216</v>
      </c>
    </row>
    <row r="734" spans="1:16" x14ac:dyDescent="0.55000000000000004">
      <c r="A734" t="s">
        <v>1466</v>
      </c>
      <c r="B734" t="s">
        <v>1468</v>
      </c>
      <c r="C734" s="4" t="str">
        <f>IFERROR(VLOOKUP(B734,infoTable10[],4,FALSE),"")</f>
        <v/>
      </c>
      <c r="D734" s="4" t="str">
        <f>IFERROR(VLOOKUP(B734,infoTable__2[],4,FALSE),"")</f>
        <v/>
      </c>
      <c r="E734" s="4" t="str">
        <f>IFERROR(VLOOKUP(B734,infoTable__3[],4,FALSE),"")</f>
        <v/>
      </c>
      <c r="F734" s="4" t="str">
        <f>IFERROR(VLOOKUP(B734,infoTable__4[],4,FALSE),"")</f>
        <v/>
      </c>
      <c r="G734" s="4" t="str">
        <f>IFERROR(VLOOKUP(B734,infoTable[],4,FALSE),"")</f>
        <v/>
      </c>
      <c r="H734" s="4" t="str">
        <f>IFERROR(VLOOKUP(B734,infoTable__6[],4,FALSE),"")</f>
        <v/>
      </c>
      <c r="I734" s="4">
        <f>IFERROR(VLOOKUP(B734,infoTable__28[],4,FALSE),"")</f>
        <v>1553388</v>
      </c>
      <c r="J734" s="4">
        <f>IFERROR(VLOOKUP(B734,infoTable__10[],4,FALSE),"")</f>
        <v>2225694</v>
      </c>
      <c r="K734" s="4">
        <f>IFERROR(VLOOKUP(B734,infoTable__11[],4,FALSE),"")</f>
        <v>430333</v>
      </c>
      <c r="L734" s="4" t="str">
        <f>IFERROR(VLOOKUP(B734,infoTable__12[],4,FALSE),"")</f>
        <v/>
      </c>
      <c r="M734" s="4">
        <f>IFERROR(VLOOKUP(B734,infoTable__13[],4,FALSE),"")</f>
        <v>525217</v>
      </c>
      <c r="N734" s="4" t="str">
        <f>IFERROR(VLOOKUP(B734,infoTable__14[],4,FALSE),"")</f>
        <v/>
      </c>
      <c r="O734" s="4" t="str">
        <f>IFERROR(VLOOKUP(B734,infoTable__15[],4,FALSE),"")</f>
        <v/>
      </c>
      <c r="P734" s="4" t="str">
        <f>IFERROR(VLOOKUP(B734,infoTable__16[],4,FALSE),"")</f>
        <v/>
      </c>
    </row>
    <row r="735" spans="1:16" x14ac:dyDescent="0.55000000000000004">
      <c r="A735" t="s">
        <v>1469</v>
      </c>
      <c r="B735" t="s">
        <v>1470</v>
      </c>
      <c r="C735" s="4" t="str">
        <f>IFERROR(VLOOKUP(B735,infoTable10[],4,FALSE),"")</f>
        <v/>
      </c>
      <c r="D735" s="4" t="str">
        <f>IFERROR(VLOOKUP(B735,infoTable__2[],4,FALSE),"")</f>
        <v/>
      </c>
      <c r="E735" s="4" t="str">
        <f>IFERROR(VLOOKUP(B735,infoTable__3[],4,FALSE),"")</f>
        <v/>
      </c>
      <c r="F735" s="4" t="str">
        <f>IFERROR(VLOOKUP(B735,infoTable__4[],4,FALSE),"")</f>
        <v/>
      </c>
      <c r="G735" s="4" t="str">
        <f>IFERROR(VLOOKUP(B735,infoTable[],4,FALSE),"")</f>
        <v/>
      </c>
      <c r="H735" s="4" t="str">
        <f>IFERROR(VLOOKUP(B735,infoTable__6[],4,FALSE),"")</f>
        <v/>
      </c>
      <c r="I735" s="4">
        <f>IFERROR(VLOOKUP(B735,infoTable__28[],4,FALSE),"")</f>
        <v>383399</v>
      </c>
      <c r="J735" s="4">
        <f>IFERROR(VLOOKUP(B735,infoTable__10[],4,FALSE),"")</f>
        <v>208996</v>
      </c>
      <c r="K735" s="4" t="str">
        <f>IFERROR(VLOOKUP(B735,infoTable__11[],4,FALSE),"")</f>
        <v/>
      </c>
      <c r="L735" s="4" t="str">
        <f>IFERROR(VLOOKUP(B735,infoTable__12[],4,FALSE),"")</f>
        <v/>
      </c>
      <c r="M735" s="4" t="str">
        <f>IFERROR(VLOOKUP(B735,infoTable__13[],4,FALSE),"")</f>
        <v/>
      </c>
      <c r="N735" s="4" t="str">
        <f>IFERROR(VLOOKUP(B735,infoTable__14[],4,FALSE),"")</f>
        <v/>
      </c>
      <c r="O735" s="4" t="str">
        <f>IFERROR(VLOOKUP(B735,infoTable__15[],4,FALSE),"")</f>
        <v/>
      </c>
      <c r="P735" s="4">
        <f>IFERROR(VLOOKUP(B735,infoTable__16[],4,FALSE),"")</f>
        <v>4029128</v>
      </c>
    </row>
    <row r="736" spans="1:16" x14ac:dyDescent="0.55000000000000004">
      <c r="A736" t="s">
        <v>3567</v>
      </c>
      <c r="B736" t="s">
        <v>3568</v>
      </c>
      <c r="C736" s="4" t="str">
        <f>IFERROR(VLOOKUP(B736,infoTable10[],4,FALSE),"")</f>
        <v/>
      </c>
      <c r="D736" s="4" t="str">
        <f>IFERROR(VLOOKUP(B736,infoTable__2[],4,FALSE),"")</f>
        <v/>
      </c>
      <c r="E736" s="4" t="str">
        <f>IFERROR(VLOOKUP(B736,infoTable__3[],4,FALSE),"")</f>
        <v/>
      </c>
      <c r="F736" s="4" t="str">
        <f>IFERROR(VLOOKUP(B736,infoTable__4[],4,FALSE),"")</f>
        <v/>
      </c>
      <c r="G736" s="4" t="str">
        <f>IFERROR(VLOOKUP(B736,infoTable[],4,FALSE),"")</f>
        <v/>
      </c>
      <c r="H736" s="4" t="str">
        <f>IFERROR(VLOOKUP(B736,infoTable__6[],4,FALSE),"")</f>
        <v/>
      </c>
      <c r="I736" s="4" t="str">
        <f>IFERROR(VLOOKUP(B736,infoTable__28[],4,FALSE),"")</f>
        <v/>
      </c>
      <c r="J736" s="4" t="str">
        <f>IFERROR(VLOOKUP(B736,infoTable__10[],4,FALSE),"")</f>
        <v/>
      </c>
      <c r="K736" s="4" t="str">
        <f>IFERROR(VLOOKUP(B736,infoTable__11[],4,FALSE),"")</f>
        <v/>
      </c>
      <c r="L736" s="4" t="str">
        <f>IFERROR(VLOOKUP(B736,infoTable__12[],4,FALSE),"")</f>
        <v/>
      </c>
      <c r="M736" s="4" t="str">
        <f>IFERROR(VLOOKUP(B736,infoTable__13[],4,FALSE),"")</f>
        <v/>
      </c>
      <c r="N736" s="4" t="str">
        <f>IFERROR(VLOOKUP(B736,infoTable__14[],4,FALSE),"")</f>
        <v/>
      </c>
      <c r="O736" s="4" t="str">
        <f>IFERROR(VLOOKUP(B736,infoTable__15[],4,FALSE),"")</f>
        <v/>
      </c>
      <c r="P736" s="4">
        <f>IFERROR(VLOOKUP(B736,infoTable__16[],4,FALSE),"")</f>
        <v>827546</v>
      </c>
    </row>
    <row r="737" spans="1:16" x14ac:dyDescent="0.55000000000000004">
      <c r="A737" t="s">
        <v>2769</v>
      </c>
      <c r="B737" t="s">
        <v>2768</v>
      </c>
      <c r="C737" s="4" t="str">
        <f>IFERROR(VLOOKUP(B737,infoTable10[],4,FALSE),"")</f>
        <v/>
      </c>
      <c r="D737" s="4" t="str">
        <f>IFERROR(VLOOKUP(B737,infoTable__2[],4,FALSE),"")</f>
        <v/>
      </c>
      <c r="E737" s="4" t="str">
        <f>IFERROR(VLOOKUP(B737,infoTable__3[],4,FALSE),"")</f>
        <v/>
      </c>
      <c r="F737" s="4" t="str">
        <f>IFERROR(VLOOKUP(B737,infoTable__4[],4,FALSE),"")</f>
        <v/>
      </c>
      <c r="G737" s="4" t="str">
        <f>IFERROR(VLOOKUP(B737,infoTable[],4,FALSE),"")</f>
        <v/>
      </c>
      <c r="H737" s="4" t="str">
        <f>IFERROR(VLOOKUP(B737,infoTable__6[],4,FALSE),"")</f>
        <v/>
      </c>
      <c r="I737" s="4" t="str">
        <f>IFERROR(VLOOKUP(B737,infoTable__28[],4,FALSE),"")</f>
        <v/>
      </c>
      <c r="J737" s="4" t="str">
        <f>IFERROR(VLOOKUP(B737,infoTable__10[],4,FALSE),"")</f>
        <v/>
      </c>
      <c r="K737" s="4" t="str">
        <f>IFERROR(VLOOKUP(B737,infoTable__11[],4,FALSE),"")</f>
        <v/>
      </c>
      <c r="L737" s="4" t="str">
        <f>IFERROR(VLOOKUP(B737,infoTable__12[],4,FALSE),"")</f>
        <v/>
      </c>
      <c r="M737" s="4" t="str">
        <f>IFERROR(VLOOKUP(B737,infoTable__13[],4,FALSE),"")</f>
        <v/>
      </c>
      <c r="N737" s="4">
        <f>IFERROR(VLOOKUP(B737,infoTable__14[],4,FALSE),"")</f>
        <v>207864</v>
      </c>
      <c r="O737" s="4" t="str">
        <f>IFERROR(VLOOKUP(B737,infoTable__15[],4,FALSE),"")</f>
        <v/>
      </c>
      <c r="P737" s="4" t="str">
        <f>IFERROR(VLOOKUP(B737,infoTable__16[],4,FALSE),"")</f>
        <v/>
      </c>
    </row>
    <row r="738" spans="1:16" x14ac:dyDescent="0.55000000000000004">
      <c r="A738" t="s">
        <v>3203</v>
      </c>
      <c r="B738" t="s">
        <v>3204</v>
      </c>
      <c r="C738" s="4" t="str">
        <f>IFERROR(VLOOKUP(B738,infoTable10[],4,FALSE),"")</f>
        <v/>
      </c>
      <c r="D738" s="4" t="str">
        <f>IFERROR(VLOOKUP(B738,infoTable__2[],4,FALSE),"")</f>
        <v/>
      </c>
      <c r="E738" s="4" t="str">
        <f>IFERROR(VLOOKUP(B738,infoTable__3[],4,FALSE),"")</f>
        <v/>
      </c>
      <c r="F738" s="4" t="str">
        <f>IFERROR(VLOOKUP(B738,infoTable__4[],4,FALSE),"")</f>
        <v/>
      </c>
      <c r="G738" s="4" t="str">
        <f>IFERROR(VLOOKUP(B738,infoTable[],4,FALSE),"")</f>
        <v/>
      </c>
      <c r="H738" s="4" t="str">
        <f>IFERROR(VLOOKUP(B738,infoTable__6[],4,FALSE),"")</f>
        <v/>
      </c>
      <c r="I738" s="4" t="str">
        <f>IFERROR(VLOOKUP(B738,infoTable__28[],4,FALSE),"")</f>
        <v/>
      </c>
      <c r="J738" s="4" t="str">
        <f>IFERROR(VLOOKUP(B738,infoTable__10[],4,FALSE),"")</f>
        <v/>
      </c>
      <c r="K738" s="4" t="str">
        <f>IFERROR(VLOOKUP(B738,infoTable__11[],4,FALSE),"")</f>
        <v/>
      </c>
      <c r="L738" s="4" t="str">
        <f>IFERROR(VLOOKUP(B738,infoTable__12[],4,FALSE),"")</f>
        <v/>
      </c>
      <c r="M738" s="4" t="str">
        <f>IFERROR(VLOOKUP(B738,infoTable__13[],4,FALSE),"")</f>
        <v/>
      </c>
      <c r="N738" s="4" t="str">
        <f>IFERROR(VLOOKUP(B738,infoTable__14[],4,FALSE),"")</f>
        <v/>
      </c>
      <c r="O738" s="4">
        <f>IFERROR(VLOOKUP(B738,infoTable__15[],4,FALSE),"")</f>
        <v>968410</v>
      </c>
      <c r="P738" s="4" t="str">
        <f>IFERROR(VLOOKUP(B738,infoTable__16[],4,FALSE),"")</f>
        <v/>
      </c>
    </row>
    <row r="739" spans="1:16" x14ac:dyDescent="0.55000000000000004">
      <c r="A739" t="s">
        <v>1563</v>
      </c>
      <c r="B739" t="s">
        <v>1564</v>
      </c>
      <c r="C739" s="4">
        <f>IFERROR(VLOOKUP(B739,infoTable10[],4,FALSE),"")</f>
        <v>2614503</v>
      </c>
      <c r="D739" s="4" t="str">
        <f>IFERROR(VLOOKUP(B739,infoTable__2[],4,FALSE),"")</f>
        <v/>
      </c>
      <c r="E739" s="4" t="str">
        <f>IFERROR(VLOOKUP(B739,infoTable__3[],4,FALSE),"")</f>
        <v/>
      </c>
      <c r="F739" s="4" t="str">
        <f>IFERROR(VLOOKUP(B739,infoTable__4[],4,FALSE),"")</f>
        <v/>
      </c>
      <c r="G739" s="4" t="str">
        <f>IFERROR(VLOOKUP(B739,infoTable[],4,FALSE),"")</f>
        <v/>
      </c>
      <c r="H739" s="4" t="str">
        <f>IFERROR(VLOOKUP(B739,infoTable__6[],4,FALSE),"")</f>
        <v/>
      </c>
      <c r="I739" s="4" t="str">
        <f>IFERROR(VLOOKUP(B739,infoTable__28[],4,FALSE),"")</f>
        <v/>
      </c>
      <c r="J739" s="4" t="str">
        <f>IFERROR(VLOOKUP(B739,infoTable__10[],4,FALSE),"")</f>
        <v/>
      </c>
      <c r="K739" s="4" t="str">
        <f>IFERROR(VLOOKUP(B739,infoTable__11[],4,FALSE),"")</f>
        <v/>
      </c>
      <c r="L739" s="4" t="str">
        <f>IFERROR(VLOOKUP(B739,infoTable__12[],4,FALSE),"")</f>
        <v/>
      </c>
      <c r="M739" s="4">
        <f>IFERROR(VLOOKUP(B739,infoTable__13[],4,FALSE),"")</f>
        <v>268905</v>
      </c>
      <c r="N739" s="4" t="str">
        <f>IFERROR(VLOOKUP(B739,infoTable__14[],4,FALSE),"")</f>
        <v/>
      </c>
      <c r="O739" s="4" t="str">
        <f>IFERROR(VLOOKUP(B739,infoTable__15[],4,FALSE),"")</f>
        <v/>
      </c>
      <c r="P739" s="4" t="str">
        <f>IFERROR(VLOOKUP(B739,infoTable__16[],4,FALSE),"")</f>
        <v/>
      </c>
    </row>
    <row r="740" spans="1:16" x14ac:dyDescent="0.55000000000000004">
      <c r="A740" t="s">
        <v>1126</v>
      </c>
      <c r="B740" t="s">
        <v>1127</v>
      </c>
      <c r="C740" s="4" t="str">
        <f>IFERROR(VLOOKUP(B740,infoTable10[],4,FALSE),"")</f>
        <v/>
      </c>
      <c r="D740" s="4" t="str">
        <f>IFERROR(VLOOKUP(B740,infoTable__2[],4,FALSE),"")</f>
        <v/>
      </c>
      <c r="E740" s="4" t="str">
        <f>IFERROR(VLOOKUP(B740,infoTable__3[],4,FALSE),"")</f>
        <v/>
      </c>
      <c r="F740" s="4" t="str">
        <f>IFERROR(VLOOKUP(B740,infoTable__4[],4,FALSE),"")</f>
        <v/>
      </c>
      <c r="G740" s="4" t="str">
        <f>IFERROR(VLOOKUP(B740,infoTable[],4,FALSE),"")</f>
        <v/>
      </c>
      <c r="H740" s="4">
        <f>IFERROR(VLOOKUP(B740,infoTable__6[],4,FALSE),"")</f>
        <v>214485</v>
      </c>
      <c r="I740" s="4" t="str">
        <f>IFERROR(VLOOKUP(B740,infoTable__28[],4,FALSE),"")</f>
        <v/>
      </c>
      <c r="J740" s="4" t="str">
        <f>IFERROR(VLOOKUP(B740,infoTable__10[],4,FALSE),"")</f>
        <v/>
      </c>
      <c r="K740" s="4" t="str">
        <f>IFERROR(VLOOKUP(B740,infoTable__11[],4,FALSE),"")</f>
        <v/>
      </c>
      <c r="L740" s="4">
        <f>IFERROR(VLOOKUP(B740,infoTable__12[],4,FALSE),"")</f>
        <v>816864</v>
      </c>
      <c r="M740" s="4">
        <f>IFERROR(VLOOKUP(B740,infoTable__13[],4,FALSE),"")</f>
        <v>781531</v>
      </c>
      <c r="N740" s="4">
        <f>IFERROR(VLOOKUP(B740,infoTable__14[],4,FALSE),"")</f>
        <v>1483353</v>
      </c>
      <c r="O740" s="4">
        <f>IFERROR(VLOOKUP(B740,infoTable__15[],4,FALSE),"")</f>
        <v>1834089</v>
      </c>
      <c r="P740" s="4" t="str">
        <f>IFERROR(VLOOKUP(B740,infoTable__16[],4,FALSE),"")</f>
        <v/>
      </c>
    </row>
    <row r="741" spans="1:16" x14ac:dyDescent="0.55000000000000004">
      <c r="A741" t="s">
        <v>1805</v>
      </c>
      <c r="B741" t="s">
        <v>1806</v>
      </c>
      <c r="C741" s="4" t="str">
        <f>IFERROR(VLOOKUP(B741,infoTable10[],4,FALSE),"")</f>
        <v/>
      </c>
      <c r="D741" s="4" t="str">
        <f>IFERROR(VLOOKUP(B741,infoTable__2[],4,FALSE),"")</f>
        <v/>
      </c>
      <c r="E741" s="4" t="str">
        <f>IFERROR(VLOOKUP(B741,infoTable__3[],4,FALSE),"")</f>
        <v/>
      </c>
      <c r="F741" s="4" t="str">
        <f>IFERROR(VLOOKUP(B741,infoTable__4[],4,FALSE),"")</f>
        <v/>
      </c>
      <c r="G741" s="4" t="str">
        <f>IFERROR(VLOOKUP(B741,infoTable[],4,FALSE),"")</f>
        <v/>
      </c>
      <c r="H741" s="4" t="str">
        <f>IFERROR(VLOOKUP(B741,infoTable__6[],4,FALSE),"")</f>
        <v/>
      </c>
      <c r="I741" s="4" t="str">
        <f>IFERROR(VLOOKUP(B741,infoTable__28[],4,FALSE),"")</f>
        <v/>
      </c>
      <c r="J741" s="4">
        <f>IFERROR(VLOOKUP(B741,infoTable__10[],4,FALSE),"")</f>
        <v>230323</v>
      </c>
      <c r="K741" s="4">
        <f>IFERROR(VLOOKUP(B741,infoTable__11[],4,FALSE),"")</f>
        <v>207096</v>
      </c>
      <c r="L741" s="4" t="str">
        <f>IFERROR(VLOOKUP(B741,infoTable__12[],4,FALSE),"")</f>
        <v/>
      </c>
      <c r="M741" s="4" t="str">
        <f>IFERROR(VLOOKUP(B741,infoTable__13[],4,FALSE),"")</f>
        <v/>
      </c>
      <c r="N741" s="4" t="str">
        <f>IFERROR(VLOOKUP(B741,infoTable__14[],4,FALSE),"")</f>
        <v/>
      </c>
      <c r="O741" s="4" t="str">
        <f>IFERROR(VLOOKUP(B741,infoTable__15[],4,FALSE),"")</f>
        <v/>
      </c>
      <c r="P741" s="4" t="str">
        <f>IFERROR(VLOOKUP(B741,infoTable__16[],4,FALSE),"")</f>
        <v/>
      </c>
    </row>
    <row r="742" spans="1:16" x14ac:dyDescent="0.55000000000000004">
      <c r="A742" t="s">
        <v>475</v>
      </c>
      <c r="B742" t="s">
        <v>476</v>
      </c>
      <c r="C742" s="4" t="str">
        <f>IFERROR(VLOOKUP(B742,infoTable10[],4,FALSE),"")</f>
        <v/>
      </c>
      <c r="D742" s="4" t="str">
        <f>IFERROR(VLOOKUP(B742,infoTable__2[],4,FALSE),"")</f>
        <v/>
      </c>
      <c r="E742" s="4" t="str">
        <f>IFERROR(VLOOKUP(B742,infoTable__3[],4,FALSE),"")</f>
        <v/>
      </c>
      <c r="F742" s="4">
        <f>IFERROR(VLOOKUP(B742,infoTable__4[],4,FALSE),"")</f>
        <v>884173</v>
      </c>
      <c r="G742" s="4">
        <f>IFERROR(VLOOKUP(B742,infoTable[],4,FALSE),"")</f>
        <v>777433</v>
      </c>
      <c r="H742" s="4">
        <f>IFERROR(VLOOKUP(B742,infoTable__6[],4,FALSE),"")</f>
        <v>1660211</v>
      </c>
      <c r="I742" s="4">
        <f>IFERROR(VLOOKUP(B742,infoTable__28[],4,FALSE),"")</f>
        <v>409764</v>
      </c>
      <c r="J742" s="4" t="str">
        <f>IFERROR(VLOOKUP(B742,infoTable__10[],4,FALSE),"")</f>
        <v/>
      </c>
      <c r="K742" s="4" t="str">
        <f>IFERROR(VLOOKUP(B742,infoTable__11[],4,FALSE),"")</f>
        <v/>
      </c>
      <c r="L742" s="4" t="str">
        <f>IFERROR(VLOOKUP(B742,infoTable__12[],4,FALSE),"")</f>
        <v/>
      </c>
      <c r="M742" s="4" t="str">
        <f>IFERROR(VLOOKUP(B742,infoTable__13[],4,FALSE),"")</f>
        <v/>
      </c>
      <c r="N742" s="4" t="str">
        <f>IFERROR(VLOOKUP(B742,infoTable__14[],4,FALSE),"")</f>
        <v/>
      </c>
      <c r="O742" s="4">
        <f>IFERROR(VLOOKUP(B742,infoTable__15[],4,FALSE),"")</f>
        <v>567457</v>
      </c>
      <c r="P742" s="4" t="str">
        <f>IFERROR(VLOOKUP(B742,infoTable__16[],4,FALSE),"")</f>
        <v/>
      </c>
    </row>
    <row r="743" spans="1:16" x14ac:dyDescent="0.55000000000000004">
      <c r="A743" t="s">
        <v>1471</v>
      </c>
      <c r="B743" t="s">
        <v>1472</v>
      </c>
      <c r="C743" s="4" t="str">
        <f>IFERROR(VLOOKUP(B743,infoTable10[],4,FALSE),"")</f>
        <v/>
      </c>
      <c r="D743" s="4" t="str">
        <f>IFERROR(VLOOKUP(B743,infoTable__2[],4,FALSE),"")</f>
        <v/>
      </c>
      <c r="E743" s="4" t="str">
        <f>IFERROR(VLOOKUP(B743,infoTable__3[],4,FALSE),"")</f>
        <v/>
      </c>
      <c r="F743" s="4" t="str">
        <f>IFERROR(VLOOKUP(B743,infoTable__4[],4,FALSE),"")</f>
        <v/>
      </c>
      <c r="G743" s="4" t="str">
        <f>IFERROR(VLOOKUP(B743,infoTable[],4,FALSE),"")</f>
        <v/>
      </c>
      <c r="H743" s="4" t="str">
        <f>IFERROR(VLOOKUP(B743,infoTable__6[],4,FALSE),"")</f>
        <v/>
      </c>
      <c r="I743" s="4">
        <f>IFERROR(VLOOKUP(B743,infoTable__28[],4,FALSE),"")</f>
        <v>128774</v>
      </c>
      <c r="J743" s="4" t="str">
        <f>IFERROR(VLOOKUP(B743,infoTable__10[],4,FALSE),"")</f>
        <v/>
      </c>
      <c r="K743" s="4" t="str">
        <f>IFERROR(VLOOKUP(B743,infoTable__11[],4,FALSE),"")</f>
        <v/>
      </c>
      <c r="L743" s="4" t="str">
        <f>IFERROR(VLOOKUP(B743,infoTable__12[],4,FALSE),"")</f>
        <v/>
      </c>
      <c r="M743" s="4">
        <f>IFERROR(VLOOKUP(B743,infoTable__13[],4,FALSE),"")</f>
        <v>167028</v>
      </c>
      <c r="N743" s="4">
        <f>IFERROR(VLOOKUP(B743,infoTable__14[],4,FALSE),"")</f>
        <v>216976</v>
      </c>
      <c r="O743" s="4">
        <f>IFERROR(VLOOKUP(B743,infoTable__15[],4,FALSE),"")</f>
        <v>752537</v>
      </c>
      <c r="P743" s="4" t="str">
        <f>IFERROR(VLOOKUP(B743,infoTable__16[],4,FALSE),"")</f>
        <v/>
      </c>
    </row>
    <row r="744" spans="1:16" x14ac:dyDescent="0.55000000000000004">
      <c r="A744" t="s">
        <v>3206</v>
      </c>
      <c r="B744" t="s">
        <v>3207</v>
      </c>
      <c r="C744" s="4" t="str">
        <f>IFERROR(VLOOKUP(B744,infoTable10[],4,FALSE),"")</f>
        <v/>
      </c>
      <c r="D744" s="4" t="str">
        <f>IFERROR(VLOOKUP(B744,infoTable__2[],4,FALSE),"")</f>
        <v/>
      </c>
      <c r="E744" s="4" t="str">
        <f>IFERROR(VLOOKUP(B744,infoTable__3[],4,FALSE),"")</f>
        <v/>
      </c>
      <c r="F744" s="4" t="str">
        <f>IFERROR(VLOOKUP(B744,infoTable__4[],4,FALSE),"")</f>
        <v/>
      </c>
      <c r="G744" s="4" t="str">
        <f>IFERROR(VLOOKUP(B744,infoTable[],4,FALSE),"")</f>
        <v/>
      </c>
      <c r="H744" s="4" t="str">
        <f>IFERROR(VLOOKUP(B744,infoTable__6[],4,FALSE),"")</f>
        <v/>
      </c>
      <c r="I744" s="4" t="str">
        <f>IFERROR(VLOOKUP(B744,infoTable__28[],4,FALSE),"")</f>
        <v/>
      </c>
      <c r="J744" s="4" t="str">
        <f>IFERROR(VLOOKUP(B744,infoTable__10[],4,FALSE),"")</f>
        <v/>
      </c>
      <c r="K744" s="4" t="str">
        <f>IFERROR(VLOOKUP(B744,infoTable__11[],4,FALSE),"")</f>
        <v/>
      </c>
      <c r="L744" s="4" t="str">
        <f>IFERROR(VLOOKUP(B744,infoTable__12[],4,FALSE),"")</f>
        <v/>
      </c>
      <c r="M744" s="4" t="str">
        <f>IFERROR(VLOOKUP(B744,infoTable__13[],4,FALSE),"")</f>
        <v/>
      </c>
      <c r="N744" s="4" t="str">
        <f>IFERROR(VLOOKUP(B744,infoTable__14[],4,FALSE),"")</f>
        <v/>
      </c>
      <c r="O744" s="4">
        <f>IFERROR(VLOOKUP(B744,infoTable__15[],4,FALSE),"")</f>
        <v>428260</v>
      </c>
      <c r="P744" s="4" t="str">
        <f>IFERROR(VLOOKUP(B744,infoTable__16[],4,FALSE),"")</f>
        <v/>
      </c>
    </row>
    <row r="745" spans="1:16" x14ac:dyDescent="0.55000000000000004">
      <c r="A745" t="s">
        <v>2771</v>
      </c>
      <c r="B745" t="s">
        <v>2770</v>
      </c>
      <c r="C745" s="4" t="str">
        <f>IFERROR(VLOOKUP(B745,infoTable10[],4,FALSE),"")</f>
        <v/>
      </c>
      <c r="D745" s="4" t="str">
        <f>IFERROR(VLOOKUP(B745,infoTable__2[],4,FALSE),"")</f>
        <v/>
      </c>
      <c r="E745" s="4" t="str">
        <f>IFERROR(VLOOKUP(B745,infoTable__3[],4,FALSE),"")</f>
        <v/>
      </c>
      <c r="F745" s="4" t="str">
        <f>IFERROR(VLOOKUP(B745,infoTable__4[],4,FALSE),"")</f>
        <v/>
      </c>
      <c r="G745" s="4" t="str">
        <f>IFERROR(VLOOKUP(B745,infoTable[],4,FALSE),"")</f>
        <v/>
      </c>
      <c r="H745" s="4" t="str">
        <f>IFERROR(VLOOKUP(B745,infoTable__6[],4,FALSE),"")</f>
        <v/>
      </c>
      <c r="I745" s="4" t="str">
        <f>IFERROR(VLOOKUP(B745,infoTable__28[],4,FALSE),"")</f>
        <v/>
      </c>
      <c r="J745" s="4" t="str">
        <f>IFERROR(VLOOKUP(B745,infoTable__10[],4,FALSE),"")</f>
        <v/>
      </c>
      <c r="K745" s="4" t="str">
        <f>IFERROR(VLOOKUP(B745,infoTable__11[],4,FALSE),"")</f>
        <v/>
      </c>
      <c r="L745" s="4" t="str">
        <f>IFERROR(VLOOKUP(B745,infoTable__12[],4,FALSE),"")</f>
        <v/>
      </c>
      <c r="M745" s="4" t="str">
        <f>IFERROR(VLOOKUP(B745,infoTable__13[],4,FALSE),"")</f>
        <v/>
      </c>
      <c r="N745" s="4">
        <f>IFERROR(VLOOKUP(B745,infoTable__14[],4,FALSE),"")</f>
        <v>1082271</v>
      </c>
      <c r="O745" s="4">
        <f>IFERROR(VLOOKUP(B745,infoTable__15[],4,FALSE),"")</f>
        <v>557580</v>
      </c>
      <c r="P745" s="4" t="str">
        <f>IFERROR(VLOOKUP(B745,infoTable__16[],4,FALSE),"")</f>
        <v/>
      </c>
    </row>
    <row r="746" spans="1:16" x14ac:dyDescent="0.55000000000000004">
      <c r="A746" t="s">
        <v>716</v>
      </c>
      <c r="B746" t="s">
        <v>717</v>
      </c>
      <c r="C746" s="4">
        <f>IFERROR(VLOOKUP(B746,infoTable10[],4,FALSE),"")</f>
        <v>1080512</v>
      </c>
      <c r="D746" s="4">
        <f>IFERROR(VLOOKUP(B746,infoTable__2[],4,FALSE),"")</f>
        <v>1121416</v>
      </c>
      <c r="E746" s="4" t="str">
        <f>IFERROR(VLOOKUP(B746,infoTable__3[],4,FALSE),"")</f>
        <v/>
      </c>
      <c r="F746" s="4" t="str">
        <f>IFERROR(VLOOKUP(B746,infoTable__4[],4,FALSE),"")</f>
        <v/>
      </c>
      <c r="G746" s="4" t="str">
        <f>IFERROR(VLOOKUP(B746,infoTable[],4,FALSE),"")</f>
        <v/>
      </c>
      <c r="H746" s="4" t="str">
        <f>IFERROR(VLOOKUP(B746,infoTable__6[],4,FALSE),"")</f>
        <v/>
      </c>
      <c r="I746" s="4" t="str">
        <f>IFERROR(VLOOKUP(B746,infoTable__28[],4,FALSE),"")</f>
        <v/>
      </c>
      <c r="J746" s="4" t="str">
        <f>IFERROR(VLOOKUP(B746,infoTable__10[],4,FALSE),"")</f>
        <v/>
      </c>
      <c r="K746" s="4" t="str">
        <f>IFERROR(VLOOKUP(B746,infoTable__11[],4,FALSE),"")</f>
        <v/>
      </c>
      <c r="L746" s="4" t="str">
        <f>IFERROR(VLOOKUP(B746,infoTable__12[],4,FALSE),"")</f>
        <v/>
      </c>
      <c r="M746" s="4" t="str">
        <f>IFERROR(VLOOKUP(B746,infoTable__13[],4,FALSE),"")</f>
        <v/>
      </c>
      <c r="N746" s="4" t="str">
        <f>IFERROR(VLOOKUP(B746,infoTable__14[],4,FALSE),"")</f>
        <v/>
      </c>
      <c r="O746" s="4" t="str">
        <f>IFERROR(VLOOKUP(B746,infoTable__15[],4,FALSE),"")</f>
        <v/>
      </c>
      <c r="P746" s="4" t="str">
        <f>IFERROR(VLOOKUP(B746,infoTable__16[],4,FALSE),"")</f>
        <v/>
      </c>
    </row>
    <row r="747" spans="1:16" x14ac:dyDescent="0.55000000000000004">
      <c r="A747" t="s">
        <v>1807</v>
      </c>
      <c r="B747" t="s">
        <v>1808</v>
      </c>
      <c r="C747" s="4" t="str">
        <f>IFERROR(VLOOKUP(B747,infoTable10[],4,FALSE),"")</f>
        <v/>
      </c>
      <c r="D747" s="4" t="str">
        <f>IFERROR(VLOOKUP(B747,infoTable__2[],4,FALSE),"")</f>
        <v/>
      </c>
      <c r="E747" s="4" t="str">
        <f>IFERROR(VLOOKUP(B747,infoTable__3[],4,FALSE),"")</f>
        <v/>
      </c>
      <c r="F747" s="4" t="str">
        <f>IFERROR(VLOOKUP(B747,infoTable__4[],4,FALSE),"")</f>
        <v/>
      </c>
      <c r="G747" s="4" t="str">
        <f>IFERROR(VLOOKUP(B747,infoTable[],4,FALSE),"")</f>
        <v/>
      </c>
      <c r="H747" s="4" t="str">
        <f>IFERROR(VLOOKUP(B747,infoTable__6[],4,FALSE),"")</f>
        <v/>
      </c>
      <c r="I747" s="4" t="str">
        <f>IFERROR(VLOOKUP(B747,infoTable__28[],4,FALSE),"")</f>
        <v/>
      </c>
      <c r="J747" s="4">
        <f>IFERROR(VLOOKUP(B747,infoTable__10[],4,FALSE),"")</f>
        <v>705256</v>
      </c>
      <c r="K747" s="4">
        <f>IFERROR(VLOOKUP(B747,infoTable__11[],4,FALSE),"")</f>
        <v>231623</v>
      </c>
      <c r="L747" s="4" t="str">
        <f>IFERROR(VLOOKUP(B747,infoTable__12[],4,FALSE),"")</f>
        <v/>
      </c>
      <c r="M747" s="4" t="str">
        <f>IFERROR(VLOOKUP(B747,infoTable__13[],4,FALSE),"")</f>
        <v/>
      </c>
      <c r="N747" s="4" t="str">
        <f>IFERROR(VLOOKUP(B747,infoTable__14[],4,FALSE),"")</f>
        <v/>
      </c>
      <c r="O747" s="4" t="str">
        <f>IFERROR(VLOOKUP(B747,infoTable__15[],4,FALSE),"")</f>
        <v/>
      </c>
      <c r="P747" s="4" t="str">
        <f>IFERROR(VLOOKUP(B747,infoTable__16[],4,FALSE),"")</f>
        <v/>
      </c>
    </row>
    <row r="748" spans="1:16" x14ac:dyDescent="0.55000000000000004">
      <c r="A748" t="s">
        <v>3569</v>
      </c>
      <c r="B748" t="s">
        <v>3570</v>
      </c>
      <c r="C748" s="4" t="str">
        <f>IFERROR(VLOOKUP(B748,infoTable10[],4,FALSE),"")</f>
        <v/>
      </c>
      <c r="D748" s="4" t="str">
        <f>IFERROR(VLOOKUP(B748,infoTable__2[],4,FALSE),"")</f>
        <v/>
      </c>
      <c r="E748" s="4" t="str">
        <f>IFERROR(VLOOKUP(B748,infoTable__3[],4,FALSE),"")</f>
        <v/>
      </c>
      <c r="F748" s="4" t="str">
        <f>IFERROR(VLOOKUP(B748,infoTable__4[],4,FALSE),"")</f>
        <v/>
      </c>
      <c r="G748" s="4" t="str">
        <f>IFERROR(VLOOKUP(B748,infoTable[],4,FALSE),"")</f>
        <v/>
      </c>
      <c r="H748" s="4" t="str">
        <f>IFERROR(VLOOKUP(B748,infoTable__6[],4,FALSE),"")</f>
        <v/>
      </c>
      <c r="I748" s="4" t="str">
        <f>IFERROR(VLOOKUP(B748,infoTable__28[],4,FALSE),"")</f>
        <v/>
      </c>
      <c r="J748" s="4" t="str">
        <f>IFERROR(VLOOKUP(B748,infoTable__10[],4,FALSE),"")</f>
        <v/>
      </c>
      <c r="K748" s="4" t="str">
        <f>IFERROR(VLOOKUP(B748,infoTable__11[],4,FALSE),"")</f>
        <v/>
      </c>
      <c r="L748" s="4" t="str">
        <f>IFERROR(VLOOKUP(B748,infoTable__12[],4,FALSE),"")</f>
        <v/>
      </c>
      <c r="M748" s="4" t="str">
        <f>IFERROR(VLOOKUP(B748,infoTable__13[],4,FALSE),"")</f>
        <v/>
      </c>
      <c r="N748" s="4" t="str">
        <f>IFERROR(VLOOKUP(B748,infoTable__14[],4,FALSE),"")</f>
        <v/>
      </c>
      <c r="O748" s="4" t="str">
        <f>IFERROR(VLOOKUP(B748,infoTable__15[],4,FALSE),"")</f>
        <v/>
      </c>
      <c r="P748" s="4">
        <f>IFERROR(VLOOKUP(B748,infoTable__16[],4,FALSE),"")</f>
        <v>265509</v>
      </c>
    </row>
    <row r="749" spans="1:16" x14ac:dyDescent="0.55000000000000004">
      <c r="A749" t="s">
        <v>2773</v>
      </c>
      <c r="B749" t="s">
        <v>2772</v>
      </c>
      <c r="C749" s="4" t="str">
        <f>IFERROR(VLOOKUP(B749,infoTable10[],4,FALSE),"")</f>
        <v/>
      </c>
      <c r="D749" s="4" t="str">
        <f>IFERROR(VLOOKUP(B749,infoTable__2[],4,FALSE),"")</f>
        <v/>
      </c>
      <c r="E749" s="4" t="str">
        <f>IFERROR(VLOOKUP(B749,infoTable__3[],4,FALSE),"")</f>
        <v/>
      </c>
      <c r="F749" s="4" t="str">
        <f>IFERROR(VLOOKUP(B749,infoTable__4[],4,FALSE),"")</f>
        <v/>
      </c>
      <c r="G749" s="4" t="str">
        <f>IFERROR(VLOOKUP(B749,infoTable[],4,FALSE),"")</f>
        <v/>
      </c>
      <c r="H749" s="4" t="str">
        <f>IFERROR(VLOOKUP(B749,infoTable__6[],4,FALSE),"")</f>
        <v/>
      </c>
      <c r="I749" s="4" t="str">
        <f>IFERROR(VLOOKUP(B749,infoTable__28[],4,FALSE),"")</f>
        <v/>
      </c>
      <c r="J749" s="4" t="str">
        <f>IFERROR(VLOOKUP(B749,infoTable__10[],4,FALSE),"")</f>
        <v/>
      </c>
      <c r="K749" s="4" t="str">
        <f>IFERROR(VLOOKUP(B749,infoTable__11[],4,FALSE),"")</f>
        <v/>
      </c>
      <c r="L749" s="4" t="str">
        <f>IFERROR(VLOOKUP(B749,infoTable__12[],4,FALSE),"")</f>
        <v/>
      </c>
      <c r="M749" s="4" t="str">
        <f>IFERROR(VLOOKUP(B749,infoTable__13[],4,FALSE),"")</f>
        <v/>
      </c>
      <c r="N749" s="4">
        <f>IFERROR(VLOOKUP(B749,infoTable__14[],4,FALSE),"")</f>
        <v>241336</v>
      </c>
      <c r="O749" s="4" t="str">
        <f>IFERROR(VLOOKUP(B749,infoTable__15[],4,FALSE),"")</f>
        <v/>
      </c>
      <c r="P749" s="4">
        <f>IFERROR(VLOOKUP(B749,infoTable__16[],4,FALSE),"")</f>
        <v>326975</v>
      </c>
    </row>
    <row r="750" spans="1:16" x14ac:dyDescent="0.55000000000000004">
      <c r="A750" t="s">
        <v>2055</v>
      </c>
      <c r="B750" t="s">
        <v>2056</v>
      </c>
      <c r="C750" s="4" t="str">
        <f>IFERROR(VLOOKUP(B750,infoTable10[],4,FALSE),"")</f>
        <v/>
      </c>
      <c r="D750" s="4" t="str">
        <f>IFERROR(VLOOKUP(B750,infoTable__2[],4,FALSE),"")</f>
        <v/>
      </c>
      <c r="E750" s="4" t="str">
        <f>IFERROR(VLOOKUP(B750,infoTable__3[],4,FALSE),"")</f>
        <v/>
      </c>
      <c r="F750" s="4" t="str">
        <f>IFERROR(VLOOKUP(B750,infoTable__4[],4,FALSE),"")</f>
        <v/>
      </c>
      <c r="G750" s="4" t="str">
        <f>IFERROR(VLOOKUP(B750,infoTable[],4,FALSE),"")</f>
        <v/>
      </c>
      <c r="H750" s="4" t="str">
        <f>IFERROR(VLOOKUP(B750,infoTable__6[],4,FALSE),"")</f>
        <v/>
      </c>
      <c r="I750" s="4" t="str">
        <f>IFERROR(VLOOKUP(B750,infoTable__28[],4,FALSE),"")</f>
        <v/>
      </c>
      <c r="J750" s="4" t="str">
        <f>IFERROR(VLOOKUP(B750,infoTable__10[],4,FALSE),"")</f>
        <v/>
      </c>
      <c r="K750" s="4">
        <f>IFERROR(VLOOKUP(B750,infoTable__11[],4,FALSE),"")</f>
        <v>468306</v>
      </c>
      <c r="L750" s="4">
        <f>IFERROR(VLOOKUP(B750,infoTable__12[],4,FALSE),"")</f>
        <v>464620</v>
      </c>
      <c r="M750" s="4" t="str">
        <f>IFERROR(VLOOKUP(B750,infoTable__13[],4,FALSE),"")</f>
        <v/>
      </c>
      <c r="N750" s="4">
        <f>IFERROR(VLOOKUP(B750,infoTable__14[],4,FALSE),"")</f>
        <v>5130013</v>
      </c>
      <c r="O750" s="4">
        <f>IFERROR(VLOOKUP(B750,infoTable__15[],4,FALSE),"")</f>
        <v>4466476</v>
      </c>
      <c r="P750" s="4">
        <f>IFERROR(VLOOKUP(B750,infoTable__16[],4,FALSE),"")</f>
        <v>1532971</v>
      </c>
    </row>
    <row r="751" spans="1:16" x14ac:dyDescent="0.55000000000000004">
      <c r="A751" t="s">
        <v>1809</v>
      </c>
      <c r="B751" t="s">
        <v>1810</v>
      </c>
      <c r="C751" s="4" t="str">
        <f>IFERROR(VLOOKUP(B751,infoTable10[],4,FALSE),"")</f>
        <v/>
      </c>
      <c r="D751" s="4" t="str">
        <f>IFERROR(VLOOKUP(B751,infoTable__2[],4,FALSE),"")</f>
        <v/>
      </c>
      <c r="E751" s="4" t="str">
        <f>IFERROR(VLOOKUP(B751,infoTable__3[],4,FALSE),"")</f>
        <v/>
      </c>
      <c r="F751" s="4" t="str">
        <f>IFERROR(VLOOKUP(B751,infoTable__4[],4,FALSE),"")</f>
        <v/>
      </c>
      <c r="G751" s="4" t="str">
        <f>IFERROR(VLOOKUP(B751,infoTable[],4,FALSE),"")</f>
        <v/>
      </c>
      <c r="H751" s="4" t="str">
        <f>IFERROR(VLOOKUP(B751,infoTable__6[],4,FALSE),"")</f>
        <v/>
      </c>
      <c r="I751" s="4" t="str">
        <f>IFERROR(VLOOKUP(B751,infoTable__28[],4,FALSE),"")</f>
        <v/>
      </c>
      <c r="J751" s="4">
        <f>IFERROR(VLOOKUP(B751,infoTable__10[],4,FALSE),"")</f>
        <v>296248</v>
      </c>
      <c r="K751" s="4">
        <f>IFERROR(VLOOKUP(B751,infoTable__11[],4,FALSE),"")</f>
        <v>720965</v>
      </c>
      <c r="L751" s="4">
        <f>IFERROR(VLOOKUP(B751,infoTable__12[],4,FALSE),"")</f>
        <v>401543</v>
      </c>
      <c r="M751" s="4" t="str">
        <f>IFERROR(VLOOKUP(B751,infoTable__13[],4,FALSE),"")</f>
        <v/>
      </c>
      <c r="N751" s="4" t="str">
        <f>IFERROR(VLOOKUP(B751,infoTable__14[],4,FALSE),"")</f>
        <v/>
      </c>
      <c r="O751" s="4" t="str">
        <f>IFERROR(VLOOKUP(B751,infoTable__15[],4,FALSE),"")</f>
        <v/>
      </c>
      <c r="P751" s="4" t="str">
        <f>IFERROR(VLOOKUP(B751,infoTable__16[],4,FALSE),"")</f>
        <v/>
      </c>
    </row>
    <row r="752" spans="1:16" x14ac:dyDescent="0.55000000000000004">
      <c r="A752" t="s">
        <v>2775</v>
      </c>
      <c r="B752" t="s">
        <v>2774</v>
      </c>
      <c r="C752" s="4" t="str">
        <f>IFERROR(VLOOKUP(B752,infoTable10[],4,FALSE),"")</f>
        <v/>
      </c>
      <c r="D752" s="4" t="str">
        <f>IFERROR(VLOOKUP(B752,infoTable__2[],4,FALSE),"")</f>
        <v/>
      </c>
      <c r="E752" s="4" t="str">
        <f>IFERROR(VLOOKUP(B752,infoTable__3[],4,FALSE),"")</f>
        <v/>
      </c>
      <c r="F752" s="4" t="str">
        <f>IFERROR(VLOOKUP(B752,infoTable__4[],4,FALSE),"")</f>
        <v/>
      </c>
      <c r="G752" s="4" t="str">
        <f>IFERROR(VLOOKUP(B752,infoTable[],4,FALSE),"")</f>
        <v/>
      </c>
      <c r="H752" s="4" t="str">
        <f>IFERROR(VLOOKUP(B752,infoTable__6[],4,FALSE),"")</f>
        <v/>
      </c>
      <c r="I752" s="4" t="str">
        <f>IFERROR(VLOOKUP(B752,infoTable__28[],4,FALSE),"")</f>
        <v/>
      </c>
      <c r="J752" s="4" t="str">
        <f>IFERROR(VLOOKUP(B752,infoTable__10[],4,FALSE),"")</f>
        <v/>
      </c>
      <c r="K752" s="4" t="str">
        <f>IFERROR(VLOOKUP(B752,infoTable__11[],4,FALSE),"")</f>
        <v/>
      </c>
      <c r="L752" s="4" t="str">
        <f>IFERROR(VLOOKUP(B752,infoTable__12[],4,FALSE),"")</f>
        <v/>
      </c>
      <c r="M752" s="4" t="str">
        <f>IFERROR(VLOOKUP(B752,infoTable__13[],4,FALSE),"")</f>
        <v/>
      </c>
      <c r="N752" s="4">
        <f>IFERROR(VLOOKUP(B752,infoTable__14[],4,FALSE),"")</f>
        <v>2556931</v>
      </c>
      <c r="O752" s="4">
        <f>IFERROR(VLOOKUP(B752,infoTable__15[],4,FALSE),"")</f>
        <v>3068533</v>
      </c>
      <c r="P752" s="4">
        <f>IFERROR(VLOOKUP(B752,infoTable__16[],4,FALSE),"")</f>
        <v>1106968</v>
      </c>
    </row>
    <row r="753" spans="1:16" x14ac:dyDescent="0.55000000000000004">
      <c r="A753" t="s">
        <v>479</v>
      </c>
      <c r="B753" t="s">
        <v>480</v>
      </c>
      <c r="C753" s="4" t="str">
        <f>IFERROR(VLOOKUP(B753,infoTable10[],4,FALSE),"")</f>
        <v/>
      </c>
      <c r="D753" s="4">
        <f>IFERROR(VLOOKUP(B753,infoTable__2[],4,FALSE),"")</f>
        <v>2452620</v>
      </c>
      <c r="E753" s="4">
        <f>IFERROR(VLOOKUP(B753,infoTable__3[],4,FALSE),"")</f>
        <v>8730990</v>
      </c>
      <c r="F753" s="4">
        <f>IFERROR(VLOOKUP(B753,infoTable__4[],4,FALSE),"")</f>
        <v>1870194</v>
      </c>
      <c r="G753" s="4">
        <f>IFERROR(VLOOKUP(B753,infoTable[],4,FALSE),"")</f>
        <v>1665309</v>
      </c>
      <c r="H753" s="4" t="str">
        <f>IFERROR(VLOOKUP(B753,infoTable__6[],4,FALSE),"")</f>
        <v/>
      </c>
      <c r="I753" s="4" t="str">
        <f>IFERROR(VLOOKUP(B753,infoTable__28[],4,FALSE),"")</f>
        <v/>
      </c>
      <c r="J753" s="4" t="str">
        <f>IFERROR(VLOOKUP(B753,infoTable__10[],4,FALSE),"")</f>
        <v/>
      </c>
      <c r="K753" s="4" t="str">
        <f>IFERROR(VLOOKUP(B753,infoTable__11[],4,FALSE),"")</f>
        <v/>
      </c>
      <c r="L753" s="4" t="str">
        <f>IFERROR(VLOOKUP(B753,infoTable__12[],4,FALSE),"")</f>
        <v/>
      </c>
      <c r="M753" s="4" t="str">
        <f>IFERROR(VLOOKUP(B753,infoTable__13[],4,FALSE),"")</f>
        <v/>
      </c>
      <c r="N753" s="4" t="str">
        <f>IFERROR(VLOOKUP(B753,infoTable__14[],4,FALSE),"")</f>
        <v/>
      </c>
      <c r="O753" s="4" t="str">
        <f>IFERROR(VLOOKUP(B753,infoTable__15[],4,FALSE),"")</f>
        <v/>
      </c>
      <c r="P753" s="4">
        <f>IFERROR(VLOOKUP(B753,infoTable__16[],4,FALSE),"")</f>
        <v>238033</v>
      </c>
    </row>
    <row r="754" spans="1:16" x14ac:dyDescent="0.55000000000000004">
      <c r="A754" t="s">
        <v>1128</v>
      </c>
      <c r="B754" t="s">
        <v>1129</v>
      </c>
      <c r="C754" s="4" t="str">
        <f>IFERROR(VLOOKUP(B754,infoTable10[],4,FALSE),"")</f>
        <v/>
      </c>
      <c r="D754" s="4" t="str">
        <f>IFERROR(VLOOKUP(B754,infoTable__2[],4,FALSE),"")</f>
        <v/>
      </c>
      <c r="E754" s="4" t="str">
        <f>IFERROR(VLOOKUP(B754,infoTable__3[],4,FALSE),"")</f>
        <v/>
      </c>
      <c r="F754" s="4" t="str">
        <f>IFERROR(VLOOKUP(B754,infoTable__4[],4,FALSE),"")</f>
        <v/>
      </c>
      <c r="G754" s="4" t="str">
        <f>IFERROR(VLOOKUP(B754,infoTable[],4,FALSE),"")</f>
        <v/>
      </c>
      <c r="H754" s="4">
        <f>IFERROR(VLOOKUP(B754,infoTable__6[],4,FALSE),"")</f>
        <v>220752</v>
      </c>
      <c r="I754" s="4" t="str">
        <f>IFERROR(VLOOKUP(B754,infoTable__28[],4,FALSE),"")</f>
        <v/>
      </c>
      <c r="J754" s="4" t="str">
        <f>IFERROR(VLOOKUP(B754,infoTable__10[],4,FALSE),"")</f>
        <v/>
      </c>
      <c r="K754" s="4" t="str">
        <f>IFERROR(VLOOKUP(B754,infoTable__11[],4,FALSE),"")</f>
        <v/>
      </c>
      <c r="L754" s="4" t="str">
        <f>IFERROR(VLOOKUP(B754,infoTable__12[],4,FALSE),"")</f>
        <v/>
      </c>
      <c r="M754" s="4" t="str">
        <f>IFERROR(VLOOKUP(B754,infoTable__13[],4,FALSE),"")</f>
        <v/>
      </c>
      <c r="N754" s="4" t="str">
        <f>IFERROR(VLOOKUP(B754,infoTable__14[],4,FALSE),"")</f>
        <v/>
      </c>
      <c r="O754" s="4" t="str">
        <f>IFERROR(VLOOKUP(B754,infoTable__15[],4,FALSE),"")</f>
        <v/>
      </c>
      <c r="P754" s="4" t="str">
        <f>IFERROR(VLOOKUP(B754,infoTable__16[],4,FALSE),"")</f>
        <v/>
      </c>
    </row>
    <row r="755" spans="1:16" x14ac:dyDescent="0.55000000000000004">
      <c r="A755" t="s">
        <v>1567</v>
      </c>
      <c r="B755" t="s">
        <v>1568</v>
      </c>
      <c r="C755" s="4">
        <f>IFERROR(VLOOKUP(B755,infoTable10[],4,FALSE),"")</f>
        <v>501282</v>
      </c>
      <c r="D755" s="4" t="str">
        <f>IFERROR(VLOOKUP(B755,infoTable__2[],4,FALSE),"")</f>
        <v/>
      </c>
      <c r="E755" s="4" t="str">
        <f>IFERROR(VLOOKUP(B755,infoTable__3[],4,FALSE),"")</f>
        <v/>
      </c>
      <c r="F755" s="4" t="str">
        <f>IFERROR(VLOOKUP(B755,infoTable__4[],4,FALSE),"")</f>
        <v/>
      </c>
      <c r="G755" s="4" t="str">
        <f>IFERROR(VLOOKUP(B755,infoTable[],4,FALSE),"")</f>
        <v/>
      </c>
      <c r="H755" s="4" t="str">
        <f>IFERROR(VLOOKUP(B755,infoTable__6[],4,FALSE),"")</f>
        <v/>
      </c>
      <c r="I755" s="4" t="str">
        <f>IFERROR(VLOOKUP(B755,infoTable__28[],4,FALSE),"")</f>
        <v/>
      </c>
      <c r="J755" s="4" t="str">
        <f>IFERROR(VLOOKUP(B755,infoTable__10[],4,FALSE),"")</f>
        <v/>
      </c>
      <c r="K755" s="4" t="str">
        <f>IFERROR(VLOOKUP(B755,infoTable__11[],4,FALSE),"")</f>
        <v/>
      </c>
      <c r="L755" s="4" t="str">
        <f>IFERROR(VLOOKUP(B755,infoTable__12[],4,FALSE),"")</f>
        <v/>
      </c>
      <c r="M755" s="4" t="str">
        <f>IFERROR(VLOOKUP(B755,infoTable__13[],4,FALSE),"")</f>
        <v/>
      </c>
      <c r="N755" s="4" t="str">
        <f>IFERROR(VLOOKUP(B755,infoTable__14[],4,FALSE),"")</f>
        <v/>
      </c>
      <c r="O755" s="4">
        <f>IFERROR(VLOOKUP(B755,infoTable__15[],4,FALSE),"")</f>
        <v>773625</v>
      </c>
      <c r="P755" s="4" t="str">
        <f>IFERROR(VLOOKUP(B755,infoTable__16[],4,FALSE),"")</f>
        <v/>
      </c>
    </row>
    <row r="756" spans="1:16" x14ac:dyDescent="0.55000000000000004">
      <c r="A756" t="s">
        <v>722</v>
      </c>
      <c r="B756" t="s">
        <v>723</v>
      </c>
      <c r="C756" s="4">
        <f>IFERROR(VLOOKUP(B756,infoTable10[],4,FALSE),"")</f>
        <v>1246108</v>
      </c>
      <c r="D756" s="4">
        <f>IFERROR(VLOOKUP(B756,infoTable__2[],4,FALSE),"")</f>
        <v>9440311</v>
      </c>
      <c r="E756" s="4">
        <f>IFERROR(VLOOKUP(B756,infoTable__3[],4,FALSE),"")</f>
        <v>1264945</v>
      </c>
      <c r="F756" s="4" t="str">
        <f>IFERROR(VLOOKUP(B756,infoTable__4[],4,FALSE),"")</f>
        <v/>
      </c>
      <c r="G756" s="4" t="str">
        <f>IFERROR(VLOOKUP(B756,infoTable[],4,FALSE),"")</f>
        <v/>
      </c>
      <c r="H756" s="4" t="str">
        <f>IFERROR(VLOOKUP(B756,infoTable__6[],4,FALSE),"")</f>
        <v/>
      </c>
      <c r="I756" s="4" t="str">
        <f>IFERROR(VLOOKUP(B756,infoTable__28[],4,FALSE),"")</f>
        <v/>
      </c>
      <c r="J756" s="4" t="str">
        <f>IFERROR(VLOOKUP(B756,infoTable__10[],4,FALSE),"")</f>
        <v/>
      </c>
      <c r="K756" s="4" t="str">
        <f>IFERROR(VLOOKUP(B756,infoTable__11[],4,FALSE),"")</f>
        <v/>
      </c>
      <c r="L756" s="4" t="str">
        <f>IFERROR(VLOOKUP(B756,infoTable__12[],4,FALSE),"")</f>
        <v/>
      </c>
      <c r="M756" s="4">
        <f>IFERROR(VLOOKUP(B756,infoTable__13[],4,FALSE),"")</f>
        <v>1507922</v>
      </c>
      <c r="N756" s="4" t="str">
        <f>IFERROR(VLOOKUP(B756,infoTable__14[],4,FALSE),"")</f>
        <v/>
      </c>
      <c r="O756" s="4" t="str">
        <f>IFERROR(VLOOKUP(B756,infoTable__15[],4,FALSE),"")</f>
        <v/>
      </c>
      <c r="P756" s="4">
        <f>IFERROR(VLOOKUP(B756,infoTable__16[],4,FALSE),"")</f>
        <v>1038946</v>
      </c>
    </row>
    <row r="757" spans="1:16" x14ac:dyDescent="0.55000000000000004">
      <c r="A757" t="s">
        <v>2634</v>
      </c>
      <c r="B757" t="s">
        <v>2635</v>
      </c>
      <c r="C757" s="4" t="str">
        <f>IFERROR(VLOOKUP(B757,infoTable10[],4,FALSE),"")</f>
        <v/>
      </c>
      <c r="D757" s="4" t="str">
        <f>IFERROR(VLOOKUP(B757,infoTable__2[],4,FALSE),"")</f>
        <v/>
      </c>
      <c r="E757" s="4" t="str">
        <f>IFERROR(VLOOKUP(B757,infoTable__3[],4,FALSE),"")</f>
        <v/>
      </c>
      <c r="F757" s="4" t="str">
        <f>IFERROR(VLOOKUP(B757,infoTable__4[],4,FALSE),"")</f>
        <v/>
      </c>
      <c r="G757" s="4" t="str">
        <f>IFERROR(VLOOKUP(B757,infoTable[],4,FALSE),"")</f>
        <v/>
      </c>
      <c r="H757" s="4" t="str">
        <f>IFERROR(VLOOKUP(B757,infoTable__6[],4,FALSE),"")</f>
        <v/>
      </c>
      <c r="I757" s="4" t="str">
        <f>IFERROR(VLOOKUP(B757,infoTable__28[],4,FALSE),"")</f>
        <v/>
      </c>
      <c r="J757" s="4" t="str">
        <f>IFERROR(VLOOKUP(B757,infoTable__10[],4,FALSE),"")</f>
        <v/>
      </c>
      <c r="K757" s="4" t="str">
        <f>IFERROR(VLOOKUP(B757,infoTable__11[],4,FALSE),"")</f>
        <v/>
      </c>
      <c r="L757" s="4" t="str">
        <f>IFERROR(VLOOKUP(B757,infoTable__12[],4,FALSE),"")</f>
        <v/>
      </c>
      <c r="M757" s="4">
        <f>IFERROR(VLOOKUP(B757,infoTable__13[],4,FALSE),"")</f>
        <v>137321</v>
      </c>
      <c r="N757" s="4">
        <f>IFERROR(VLOOKUP(B757,infoTable__14[],4,FALSE),"")</f>
        <v>476798</v>
      </c>
      <c r="O757" s="4">
        <f>IFERROR(VLOOKUP(B757,infoTable__15[],4,FALSE),"")</f>
        <v>286967</v>
      </c>
      <c r="P757" s="4" t="str">
        <f>IFERROR(VLOOKUP(B757,infoTable__16[],4,FALSE),"")</f>
        <v/>
      </c>
    </row>
    <row r="758" spans="1:16" x14ac:dyDescent="0.55000000000000004">
      <c r="A758" t="s">
        <v>495</v>
      </c>
      <c r="B758" t="s">
        <v>496</v>
      </c>
      <c r="C758" s="4">
        <f>IFERROR(VLOOKUP(B758,infoTable10[],4,FALSE),"")</f>
        <v>1456263</v>
      </c>
      <c r="D758" s="4">
        <f>IFERROR(VLOOKUP(B758,infoTable__2[],4,FALSE),"")</f>
        <v>1798435</v>
      </c>
      <c r="E758" s="4">
        <f>IFERROR(VLOOKUP(B758,infoTable__3[],4,FALSE),"")</f>
        <v>1000929</v>
      </c>
      <c r="F758" s="4">
        <f>IFERROR(VLOOKUP(B758,infoTable__4[],4,FALSE),"")</f>
        <v>197846</v>
      </c>
      <c r="G758" s="4" t="str">
        <f>IFERROR(VLOOKUP(B758,infoTable[],4,FALSE),"")</f>
        <v/>
      </c>
      <c r="H758" s="4" t="str">
        <f>IFERROR(VLOOKUP(B758,infoTable__6[],4,FALSE),"")</f>
        <v/>
      </c>
      <c r="I758" s="4" t="str">
        <f>IFERROR(VLOOKUP(B758,infoTable__28[],4,FALSE),"")</f>
        <v/>
      </c>
      <c r="J758" s="4" t="str">
        <f>IFERROR(VLOOKUP(B758,infoTable__10[],4,FALSE),"")</f>
        <v/>
      </c>
      <c r="K758" s="4" t="str">
        <f>IFERROR(VLOOKUP(B758,infoTable__11[],4,FALSE),"")</f>
        <v/>
      </c>
      <c r="L758" s="4" t="str">
        <f>IFERROR(VLOOKUP(B758,infoTable__12[],4,FALSE),"")</f>
        <v/>
      </c>
      <c r="M758" s="4" t="str">
        <f>IFERROR(VLOOKUP(B758,infoTable__13[],4,FALSE),"")</f>
        <v/>
      </c>
      <c r="N758" s="4" t="str">
        <f>IFERROR(VLOOKUP(B758,infoTable__14[],4,FALSE),"")</f>
        <v/>
      </c>
      <c r="O758" s="4" t="str">
        <f>IFERROR(VLOOKUP(B758,infoTable__15[],4,FALSE),"")</f>
        <v/>
      </c>
      <c r="P758" s="4" t="str">
        <f>IFERROR(VLOOKUP(B758,infoTable__16[],4,FALSE),"")</f>
        <v/>
      </c>
    </row>
    <row r="759" spans="1:16" x14ac:dyDescent="0.55000000000000004">
      <c r="A759" t="s">
        <v>2169</v>
      </c>
      <c r="B759" t="s">
        <v>2170</v>
      </c>
      <c r="C759" s="4" t="str">
        <f>IFERROR(VLOOKUP(B759,infoTable10[],4,FALSE),"")</f>
        <v/>
      </c>
      <c r="D759" s="4" t="str">
        <f>IFERROR(VLOOKUP(B759,infoTable__2[],4,FALSE),"")</f>
        <v/>
      </c>
      <c r="E759" s="4" t="str">
        <f>IFERROR(VLOOKUP(B759,infoTable__3[],4,FALSE),"")</f>
        <v/>
      </c>
      <c r="F759" s="4" t="str">
        <f>IFERROR(VLOOKUP(B759,infoTable__4[],4,FALSE),"")</f>
        <v/>
      </c>
      <c r="G759" s="4" t="str">
        <f>IFERROR(VLOOKUP(B759,infoTable[],4,FALSE),"")</f>
        <v/>
      </c>
      <c r="H759" s="4" t="str">
        <f>IFERROR(VLOOKUP(B759,infoTable__6[],4,FALSE),"")</f>
        <v/>
      </c>
      <c r="I759" s="4" t="str">
        <f>IFERROR(VLOOKUP(B759,infoTable__28[],4,FALSE),"")</f>
        <v/>
      </c>
      <c r="J759" s="4" t="str">
        <f>IFERROR(VLOOKUP(B759,infoTable__10[],4,FALSE),"")</f>
        <v/>
      </c>
      <c r="K759" s="4" t="str">
        <f>IFERROR(VLOOKUP(B759,infoTable__11[],4,FALSE),"")</f>
        <v/>
      </c>
      <c r="L759" s="4">
        <f>IFERROR(VLOOKUP(B759,infoTable__12[],4,FALSE),"")</f>
        <v>442140</v>
      </c>
      <c r="M759" s="4">
        <f>IFERROR(VLOOKUP(B759,infoTable__13[],4,FALSE),"")</f>
        <v>443246</v>
      </c>
      <c r="N759" s="4">
        <f>IFERROR(VLOOKUP(B759,infoTable__14[],4,FALSE),"")</f>
        <v>672886</v>
      </c>
      <c r="O759" s="4">
        <f>IFERROR(VLOOKUP(B759,infoTable__15[],4,FALSE),"")</f>
        <v>466494</v>
      </c>
      <c r="P759" s="4" t="str">
        <f>IFERROR(VLOOKUP(B759,infoTable__16[],4,FALSE),"")</f>
        <v/>
      </c>
    </row>
    <row r="760" spans="1:16" x14ac:dyDescent="0.55000000000000004">
      <c r="A760" t="s">
        <v>1070</v>
      </c>
      <c r="B760" t="s">
        <v>1071</v>
      </c>
      <c r="C760" s="4" t="str">
        <f>IFERROR(VLOOKUP(B760,infoTable10[],4,FALSE),"")</f>
        <v/>
      </c>
      <c r="D760" s="4" t="str">
        <f>IFERROR(VLOOKUP(B760,infoTable__2[],4,FALSE),"")</f>
        <v/>
      </c>
      <c r="E760" s="4" t="str">
        <f>IFERROR(VLOOKUP(B760,infoTable__3[],4,FALSE),"")</f>
        <v/>
      </c>
      <c r="F760" s="4" t="str">
        <f>IFERROR(VLOOKUP(B760,infoTable__4[],4,FALSE),"")</f>
        <v/>
      </c>
      <c r="G760" s="4" t="str">
        <f>IFERROR(VLOOKUP(B760,infoTable[],4,FALSE),"")</f>
        <v/>
      </c>
      <c r="H760" s="4">
        <f>IFERROR(VLOOKUP(B760,infoTable__6[],4,FALSE),"")</f>
        <v>2625164</v>
      </c>
      <c r="I760" s="4" t="str">
        <f>IFERROR(VLOOKUP(B760,infoTable__28[],4,FALSE),"")</f>
        <v/>
      </c>
      <c r="J760" s="4" t="str">
        <f>IFERROR(VLOOKUP(B760,infoTable__10[],4,FALSE),"")</f>
        <v/>
      </c>
      <c r="K760" s="4" t="str">
        <f>IFERROR(VLOOKUP(B760,infoTable__11[],4,FALSE),"")</f>
        <v/>
      </c>
      <c r="L760" s="4" t="str">
        <f>IFERROR(VLOOKUP(B760,infoTable__12[],4,FALSE),"")</f>
        <v/>
      </c>
      <c r="M760" s="4" t="str">
        <f>IFERROR(VLOOKUP(B760,infoTable__13[],4,FALSE),"")</f>
        <v/>
      </c>
      <c r="N760" s="4">
        <f>IFERROR(VLOOKUP(B760,infoTable__14[],4,FALSE),"")</f>
        <v>325778</v>
      </c>
      <c r="O760" s="4" t="str">
        <f>IFERROR(VLOOKUP(B760,infoTable__15[],4,FALSE),"")</f>
        <v/>
      </c>
      <c r="P760" s="4">
        <f>IFERROR(VLOOKUP(B760,infoTable__16[],4,FALSE),"")</f>
        <v>353573</v>
      </c>
    </row>
    <row r="761" spans="1:16" x14ac:dyDescent="0.55000000000000004">
      <c r="A761" t="s">
        <v>903</v>
      </c>
      <c r="B761" t="s">
        <v>904</v>
      </c>
      <c r="C761" s="4" t="str">
        <f>IFERROR(VLOOKUP(B761,infoTable10[],4,FALSE),"")</f>
        <v/>
      </c>
      <c r="D761" s="4" t="str">
        <f>IFERROR(VLOOKUP(B761,infoTable__2[],4,FALSE),"")</f>
        <v/>
      </c>
      <c r="E761" s="4" t="str">
        <f>IFERROR(VLOOKUP(B761,infoTable__3[],4,FALSE),"")</f>
        <v/>
      </c>
      <c r="F761" s="4">
        <f>IFERROR(VLOOKUP(B761,infoTable__4[],4,FALSE),"")</f>
        <v>1397010</v>
      </c>
      <c r="G761" s="4" t="str">
        <f>IFERROR(VLOOKUP(B761,infoTable[],4,FALSE),"")</f>
        <v/>
      </c>
      <c r="H761" s="4" t="str">
        <f>IFERROR(VLOOKUP(B761,infoTable__6[],4,FALSE),"")</f>
        <v/>
      </c>
      <c r="I761" s="4" t="str">
        <f>IFERROR(VLOOKUP(B761,infoTable__28[],4,FALSE),"")</f>
        <v/>
      </c>
      <c r="J761" s="4" t="str">
        <f>IFERROR(VLOOKUP(B761,infoTable__10[],4,FALSE),"")</f>
        <v/>
      </c>
      <c r="K761" s="4" t="str">
        <f>IFERROR(VLOOKUP(B761,infoTable__11[],4,FALSE),"")</f>
        <v/>
      </c>
      <c r="L761" s="4" t="str">
        <f>IFERROR(VLOOKUP(B761,infoTable__12[],4,FALSE),"")</f>
        <v/>
      </c>
      <c r="M761" s="4" t="str">
        <f>IFERROR(VLOOKUP(B761,infoTable__13[],4,FALSE),"")</f>
        <v/>
      </c>
      <c r="N761" s="4" t="str">
        <f>IFERROR(VLOOKUP(B761,infoTable__14[],4,FALSE),"")</f>
        <v/>
      </c>
      <c r="O761" s="4" t="str">
        <f>IFERROR(VLOOKUP(B761,infoTable__15[],4,FALSE),"")</f>
        <v/>
      </c>
      <c r="P761" s="4">
        <f>IFERROR(VLOOKUP(B761,infoTable__16[],4,FALSE),"")</f>
        <v>1543972</v>
      </c>
    </row>
    <row r="762" spans="1:16" x14ac:dyDescent="0.55000000000000004">
      <c r="A762" t="s">
        <v>2163</v>
      </c>
      <c r="B762" t="s">
        <v>2164</v>
      </c>
      <c r="C762" s="4" t="str">
        <f>IFERROR(VLOOKUP(B762,infoTable10[],4,FALSE),"")</f>
        <v/>
      </c>
      <c r="D762" s="4" t="str">
        <f>IFERROR(VLOOKUP(B762,infoTable__2[],4,FALSE),"")</f>
        <v/>
      </c>
      <c r="E762" s="4" t="str">
        <f>IFERROR(VLOOKUP(B762,infoTable__3[],4,FALSE),"")</f>
        <v/>
      </c>
      <c r="F762" s="4" t="str">
        <f>IFERROR(VLOOKUP(B762,infoTable__4[],4,FALSE),"")</f>
        <v/>
      </c>
      <c r="G762" s="4" t="str">
        <f>IFERROR(VLOOKUP(B762,infoTable[],4,FALSE),"")</f>
        <v/>
      </c>
      <c r="H762" s="4" t="str">
        <f>IFERROR(VLOOKUP(B762,infoTable__6[],4,FALSE),"")</f>
        <v/>
      </c>
      <c r="I762" s="4" t="str">
        <f>IFERROR(VLOOKUP(B762,infoTable__28[],4,FALSE),"")</f>
        <v/>
      </c>
      <c r="J762" s="4" t="str">
        <f>IFERROR(VLOOKUP(B762,infoTable__10[],4,FALSE),"")</f>
        <v/>
      </c>
      <c r="K762" s="4" t="str">
        <f>IFERROR(VLOOKUP(B762,infoTable__11[],4,FALSE),"")</f>
        <v/>
      </c>
      <c r="L762" s="4">
        <f>IFERROR(VLOOKUP(B762,infoTable__12[],4,FALSE),"")</f>
        <v>296993</v>
      </c>
      <c r="M762" s="4" t="str">
        <f>IFERROR(VLOOKUP(B762,infoTable__13[],4,FALSE),"")</f>
        <v/>
      </c>
      <c r="N762" s="4" t="str">
        <f>IFERROR(VLOOKUP(B762,infoTable__14[],4,FALSE),"")</f>
        <v/>
      </c>
      <c r="O762" s="4" t="str">
        <f>IFERROR(VLOOKUP(B762,infoTable__15[],4,FALSE),"")</f>
        <v/>
      </c>
      <c r="P762" s="4" t="str">
        <f>IFERROR(VLOOKUP(B762,infoTable__16[],4,FALSE),"")</f>
        <v/>
      </c>
    </row>
    <row r="763" spans="1:16" x14ac:dyDescent="0.55000000000000004">
      <c r="A763" t="s">
        <v>1905</v>
      </c>
      <c r="B763" t="s">
        <v>1906</v>
      </c>
      <c r="C763" s="4" t="str">
        <f>IFERROR(VLOOKUP(B763,infoTable10[],4,FALSE),"")</f>
        <v/>
      </c>
      <c r="D763" s="4" t="str">
        <f>IFERROR(VLOOKUP(B763,infoTable__2[],4,FALSE),"")</f>
        <v/>
      </c>
      <c r="E763" s="4" t="str">
        <f>IFERROR(VLOOKUP(B763,infoTable__3[],4,FALSE),"")</f>
        <v/>
      </c>
      <c r="F763" s="4" t="str">
        <f>IFERROR(VLOOKUP(B763,infoTable__4[],4,FALSE),"")</f>
        <v/>
      </c>
      <c r="G763" s="4" t="str">
        <f>IFERROR(VLOOKUP(B763,infoTable[],4,FALSE),"")</f>
        <v/>
      </c>
      <c r="H763" s="4" t="str">
        <f>IFERROR(VLOOKUP(B763,infoTable__6[],4,FALSE),"")</f>
        <v/>
      </c>
      <c r="I763" s="4" t="str">
        <f>IFERROR(VLOOKUP(B763,infoTable__28[],4,FALSE),"")</f>
        <v/>
      </c>
      <c r="J763" s="4" t="str">
        <f>IFERROR(VLOOKUP(B763,infoTable__10[],4,FALSE),"")</f>
        <v/>
      </c>
      <c r="K763" s="4">
        <f>IFERROR(VLOOKUP(B763,infoTable__11[],4,FALSE),"")</f>
        <v>1505769</v>
      </c>
      <c r="L763" s="4">
        <f>IFERROR(VLOOKUP(B763,infoTable__12[],4,FALSE),"")</f>
        <v>3889066</v>
      </c>
      <c r="M763" s="4">
        <f>IFERROR(VLOOKUP(B763,infoTable__13[],4,FALSE),"")</f>
        <v>2276160</v>
      </c>
      <c r="N763" s="4">
        <f>IFERROR(VLOOKUP(B763,infoTable__14[],4,FALSE),"")</f>
        <v>669117</v>
      </c>
      <c r="O763" s="4">
        <f>IFERROR(VLOOKUP(B763,infoTable__15[],4,FALSE),"")</f>
        <v>259240</v>
      </c>
      <c r="P763" s="4" t="str">
        <f>IFERROR(VLOOKUP(B763,infoTable__16[],4,FALSE),"")</f>
        <v/>
      </c>
    </row>
    <row r="764" spans="1:16" x14ac:dyDescent="0.55000000000000004">
      <c r="A764" t="s">
        <v>1275</v>
      </c>
      <c r="B764" t="s">
        <v>1276</v>
      </c>
      <c r="C764" s="4" t="str">
        <f>IFERROR(VLOOKUP(B764,infoTable10[],4,FALSE),"")</f>
        <v/>
      </c>
      <c r="D764" s="4" t="str">
        <f>IFERROR(VLOOKUP(B764,infoTable__2[],4,FALSE),"")</f>
        <v/>
      </c>
      <c r="E764" s="4" t="str">
        <f>IFERROR(VLOOKUP(B764,infoTable__3[],4,FALSE),"")</f>
        <v/>
      </c>
      <c r="F764" s="4" t="str">
        <f>IFERROR(VLOOKUP(B764,infoTable__4[],4,FALSE),"")</f>
        <v/>
      </c>
      <c r="G764" s="4" t="str">
        <f>IFERROR(VLOOKUP(B764,infoTable[],4,FALSE),"")</f>
        <v/>
      </c>
      <c r="H764" s="4" t="str">
        <f>IFERROR(VLOOKUP(B764,infoTable__6[],4,FALSE),"")</f>
        <v/>
      </c>
      <c r="I764" s="4">
        <f>IFERROR(VLOOKUP(B764,infoTable__28[],4,FALSE),"")</f>
        <v>891751</v>
      </c>
      <c r="J764" s="4" t="str">
        <f>IFERROR(VLOOKUP(B764,infoTable__10[],4,FALSE),"")</f>
        <v/>
      </c>
      <c r="K764" s="4" t="str">
        <f>IFERROR(VLOOKUP(B764,infoTable__11[],4,FALSE),"")</f>
        <v/>
      </c>
      <c r="L764" s="4" t="str">
        <f>IFERROR(VLOOKUP(B764,infoTable__12[],4,FALSE),"")</f>
        <v/>
      </c>
      <c r="M764" s="4" t="str">
        <f>IFERROR(VLOOKUP(B764,infoTable__13[],4,FALSE),"")</f>
        <v/>
      </c>
      <c r="N764" s="4" t="str">
        <f>IFERROR(VLOOKUP(B764,infoTable__14[],4,FALSE),"")</f>
        <v/>
      </c>
      <c r="O764" s="4" t="str">
        <f>IFERROR(VLOOKUP(B764,infoTable__15[],4,FALSE),"")</f>
        <v/>
      </c>
      <c r="P764" s="4" t="str">
        <f>IFERROR(VLOOKUP(B764,infoTable__16[],4,FALSE),"")</f>
        <v/>
      </c>
    </row>
    <row r="765" spans="1:16" x14ac:dyDescent="0.55000000000000004">
      <c r="A765" t="s">
        <v>1094</v>
      </c>
      <c r="B765" t="s">
        <v>1095</v>
      </c>
      <c r="C765" s="4" t="str">
        <f>IFERROR(VLOOKUP(B765,infoTable10[],4,FALSE),"")</f>
        <v/>
      </c>
      <c r="D765" s="4" t="str">
        <f>IFERROR(VLOOKUP(B765,infoTable__2[],4,FALSE),"")</f>
        <v/>
      </c>
      <c r="E765" s="4" t="str">
        <f>IFERROR(VLOOKUP(B765,infoTable__3[],4,FALSE),"")</f>
        <v/>
      </c>
      <c r="F765" s="4" t="str">
        <f>IFERROR(VLOOKUP(B765,infoTable__4[],4,FALSE),"")</f>
        <v/>
      </c>
      <c r="G765" s="4" t="str">
        <f>IFERROR(VLOOKUP(B765,infoTable[],4,FALSE),"")</f>
        <v/>
      </c>
      <c r="H765" s="4">
        <f>IFERROR(VLOOKUP(B765,infoTable__6[],4,FALSE),"")</f>
        <v>697563</v>
      </c>
      <c r="I765" s="4" t="str">
        <f>IFERROR(VLOOKUP(B765,infoTable__28[],4,FALSE),"")</f>
        <v/>
      </c>
      <c r="J765" s="4" t="str">
        <f>IFERROR(VLOOKUP(B765,infoTable__10[],4,FALSE),"")</f>
        <v/>
      </c>
      <c r="K765" s="4" t="str">
        <f>IFERROR(VLOOKUP(B765,infoTable__11[],4,FALSE),"")</f>
        <v/>
      </c>
      <c r="L765" s="4" t="str">
        <f>IFERROR(VLOOKUP(B765,infoTable__12[],4,FALSE),"")</f>
        <v/>
      </c>
      <c r="M765" s="4" t="str">
        <f>IFERROR(VLOOKUP(B765,infoTable__13[],4,FALSE),"")</f>
        <v/>
      </c>
      <c r="N765" s="4" t="str">
        <f>IFERROR(VLOOKUP(B765,infoTable__14[],4,FALSE),"")</f>
        <v/>
      </c>
      <c r="O765" s="4" t="str">
        <f>IFERROR(VLOOKUP(B765,infoTable__15[],4,FALSE),"")</f>
        <v/>
      </c>
      <c r="P765" s="4">
        <f>IFERROR(VLOOKUP(B765,infoTable__16[],4,FALSE),"")</f>
        <v>1789805</v>
      </c>
    </row>
    <row r="766" spans="1:16" x14ac:dyDescent="0.55000000000000004">
      <c r="A766" t="s">
        <v>3561</v>
      </c>
      <c r="B766" t="s">
        <v>3562</v>
      </c>
      <c r="C766" s="4" t="str">
        <f>IFERROR(VLOOKUP(B766,infoTable10[],4,FALSE),"")</f>
        <v/>
      </c>
      <c r="D766" s="4" t="str">
        <f>IFERROR(VLOOKUP(B766,infoTable__2[],4,FALSE),"")</f>
        <v/>
      </c>
      <c r="E766" s="4" t="str">
        <f>IFERROR(VLOOKUP(B766,infoTable__3[],4,FALSE),"")</f>
        <v/>
      </c>
      <c r="F766" s="4" t="str">
        <f>IFERROR(VLOOKUP(B766,infoTable__4[],4,FALSE),"")</f>
        <v/>
      </c>
      <c r="G766" s="4" t="str">
        <f>IFERROR(VLOOKUP(B766,infoTable[],4,FALSE),"")</f>
        <v/>
      </c>
      <c r="H766" s="4" t="str">
        <f>IFERROR(VLOOKUP(B766,infoTable__6[],4,FALSE),"")</f>
        <v/>
      </c>
      <c r="I766" s="4" t="str">
        <f>IFERROR(VLOOKUP(B766,infoTable__28[],4,FALSE),"")</f>
        <v/>
      </c>
      <c r="J766" s="4" t="str">
        <f>IFERROR(VLOOKUP(B766,infoTable__10[],4,FALSE),"")</f>
        <v/>
      </c>
      <c r="K766" s="4" t="str">
        <f>IFERROR(VLOOKUP(B766,infoTable__11[],4,FALSE),"")</f>
        <v/>
      </c>
      <c r="L766" s="4" t="str">
        <f>IFERROR(VLOOKUP(B766,infoTable__12[],4,FALSE),"")</f>
        <v/>
      </c>
      <c r="M766" s="4" t="str">
        <f>IFERROR(VLOOKUP(B766,infoTable__13[],4,FALSE),"")</f>
        <v/>
      </c>
      <c r="N766" s="4" t="str">
        <f>IFERROR(VLOOKUP(B766,infoTable__14[],4,FALSE),"")</f>
        <v/>
      </c>
      <c r="O766" s="4" t="str">
        <f>IFERROR(VLOOKUP(B766,infoTable__15[],4,FALSE),"")</f>
        <v/>
      </c>
      <c r="P766" s="4">
        <f>IFERROR(VLOOKUP(B766,infoTable__16[],4,FALSE),"")</f>
        <v>913965</v>
      </c>
    </row>
    <row r="767" spans="1:16" x14ac:dyDescent="0.55000000000000004">
      <c r="A767" t="s">
        <v>1643</v>
      </c>
      <c r="B767" t="s">
        <v>1644</v>
      </c>
      <c r="C767" s="4" t="str">
        <f>IFERROR(VLOOKUP(B767,infoTable10[],4,FALSE),"")</f>
        <v/>
      </c>
      <c r="D767" s="4" t="str">
        <f>IFERROR(VLOOKUP(B767,infoTable__2[],4,FALSE),"")</f>
        <v/>
      </c>
      <c r="E767" s="4" t="str">
        <f>IFERROR(VLOOKUP(B767,infoTable__3[],4,FALSE),"")</f>
        <v/>
      </c>
      <c r="F767" s="4" t="str">
        <f>IFERROR(VLOOKUP(B767,infoTable__4[],4,FALSE),"")</f>
        <v/>
      </c>
      <c r="G767" s="4" t="str">
        <f>IFERROR(VLOOKUP(B767,infoTable[],4,FALSE),"")</f>
        <v/>
      </c>
      <c r="H767" s="4" t="str">
        <f>IFERROR(VLOOKUP(B767,infoTable__6[],4,FALSE),"")</f>
        <v/>
      </c>
      <c r="I767" s="4" t="str">
        <f>IFERROR(VLOOKUP(B767,infoTable__28[],4,FALSE),"")</f>
        <v/>
      </c>
      <c r="J767" s="4">
        <f>IFERROR(VLOOKUP(B767,infoTable__10[],4,FALSE),"")</f>
        <v>447595</v>
      </c>
      <c r="K767" s="4" t="str">
        <f>IFERROR(VLOOKUP(B767,infoTable__11[],4,FALSE),"")</f>
        <v/>
      </c>
      <c r="L767" s="4" t="str">
        <f>IFERROR(VLOOKUP(B767,infoTable__12[],4,FALSE),"")</f>
        <v/>
      </c>
      <c r="M767" s="4" t="str">
        <f>IFERROR(VLOOKUP(B767,infoTable__13[],4,FALSE),"")</f>
        <v/>
      </c>
      <c r="N767" s="4" t="str">
        <f>IFERROR(VLOOKUP(B767,infoTable__14[],4,FALSE),"")</f>
        <v/>
      </c>
      <c r="O767" s="4" t="str">
        <f>IFERROR(VLOOKUP(B767,infoTable__15[],4,FALSE),"")</f>
        <v/>
      </c>
      <c r="P767" s="4" t="str">
        <f>IFERROR(VLOOKUP(B767,infoTable__16[],4,FALSE),"")</f>
        <v/>
      </c>
    </row>
    <row r="768" spans="1:16" x14ac:dyDescent="0.55000000000000004">
      <c r="A768" t="s">
        <v>740</v>
      </c>
      <c r="B768" t="s">
        <v>741</v>
      </c>
      <c r="C768" s="4" t="str">
        <f>IFERROR(VLOOKUP(B768,infoTable10[],4,FALSE),"")</f>
        <v/>
      </c>
      <c r="D768" s="4" t="str">
        <f>IFERROR(VLOOKUP(B768,infoTable__2[],4,FALSE),"")</f>
        <v/>
      </c>
      <c r="E768" s="4">
        <f>IFERROR(VLOOKUP(B768,infoTable__3[],4,FALSE),"")</f>
        <v>789976</v>
      </c>
      <c r="F768" s="4" t="str">
        <f>IFERROR(VLOOKUP(B768,infoTable__4[],4,FALSE),"")</f>
        <v/>
      </c>
      <c r="G768" s="4" t="str">
        <f>IFERROR(VLOOKUP(B768,infoTable[],4,FALSE),"")</f>
        <v/>
      </c>
      <c r="H768" s="4" t="str">
        <f>IFERROR(VLOOKUP(B768,infoTable__6[],4,FALSE),"")</f>
        <v/>
      </c>
      <c r="I768" s="4" t="str">
        <f>IFERROR(VLOOKUP(B768,infoTable__28[],4,FALSE),"")</f>
        <v/>
      </c>
      <c r="J768" s="4" t="str">
        <f>IFERROR(VLOOKUP(B768,infoTable__10[],4,FALSE),"")</f>
        <v/>
      </c>
      <c r="K768" s="4" t="str">
        <f>IFERROR(VLOOKUP(B768,infoTable__11[],4,FALSE),"")</f>
        <v/>
      </c>
      <c r="L768" s="4" t="str">
        <f>IFERROR(VLOOKUP(B768,infoTable__12[],4,FALSE),"")</f>
        <v/>
      </c>
      <c r="M768" s="4" t="str">
        <f>IFERROR(VLOOKUP(B768,infoTable__13[],4,FALSE),"")</f>
        <v/>
      </c>
      <c r="N768" s="4" t="str">
        <f>IFERROR(VLOOKUP(B768,infoTable__14[],4,FALSE),"")</f>
        <v/>
      </c>
      <c r="O768" s="4" t="str">
        <f>IFERROR(VLOOKUP(B768,infoTable__15[],4,FALSE),"")</f>
        <v/>
      </c>
      <c r="P768" s="4" t="str">
        <f>IFERROR(VLOOKUP(B768,infoTable__16[],4,FALSE),"")</f>
        <v/>
      </c>
    </row>
    <row r="769" spans="1:16" x14ac:dyDescent="0.55000000000000004">
      <c r="A769" t="s">
        <v>2971</v>
      </c>
      <c r="B769" t="s">
        <v>2972</v>
      </c>
      <c r="C769" s="4" t="str">
        <f>IFERROR(VLOOKUP(B769,infoTable10[],4,FALSE),"")</f>
        <v/>
      </c>
      <c r="D769" s="4" t="str">
        <f>IFERROR(VLOOKUP(B769,infoTable__2[],4,FALSE),"")</f>
        <v/>
      </c>
      <c r="E769" s="4" t="str">
        <f>IFERROR(VLOOKUP(B769,infoTable__3[],4,FALSE),"")</f>
        <v/>
      </c>
      <c r="F769" s="4" t="str">
        <f>IFERROR(VLOOKUP(B769,infoTable__4[],4,FALSE),"")</f>
        <v/>
      </c>
      <c r="G769" s="4" t="str">
        <f>IFERROR(VLOOKUP(B769,infoTable[],4,FALSE),"")</f>
        <v/>
      </c>
      <c r="H769" s="4" t="str">
        <f>IFERROR(VLOOKUP(B769,infoTable__6[],4,FALSE),"")</f>
        <v/>
      </c>
      <c r="I769" s="4" t="str">
        <f>IFERROR(VLOOKUP(B769,infoTable__28[],4,FALSE),"")</f>
        <v/>
      </c>
      <c r="J769" s="4" t="str">
        <f>IFERROR(VLOOKUP(B769,infoTable__10[],4,FALSE),"")</f>
        <v/>
      </c>
      <c r="K769" s="4" t="str">
        <f>IFERROR(VLOOKUP(B769,infoTable__11[],4,FALSE),"")</f>
        <v/>
      </c>
      <c r="L769" s="4" t="str">
        <f>IFERROR(VLOOKUP(B769,infoTable__12[],4,FALSE),"")</f>
        <v/>
      </c>
      <c r="M769" s="4" t="str">
        <f>IFERROR(VLOOKUP(B769,infoTable__13[],4,FALSE),"")</f>
        <v/>
      </c>
      <c r="N769" s="4" t="str">
        <f>IFERROR(VLOOKUP(B769,infoTable__14[],4,FALSE),"")</f>
        <v/>
      </c>
      <c r="O769" s="4">
        <f>IFERROR(VLOOKUP(B769,infoTable__15[],4,FALSE),"")</f>
        <v>788928</v>
      </c>
      <c r="P769" s="4" t="str">
        <f>IFERROR(VLOOKUP(B769,infoTable__16[],4,FALSE),"")</f>
        <v/>
      </c>
    </row>
    <row r="770" spans="1:16" x14ac:dyDescent="0.55000000000000004">
      <c r="A770" t="s">
        <v>1026</v>
      </c>
      <c r="B770" t="s">
        <v>1027</v>
      </c>
      <c r="C770" s="4" t="str">
        <f>IFERROR(VLOOKUP(B770,infoTable10[],4,FALSE),"")</f>
        <v/>
      </c>
      <c r="D770" s="4" t="str">
        <f>IFERROR(VLOOKUP(B770,infoTable__2[],4,FALSE),"")</f>
        <v/>
      </c>
      <c r="E770" s="4" t="str">
        <f>IFERROR(VLOOKUP(B770,infoTable__3[],4,FALSE),"")</f>
        <v/>
      </c>
      <c r="F770" s="4" t="str">
        <f>IFERROR(VLOOKUP(B770,infoTable__4[],4,FALSE),"")</f>
        <v/>
      </c>
      <c r="G770" s="4" t="str">
        <f>IFERROR(VLOOKUP(B770,infoTable[],4,FALSE),"")</f>
        <v/>
      </c>
      <c r="H770" s="4">
        <f>IFERROR(VLOOKUP(B770,infoTable__6[],4,FALSE),"")</f>
        <v>223570</v>
      </c>
      <c r="I770" s="4" t="str">
        <f>IFERROR(VLOOKUP(B770,infoTable__28[],4,FALSE),"")</f>
        <v/>
      </c>
      <c r="J770" s="4">
        <f>IFERROR(VLOOKUP(B770,infoTable__10[],4,FALSE),"")</f>
        <v>437554</v>
      </c>
      <c r="K770" s="4" t="str">
        <f>IFERROR(VLOOKUP(B770,infoTable__11[],4,FALSE),"")</f>
        <v/>
      </c>
      <c r="L770" s="4" t="str">
        <f>IFERROR(VLOOKUP(B770,infoTable__12[],4,FALSE),"")</f>
        <v/>
      </c>
      <c r="M770" s="4" t="str">
        <f>IFERROR(VLOOKUP(B770,infoTable__13[],4,FALSE),"")</f>
        <v/>
      </c>
      <c r="N770" s="4" t="str">
        <f>IFERROR(VLOOKUP(B770,infoTable__14[],4,FALSE),"")</f>
        <v/>
      </c>
      <c r="O770" s="4" t="str">
        <f>IFERROR(VLOOKUP(B770,infoTable__15[],4,FALSE),"")</f>
        <v/>
      </c>
      <c r="P770" s="4" t="str">
        <f>IFERROR(VLOOKUP(B770,infoTable__16[],4,FALSE),"")</f>
        <v/>
      </c>
    </row>
    <row r="771" spans="1:16" x14ac:dyDescent="0.55000000000000004">
      <c r="A771" t="s">
        <v>1742</v>
      </c>
      <c r="B771" t="s">
        <v>1743</v>
      </c>
      <c r="C771" s="4" t="str">
        <f>IFERROR(VLOOKUP(B771,infoTable10[],4,FALSE),"")</f>
        <v/>
      </c>
      <c r="D771" s="4" t="str">
        <f>IFERROR(VLOOKUP(B771,infoTable__2[],4,FALSE),"")</f>
        <v/>
      </c>
      <c r="E771" s="4" t="str">
        <f>IFERROR(VLOOKUP(B771,infoTable__3[],4,FALSE),"")</f>
        <v/>
      </c>
      <c r="F771" s="4" t="str">
        <f>IFERROR(VLOOKUP(B771,infoTable__4[],4,FALSE),"")</f>
        <v/>
      </c>
      <c r="G771" s="4" t="str">
        <f>IFERROR(VLOOKUP(B771,infoTable[],4,FALSE),"")</f>
        <v/>
      </c>
      <c r="H771" s="4" t="str">
        <f>IFERROR(VLOOKUP(B771,infoTable__6[],4,FALSE),"")</f>
        <v/>
      </c>
      <c r="I771" s="4" t="str">
        <f>IFERROR(VLOOKUP(B771,infoTable__28[],4,FALSE),"")</f>
        <v/>
      </c>
      <c r="J771" s="4">
        <f>IFERROR(VLOOKUP(B771,infoTable__10[],4,FALSE),"")</f>
        <v>1000438</v>
      </c>
      <c r="K771" s="4">
        <f>IFERROR(VLOOKUP(B771,infoTable__11[],4,FALSE),"")</f>
        <v>2240482</v>
      </c>
      <c r="L771" s="4" t="str">
        <f>IFERROR(VLOOKUP(B771,infoTable__12[],4,FALSE),"")</f>
        <v/>
      </c>
      <c r="M771" s="4" t="str">
        <f>IFERROR(VLOOKUP(B771,infoTable__13[],4,FALSE),"")</f>
        <v/>
      </c>
      <c r="N771" s="4" t="str">
        <f>IFERROR(VLOOKUP(B771,infoTable__14[],4,FALSE),"")</f>
        <v/>
      </c>
      <c r="O771" s="4" t="str">
        <f>IFERROR(VLOOKUP(B771,infoTable__15[],4,FALSE),"")</f>
        <v/>
      </c>
      <c r="P771" s="4" t="str">
        <f>IFERROR(VLOOKUP(B771,infoTable__16[],4,FALSE),"")</f>
        <v/>
      </c>
    </row>
    <row r="772" spans="1:16" x14ac:dyDescent="0.55000000000000004">
      <c r="A772" t="s">
        <v>3179</v>
      </c>
      <c r="B772" t="s">
        <v>3180</v>
      </c>
      <c r="C772" s="4" t="str">
        <f>IFERROR(VLOOKUP(B772,infoTable10[],4,FALSE),"")</f>
        <v/>
      </c>
      <c r="D772" s="4" t="str">
        <f>IFERROR(VLOOKUP(B772,infoTable__2[],4,FALSE),"")</f>
        <v/>
      </c>
      <c r="E772" s="4" t="str">
        <f>IFERROR(VLOOKUP(B772,infoTable__3[],4,FALSE),"")</f>
        <v/>
      </c>
      <c r="F772" s="4" t="str">
        <f>IFERROR(VLOOKUP(B772,infoTable__4[],4,FALSE),"")</f>
        <v/>
      </c>
      <c r="G772" s="4" t="str">
        <f>IFERROR(VLOOKUP(B772,infoTable[],4,FALSE),"")</f>
        <v/>
      </c>
      <c r="H772" s="4" t="str">
        <f>IFERROR(VLOOKUP(B772,infoTable__6[],4,FALSE),"")</f>
        <v/>
      </c>
      <c r="I772" s="4" t="str">
        <f>IFERROR(VLOOKUP(B772,infoTable__28[],4,FALSE),"")</f>
        <v/>
      </c>
      <c r="J772" s="4" t="str">
        <f>IFERROR(VLOOKUP(B772,infoTable__10[],4,FALSE),"")</f>
        <v/>
      </c>
      <c r="K772" s="4" t="str">
        <f>IFERROR(VLOOKUP(B772,infoTable__11[],4,FALSE),"")</f>
        <v/>
      </c>
      <c r="L772" s="4" t="str">
        <f>IFERROR(VLOOKUP(B772,infoTable__12[],4,FALSE),"")</f>
        <v/>
      </c>
      <c r="M772" s="4" t="str">
        <f>IFERROR(VLOOKUP(B772,infoTable__13[],4,FALSE),"")</f>
        <v/>
      </c>
      <c r="N772" s="4" t="str">
        <f>IFERROR(VLOOKUP(B772,infoTable__14[],4,FALSE),"")</f>
        <v/>
      </c>
      <c r="O772" s="4">
        <f>IFERROR(VLOOKUP(B772,infoTable__15[],4,FALSE),"")</f>
        <v>327698</v>
      </c>
      <c r="P772" s="4">
        <f>IFERROR(VLOOKUP(B772,infoTable__16[],4,FALSE),"")</f>
        <v>1686694</v>
      </c>
    </row>
    <row r="773" spans="1:16" x14ac:dyDescent="0.55000000000000004">
      <c r="A773" t="s">
        <v>2777</v>
      </c>
      <c r="B773" t="s">
        <v>2776</v>
      </c>
      <c r="C773" s="4" t="str">
        <f>IFERROR(VLOOKUP(B773,infoTable10[],4,FALSE),"")</f>
        <v/>
      </c>
      <c r="D773" s="4" t="str">
        <f>IFERROR(VLOOKUP(B773,infoTable__2[],4,FALSE),"")</f>
        <v/>
      </c>
      <c r="E773" s="4" t="str">
        <f>IFERROR(VLOOKUP(B773,infoTable__3[],4,FALSE),"")</f>
        <v/>
      </c>
      <c r="F773" s="4" t="str">
        <f>IFERROR(VLOOKUP(B773,infoTable__4[],4,FALSE),"")</f>
        <v/>
      </c>
      <c r="G773" s="4" t="str">
        <f>IFERROR(VLOOKUP(B773,infoTable[],4,FALSE),"")</f>
        <v/>
      </c>
      <c r="H773" s="4" t="str">
        <f>IFERROR(VLOOKUP(B773,infoTable__6[],4,FALSE),"")</f>
        <v/>
      </c>
      <c r="I773" s="4" t="str">
        <f>IFERROR(VLOOKUP(B773,infoTable__28[],4,FALSE),"")</f>
        <v/>
      </c>
      <c r="J773" s="4" t="str">
        <f>IFERROR(VLOOKUP(B773,infoTable__10[],4,FALSE),"")</f>
        <v/>
      </c>
      <c r="K773" s="4" t="str">
        <f>IFERROR(VLOOKUP(B773,infoTable__11[],4,FALSE),"")</f>
        <v/>
      </c>
      <c r="L773" s="4" t="str">
        <f>IFERROR(VLOOKUP(B773,infoTable__12[],4,FALSE),"")</f>
        <v/>
      </c>
      <c r="M773" s="4" t="str">
        <f>IFERROR(VLOOKUP(B773,infoTable__13[],4,FALSE),"")</f>
        <v/>
      </c>
      <c r="N773" s="4">
        <f>IFERROR(VLOOKUP(B773,infoTable__14[],4,FALSE),"")</f>
        <v>150647</v>
      </c>
      <c r="O773" s="4">
        <f>IFERROR(VLOOKUP(B773,infoTable__15[],4,FALSE),"")</f>
        <v>134612</v>
      </c>
      <c r="P773" s="4" t="str">
        <f>IFERROR(VLOOKUP(B773,infoTable__16[],4,FALSE),"")</f>
        <v/>
      </c>
    </row>
    <row r="774" spans="1:16" x14ac:dyDescent="0.55000000000000004">
      <c r="A774" t="s">
        <v>1851</v>
      </c>
      <c r="B774" t="s">
        <v>1852</v>
      </c>
      <c r="C774" s="4" t="str">
        <f>IFERROR(VLOOKUP(B774,infoTable10[],4,FALSE),"")</f>
        <v/>
      </c>
      <c r="D774" s="4" t="str">
        <f>IFERROR(VLOOKUP(B774,infoTable__2[],4,FALSE),"")</f>
        <v/>
      </c>
      <c r="E774" s="4" t="str">
        <f>IFERROR(VLOOKUP(B774,infoTable__3[],4,FALSE),"")</f>
        <v/>
      </c>
      <c r="F774" s="4" t="str">
        <f>IFERROR(VLOOKUP(B774,infoTable__4[],4,FALSE),"")</f>
        <v/>
      </c>
      <c r="G774" s="4" t="str">
        <f>IFERROR(VLOOKUP(B774,infoTable[],4,FALSE),"")</f>
        <v/>
      </c>
      <c r="H774" s="4" t="str">
        <f>IFERROR(VLOOKUP(B774,infoTable__6[],4,FALSE),"")</f>
        <v/>
      </c>
      <c r="I774" s="4" t="str">
        <f>IFERROR(VLOOKUP(B774,infoTable__28[],4,FALSE),"")</f>
        <v/>
      </c>
      <c r="J774" s="4" t="str">
        <f>IFERROR(VLOOKUP(B774,infoTable__10[],4,FALSE),"")</f>
        <v/>
      </c>
      <c r="K774" s="4">
        <f>IFERROR(VLOOKUP(B774,infoTable__11[],4,FALSE),"")</f>
        <v>490476</v>
      </c>
      <c r="L774" s="4">
        <f>IFERROR(VLOOKUP(B774,infoTable__12[],4,FALSE),"")</f>
        <v>1053127</v>
      </c>
      <c r="M774" s="4" t="str">
        <f>IFERROR(VLOOKUP(B774,infoTable__13[],4,FALSE),"")</f>
        <v/>
      </c>
      <c r="N774" s="4" t="str">
        <f>IFERROR(VLOOKUP(B774,infoTable__14[],4,FALSE),"")</f>
        <v/>
      </c>
      <c r="O774" s="4">
        <f>IFERROR(VLOOKUP(B774,infoTable__15[],4,FALSE),"")</f>
        <v>702520</v>
      </c>
      <c r="P774" s="4" t="str">
        <f>IFERROR(VLOOKUP(B774,infoTable__16[],4,FALSE),"")</f>
        <v/>
      </c>
    </row>
    <row r="775" spans="1:16" x14ac:dyDescent="0.55000000000000004">
      <c r="A775" t="s">
        <v>1762</v>
      </c>
      <c r="B775" t="s">
        <v>1763</v>
      </c>
      <c r="C775" s="4" t="str">
        <f>IFERROR(VLOOKUP(B775,infoTable10[],4,FALSE),"")</f>
        <v/>
      </c>
      <c r="D775" s="4" t="str">
        <f>IFERROR(VLOOKUP(B775,infoTable__2[],4,FALSE),"")</f>
        <v/>
      </c>
      <c r="E775" s="4" t="str">
        <f>IFERROR(VLOOKUP(B775,infoTable__3[],4,FALSE),"")</f>
        <v/>
      </c>
      <c r="F775" s="4" t="str">
        <f>IFERROR(VLOOKUP(B775,infoTable__4[],4,FALSE),"")</f>
        <v/>
      </c>
      <c r="G775" s="4" t="str">
        <f>IFERROR(VLOOKUP(B775,infoTable[],4,FALSE),"")</f>
        <v/>
      </c>
      <c r="H775" s="4" t="str">
        <f>IFERROR(VLOOKUP(B775,infoTable__6[],4,FALSE),"")</f>
        <v/>
      </c>
      <c r="I775" s="4" t="str">
        <f>IFERROR(VLOOKUP(B775,infoTable__28[],4,FALSE),"")</f>
        <v/>
      </c>
      <c r="J775" s="4">
        <f>IFERROR(VLOOKUP(B775,infoTable__10[],4,FALSE),"")</f>
        <v>529352</v>
      </c>
      <c r="K775" s="4" t="str">
        <f>IFERROR(VLOOKUP(B775,infoTable__11[],4,FALSE),"")</f>
        <v/>
      </c>
      <c r="L775" s="4" t="str">
        <f>IFERROR(VLOOKUP(B775,infoTable__12[],4,FALSE),"")</f>
        <v/>
      </c>
      <c r="M775" s="4" t="str">
        <f>IFERROR(VLOOKUP(B775,infoTable__13[],4,FALSE),"")</f>
        <v/>
      </c>
      <c r="N775" s="4" t="str">
        <f>IFERROR(VLOOKUP(B775,infoTable__14[],4,FALSE),"")</f>
        <v/>
      </c>
      <c r="O775" s="4" t="str">
        <f>IFERROR(VLOOKUP(B775,infoTable__15[],4,FALSE),"")</f>
        <v/>
      </c>
      <c r="P775" s="4" t="str">
        <f>IFERROR(VLOOKUP(B775,infoTable__16[],4,FALSE),"")</f>
        <v/>
      </c>
    </row>
    <row r="776" spans="1:16" x14ac:dyDescent="0.55000000000000004">
      <c r="A776" t="s">
        <v>3317</v>
      </c>
      <c r="B776" t="s">
        <v>3319</v>
      </c>
      <c r="C776" s="4" t="str">
        <f>IFERROR(VLOOKUP(B776,infoTable10[],4,FALSE),"")</f>
        <v/>
      </c>
      <c r="D776" s="4" t="str">
        <f>IFERROR(VLOOKUP(B776,infoTable__2[],4,FALSE),"")</f>
        <v/>
      </c>
      <c r="E776" s="4" t="str">
        <f>IFERROR(VLOOKUP(B776,infoTable__3[],4,FALSE),"")</f>
        <v/>
      </c>
      <c r="F776" s="4" t="str">
        <f>IFERROR(VLOOKUP(B776,infoTable__4[],4,FALSE),"")</f>
        <v/>
      </c>
      <c r="G776" s="4" t="str">
        <f>IFERROR(VLOOKUP(B776,infoTable[],4,FALSE),"")</f>
        <v/>
      </c>
      <c r="H776" s="4" t="str">
        <f>IFERROR(VLOOKUP(B776,infoTable__6[],4,FALSE),"")</f>
        <v/>
      </c>
      <c r="I776" s="4" t="str">
        <f>IFERROR(VLOOKUP(B776,infoTable__28[],4,FALSE),"")</f>
        <v/>
      </c>
      <c r="J776" s="4" t="str">
        <f>IFERROR(VLOOKUP(B776,infoTable__10[],4,FALSE),"")</f>
        <v/>
      </c>
      <c r="K776" s="4" t="str">
        <f>IFERROR(VLOOKUP(B776,infoTable__11[],4,FALSE),"")</f>
        <v/>
      </c>
      <c r="L776" s="4" t="str">
        <f>IFERROR(VLOOKUP(B776,infoTable__12[],4,FALSE),"")</f>
        <v/>
      </c>
      <c r="M776" s="4" t="str">
        <f>IFERROR(VLOOKUP(B776,infoTable__13[],4,FALSE),"")</f>
        <v/>
      </c>
      <c r="N776" s="4" t="str">
        <f>IFERROR(VLOOKUP(B776,infoTable__14[],4,FALSE),"")</f>
        <v/>
      </c>
      <c r="O776" s="4" t="str">
        <f>IFERROR(VLOOKUP(B776,infoTable__15[],4,FALSE),"")</f>
        <v/>
      </c>
      <c r="P776" s="4">
        <f>IFERROR(VLOOKUP(B776,infoTable__16[],4,FALSE),"")</f>
        <v>538736</v>
      </c>
    </row>
    <row r="777" spans="1:16" x14ac:dyDescent="0.55000000000000004">
      <c r="A777" t="s">
        <v>2078</v>
      </c>
      <c r="B777" t="s">
        <v>2079</v>
      </c>
      <c r="C777" s="4" t="str">
        <f>IFERROR(VLOOKUP(B777,infoTable10[],4,FALSE),"")</f>
        <v/>
      </c>
      <c r="D777" s="4" t="str">
        <f>IFERROR(VLOOKUP(B777,infoTable__2[],4,FALSE),"")</f>
        <v/>
      </c>
      <c r="E777" s="4" t="str">
        <f>IFERROR(VLOOKUP(B777,infoTable__3[],4,FALSE),"")</f>
        <v/>
      </c>
      <c r="F777" s="4" t="str">
        <f>IFERROR(VLOOKUP(B777,infoTable__4[],4,FALSE),"")</f>
        <v/>
      </c>
      <c r="G777" s="4" t="str">
        <f>IFERROR(VLOOKUP(B777,infoTable[],4,FALSE),"")</f>
        <v/>
      </c>
      <c r="H777" s="4" t="str">
        <f>IFERROR(VLOOKUP(B777,infoTable__6[],4,FALSE),"")</f>
        <v/>
      </c>
      <c r="I777" s="4" t="str">
        <f>IFERROR(VLOOKUP(B777,infoTable__28[],4,FALSE),"")</f>
        <v/>
      </c>
      <c r="J777" s="4" t="str">
        <f>IFERROR(VLOOKUP(B777,infoTable__10[],4,FALSE),"")</f>
        <v/>
      </c>
      <c r="K777" s="4" t="str">
        <f>IFERROR(VLOOKUP(B777,infoTable__11[],4,FALSE),"")</f>
        <v/>
      </c>
      <c r="L777" s="4">
        <f>IFERROR(VLOOKUP(B777,infoTable__12[],4,FALSE),"")</f>
        <v>1885775</v>
      </c>
      <c r="M777" s="4" t="str">
        <f>IFERROR(VLOOKUP(B777,infoTable__13[],4,FALSE),"")</f>
        <v/>
      </c>
      <c r="N777" s="4" t="str">
        <f>IFERROR(VLOOKUP(B777,infoTable__14[],4,FALSE),"")</f>
        <v/>
      </c>
      <c r="O777" s="4">
        <f>IFERROR(VLOOKUP(B777,infoTable__15[],4,FALSE),"")</f>
        <v>920999</v>
      </c>
      <c r="P777" s="4">
        <f>IFERROR(VLOOKUP(B777,infoTable__16[],4,FALSE),"")</f>
        <v>2933756</v>
      </c>
    </row>
    <row r="778" spans="1:16" x14ac:dyDescent="0.55000000000000004">
      <c r="A778" t="s">
        <v>702</v>
      </c>
      <c r="B778" t="s">
        <v>703</v>
      </c>
      <c r="C778" s="4" t="str">
        <f>IFERROR(VLOOKUP(B778,infoTable10[],4,FALSE),"")</f>
        <v/>
      </c>
      <c r="D778" s="4">
        <f>IFERROR(VLOOKUP(B778,infoTable__2[],4,FALSE),"")</f>
        <v>75639</v>
      </c>
      <c r="E778" s="4" t="str">
        <f>IFERROR(VLOOKUP(B778,infoTable__3[],4,FALSE),"")</f>
        <v/>
      </c>
      <c r="F778" s="4" t="str">
        <f>IFERROR(VLOOKUP(B778,infoTable__4[],4,FALSE),"")</f>
        <v/>
      </c>
      <c r="G778" s="4" t="str">
        <f>IFERROR(VLOOKUP(B778,infoTable[],4,FALSE),"")</f>
        <v/>
      </c>
      <c r="H778" s="4" t="str">
        <f>IFERROR(VLOOKUP(B778,infoTable__6[],4,FALSE),"")</f>
        <v/>
      </c>
      <c r="I778" s="4" t="str">
        <f>IFERROR(VLOOKUP(B778,infoTable__28[],4,FALSE),"")</f>
        <v/>
      </c>
      <c r="J778" s="4" t="str">
        <f>IFERROR(VLOOKUP(B778,infoTable__10[],4,FALSE),"")</f>
        <v/>
      </c>
      <c r="K778" s="4" t="str">
        <f>IFERROR(VLOOKUP(B778,infoTable__11[],4,FALSE),"")</f>
        <v/>
      </c>
      <c r="L778" s="4" t="str">
        <f>IFERROR(VLOOKUP(B778,infoTable__12[],4,FALSE),"")</f>
        <v/>
      </c>
      <c r="M778" s="4" t="str">
        <f>IFERROR(VLOOKUP(B778,infoTable__13[],4,FALSE),"")</f>
        <v/>
      </c>
      <c r="N778" s="4" t="str">
        <f>IFERROR(VLOOKUP(B778,infoTable__14[],4,FALSE),"")</f>
        <v/>
      </c>
      <c r="O778" s="4" t="str">
        <f>IFERROR(VLOOKUP(B778,infoTable__15[],4,FALSE),"")</f>
        <v/>
      </c>
      <c r="P778" s="4" t="str">
        <f>IFERROR(VLOOKUP(B778,infoTable__16[],4,FALSE),"")</f>
        <v/>
      </c>
    </row>
    <row r="779" spans="1:16" x14ac:dyDescent="0.55000000000000004">
      <c r="A779" t="s">
        <v>2356</v>
      </c>
      <c r="B779" t="s">
        <v>2357</v>
      </c>
      <c r="C779" s="4" t="str">
        <f>IFERROR(VLOOKUP(B779,infoTable10[],4,FALSE),"")</f>
        <v/>
      </c>
      <c r="D779" s="4" t="str">
        <f>IFERROR(VLOOKUP(B779,infoTable__2[],4,FALSE),"")</f>
        <v/>
      </c>
      <c r="E779" s="4" t="str">
        <f>IFERROR(VLOOKUP(B779,infoTable__3[],4,FALSE),"")</f>
        <v/>
      </c>
      <c r="F779" s="4" t="str">
        <f>IFERROR(VLOOKUP(B779,infoTable__4[],4,FALSE),"")</f>
        <v/>
      </c>
      <c r="G779" s="4" t="str">
        <f>IFERROR(VLOOKUP(B779,infoTable[],4,FALSE),"")</f>
        <v/>
      </c>
      <c r="H779" s="4" t="str">
        <f>IFERROR(VLOOKUP(B779,infoTable__6[],4,FALSE),"")</f>
        <v/>
      </c>
      <c r="I779" s="4" t="str">
        <f>IFERROR(VLOOKUP(B779,infoTable__28[],4,FALSE),"")</f>
        <v/>
      </c>
      <c r="J779" s="4" t="str">
        <f>IFERROR(VLOOKUP(B779,infoTable__10[],4,FALSE),"")</f>
        <v/>
      </c>
      <c r="K779" s="4" t="str">
        <f>IFERROR(VLOOKUP(B779,infoTable__11[],4,FALSE),"")</f>
        <v/>
      </c>
      <c r="L779" s="4">
        <f>IFERROR(VLOOKUP(B779,infoTable__12[],4,FALSE),"")</f>
        <v>297739</v>
      </c>
      <c r="M779" s="4">
        <f>IFERROR(VLOOKUP(B779,infoTable__13[],4,FALSE),"")</f>
        <v>3277844</v>
      </c>
      <c r="N779" s="4" t="str">
        <f>IFERROR(VLOOKUP(B779,infoTable__14[],4,FALSE),"")</f>
        <v/>
      </c>
      <c r="O779" s="4" t="str">
        <f>IFERROR(VLOOKUP(B779,infoTable__15[],4,FALSE),"")</f>
        <v/>
      </c>
      <c r="P779" s="4" t="str">
        <f>IFERROR(VLOOKUP(B779,infoTable__16[],4,FALSE),"")</f>
        <v/>
      </c>
    </row>
    <row r="780" spans="1:16" x14ac:dyDescent="0.55000000000000004">
      <c r="A780" t="s">
        <v>1600</v>
      </c>
      <c r="B780" t="s">
        <v>1601</v>
      </c>
      <c r="C780" s="4" t="str">
        <f>IFERROR(VLOOKUP(B780,infoTable10[],4,FALSE),"")</f>
        <v/>
      </c>
      <c r="D780" s="4" t="str">
        <f>IFERROR(VLOOKUP(B780,infoTable__2[],4,FALSE),"")</f>
        <v/>
      </c>
      <c r="E780" s="4" t="str">
        <f>IFERROR(VLOOKUP(B780,infoTable__3[],4,FALSE),"")</f>
        <v/>
      </c>
      <c r="F780" s="4" t="str">
        <f>IFERROR(VLOOKUP(B780,infoTable__4[],4,FALSE),"")</f>
        <v/>
      </c>
      <c r="G780" s="4" t="str">
        <f>IFERROR(VLOOKUP(B780,infoTable[],4,FALSE),"")</f>
        <v/>
      </c>
      <c r="H780" s="4" t="str">
        <f>IFERROR(VLOOKUP(B780,infoTable__6[],4,FALSE),"")</f>
        <v/>
      </c>
      <c r="I780" s="4" t="str">
        <f>IFERROR(VLOOKUP(B780,infoTable__28[],4,FALSE),"")</f>
        <v/>
      </c>
      <c r="J780" s="4">
        <f>IFERROR(VLOOKUP(B780,infoTable__10[],4,FALSE),"")</f>
        <v>299043</v>
      </c>
      <c r="K780" s="4" t="str">
        <f>IFERROR(VLOOKUP(B780,infoTable__11[],4,FALSE),"")</f>
        <v/>
      </c>
      <c r="L780" s="4" t="str">
        <f>IFERROR(VLOOKUP(B780,infoTable__12[],4,FALSE),"")</f>
        <v/>
      </c>
      <c r="M780" s="4" t="str">
        <f>IFERROR(VLOOKUP(B780,infoTable__13[],4,FALSE),"")</f>
        <v/>
      </c>
      <c r="N780" s="4" t="str">
        <f>IFERROR(VLOOKUP(B780,infoTable__14[],4,FALSE),"")</f>
        <v/>
      </c>
      <c r="O780" s="4" t="str">
        <f>IFERROR(VLOOKUP(B780,infoTable__15[],4,FALSE),"")</f>
        <v/>
      </c>
      <c r="P780" s="4" t="str">
        <f>IFERROR(VLOOKUP(B780,infoTable__16[],4,FALSE),"")</f>
        <v/>
      </c>
    </row>
    <row r="781" spans="1:16" x14ac:dyDescent="0.55000000000000004">
      <c r="A781" t="s">
        <v>2203</v>
      </c>
      <c r="B781" t="s">
        <v>2204</v>
      </c>
      <c r="C781" s="4" t="str">
        <f>IFERROR(VLOOKUP(B781,infoTable10[],4,FALSE),"")</f>
        <v/>
      </c>
      <c r="D781" s="4" t="str">
        <f>IFERROR(VLOOKUP(B781,infoTable__2[],4,FALSE),"")</f>
        <v/>
      </c>
      <c r="E781" s="4" t="str">
        <f>IFERROR(VLOOKUP(B781,infoTable__3[],4,FALSE),"")</f>
        <v/>
      </c>
      <c r="F781" s="4" t="str">
        <f>IFERROR(VLOOKUP(B781,infoTable__4[],4,FALSE),"")</f>
        <v/>
      </c>
      <c r="G781" s="4" t="str">
        <f>IFERROR(VLOOKUP(B781,infoTable[],4,FALSE),"")</f>
        <v/>
      </c>
      <c r="H781" s="4" t="str">
        <f>IFERROR(VLOOKUP(B781,infoTable__6[],4,FALSE),"")</f>
        <v/>
      </c>
      <c r="I781" s="4" t="str">
        <f>IFERROR(VLOOKUP(B781,infoTable__28[],4,FALSE),"")</f>
        <v/>
      </c>
      <c r="J781" s="4" t="str">
        <f>IFERROR(VLOOKUP(B781,infoTable__10[],4,FALSE),"")</f>
        <v/>
      </c>
      <c r="K781" s="4" t="str">
        <f>IFERROR(VLOOKUP(B781,infoTable__11[],4,FALSE),"")</f>
        <v/>
      </c>
      <c r="L781" s="4">
        <f>IFERROR(VLOOKUP(B781,infoTable__12[],4,FALSE),"")</f>
        <v>449542</v>
      </c>
      <c r="M781" s="4">
        <f>IFERROR(VLOOKUP(B781,infoTable__13[],4,FALSE),"")</f>
        <v>531413</v>
      </c>
      <c r="N781" s="4">
        <f>IFERROR(VLOOKUP(B781,infoTable__14[],4,FALSE),"")</f>
        <v>169415</v>
      </c>
      <c r="O781" s="4">
        <f>IFERROR(VLOOKUP(B781,infoTable__15[],4,FALSE),"")</f>
        <v>733661</v>
      </c>
      <c r="P781" s="4">
        <f>IFERROR(VLOOKUP(B781,infoTable__16[],4,FALSE),"")</f>
        <v>993201</v>
      </c>
    </row>
    <row r="782" spans="1:16" x14ac:dyDescent="0.55000000000000004">
      <c r="A782" t="s">
        <v>177</v>
      </c>
      <c r="B782" t="s">
        <v>178</v>
      </c>
      <c r="C782" s="4" t="str">
        <f>IFERROR(VLOOKUP(B782,infoTable10[],4,FALSE),"")</f>
        <v/>
      </c>
      <c r="D782" s="4" t="str">
        <f>IFERROR(VLOOKUP(B782,infoTable__2[],4,FALSE),"")</f>
        <v/>
      </c>
      <c r="E782" s="4" t="str">
        <f>IFERROR(VLOOKUP(B782,infoTable__3[],4,FALSE),"")</f>
        <v/>
      </c>
      <c r="F782" s="4" t="str">
        <f>IFERROR(VLOOKUP(B782,infoTable__4[],4,FALSE),"")</f>
        <v/>
      </c>
      <c r="G782" s="4">
        <f>IFERROR(VLOOKUP(B782,infoTable[],4,FALSE),"")</f>
        <v>295516</v>
      </c>
      <c r="H782" s="4">
        <f>IFERROR(VLOOKUP(B782,infoTable__6[],4,FALSE),"")</f>
        <v>1085656</v>
      </c>
      <c r="I782" s="4">
        <f>IFERROR(VLOOKUP(B782,infoTable__28[],4,FALSE),"")</f>
        <v>436261</v>
      </c>
      <c r="J782" s="4">
        <f>IFERROR(VLOOKUP(B782,infoTable__10[],4,FALSE),"")</f>
        <v>418376</v>
      </c>
      <c r="K782" s="4" t="str">
        <f>IFERROR(VLOOKUP(B782,infoTable__11[],4,FALSE),"")</f>
        <v/>
      </c>
      <c r="L782" s="4" t="str">
        <f>IFERROR(VLOOKUP(B782,infoTable__12[],4,FALSE),"")</f>
        <v/>
      </c>
      <c r="M782" s="4" t="str">
        <f>IFERROR(VLOOKUP(B782,infoTable__13[],4,FALSE),"")</f>
        <v/>
      </c>
      <c r="N782" s="4" t="str">
        <f>IFERROR(VLOOKUP(B782,infoTable__14[],4,FALSE),"")</f>
        <v/>
      </c>
      <c r="O782" s="4" t="str">
        <f>IFERROR(VLOOKUP(B782,infoTable__15[],4,FALSE),"")</f>
        <v/>
      </c>
      <c r="P782" s="4" t="str">
        <f>IFERROR(VLOOKUP(B782,infoTable__16[],4,FALSE),"")</f>
        <v/>
      </c>
    </row>
    <row r="783" spans="1:16" x14ac:dyDescent="0.55000000000000004">
      <c r="A783" t="s">
        <v>1674</v>
      </c>
      <c r="B783" t="s">
        <v>1675</v>
      </c>
      <c r="C783" s="4" t="str">
        <f>IFERROR(VLOOKUP(B783,infoTable10[],4,FALSE),"")</f>
        <v/>
      </c>
      <c r="D783" s="4" t="str">
        <f>IFERROR(VLOOKUP(B783,infoTable__2[],4,FALSE),"")</f>
        <v/>
      </c>
      <c r="E783" s="4" t="str">
        <f>IFERROR(VLOOKUP(B783,infoTable__3[],4,FALSE),"")</f>
        <v/>
      </c>
      <c r="F783" s="4" t="str">
        <f>IFERROR(VLOOKUP(B783,infoTable__4[],4,FALSE),"")</f>
        <v/>
      </c>
      <c r="G783" s="4" t="str">
        <f>IFERROR(VLOOKUP(B783,infoTable[],4,FALSE),"")</f>
        <v/>
      </c>
      <c r="H783" s="4" t="str">
        <f>IFERROR(VLOOKUP(B783,infoTable__6[],4,FALSE),"")</f>
        <v/>
      </c>
      <c r="I783" s="4" t="str">
        <f>IFERROR(VLOOKUP(B783,infoTable__28[],4,FALSE),"")</f>
        <v/>
      </c>
      <c r="J783" s="4">
        <f>IFERROR(VLOOKUP(B783,infoTable__10[],4,FALSE),"")</f>
        <v>1588457</v>
      </c>
      <c r="K783" s="4">
        <f>IFERROR(VLOOKUP(B783,infoTable__11[],4,FALSE),"")</f>
        <v>1877790</v>
      </c>
      <c r="L783" s="4">
        <f>IFERROR(VLOOKUP(B783,infoTable__12[],4,FALSE),"")</f>
        <v>1518694</v>
      </c>
      <c r="M783" s="4">
        <f>IFERROR(VLOOKUP(B783,infoTable__13[],4,FALSE),"")</f>
        <v>766259</v>
      </c>
      <c r="N783" s="4" t="str">
        <f>IFERROR(VLOOKUP(B783,infoTable__14[],4,FALSE),"")</f>
        <v/>
      </c>
      <c r="O783" s="4" t="str">
        <f>IFERROR(VLOOKUP(B783,infoTable__15[],4,FALSE),"")</f>
        <v/>
      </c>
      <c r="P783" s="4">
        <f>IFERROR(VLOOKUP(B783,infoTable__16[],4,FALSE),"")</f>
        <v>774052</v>
      </c>
    </row>
    <row r="784" spans="1:16" x14ac:dyDescent="0.55000000000000004">
      <c r="A784" t="s">
        <v>3475</v>
      </c>
      <c r="B784" t="s">
        <v>3476</v>
      </c>
      <c r="C784" s="4" t="str">
        <f>IFERROR(VLOOKUP(B784,infoTable10[],4,FALSE),"")</f>
        <v/>
      </c>
      <c r="D784" s="4" t="str">
        <f>IFERROR(VLOOKUP(B784,infoTable__2[],4,FALSE),"")</f>
        <v/>
      </c>
      <c r="E784" s="4" t="str">
        <f>IFERROR(VLOOKUP(B784,infoTable__3[],4,FALSE),"")</f>
        <v/>
      </c>
      <c r="F784" s="4" t="str">
        <f>IFERROR(VLOOKUP(B784,infoTable__4[],4,FALSE),"")</f>
        <v/>
      </c>
      <c r="G784" s="4" t="str">
        <f>IFERROR(VLOOKUP(B784,infoTable[],4,FALSE),"")</f>
        <v/>
      </c>
      <c r="H784" s="4" t="str">
        <f>IFERROR(VLOOKUP(B784,infoTable__6[],4,FALSE),"")</f>
        <v/>
      </c>
      <c r="I784" s="4" t="str">
        <f>IFERROR(VLOOKUP(B784,infoTable__28[],4,FALSE),"")</f>
        <v/>
      </c>
      <c r="J784" s="4" t="str">
        <f>IFERROR(VLOOKUP(B784,infoTable__10[],4,FALSE),"")</f>
        <v/>
      </c>
      <c r="K784" s="4" t="str">
        <f>IFERROR(VLOOKUP(B784,infoTable__11[],4,FALSE),"")</f>
        <v/>
      </c>
      <c r="L784" s="4" t="str">
        <f>IFERROR(VLOOKUP(B784,infoTable__12[],4,FALSE),"")</f>
        <v/>
      </c>
      <c r="M784" s="4" t="str">
        <f>IFERROR(VLOOKUP(B784,infoTable__13[],4,FALSE),"")</f>
        <v/>
      </c>
      <c r="N784" s="4" t="str">
        <f>IFERROR(VLOOKUP(B784,infoTable__14[],4,FALSE),"")</f>
        <v/>
      </c>
      <c r="O784" s="4" t="str">
        <f>IFERROR(VLOOKUP(B784,infoTable__15[],4,FALSE),"")</f>
        <v/>
      </c>
      <c r="P784" s="4">
        <f>IFERROR(VLOOKUP(B784,infoTable__16[],4,FALSE),"")</f>
        <v>891510</v>
      </c>
    </row>
    <row r="785" spans="1:16" x14ac:dyDescent="0.55000000000000004">
      <c r="A785" t="s">
        <v>1582</v>
      </c>
      <c r="B785" t="s">
        <v>1250</v>
      </c>
      <c r="C785" s="4" t="str">
        <f>IFERROR(VLOOKUP(B785,infoTable10[],4,FALSE),"")</f>
        <v/>
      </c>
      <c r="D785" s="4" t="str">
        <f>IFERROR(VLOOKUP(B785,infoTable__2[],4,FALSE),"")</f>
        <v/>
      </c>
      <c r="E785" s="4" t="str">
        <f>IFERROR(VLOOKUP(B785,infoTable__3[],4,FALSE),"")</f>
        <v/>
      </c>
      <c r="F785" s="4" t="str">
        <f>IFERROR(VLOOKUP(B785,infoTable__4[],4,FALSE),"")</f>
        <v/>
      </c>
      <c r="G785" s="4" t="str">
        <f>IFERROR(VLOOKUP(B785,infoTable[],4,FALSE),"")</f>
        <v/>
      </c>
      <c r="H785" s="4" t="str">
        <f>IFERROR(VLOOKUP(B785,infoTable__6[],4,FALSE),"")</f>
        <v/>
      </c>
      <c r="I785" s="4">
        <f>IFERROR(VLOOKUP(B785,infoTable__28[],4,FALSE),"")</f>
        <v>399057</v>
      </c>
      <c r="J785" s="4">
        <f>IFERROR(VLOOKUP(B785,infoTable__10[],4,FALSE),"")</f>
        <v>453231</v>
      </c>
      <c r="K785" s="4">
        <f>IFERROR(VLOOKUP(B785,infoTable__11[],4,FALSE),"")</f>
        <v>817667</v>
      </c>
      <c r="L785" s="4">
        <f>IFERROR(VLOOKUP(B785,infoTable__12[],4,FALSE),"")</f>
        <v>6636672</v>
      </c>
      <c r="M785" s="4">
        <f>IFERROR(VLOOKUP(B785,infoTable__13[],4,FALSE),"")</f>
        <v>3256488</v>
      </c>
      <c r="N785" s="4">
        <f>IFERROR(VLOOKUP(B785,infoTable__14[],4,FALSE),"")</f>
        <v>1394577</v>
      </c>
      <c r="O785" s="4">
        <f>IFERROR(VLOOKUP(B785,infoTable__15[],4,FALSE),"")</f>
        <v>2356435</v>
      </c>
      <c r="P785" s="4">
        <f>IFERROR(VLOOKUP(B785,infoTable__16[],4,FALSE),"")</f>
        <v>4621005</v>
      </c>
    </row>
    <row r="786" spans="1:16" x14ac:dyDescent="0.55000000000000004">
      <c r="A786" t="s">
        <v>2372</v>
      </c>
      <c r="B786" t="s">
        <v>2373</v>
      </c>
      <c r="C786" s="4" t="str">
        <f>IFERROR(VLOOKUP(B786,infoTable10[],4,FALSE),"")</f>
        <v/>
      </c>
      <c r="D786" s="4" t="str">
        <f>IFERROR(VLOOKUP(B786,infoTable__2[],4,FALSE),"")</f>
        <v/>
      </c>
      <c r="E786" s="4" t="str">
        <f>IFERROR(VLOOKUP(B786,infoTable__3[],4,FALSE),"")</f>
        <v/>
      </c>
      <c r="F786" s="4" t="str">
        <f>IFERROR(VLOOKUP(B786,infoTable__4[],4,FALSE),"")</f>
        <v/>
      </c>
      <c r="G786" s="4" t="str">
        <f>IFERROR(VLOOKUP(B786,infoTable[],4,FALSE),"")</f>
        <v/>
      </c>
      <c r="H786" s="4" t="str">
        <f>IFERROR(VLOOKUP(B786,infoTable__6[],4,FALSE),"")</f>
        <v/>
      </c>
      <c r="I786" s="4" t="str">
        <f>IFERROR(VLOOKUP(B786,infoTable__28[],4,FALSE),"")</f>
        <v/>
      </c>
      <c r="J786" s="4" t="str">
        <f>IFERROR(VLOOKUP(B786,infoTable__10[],4,FALSE),"")</f>
        <v/>
      </c>
      <c r="K786" s="4" t="str">
        <f>IFERROR(VLOOKUP(B786,infoTable__11[],4,FALSE),"")</f>
        <v/>
      </c>
      <c r="L786" s="4">
        <f>IFERROR(VLOOKUP(B786,infoTable__12[],4,FALSE),"")</f>
        <v>3733880</v>
      </c>
      <c r="M786" s="4">
        <f>IFERROR(VLOOKUP(B786,infoTable__13[],4,FALSE),"")</f>
        <v>4055600</v>
      </c>
      <c r="N786" s="4">
        <f>IFERROR(VLOOKUP(B786,infoTable__14[],4,FALSE),"")</f>
        <v>3715470</v>
      </c>
      <c r="O786" s="4">
        <f>IFERROR(VLOOKUP(B786,infoTable__15[],4,FALSE),"")</f>
        <v>1447379</v>
      </c>
      <c r="P786" s="4">
        <f>IFERROR(VLOOKUP(B786,infoTable__16[],4,FALSE),"")</f>
        <v>1207220</v>
      </c>
    </row>
    <row r="787" spans="1:16" x14ac:dyDescent="0.55000000000000004">
      <c r="A787" t="s">
        <v>2066</v>
      </c>
      <c r="B787" t="s">
        <v>2067</v>
      </c>
      <c r="C787" s="4" t="str">
        <f>IFERROR(VLOOKUP(B787,infoTable10[],4,FALSE),"")</f>
        <v/>
      </c>
      <c r="D787" s="4" t="str">
        <f>IFERROR(VLOOKUP(B787,infoTable__2[],4,FALSE),"")</f>
        <v/>
      </c>
      <c r="E787" s="4" t="str">
        <f>IFERROR(VLOOKUP(B787,infoTable__3[],4,FALSE),"")</f>
        <v/>
      </c>
      <c r="F787" s="4" t="str">
        <f>IFERROR(VLOOKUP(B787,infoTable__4[],4,FALSE),"")</f>
        <v/>
      </c>
      <c r="G787" s="4" t="str">
        <f>IFERROR(VLOOKUP(B787,infoTable[],4,FALSE),"")</f>
        <v/>
      </c>
      <c r="H787" s="4" t="str">
        <f>IFERROR(VLOOKUP(B787,infoTable__6[],4,FALSE),"")</f>
        <v/>
      </c>
      <c r="I787" s="4" t="str">
        <f>IFERROR(VLOOKUP(B787,infoTable__28[],4,FALSE),"")</f>
        <v/>
      </c>
      <c r="J787" s="4" t="str">
        <f>IFERROR(VLOOKUP(B787,infoTable__10[],4,FALSE),"")</f>
        <v/>
      </c>
      <c r="K787" s="4" t="str">
        <f>IFERROR(VLOOKUP(B787,infoTable__11[],4,FALSE),"")</f>
        <v/>
      </c>
      <c r="L787" s="4">
        <f>IFERROR(VLOOKUP(B787,infoTable__12[],4,FALSE),"")</f>
        <v>243760</v>
      </c>
      <c r="M787" s="4" t="str">
        <f>IFERROR(VLOOKUP(B787,infoTable__13[],4,FALSE),"")</f>
        <v/>
      </c>
      <c r="N787" s="4" t="str">
        <f>IFERROR(VLOOKUP(B787,infoTable__14[],4,FALSE),"")</f>
        <v/>
      </c>
      <c r="O787" s="4" t="str">
        <f>IFERROR(VLOOKUP(B787,infoTable__15[],4,FALSE),"")</f>
        <v/>
      </c>
      <c r="P787" s="4" t="str">
        <f>IFERROR(VLOOKUP(B787,infoTable__16[],4,FALSE),"")</f>
        <v/>
      </c>
    </row>
    <row r="788" spans="1:16" x14ac:dyDescent="0.55000000000000004">
      <c r="A788" t="s">
        <v>1141</v>
      </c>
      <c r="B788" t="s">
        <v>1142</v>
      </c>
      <c r="C788" s="4" t="str">
        <f>IFERROR(VLOOKUP(B788,infoTable10[],4,FALSE),"")</f>
        <v/>
      </c>
      <c r="D788" s="4" t="str">
        <f>IFERROR(VLOOKUP(B788,infoTable__2[],4,FALSE),"")</f>
        <v/>
      </c>
      <c r="E788" s="4" t="str">
        <f>IFERROR(VLOOKUP(B788,infoTable__3[],4,FALSE),"")</f>
        <v/>
      </c>
      <c r="F788" s="4" t="str">
        <f>IFERROR(VLOOKUP(B788,infoTable__4[],4,FALSE),"")</f>
        <v/>
      </c>
      <c r="G788" s="4" t="str">
        <f>IFERROR(VLOOKUP(B788,infoTable[],4,FALSE),"")</f>
        <v/>
      </c>
      <c r="H788" s="4" t="str">
        <f>IFERROR(VLOOKUP(B788,infoTable__6[],4,FALSE),"")</f>
        <v/>
      </c>
      <c r="I788" s="4">
        <f>IFERROR(VLOOKUP(B788,infoTable__28[],4,FALSE),"")</f>
        <v>235261</v>
      </c>
      <c r="J788" s="4">
        <f>IFERROR(VLOOKUP(B788,infoTable__10[],4,FALSE),"")</f>
        <v>326622</v>
      </c>
      <c r="K788" s="4">
        <f>IFERROR(VLOOKUP(B788,infoTable__11[],4,FALSE),"")</f>
        <v>330523</v>
      </c>
      <c r="L788" s="4">
        <f>IFERROR(VLOOKUP(B788,infoTable__12[],4,FALSE),"")</f>
        <v>326789</v>
      </c>
      <c r="M788" s="4" t="str">
        <f>IFERROR(VLOOKUP(B788,infoTable__13[],4,FALSE),"")</f>
        <v/>
      </c>
      <c r="N788" s="4" t="str">
        <f>IFERROR(VLOOKUP(B788,infoTable__14[],4,FALSE),"")</f>
        <v/>
      </c>
      <c r="O788" s="4" t="str">
        <f>IFERROR(VLOOKUP(B788,infoTable__15[],4,FALSE),"")</f>
        <v/>
      </c>
      <c r="P788" s="4">
        <f>IFERROR(VLOOKUP(B788,infoTable__16[],4,FALSE),"")</f>
        <v>233179</v>
      </c>
    </row>
    <row r="789" spans="1:16" x14ac:dyDescent="0.55000000000000004">
      <c r="A789" t="s">
        <v>2779</v>
      </c>
      <c r="B789" t="s">
        <v>2778</v>
      </c>
      <c r="C789" s="4" t="str">
        <f>IFERROR(VLOOKUP(B789,infoTable10[],4,FALSE),"")</f>
        <v/>
      </c>
      <c r="D789" s="4" t="str">
        <f>IFERROR(VLOOKUP(B789,infoTable__2[],4,FALSE),"")</f>
        <v/>
      </c>
      <c r="E789" s="4" t="str">
        <f>IFERROR(VLOOKUP(B789,infoTable__3[],4,FALSE),"")</f>
        <v/>
      </c>
      <c r="F789" s="4" t="str">
        <f>IFERROR(VLOOKUP(B789,infoTable__4[],4,FALSE),"")</f>
        <v/>
      </c>
      <c r="G789" s="4" t="str">
        <f>IFERROR(VLOOKUP(B789,infoTable[],4,FALSE),"")</f>
        <v/>
      </c>
      <c r="H789" s="4" t="str">
        <f>IFERROR(VLOOKUP(B789,infoTable__6[],4,FALSE),"")</f>
        <v/>
      </c>
      <c r="I789" s="4" t="str">
        <f>IFERROR(VLOOKUP(B789,infoTable__28[],4,FALSE),"")</f>
        <v/>
      </c>
      <c r="J789" s="4" t="str">
        <f>IFERROR(VLOOKUP(B789,infoTable__10[],4,FALSE),"")</f>
        <v/>
      </c>
      <c r="K789" s="4" t="str">
        <f>IFERROR(VLOOKUP(B789,infoTable__11[],4,FALSE),"")</f>
        <v/>
      </c>
      <c r="L789" s="4" t="str">
        <f>IFERROR(VLOOKUP(B789,infoTable__12[],4,FALSE),"")</f>
        <v/>
      </c>
      <c r="M789" s="4" t="str">
        <f>IFERROR(VLOOKUP(B789,infoTable__13[],4,FALSE),"")</f>
        <v/>
      </c>
      <c r="N789" s="4">
        <f>IFERROR(VLOOKUP(B789,infoTable__14[],4,FALSE),"")</f>
        <v>239241</v>
      </c>
      <c r="O789" s="4" t="str">
        <f>IFERROR(VLOOKUP(B789,infoTable__15[],4,FALSE),"")</f>
        <v/>
      </c>
      <c r="P789" s="4">
        <f>IFERROR(VLOOKUP(B789,infoTable__16[],4,FALSE),"")</f>
        <v>396373</v>
      </c>
    </row>
    <row r="790" spans="1:16" x14ac:dyDescent="0.55000000000000004">
      <c r="A790" t="s">
        <v>1822</v>
      </c>
      <c r="B790" t="s">
        <v>1823</v>
      </c>
      <c r="C790" s="4" t="str">
        <f>IFERROR(VLOOKUP(B790,infoTable10[],4,FALSE),"")</f>
        <v/>
      </c>
      <c r="D790" s="4" t="str">
        <f>IFERROR(VLOOKUP(B790,infoTable__2[],4,FALSE),"")</f>
        <v/>
      </c>
      <c r="E790" s="4" t="str">
        <f>IFERROR(VLOOKUP(B790,infoTable__3[],4,FALSE),"")</f>
        <v/>
      </c>
      <c r="F790" s="4" t="str">
        <f>IFERROR(VLOOKUP(B790,infoTable__4[],4,FALSE),"")</f>
        <v/>
      </c>
      <c r="G790" s="4" t="str">
        <f>IFERROR(VLOOKUP(B790,infoTable[],4,FALSE),"")</f>
        <v/>
      </c>
      <c r="H790" s="4" t="str">
        <f>IFERROR(VLOOKUP(B790,infoTable__6[],4,FALSE),"")</f>
        <v/>
      </c>
      <c r="I790" s="4" t="str">
        <f>IFERROR(VLOOKUP(B790,infoTable__28[],4,FALSE),"")</f>
        <v/>
      </c>
      <c r="J790" s="4" t="str">
        <f>IFERROR(VLOOKUP(B790,infoTable__10[],4,FALSE),"")</f>
        <v/>
      </c>
      <c r="K790" s="4">
        <f>IFERROR(VLOOKUP(B790,infoTable__11[],4,FALSE),"")</f>
        <v>876100</v>
      </c>
      <c r="L790" s="4">
        <f>IFERROR(VLOOKUP(B790,infoTable__12[],4,FALSE),"")</f>
        <v>274884</v>
      </c>
      <c r="M790" s="4" t="str">
        <f>IFERROR(VLOOKUP(B790,infoTable__13[],4,FALSE),"")</f>
        <v/>
      </c>
      <c r="N790" s="4">
        <f>IFERROR(VLOOKUP(B790,infoTable__14[],4,FALSE),"")</f>
        <v>192503</v>
      </c>
      <c r="O790" s="4">
        <f>IFERROR(VLOOKUP(B790,infoTable__15[],4,FALSE),"")</f>
        <v>1427800</v>
      </c>
      <c r="P790" s="4">
        <f>IFERROR(VLOOKUP(B790,infoTable__16[],4,FALSE),"")</f>
        <v>170381</v>
      </c>
    </row>
    <row r="791" spans="1:16" x14ac:dyDescent="0.55000000000000004">
      <c r="A791" t="s">
        <v>25</v>
      </c>
      <c r="B791" t="s">
        <v>27</v>
      </c>
      <c r="C791" s="4" t="str">
        <f>IFERROR(VLOOKUP(B791,infoTable10[],4,FALSE),"")</f>
        <v/>
      </c>
      <c r="D791" s="4" t="str">
        <f>IFERROR(VLOOKUP(B791,infoTable__2[],4,FALSE),"")</f>
        <v/>
      </c>
      <c r="E791" s="4" t="str">
        <f>IFERROR(VLOOKUP(B791,infoTable__3[],4,FALSE),"")</f>
        <v/>
      </c>
      <c r="F791" s="4" t="str">
        <f>IFERROR(VLOOKUP(B791,infoTable__4[],4,FALSE),"")</f>
        <v/>
      </c>
      <c r="G791" s="4">
        <f>IFERROR(VLOOKUP(B791,infoTable[],4,FALSE),"")</f>
        <v>174726</v>
      </c>
      <c r="H791" s="4">
        <f>IFERROR(VLOOKUP(B791,infoTable__6[],4,FALSE),"")</f>
        <v>210686</v>
      </c>
      <c r="I791" s="4" t="str">
        <f>IFERROR(VLOOKUP(B791,infoTable__28[],4,FALSE),"")</f>
        <v/>
      </c>
      <c r="J791" s="4" t="str">
        <f>IFERROR(VLOOKUP(B791,infoTable__10[],4,FALSE),"")</f>
        <v/>
      </c>
      <c r="K791" s="4" t="str">
        <f>IFERROR(VLOOKUP(B791,infoTable__11[],4,FALSE),"")</f>
        <v/>
      </c>
      <c r="L791" s="4" t="str">
        <f>IFERROR(VLOOKUP(B791,infoTable__12[],4,FALSE),"")</f>
        <v/>
      </c>
      <c r="M791" s="4" t="str">
        <f>IFERROR(VLOOKUP(B791,infoTable__13[],4,FALSE),"")</f>
        <v/>
      </c>
      <c r="N791" s="4" t="str">
        <f>IFERROR(VLOOKUP(B791,infoTable__14[],4,FALSE),"")</f>
        <v/>
      </c>
      <c r="O791" s="4" t="str">
        <f>IFERROR(VLOOKUP(B791,infoTable__15[],4,FALSE),"")</f>
        <v/>
      </c>
      <c r="P791" s="4" t="str">
        <f>IFERROR(VLOOKUP(B791,infoTable__16[],4,FALSE),"")</f>
        <v/>
      </c>
    </row>
    <row r="792" spans="1:16" x14ac:dyDescent="0.55000000000000004">
      <c r="A792" t="s">
        <v>1147</v>
      </c>
      <c r="B792" t="s">
        <v>1148</v>
      </c>
      <c r="C792" s="4" t="str">
        <f>IFERROR(VLOOKUP(B792,infoTable10[],4,FALSE),"")</f>
        <v/>
      </c>
      <c r="D792" s="4" t="str">
        <f>IFERROR(VLOOKUP(B792,infoTable__2[],4,FALSE),"")</f>
        <v/>
      </c>
      <c r="E792" s="4" t="str">
        <f>IFERROR(VLOOKUP(B792,infoTable__3[],4,FALSE),"")</f>
        <v/>
      </c>
      <c r="F792" s="4" t="str">
        <f>IFERROR(VLOOKUP(B792,infoTable__4[],4,FALSE),"")</f>
        <v/>
      </c>
      <c r="G792" s="4" t="str">
        <f>IFERROR(VLOOKUP(B792,infoTable[],4,FALSE),"")</f>
        <v/>
      </c>
      <c r="H792" s="4" t="str">
        <f>IFERROR(VLOOKUP(B792,infoTable__6[],4,FALSE),"")</f>
        <v/>
      </c>
      <c r="I792" s="4">
        <f>IFERROR(VLOOKUP(B792,infoTable__28[],4,FALSE),"")</f>
        <v>302174</v>
      </c>
      <c r="J792" s="4">
        <f>IFERROR(VLOOKUP(B792,infoTable__10[],4,FALSE),"")</f>
        <v>2902593</v>
      </c>
      <c r="K792" s="4">
        <f>IFERROR(VLOOKUP(B792,infoTable__11[],4,FALSE),"")</f>
        <v>1123290</v>
      </c>
      <c r="L792" s="4">
        <f>IFERROR(VLOOKUP(B792,infoTable__12[],4,FALSE),"")</f>
        <v>237260</v>
      </c>
      <c r="M792" s="4" t="str">
        <f>IFERROR(VLOOKUP(B792,infoTable__13[],4,FALSE),"")</f>
        <v/>
      </c>
      <c r="N792" s="4" t="str">
        <f>IFERROR(VLOOKUP(B792,infoTable__14[],4,FALSE),"")</f>
        <v/>
      </c>
      <c r="O792" s="4" t="str">
        <f>IFERROR(VLOOKUP(B792,infoTable__15[],4,FALSE),"")</f>
        <v/>
      </c>
      <c r="P792" s="4">
        <f>IFERROR(VLOOKUP(B792,infoTable__16[],4,FALSE),"")</f>
        <v>643645</v>
      </c>
    </row>
    <row r="793" spans="1:16" x14ac:dyDescent="0.55000000000000004">
      <c r="A793" t="s">
        <v>2781</v>
      </c>
      <c r="B793" t="s">
        <v>2780</v>
      </c>
      <c r="C793" s="4" t="str">
        <f>IFERROR(VLOOKUP(B793,infoTable10[],4,FALSE),"")</f>
        <v/>
      </c>
      <c r="D793" s="4" t="str">
        <f>IFERROR(VLOOKUP(B793,infoTable__2[],4,FALSE),"")</f>
        <v/>
      </c>
      <c r="E793" s="4" t="str">
        <f>IFERROR(VLOOKUP(B793,infoTable__3[],4,FALSE),"")</f>
        <v/>
      </c>
      <c r="F793" s="4" t="str">
        <f>IFERROR(VLOOKUP(B793,infoTable__4[],4,FALSE),"")</f>
        <v/>
      </c>
      <c r="G793" s="4" t="str">
        <f>IFERROR(VLOOKUP(B793,infoTable[],4,FALSE),"")</f>
        <v/>
      </c>
      <c r="H793" s="4" t="str">
        <f>IFERROR(VLOOKUP(B793,infoTable__6[],4,FALSE),"")</f>
        <v/>
      </c>
      <c r="I793" s="4" t="str">
        <f>IFERROR(VLOOKUP(B793,infoTable__28[],4,FALSE),"")</f>
        <v/>
      </c>
      <c r="J793" s="4" t="str">
        <f>IFERROR(VLOOKUP(B793,infoTable__10[],4,FALSE),"")</f>
        <v/>
      </c>
      <c r="K793" s="4" t="str">
        <f>IFERROR(VLOOKUP(B793,infoTable__11[],4,FALSE),"")</f>
        <v/>
      </c>
      <c r="L793" s="4" t="str">
        <f>IFERROR(VLOOKUP(B793,infoTable__12[],4,FALSE),"")</f>
        <v/>
      </c>
      <c r="M793" s="4" t="str">
        <f>IFERROR(VLOOKUP(B793,infoTable__13[],4,FALSE),"")</f>
        <v/>
      </c>
      <c r="N793" s="4">
        <f>IFERROR(VLOOKUP(B793,infoTable__14[],4,FALSE),"")</f>
        <v>550150</v>
      </c>
      <c r="O793" s="4" t="str">
        <f>IFERROR(VLOOKUP(B793,infoTable__15[],4,FALSE),"")</f>
        <v/>
      </c>
      <c r="P793" s="4" t="str">
        <f>IFERROR(VLOOKUP(B793,infoTable__16[],4,FALSE),"")</f>
        <v/>
      </c>
    </row>
    <row r="794" spans="1:16" x14ac:dyDescent="0.55000000000000004">
      <c r="A794" t="s">
        <v>513</v>
      </c>
      <c r="B794" t="s">
        <v>515</v>
      </c>
      <c r="C794" s="4" t="str">
        <f>IFERROR(VLOOKUP(B794,infoTable10[],4,FALSE),"")</f>
        <v/>
      </c>
      <c r="D794" s="4">
        <f>IFERROR(VLOOKUP(B794,infoTable__2[],4,FALSE),"")</f>
        <v>416644</v>
      </c>
      <c r="E794" s="4" t="str">
        <f>IFERROR(VLOOKUP(B794,infoTable__3[],4,FALSE),"")</f>
        <v/>
      </c>
      <c r="F794" s="4" t="str">
        <f>IFERROR(VLOOKUP(B794,infoTable__4[],4,FALSE),"")</f>
        <v/>
      </c>
      <c r="G794" s="4" t="str">
        <f>IFERROR(VLOOKUP(B794,infoTable[],4,FALSE),"")</f>
        <v/>
      </c>
      <c r="H794" s="4" t="str">
        <f>IFERROR(VLOOKUP(B794,infoTable__6[],4,FALSE),"")</f>
        <v/>
      </c>
      <c r="I794" s="4">
        <f>IFERROR(VLOOKUP(B794,infoTable__28[],4,FALSE),"")</f>
        <v>246778</v>
      </c>
      <c r="J794" s="4">
        <f>IFERROR(VLOOKUP(B794,infoTable__10[],4,FALSE),"")</f>
        <v>1530213</v>
      </c>
      <c r="K794" s="4">
        <f>IFERROR(VLOOKUP(B794,infoTable__11[],4,FALSE),"")</f>
        <v>1531926</v>
      </c>
      <c r="L794" s="4" t="str">
        <f>IFERROR(VLOOKUP(B794,infoTable__12[],4,FALSE),"")</f>
        <v/>
      </c>
      <c r="M794" s="4" t="str">
        <f>IFERROR(VLOOKUP(B794,infoTable__13[],4,FALSE),"")</f>
        <v/>
      </c>
      <c r="N794" s="4" t="str">
        <f>IFERROR(VLOOKUP(B794,infoTable__14[],4,FALSE),"")</f>
        <v/>
      </c>
      <c r="O794" s="4" t="str">
        <f>IFERROR(VLOOKUP(B794,infoTable__15[],4,FALSE),"")</f>
        <v/>
      </c>
      <c r="P794" s="4">
        <f>IFERROR(VLOOKUP(B794,infoTable__16[],4,FALSE),"")</f>
        <v>3272071</v>
      </c>
    </row>
    <row r="795" spans="1:16" x14ac:dyDescent="0.55000000000000004">
      <c r="A795" t="s">
        <v>520</v>
      </c>
      <c r="B795" t="s">
        <v>521</v>
      </c>
      <c r="C795" s="4">
        <f>IFERROR(VLOOKUP(B795,infoTable10[],4,FALSE),"")</f>
        <v>1047425</v>
      </c>
      <c r="D795" s="4">
        <f>IFERROR(VLOOKUP(B795,infoTable__2[],4,FALSE),"")</f>
        <v>1364303</v>
      </c>
      <c r="E795" s="4">
        <f>IFERROR(VLOOKUP(B795,infoTable__3[],4,FALSE),"")</f>
        <v>2316849</v>
      </c>
      <c r="F795" s="4" t="str">
        <f>IFERROR(VLOOKUP(B795,infoTable__4[],4,FALSE),"")</f>
        <v/>
      </c>
      <c r="G795" s="4" t="str">
        <f>IFERROR(VLOOKUP(B795,infoTable[],4,FALSE),"")</f>
        <v/>
      </c>
      <c r="H795" s="4" t="str">
        <f>IFERROR(VLOOKUP(B795,infoTable__6[],4,FALSE),"")</f>
        <v/>
      </c>
      <c r="I795" s="4" t="str">
        <f>IFERROR(VLOOKUP(B795,infoTable__28[],4,FALSE),"")</f>
        <v/>
      </c>
      <c r="J795" s="4" t="str">
        <f>IFERROR(VLOOKUP(B795,infoTable__10[],4,FALSE),"")</f>
        <v/>
      </c>
      <c r="K795" s="4" t="str">
        <f>IFERROR(VLOOKUP(B795,infoTable__11[],4,FALSE),"")</f>
        <v/>
      </c>
      <c r="L795" s="4">
        <f>IFERROR(VLOOKUP(B795,infoTable__12[],4,FALSE),"")</f>
        <v>453744</v>
      </c>
      <c r="M795" s="4">
        <f>IFERROR(VLOOKUP(B795,infoTable__13[],4,FALSE),"")</f>
        <v>1953911</v>
      </c>
      <c r="N795" s="4" t="str">
        <f>IFERROR(VLOOKUP(B795,infoTable__14[],4,FALSE),"")</f>
        <v/>
      </c>
      <c r="O795" s="4" t="str">
        <f>IFERROR(VLOOKUP(B795,infoTable__15[],4,FALSE),"")</f>
        <v/>
      </c>
      <c r="P795" s="4" t="str">
        <f>IFERROR(VLOOKUP(B795,infoTable__16[],4,FALSE),"")</f>
        <v/>
      </c>
    </row>
    <row r="796" spans="1:16" x14ac:dyDescent="0.55000000000000004">
      <c r="A796" t="s">
        <v>1176</v>
      </c>
      <c r="B796" t="s">
        <v>1177</v>
      </c>
      <c r="C796" s="4" t="str">
        <f>IFERROR(VLOOKUP(B796,infoTable10[],4,FALSE),"")</f>
        <v/>
      </c>
      <c r="D796" s="4" t="str">
        <f>IFERROR(VLOOKUP(B796,infoTable__2[],4,FALSE),"")</f>
        <v/>
      </c>
      <c r="E796" s="4" t="str">
        <f>IFERROR(VLOOKUP(B796,infoTable__3[],4,FALSE),"")</f>
        <v/>
      </c>
      <c r="F796" s="4" t="str">
        <f>IFERROR(VLOOKUP(B796,infoTable__4[],4,FALSE),"")</f>
        <v/>
      </c>
      <c r="G796" s="4" t="str">
        <f>IFERROR(VLOOKUP(B796,infoTable[],4,FALSE),"")</f>
        <v/>
      </c>
      <c r="H796" s="4" t="str">
        <f>IFERROR(VLOOKUP(B796,infoTable__6[],4,FALSE),"")</f>
        <v/>
      </c>
      <c r="I796" s="4">
        <f>IFERROR(VLOOKUP(B796,infoTable__28[],4,FALSE),"")</f>
        <v>202441</v>
      </c>
      <c r="J796" s="4">
        <f>IFERROR(VLOOKUP(B796,infoTable__10[],4,FALSE),"")</f>
        <v>216290</v>
      </c>
      <c r="K796" s="4" t="str">
        <f>IFERROR(VLOOKUP(B796,infoTable__11[],4,FALSE),"")</f>
        <v/>
      </c>
      <c r="L796" s="4" t="str">
        <f>IFERROR(VLOOKUP(B796,infoTable__12[],4,FALSE),"")</f>
        <v/>
      </c>
      <c r="M796" s="4" t="str">
        <f>IFERROR(VLOOKUP(B796,infoTable__13[],4,FALSE),"")</f>
        <v/>
      </c>
      <c r="N796" s="4" t="str">
        <f>IFERROR(VLOOKUP(B796,infoTable__14[],4,FALSE),"")</f>
        <v/>
      </c>
      <c r="O796" s="4" t="str">
        <f>IFERROR(VLOOKUP(B796,infoTable__15[],4,FALSE),"")</f>
        <v/>
      </c>
      <c r="P796" s="4" t="str">
        <f>IFERROR(VLOOKUP(B796,infoTable__16[],4,FALSE),"")</f>
        <v/>
      </c>
    </row>
    <row r="797" spans="1:16" x14ac:dyDescent="0.55000000000000004">
      <c r="A797" t="s">
        <v>1169</v>
      </c>
      <c r="B797" t="s">
        <v>1170</v>
      </c>
      <c r="C797" s="4" t="str">
        <f>IFERROR(VLOOKUP(B797,infoTable10[],4,FALSE),"")</f>
        <v/>
      </c>
      <c r="D797" s="4" t="str">
        <f>IFERROR(VLOOKUP(B797,infoTable__2[],4,FALSE),"")</f>
        <v/>
      </c>
      <c r="E797" s="4" t="str">
        <f>IFERROR(VLOOKUP(B797,infoTable__3[],4,FALSE),"")</f>
        <v/>
      </c>
      <c r="F797" s="4" t="str">
        <f>IFERROR(VLOOKUP(B797,infoTable__4[],4,FALSE),"")</f>
        <v/>
      </c>
      <c r="G797" s="4" t="str">
        <f>IFERROR(VLOOKUP(B797,infoTable[],4,FALSE),"")</f>
        <v/>
      </c>
      <c r="H797" s="4" t="str">
        <f>IFERROR(VLOOKUP(B797,infoTable__6[],4,FALSE),"")</f>
        <v/>
      </c>
      <c r="I797" s="4">
        <f>IFERROR(VLOOKUP(B797,infoTable__28[],4,FALSE),"")</f>
        <v>457608</v>
      </c>
      <c r="J797" s="4">
        <f>IFERROR(VLOOKUP(B797,infoTable__10[],4,FALSE),"")</f>
        <v>698780</v>
      </c>
      <c r="K797" s="4">
        <f>IFERROR(VLOOKUP(B797,infoTable__11[],4,FALSE),"")</f>
        <v>631987</v>
      </c>
      <c r="L797" s="4" t="str">
        <f>IFERROR(VLOOKUP(B797,infoTable__12[],4,FALSE),"")</f>
        <v/>
      </c>
      <c r="M797" s="4">
        <f>IFERROR(VLOOKUP(B797,infoTable__13[],4,FALSE),"")</f>
        <v>603705</v>
      </c>
      <c r="N797" s="4" t="str">
        <f>IFERROR(VLOOKUP(B797,infoTable__14[],4,FALSE),"")</f>
        <v/>
      </c>
      <c r="O797" s="4" t="str">
        <f>IFERROR(VLOOKUP(B797,infoTable__15[],4,FALSE),"")</f>
        <v/>
      </c>
      <c r="P797" s="4" t="str">
        <f>IFERROR(VLOOKUP(B797,infoTable__16[],4,FALSE),"")</f>
        <v/>
      </c>
    </row>
    <row r="798" spans="1:16" x14ac:dyDescent="0.55000000000000004">
      <c r="A798" t="s">
        <v>1178</v>
      </c>
      <c r="B798" t="s">
        <v>1179</v>
      </c>
      <c r="C798" s="4" t="str">
        <f>IFERROR(VLOOKUP(B798,infoTable10[],4,FALSE),"")</f>
        <v/>
      </c>
      <c r="D798" s="4" t="str">
        <f>IFERROR(VLOOKUP(B798,infoTable__2[],4,FALSE),"")</f>
        <v/>
      </c>
      <c r="E798" s="4" t="str">
        <f>IFERROR(VLOOKUP(B798,infoTable__3[],4,FALSE),"")</f>
        <v/>
      </c>
      <c r="F798" s="4" t="str">
        <f>IFERROR(VLOOKUP(B798,infoTable__4[],4,FALSE),"")</f>
        <v/>
      </c>
      <c r="G798" s="4" t="str">
        <f>IFERROR(VLOOKUP(B798,infoTable[],4,FALSE),"")</f>
        <v/>
      </c>
      <c r="H798" s="4" t="str">
        <f>IFERROR(VLOOKUP(B798,infoTable__6[],4,FALSE),"")</f>
        <v/>
      </c>
      <c r="I798" s="4">
        <f>IFERROR(VLOOKUP(B798,infoTable__28[],4,FALSE),"")</f>
        <v>280548</v>
      </c>
      <c r="J798" s="4">
        <f>IFERROR(VLOOKUP(B798,infoTable__10[],4,FALSE),"")</f>
        <v>569700</v>
      </c>
      <c r="K798" s="4" t="str">
        <f>IFERROR(VLOOKUP(B798,infoTable__11[],4,FALSE),"")</f>
        <v/>
      </c>
      <c r="L798" s="4" t="str">
        <f>IFERROR(VLOOKUP(B798,infoTable__12[],4,FALSE),"")</f>
        <v/>
      </c>
      <c r="M798" s="4" t="str">
        <f>IFERROR(VLOOKUP(B798,infoTable__13[],4,FALSE),"")</f>
        <v/>
      </c>
      <c r="N798" s="4" t="str">
        <f>IFERROR(VLOOKUP(B798,infoTable__14[],4,FALSE),"")</f>
        <v/>
      </c>
      <c r="O798" s="4">
        <f>IFERROR(VLOOKUP(B798,infoTable__15[],4,FALSE),"")</f>
        <v>449040</v>
      </c>
      <c r="P798" s="4">
        <f>IFERROR(VLOOKUP(B798,infoTable__16[],4,FALSE),"")</f>
        <v>776572</v>
      </c>
    </row>
    <row r="799" spans="1:16" x14ac:dyDescent="0.55000000000000004">
      <c r="A799" t="s">
        <v>913</v>
      </c>
      <c r="B799" t="s">
        <v>914</v>
      </c>
      <c r="C799" s="4" t="str">
        <f>IFERROR(VLOOKUP(B799,infoTable10[],4,FALSE),"")</f>
        <v/>
      </c>
      <c r="D799" s="4" t="str">
        <f>IFERROR(VLOOKUP(B799,infoTable__2[],4,FALSE),"")</f>
        <v/>
      </c>
      <c r="E799" s="4" t="str">
        <f>IFERROR(VLOOKUP(B799,infoTable__3[],4,FALSE),"")</f>
        <v/>
      </c>
      <c r="F799" s="4">
        <f>IFERROR(VLOOKUP(B799,infoTable__4[],4,FALSE),"")</f>
        <v>323481</v>
      </c>
      <c r="G799" s="4" t="str">
        <f>IFERROR(VLOOKUP(B799,infoTable[],4,FALSE),"")</f>
        <v/>
      </c>
      <c r="H799" s="4" t="str">
        <f>IFERROR(VLOOKUP(B799,infoTable__6[],4,FALSE),"")</f>
        <v/>
      </c>
      <c r="I799" s="4" t="str">
        <f>IFERROR(VLOOKUP(B799,infoTable__28[],4,FALSE),"")</f>
        <v/>
      </c>
      <c r="J799" s="4" t="str">
        <f>IFERROR(VLOOKUP(B799,infoTable__10[],4,FALSE),"")</f>
        <v/>
      </c>
      <c r="K799" s="4" t="str">
        <f>IFERROR(VLOOKUP(B799,infoTable__11[],4,FALSE),"")</f>
        <v/>
      </c>
      <c r="L799" s="4" t="str">
        <f>IFERROR(VLOOKUP(B799,infoTable__12[],4,FALSE),"")</f>
        <v/>
      </c>
      <c r="M799" s="4" t="str">
        <f>IFERROR(VLOOKUP(B799,infoTable__13[],4,FALSE),"")</f>
        <v/>
      </c>
      <c r="N799" s="4" t="str">
        <f>IFERROR(VLOOKUP(B799,infoTable__14[],4,FALSE),"")</f>
        <v/>
      </c>
      <c r="O799" s="4" t="str">
        <f>IFERROR(VLOOKUP(B799,infoTable__15[],4,FALSE),"")</f>
        <v/>
      </c>
      <c r="P799" s="4" t="str">
        <f>IFERROR(VLOOKUP(B799,infoTable__16[],4,FALSE),"")</f>
        <v/>
      </c>
    </row>
    <row r="800" spans="1:16" x14ac:dyDescent="0.55000000000000004">
      <c r="A800" t="s">
        <v>2064</v>
      </c>
      <c r="B800" t="s">
        <v>2065</v>
      </c>
      <c r="C800" s="4" t="str">
        <f>IFERROR(VLOOKUP(B800,infoTable10[],4,FALSE),"")</f>
        <v/>
      </c>
      <c r="D800" s="4" t="str">
        <f>IFERROR(VLOOKUP(B800,infoTable__2[],4,FALSE),"")</f>
        <v/>
      </c>
      <c r="E800" s="4" t="str">
        <f>IFERROR(VLOOKUP(B800,infoTable__3[],4,FALSE),"")</f>
        <v/>
      </c>
      <c r="F800" s="4" t="str">
        <f>IFERROR(VLOOKUP(B800,infoTable__4[],4,FALSE),"")</f>
        <v/>
      </c>
      <c r="G800" s="4" t="str">
        <f>IFERROR(VLOOKUP(B800,infoTable[],4,FALSE),"")</f>
        <v/>
      </c>
      <c r="H800" s="4" t="str">
        <f>IFERROR(VLOOKUP(B800,infoTable__6[],4,FALSE),"")</f>
        <v/>
      </c>
      <c r="I800" s="4" t="str">
        <f>IFERROR(VLOOKUP(B800,infoTable__28[],4,FALSE),"")</f>
        <v/>
      </c>
      <c r="J800" s="4" t="str">
        <f>IFERROR(VLOOKUP(B800,infoTable__10[],4,FALSE),"")</f>
        <v/>
      </c>
      <c r="K800" s="4" t="str">
        <f>IFERROR(VLOOKUP(B800,infoTable__11[],4,FALSE),"")</f>
        <v/>
      </c>
      <c r="L800" s="4">
        <f>IFERROR(VLOOKUP(B800,infoTable__12[],4,FALSE),"")</f>
        <v>1491016</v>
      </c>
      <c r="M800" s="4" t="str">
        <f>IFERROR(VLOOKUP(B800,infoTable__13[],4,FALSE),"")</f>
        <v/>
      </c>
      <c r="N800" s="4" t="str">
        <f>IFERROR(VLOOKUP(B800,infoTable__14[],4,FALSE),"")</f>
        <v/>
      </c>
      <c r="O800" s="4" t="str">
        <f>IFERROR(VLOOKUP(B800,infoTable__15[],4,FALSE),"")</f>
        <v/>
      </c>
      <c r="P800" s="4" t="str">
        <f>IFERROR(VLOOKUP(B800,infoTable__16[],4,FALSE),"")</f>
        <v/>
      </c>
    </row>
    <row r="801" spans="1:16" x14ac:dyDescent="0.55000000000000004">
      <c r="A801" t="s">
        <v>934</v>
      </c>
      <c r="B801" t="s">
        <v>935</v>
      </c>
      <c r="C801" s="4" t="str">
        <f>IFERROR(VLOOKUP(B801,infoTable10[],4,FALSE),"")</f>
        <v/>
      </c>
      <c r="D801" s="4" t="str">
        <f>IFERROR(VLOOKUP(B801,infoTable__2[],4,FALSE),"")</f>
        <v/>
      </c>
      <c r="E801" s="4" t="str">
        <f>IFERROR(VLOOKUP(B801,infoTable__3[],4,FALSE),"")</f>
        <v/>
      </c>
      <c r="F801" s="4" t="str">
        <f>IFERROR(VLOOKUP(B801,infoTable__4[],4,FALSE),"")</f>
        <v/>
      </c>
      <c r="G801" s="4" t="str">
        <f>IFERROR(VLOOKUP(B801,infoTable[],4,FALSE),"")</f>
        <v/>
      </c>
      <c r="H801" s="4">
        <f>IFERROR(VLOOKUP(B801,infoTable__6[],4,FALSE),"")</f>
        <v>481516</v>
      </c>
      <c r="I801" s="4">
        <f>IFERROR(VLOOKUP(B801,infoTable__28[],4,FALSE),"")</f>
        <v>1109060</v>
      </c>
      <c r="J801" s="4">
        <f>IFERROR(VLOOKUP(B801,infoTable__10[],4,FALSE),"")</f>
        <v>1238860</v>
      </c>
      <c r="K801" s="4">
        <f>IFERROR(VLOOKUP(B801,infoTable__11[],4,FALSE),"")</f>
        <v>1922339</v>
      </c>
      <c r="L801" s="4">
        <f>IFERROR(VLOOKUP(B801,infoTable__12[],4,FALSE),"")</f>
        <v>1344136</v>
      </c>
      <c r="M801" s="4" t="str">
        <f>IFERROR(VLOOKUP(B801,infoTable__13[],4,FALSE),"")</f>
        <v/>
      </c>
      <c r="N801" s="4">
        <f>IFERROR(VLOOKUP(B801,infoTable__14[],4,FALSE),"")</f>
        <v>132155</v>
      </c>
      <c r="O801" s="4">
        <f>IFERROR(VLOOKUP(B801,infoTable__15[],4,FALSE),"")</f>
        <v>647579</v>
      </c>
      <c r="P801" s="4">
        <f>IFERROR(VLOOKUP(B801,infoTable__16[],4,FALSE),"")</f>
        <v>771896</v>
      </c>
    </row>
    <row r="802" spans="1:16" x14ac:dyDescent="0.55000000000000004">
      <c r="A802" t="s">
        <v>2955</v>
      </c>
      <c r="B802" t="s">
        <v>2956</v>
      </c>
      <c r="C802" s="4" t="str">
        <f>IFERROR(VLOOKUP(B802,infoTable10[],4,FALSE),"")</f>
        <v/>
      </c>
      <c r="D802" s="4" t="str">
        <f>IFERROR(VLOOKUP(B802,infoTable__2[],4,FALSE),"")</f>
        <v/>
      </c>
      <c r="E802" s="4" t="str">
        <f>IFERROR(VLOOKUP(B802,infoTable__3[],4,FALSE),"")</f>
        <v/>
      </c>
      <c r="F802" s="4" t="str">
        <f>IFERROR(VLOOKUP(B802,infoTable__4[],4,FALSE),"")</f>
        <v/>
      </c>
      <c r="G802" s="4" t="str">
        <f>IFERROR(VLOOKUP(B802,infoTable[],4,FALSE),"")</f>
        <v/>
      </c>
      <c r="H802" s="4" t="str">
        <f>IFERROR(VLOOKUP(B802,infoTable__6[],4,FALSE),"")</f>
        <v/>
      </c>
      <c r="I802" s="4" t="str">
        <f>IFERROR(VLOOKUP(B802,infoTable__28[],4,FALSE),"")</f>
        <v/>
      </c>
      <c r="J802" s="4" t="str">
        <f>IFERROR(VLOOKUP(B802,infoTable__10[],4,FALSE),"")</f>
        <v/>
      </c>
      <c r="K802" s="4" t="str">
        <f>IFERROR(VLOOKUP(B802,infoTable__11[],4,FALSE),"")</f>
        <v/>
      </c>
      <c r="L802" s="4" t="str">
        <f>IFERROR(VLOOKUP(B802,infoTable__12[],4,FALSE),"")</f>
        <v/>
      </c>
      <c r="M802" s="4" t="str">
        <f>IFERROR(VLOOKUP(B802,infoTable__13[],4,FALSE),"")</f>
        <v/>
      </c>
      <c r="N802" s="4" t="str">
        <f>IFERROR(VLOOKUP(B802,infoTable__14[],4,FALSE),"")</f>
        <v/>
      </c>
      <c r="O802" s="4">
        <f>IFERROR(VLOOKUP(B802,infoTable__15[],4,FALSE),"")</f>
        <v>896500</v>
      </c>
      <c r="P802" s="4">
        <f>IFERROR(VLOOKUP(B802,infoTable__16[],4,FALSE),"")</f>
        <v>1463589</v>
      </c>
    </row>
    <row r="803" spans="1:16" x14ac:dyDescent="0.55000000000000004">
      <c r="A803" t="s">
        <v>1818</v>
      </c>
      <c r="B803" t="s">
        <v>1819</v>
      </c>
      <c r="C803" s="4" t="str">
        <f>IFERROR(VLOOKUP(B803,infoTable10[],4,FALSE),"")</f>
        <v/>
      </c>
      <c r="D803" s="4" t="str">
        <f>IFERROR(VLOOKUP(B803,infoTable__2[],4,FALSE),"")</f>
        <v/>
      </c>
      <c r="E803" s="4" t="str">
        <f>IFERROR(VLOOKUP(B803,infoTable__3[],4,FALSE),"")</f>
        <v/>
      </c>
      <c r="F803" s="4" t="str">
        <f>IFERROR(VLOOKUP(B803,infoTable__4[],4,FALSE),"")</f>
        <v/>
      </c>
      <c r="G803" s="4" t="str">
        <f>IFERROR(VLOOKUP(B803,infoTable[],4,FALSE),"")</f>
        <v/>
      </c>
      <c r="H803" s="4" t="str">
        <f>IFERROR(VLOOKUP(B803,infoTable__6[],4,FALSE),"")</f>
        <v/>
      </c>
      <c r="I803" s="4" t="str">
        <f>IFERROR(VLOOKUP(B803,infoTable__28[],4,FALSE),"")</f>
        <v/>
      </c>
      <c r="J803" s="4" t="str">
        <f>IFERROR(VLOOKUP(B803,infoTable__10[],4,FALSE),"")</f>
        <v/>
      </c>
      <c r="K803" s="4">
        <f>IFERROR(VLOOKUP(B803,infoTable__11[],4,FALSE),"")</f>
        <v>2357249</v>
      </c>
      <c r="L803" s="4">
        <f>IFERROR(VLOOKUP(B803,infoTable__12[],4,FALSE),"")</f>
        <v>1558282</v>
      </c>
      <c r="M803" s="4">
        <f>IFERROR(VLOOKUP(B803,infoTable__13[],4,FALSE),"")</f>
        <v>1973475</v>
      </c>
      <c r="N803" s="4">
        <f>IFERROR(VLOOKUP(B803,infoTable__14[],4,FALSE),"")</f>
        <v>1374667</v>
      </c>
      <c r="O803" s="4">
        <f>IFERROR(VLOOKUP(B803,infoTable__15[],4,FALSE),"")</f>
        <v>814077</v>
      </c>
      <c r="P803" s="4">
        <f>IFERROR(VLOOKUP(B803,infoTable__16[],4,FALSE),"")</f>
        <v>3075934</v>
      </c>
    </row>
    <row r="804" spans="1:16" x14ac:dyDescent="0.55000000000000004">
      <c r="A804" t="s">
        <v>497</v>
      </c>
      <c r="B804" t="s">
        <v>498</v>
      </c>
      <c r="C804" s="4" t="str">
        <f>IFERROR(VLOOKUP(B804,infoTable10[],4,FALSE),"")</f>
        <v/>
      </c>
      <c r="D804" s="4">
        <f>IFERROR(VLOOKUP(B804,infoTable__2[],4,FALSE),"")</f>
        <v>8446666</v>
      </c>
      <c r="E804" s="4">
        <f>IFERROR(VLOOKUP(B804,infoTable__3[],4,FALSE),"")</f>
        <v>7690187</v>
      </c>
      <c r="F804" s="4" t="str">
        <f>IFERROR(VLOOKUP(B804,infoTable__4[],4,FALSE),"")</f>
        <v/>
      </c>
      <c r="G804" s="4" t="str">
        <f>IFERROR(VLOOKUP(B804,infoTable[],4,FALSE),"")</f>
        <v/>
      </c>
      <c r="H804" s="4" t="str">
        <f>IFERROR(VLOOKUP(B804,infoTable__6[],4,FALSE),"")</f>
        <v/>
      </c>
      <c r="I804" s="4" t="str">
        <f>IFERROR(VLOOKUP(B804,infoTable__28[],4,FALSE),"")</f>
        <v/>
      </c>
      <c r="J804" s="4" t="str">
        <f>IFERROR(VLOOKUP(B804,infoTable__10[],4,FALSE),"")</f>
        <v/>
      </c>
      <c r="K804" s="4" t="str">
        <f>IFERROR(VLOOKUP(B804,infoTable__11[],4,FALSE),"")</f>
        <v/>
      </c>
      <c r="L804" s="4" t="str">
        <f>IFERROR(VLOOKUP(B804,infoTable__12[],4,FALSE),"")</f>
        <v/>
      </c>
      <c r="M804" s="4">
        <f>IFERROR(VLOOKUP(B804,infoTable__13[],4,FALSE),"")</f>
        <v>882473</v>
      </c>
      <c r="N804" s="4">
        <f>IFERROR(VLOOKUP(B804,infoTable__14[],4,FALSE),"")</f>
        <v>446931</v>
      </c>
      <c r="O804" s="4">
        <f>IFERROR(VLOOKUP(B804,infoTable__15[],4,FALSE),"")</f>
        <v>250498</v>
      </c>
      <c r="P804" s="4" t="str">
        <f>IFERROR(VLOOKUP(B804,infoTable__16[],4,FALSE),"")</f>
        <v/>
      </c>
    </row>
    <row r="805" spans="1:16" x14ac:dyDescent="0.55000000000000004">
      <c r="A805" t="s">
        <v>2783</v>
      </c>
      <c r="B805" t="s">
        <v>2782</v>
      </c>
      <c r="C805" s="4" t="str">
        <f>IFERROR(VLOOKUP(B805,infoTable10[],4,FALSE),"")</f>
        <v/>
      </c>
      <c r="D805" s="4" t="str">
        <f>IFERROR(VLOOKUP(B805,infoTable__2[],4,FALSE),"")</f>
        <v/>
      </c>
      <c r="E805" s="4" t="str">
        <f>IFERROR(VLOOKUP(B805,infoTable__3[],4,FALSE),"")</f>
        <v/>
      </c>
      <c r="F805" s="4" t="str">
        <f>IFERROR(VLOOKUP(B805,infoTable__4[],4,FALSE),"")</f>
        <v/>
      </c>
      <c r="G805" s="4" t="str">
        <f>IFERROR(VLOOKUP(B805,infoTable[],4,FALSE),"")</f>
        <v/>
      </c>
      <c r="H805" s="4" t="str">
        <f>IFERROR(VLOOKUP(B805,infoTable__6[],4,FALSE),"")</f>
        <v/>
      </c>
      <c r="I805" s="4" t="str">
        <f>IFERROR(VLOOKUP(B805,infoTable__28[],4,FALSE),"")</f>
        <v/>
      </c>
      <c r="J805" s="4" t="str">
        <f>IFERROR(VLOOKUP(B805,infoTable__10[],4,FALSE),"")</f>
        <v/>
      </c>
      <c r="K805" s="4" t="str">
        <f>IFERROR(VLOOKUP(B805,infoTable__11[],4,FALSE),"")</f>
        <v/>
      </c>
      <c r="L805" s="4" t="str">
        <f>IFERROR(VLOOKUP(B805,infoTable__12[],4,FALSE),"")</f>
        <v/>
      </c>
      <c r="M805" s="4" t="str">
        <f>IFERROR(VLOOKUP(B805,infoTable__13[],4,FALSE),"")</f>
        <v/>
      </c>
      <c r="N805" s="4">
        <f>IFERROR(VLOOKUP(B805,infoTable__14[],4,FALSE),"")</f>
        <v>189761</v>
      </c>
      <c r="O805" s="4" t="str">
        <f>IFERROR(VLOOKUP(B805,infoTable__15[],4,FALSE),"")</f>
        <v/>
      </c>
      <c r="P805" s="4" t="str">
        <f>IFERROR(VLOOKUP(B805,infoTable__16[],4,FALSE),"")</f>
        <v/>
      </c>
    </row>
    <row r="806" spans="1:16" x14ac:dyDescent="0.55000000000000004">
      <c r="A806" t="s">
        <v>936</v>
      </c>
      <c r="B806" t="s">
        <v>937</v>
      </c>
      <c r="C806" s="4" t="str">
        <f>IFERROR(VLOOKUP(B806,infoTable10[],4,FALSE),"")</f>
        <v/>
      </c>
      <c r="D806" s="4" t="str">
        <f>IFERROR(VLOOKUP(B806,infoTable__2[],4,FALSE),"")</f>
        <v/>
      </c>
      <c r="E806" s="4" t="str">
        <f>IFERROR(VLOOKUP(B806,infoTable__3[],4,FALSE),"")</f>
        <v/>
      </c>
      <c r="F806" s="4" t="str">
        <f>IFERROR(VLOOKUP(B806,infoTable__4[],4,FALSE),"")</f>
        <v/>
      </c>
      <c r="G806" s="4" t="str">
        <f>IFERROR(VLOOKUP(B806,infoTable[],4,FALSE),"")</f>
        <v/>
      </c>
      <c r="H806" s="4">
        <f>IFERROR(VLOOKUP(B806,infoTable__6[],4,FALSE),"")</f>
        <v>682208</v>
      </c>
      <c r="I806" s="4">
        <f>IFERROR(VLOOKUP(B806,infoTable__28[],4,FALSE),"")</f>
        <v>630592</v>
      </c>
      <c r="J806" s="4" t="str">
        <f>IFERROR(VLOOKUP(B806,infoTable__10[],4,FALSE),"")</f>
        <v/>
      </c>
      <c r="K806" s="4" t="str">
        <f>IFERROR(VLOOKUP(B806,infoTable__11[],4,FALSE),"")</f>
        <v/>
      </c>
      <c r="L806" s="4" t="str">
        <f>IFERROR(VLOOKUP(B806,infoTable__12[],4,FALSE),"")</f>
        <v/>
      </c>
      <c r="M806" s="4" t="str">
        <f>IFERROR(VLOOKUP(B806,infoTable__13[],4,FALSE),"")</f>
        <v/>
      </c>
      <c r="N806" s="4">
        <f>IFERROR(VLOOKUP(B806,infoTable__14[],4,FALSE),"")</f>
        <v>327027</v>
      </c>
      <c r="O806" s="4">
        <f>IFERROR(VLOOKUP(B806,infoTable__15[],4,FALSE),"")</f>
        <v>157558</v>
      </c>
      <c r="P806" s="4">
        <f>IFERROR(VLOOKUP(B806,infoTable__16[],4,FALSE),"")</f>
        <v>507564</v>
      </c>
    </row>
    <row r="807" spans="1:16" x14ac:dyDescent="0.55000000000000004">
      <c r="A807" t="s">
        <v>5</v>
      </c>
      <c r="B807" t="s">
        <v>7</v>
      </c>
      <c r="C807" s="4" t="str">
        <f>IFERROR(VLOOKUP(B807,infoTable10[],4,FALSE),"")</f>
        <v/>
      </c>
      <c r="D807" s="4" t="str">
        <f>IFERROR(VLOOKUP(B807,infoTable__2[],4,FALSE),"")</f>
        <v/>
      </c>
      <c r="E807" s="4" t="str">
        <f>IFERROR(VLOOKUP(B807,infoTable__3[],4,FALSE),"")</f>
        <v/>
      </c>
      <c r="F807" s="4" t="str">
        <f>IFERROR(VLOOKUP(B807,infoTable__4[],4,FALSE),"")</f>
        <v/>
      </c>
      <c r="G807" s="4">
        <f>IFERROR(VLOOKUP(B807,infoTable[],4,FALSE),"")</f>
        <v>2452676</v>
      </c>
      <c r="H807" s="4">
        <f>IFERROR(VLOOKUP(B807,infoTable__6[],4,FALSE),"")</f>
        <v>2336873</v>
      </c>
      <c r="I807" s="4" t="str">
        <f>IFERROR(VLOOKUP(B807,infoTable__28[],4,FALSE),"")</f>
        <v/>
      </c>
      <c r="J807" s="4" t="str">
        <f>IFERROR(VLOOKUP(B807,infoTable__10[],4,FALSE),"")</f>
        <v/>
      </c>
      <c r="K807" s="4" t="str">
        <f>IFERROR(VLOOKUP(B807,infoTable__11[],4,FALSE),"")</f>
        <v/>
      </c>
      <c r="L807" s="4" t="str">
        <f>IFERROR(VLOOKUP(B807,infoTable__12[],4,FALSE),"")</f>
        <v/>
      </c>
      <c r="M807" s="4" t="str">
        <f>IFERROR(VLOOKUP(B807,infoTable__13[],4,FALSE),"")</f>
        <v/>
      </c>
      <c r="N807" s="4" t="str">
        <f>IFERROR(VLOOKUP(B807,infoTable__14[],4,FALSE),"")</f>
        <v/>
      </c>
      <c r="O807" s="4" t="str">
        <f>IFERROR(VLOOKUP(B807,infoTable__15[],4,FALSE),"")</f>
        <v/>
      </c>
      <c r="P807" s="4" t="str">
        <f>IFERROR(VLOOKUP(B807,infoTable__16[],4,FALSE),"")</f>
        <v/>
      </c>
    </row>
    <row r="808" spans="1:16" x14ac:dyDescent="0.55000000000000004">
      <c r="A808" t="s">
        <v>2400</v>
      </c>
      <c r="B808" t="s">
        <v>2401</v>
      </c>
      <c r="C808" s="4" t="str">
        <f>IFERROR(VLOOKUP(B808,infoTable10[],4,FALSE),"")</f>
        <v/>
      </c>
      <c r="D808" s="4" t="str">
        <f>IFERROR(VLOOKUP(B808,infoTable__2[],4,FALSE),"")</f>
        <v/>
      </c>
      <c r="E808" s="4" t="str">
        <f>IFERROR(VLOOKUP(B808,infoTable__3[],4,FALSE),"")</f>
        <v/>
      </c>
      <c r="F808" s="4" t="str">
        <f>IFERROR(VLOOKUP(B808,infoTable__4[],4,FALSE),"")</f>
        <v/>
      </c>
      <c r="G808" s="4" t="str">
        <f>IFERROR(VLOOKUP(B808,infoTable[],4,FALSE),"")</f>
        <v/>
      </c>
      <c r="H808" s="4" t="str">
        <f>IFERROR(VLOOKUP(B808,infoTable__6[],4,FALSE),"")</f>
        <v/>
      </c>
      <c r="I808" s="4" t="str">
        <f>IFERROR(VLOOKUP(B808,infoTable__28[],4,FALSE),"")</f>
        <v/>
      </c>
      <c r="J808" s="4" t="str">
        <f>IFERROR(VLOOKUP(B808,infoTable__10[],4,FALSE),"")</f>
        <v/>
      </c>
      <c r="K808" s="4" t="str">
        <f>IFERROR(VLOOKUP(B808,infoTable__11[],4,FALSE),"")</f>
        <v/>
      </c>
      <c r="L808" s="4" t="str">
        <f>IFERROR(VLOOKUP(B808,infoTable__12[],4,FALSE),"")</f>
        <v/>
      </c>
      <c r="M808" s="4">
        <f>IFERROR(VLOOKUP(B808,infoTable__13[],4,FALSE),"")</f>
        <v>794686</v>
      </c>
      <c r="N808" s="4">
        <f>IFERROR(VLOOKUP(B808,infoTable__14[],4,FALSE),"")</f>
        <v>154556</v>
      </c>
      <c r="O808" s="4" t="str">
        <f>IFERROR(VLOOKUP(B808,infoTable__15[],4,FALSE),"")</f>
        <v/>
      </c>
      <c r="P808" s="4" t="str">
        <f>IFERROR(VLOOKUP(B808,infoTable__16[],4,FALSE),"")</f>
        <v/>
      </c>
    </row>
    <row r="809" spans="1:16" x14ac:dyDescent="0.55000000000000004">
      <c r="A809" t="s">
        <v>2404</v>
      </c>
      <c r="B809" t="s">
        <v>2405</v>
      </c>
      <c r="C809" s="4" t="str">
        <f>IFERROR(VLOOKUP(B809,infoTable10[],4,FALSE),"")</f>
        <v/>
      </c>
      <c r="D809" s="4" t="str">
        <f>IFERROR(VLOOKUP(B809,infoTable__2[],4,FALSE),"")</f>
        <v/>
      </c>
      <c r="E809" s="4" t="str">
        <f>IFERROR(VLOOKUP(B809,infoTable__3[],4,FALSE),"")</f>
        <v/>
      </c>
      <c r="F809" s="4" t="str">
        <f>IFERROR(VLOOKUP(B809,infoTable__4[],4,FALSE),"")</f>
        <v/>
      </c>
      <c r="G809" s="4" t="str">
        <f>IFERROR(VLOOKUP(B809,infoTable[],4,FALSE),"")</f>
        <v/>
      </c>
      <c r="H809" s="4" t="str">
        <f>IFERROR(VLOOKUP(B809,infoTable__6[],4,FALSE),"")</f>
        <v/>
      </c>
      <c r="I809" s="4" t="str">
        <f>IFERROR(VLOOKUP(B809,infoTable__28[],4,FALSE),"")</f>
        <v/>
      </c>
      <c r="J809" s="4" t="str">
        <f>IFERROR(VLOOKUP(B809,infoTable__10[],4,FALSE),"")</f>
        <v/>
      </c>
      <c r="K809" s="4" t="str">
        <f>IFERROR(VLOOKUP(B809,infoTable__11[],4,FALSE),"")</f>
        <v/>
      </c>
      <c r="L809" s="4" t="str">
        <f>IFERROR(VLOOKUP(B809,infoTable__12[],4,FALSE),"")</f>
        <v/>
      </c>
      <c r="M809" s="4">
        <f>IFERROR(VLOOKUP(B809,infoTable__13[],4,FALSE),"")</f>
        <v>7242982</v>
      </c>
      <c r="N809" s="4">
        <f>IFERROR(VLOOKUP(B809,infoTable__14[],4,FALSE),"")</f>
        <v>684619</v>
      </c>
      <c r="O809" s="4" t="str">
        <f>IFERROR(VLOOKUP(B809,infoTable__15[],4,FALSE),"")</f>
        <v/>
      </c>
      <c r="P809" s="4" t="str">
        <f>IFERROR(VLOOKUP(B809,infoTable__16[],4,FALSE),"")</f>
        <v/>
      </c>
    </row>
    <row r="810" spans="1:16" x14ac:dyDescent="0.55000000000000004">
      <c r="A810" t="s">
        <v>1820</v>
      </c>
      <c r="B810" t="s">
        <v>1821</v>
      </c>
      <c r="C810" s="4" t="str">
        <f>IFERROR(VLOOKUP(B810,infoTable10[],4,FALSE),"")</f>
        <v/>
      </c>
      <c r="D810" s="4" t="str">
        <f>IFERROR(VLOOKUP(B810,infoTable__2[],4,FALSE),"")</f>
        <v/>
      </c>
      <c r="E810" s="4" t="str">
        <f>IFERROR(VLOOKUP(B810,infoTable__3[],4,FALSE),"")</f>
        <v/>
      </c>
      <c r="F810" s="4" t="str">
        <f>IFERROR(VLOOKUP(B810,infoTable__4[],4,FALSE),"")</f>
        <v/>
      </c>
      <c r="G810" s="4" t="str">
        <f>IFERROR(VLOOKUP(B810,infoTable[],4,FALSE),"")</f>
        <v/>
      </c>
      <c r="H810" s="4" t="str">
        <f>IFERROR(VLOOKUP(B810,infoTable__6[],4,FALSE),"")</f>
        <v/>
      </c>
      <c r="I810" s="4" t="str">
        <f>IFERROR(VLOOKUP(B810,infoTable__28[],4,FALSE),"")</f>
        <v/>
      </c>
      <c r="J810" s="4" t="str">
        <f>IFERROR(VLOOKUP(B810,infoTable__10[],4,FALSE),"")</f>
        <v/>
      </c>
      <c r="K810" s="4">
        <f>IFERROR(VLOOKUP(B810,infoTable__11[],4,FALSE),"")</f>
        <v>107768</v>
      </c>
      <c r="L810" s="4" t="str">
        <f>IFERROR(VLOOKUP(B810,infoTable__12[],4,FALSE),"")</f>
        <v/>
      </c>
      <c r="M810" s="4" t="str">
        <f>IFERROR(VLOOKUP(B810,infoTable__13[],4,FALSE),"")</f>
        <v/>
      </c>
      <c r="N810" s="4">
        <f>IFERROR(VLOOKUP(B810,infoTable__14[],4,FALSE),"")</f>
        <v>411587</v>
      </c>
      <c r="O810" s="4">
        <f>IFERROR(VLOOKUP(B810,infoTable__15[],4,FALSE),"")</f>
        <v>845772</v>
      </c>
      <c r="P810" s="4" t="str">
        <f>IFERROR(VLOOKUP(B810,infoTable__16[],4,FALSE),"")</f>
        <v/>
      </c>
    </row>
    <row r="811" spans="1:16" x14ac:dyDescent="0.55000000000000004">
      <c r="A811" t="s">
        <v>9</v>
      </c>
      <c r="B811" t="s">
        <v>11</v>
      </c>
      <c r="C811" s="4" t="str">
        <f>IFERROR(VLOOKUP(B811,infoTable10[],4,FALSE),"")</f>
        <v/>
      </c>
      <c r="D811" s="4" t="str">
        <f>IFERROR(VLOOKUP(B811,infoTable__2[],4,FALSE),"")</f>
        <v/>
      </c>
      <c r="E811" s="4" t="str">
        <f>IFERROR(VLOOKUP(B811,infoTable__3[],4,FALSE),"")</f>
        <v/>
      </c>
      <c r="F811" s="4" t="str">
        <f>IFERROR(VLOOKUP(B811,infoTable__4[],4,FALSE),"")</f>
        <v/>
      </c>
      <c r="G811" s="4">
        <f>IFERROR(VLOOKUP(B811,infoTable[],4,FALSE),"")</f>
        <v>222767</v>
      </c>
      <c r="H811" s="4">
        <f>IFERROR(VLOOKUP(B811,infoTable__6[],4,FALSE),"")</f>
        <v>1323547</v>
      </c>
      <c r="I811" s="4">
        <f>IFERROR(VLOOKUP(B811,infoTable__28[],4,FALSE),"")</f>
        <v>186968</v>
      </c>
      <c r="J811" s="4" t="str">
        <f>IFERROR(VLOOKUP(B811,infoTable__10[],4,FALSE),"")</f>
        <v/>
      </c>
      <c r="K811" s="4" t="str">
        <f>IFERROR(VLOOKUP(B811,infoTable__11[],4,FALSE),"")</f>
        <v/>
      </c>
      <c r="L811" s="4" t="str">
        <f>IFERROR(VLOOKUP(B811,infoTable__12[],4,FALSE),"")</f>
        <v/>
      </c>
      <c r="M811" s="4" t="str">
        <f>IFERROR(VLOOKUP(B811,infoTable__13[],4,FALSE),"")</f>
        <v/>
      </c>
      <c r="N811" s="4" t="str">
        <f>IFERROR(VLOOKUP(B811,infoTable__14[],4,FALSE),"")</f>
        <v/>
      </c>
      <c r="O811" s="4" t="str">
        <f>IFERROR(VLOOKUP(B811,infoTable__15[],4,FALSE),"")</f>
        <v/>
      </c>
      <c r="P811" s="4" t="str">
        <f>IFERROR(VLOOKUP(B811,infoTable__16[],4,FALSE),"")</f>
        <v/>
      </c>
    </row>
    <row r="812" spans="1:16" x14ac:dyDescent="0.55000000000000004">
      <c r="A812" t="s">
        <v>499</v>
      </c>
      <c r="B812" t="s">
        <v>500</v>
      </c>
      <c r="C812" s="4" t="str">
        <f>IFERROR(VLOOKUP(B812,infoTable10[],4,FALSE),"")</f>
        <v/>
      </c>
      <c r="D812" s="4">
        <f>IFERROR(VLOOKUP(B812,infoTable__2[],4,FALSE),"")</f>
        <v>438715</v>
      </c>
      <c r="E812" s="4" t="str">
        <f>IFERROR(VLOOKUP(B812,infoTable__3[],4,FALSE),"")</f>
        <v/>
      </c>
      <c r="F812" s="4" t="str">
        <f>IFERROR(VLOOKUP(B812,infoTable__4[],4,FALSE),"")</f>
        <v/>
      </c>
      <c r="G812" s="4" t="str">
        <f>IFERROR(VLOOKUP(B812,infoTable[],4,FALSE),"")</f>
        <v/>
      </c>
      <c r="H812" s="4" t="str">
        <f>IFERROR(VLOOKUP(B812,infoTable__6[],4,FALSE),"")</f>
        <v/>
      </c>
      <c r="I812" s="4" t="str">
        <f>IFERROR(VLOOKUP(B812,infoTable__28[],4,FALSE),"")</f>
        <v/>
      </c>
      <c r="J812" s="4" t="str">
        <f>IFERROR(VLOOKUP(B812,infoTable__10[],4,FALSE),"")</f>
        <v/>
      </c>
      <c r="K812" s="4" t="str">
        <f>IFERROR(VLOOKUP(B812,infoTable__11[],4,FALSE),"")</f>
        <v/>
      </c>
      <c r="L812" s="4" t="str">
        <f>IFERROR(VLOOKUP(B812,infoTable__12[],4,FALSE),"")</f>
        <v/>
      </c>
      <c r="M812" s="4" t="str">
        <f>IFERROR(VLOOKUP(B812,infoTable__13[],4,FALSE),"")</f>
        <v/>
      </c>
      <c r="N812" s="4" t="str">
        <f>IFERROR(VLOOKUP(B812,infoTable__14[],4,FALSE),"")</f>
        <v/>
      </c>
      <c r="O812" s="4" t="str">
        <f>IFERROR(VLOOKUP(B812,infoTable__15[],4,FALSE),"")</f>
        <v/>
      </c>
      <c r="P812" s="4">
        <f>IFERROR(VLOOKUP(B812,infoTable__16[],4,FALSE),"")</f>
        <v>233146</v>
      </c>
    </row>
    <row r="813" spans="1:16" x14ac:dyDescent="0.55000000000000004">
      <c r="A813" t="s">
        <v>2072</v>
      </c>
      <c r="B813" t="s">
        <v>2073</v>
      </c>
      <c r="C813" s="4" t="str">
        <f>IFERROR(VLOOKUP(B813,infoTable10[],4,FALSE),"")</f>
        <v/>
      </c>
      <c r="D813" s="4" t="str">
        <f>IFERROR(VLOOKUP(B813,infoTable__2[],4,FALSE),"")</f>
        <v/>
      </c>
      <c r="E813" s="4" t="str">
        <f>IFERROR(VLOOKUP(B813,infoTable__3[],4,FALSE),"")</f>
        <v/>
      </c>
      <c r="F813" s="4" t="str">
        <f>IFERROR(VLOOKUP(B813,infoTable__4[],4,FALSE),"")</f>
        <v/>
      </c>
      <c r="G813" s="4" t="str">
        <f>IFERROR(VLOOKUP(B813,infoTable[],4,FALSE),"")</f>
        <v/>
      </c>
      <c r="H813" s="4" t="str">
        <f>IFERROR(VLOOKUP(B813,infoTable__6[],4,FALSE),"")</f>
        <v/>
      </c>
      <c r="I813" s="4" t="str">
        <f>IFERROR(VLOOKUP(B813,infoTable__28[],4,FALSE),"")</f>
        <v/>
      </c>
      <c r="J813" s="4" t="str">
        <f>IFERROR(VLOOKUP(B813,infoTable__10[],4,FALSE),"")</f>
        <v/>
      </c>
      <c r="K813" s="4" t="str">
        <f>IFERROR(VLOOKUP(B813,infoTable__11[],4,FALSE),"")</f>
        <v/>
      </c>
      <c r="L813" s="4">
        <f>IFERROR(VLOOKUP(B813,infoTable__12[],4,FALSE),"")</f>
        <v>232393</v>
      </c>
      <c r="M813" s="4" t="str">
        <f>IFERROR(VLOOKUP(B813,infoTable__13[],4,FALSE),"")</f>
        <v/>
      </c>
      <c r="N813" s="4">
        <f>IFERROR(VLOOKUP(B813,infoTable__14[],4,FALSE),"")</f>
        <v>204773</v>
      </c>
      <c r="O813" s="4">
        <f>IFERROR(VLOOKUP(B813,infoTable__15[],4,FALSE),"")</f>
        <v>207071</v>
      </c>
      <c r="P813" s="4">
        <f>IFERROR(VLOOKUP(B813,infoTable__16[],4,FALSE),"")</f>
        <v>228612</v>
      </c>
    </row>
    <row r="814" spans="1:16" x14ac:dyDescent="0.55000000000000004">
      <c r="A814" t="s">
        <v>1598</v>
      </c>
      <c r="B814" t="s">
        <v>1599</v>
      </c>
      <c r="C814" s="4" t="str">
        <f>IFERROR(VLOOKUP(B814,infoTable10[],4,FALSE),"")</f>
        <v/>
      </c>
      <c r="D814" s="4" t="str">
        <f>IFERROR(VLOOKUP(B814,infoTable__2[],4,FALSE),"")</f>
        <v/>
      </c>
      <c r="E814" s="4" t="str">
        <f>IFERROR(VLOOKUP(B814,infoTable__3[],4,FALSE),"")</f>
        <v/>
      </c>
      <c r="F814" s="4" t="str">
        <f>IFERROR(VLOOKUP(B814,infoTable__4[],4,FALSE),"")</f>
        <v/>
      </c>
      <c r="G814" s="4" t="str">
        <f>IFERROR(VLOOKUP(B814,infoTable[],4,FALSE),"")</f>
        <v/>
      </c>
      <c r="H814" s="4" t="str">
        <f>IFERROR(VLOOKUP(B814,infoTable__6[],4,FALSE),"")</f>
        <v/>
      </c>
      <c r="I814" s="4" t="str">
        <f>IFERROR(VLOOKUP(B814,infoTable__28[],4,FALSE),"")</f>
        <v/>
      </c>
      <c r="J814" s="4">
        <f>IFERROR(VLOOKUP(B814,infoTable__10[],4,FALSE),"")</f>
        <v>1284385</v>
      </c>
      <c r="K814" s="4">
        <f>IFERROR(VLOOKUP(B814,infoTable__11[],4,FALSE),"")</f>
        <v>1092859</v>
      </c>
      <c r="L814" s="4">
        <f>IFERROR(VLOOKUP(B814,infoTable__12[],4,FALSE),"")</f>
        <v>1387674</v>
      </c>
      <c r="M814" s="4" t="str">
        <f>IFERROR(VLOOKUP(B814,infoTable__13[],4,FALSE),"")</f>
        <v/>
      </c>
      <c r="N814" s="4" t="str">
        <f>IFERROR(VLOOKUP(B814,infoTable__14[],4,FALSE),"")</f>
        <v/>
      </c>
      <c r="O814" s="4" t="str">
        <f>IFERROR(VLOOKUP(B814,infoTable__15[],4,FALSE),"")</f>
        <v/>
      </c>
      <c r="P814" s="4" t="str">
        <f>IFERROR(VLOOKUP(B814,infoTable__16[],4,FALSE),"")</f>
        <v/>
      </c>
    </row>
    <row r="815" spans="1:16" x14ac:dyDescent="0.55000000000000004">
      <c r="A815" t="s">
        <v>942</v>
      </c>
      <c r="B815" t="s">
        <v>943</v>
      </c>
      <c r="C815" s="4" t="str">
        <f>IFERROR(VLOOKUP(B815,infoTable10[],4,FALSE),"")</f>
        <v/>
      </c>
      <c r="D815" s="4" t="str">
        <f>IFERROR(VLOOKUP(B815,infoTable__2[],4,FALSE),"")</f>
        <v/>
      </c>
      <c r="E815" s="4" t="str">
        <f>IFERROR(VLOOKUP(B815,infoTable__3[],4,FALSE),"")</f>
        <v/>
      </c>
      <c r="F815" s="4" t="str">
        <f>IFERROR(VLOOKUP(B815,infoTable__4[],4,FALSE),"")</f>
        <v/>
      </c>
      <c r="G815" s="4" t="str">
        <f>IFERROR(VLOOKUP(B815,infoTable[],4,FALSE),"")</f>
        <v/>
      </c>
      <c r="H815" s="4">
        <f>IFERROR(VLOOKUP(B815,infoTable__6[],4,FALSE),"")</f>
        <v>206560</v>
      </c>
      <c r="I815" s="4" t="str">
        <f>IFERROR(VLOOKUP(B815,infoTable__28[],4,FALSE),"")</f>
        <v/>
      </c>
      <c r="J815" s="4" t="str">
        <f>IFERROR(VLOOKUP(B815,infoTable__10[],4,FALSE),"")</f>
        <v/>
      </c>
      <c r="K815" s="4" t="str">
        <f>IFERROR(VLOOKUP(B815,infoTable__11[],4,FALSE),"")</f>
        <v/>
      </c>
      <c r="L815" s="4" t="str">
        <f>IFERROR(VLOOKUP(B815,infoTable__12[],4,FALSE),"")</f>
        <v/>
      </c>
      <c r="M815" s="4" t="str">
        <f>IFERROR(VLOOKUP(B815,infoTable__13[],4,FALSE),"")</f>
        <v/>
      </c>
      <c r="N815" s="4" t="str">
        <f>IFERROR(VLOOKUP(B815,infoTable__14[],4,FALSE),"")</f>
        <v/>
      </c>
      <c r="O815" s="4" t="str">
        <f>IFERROR(VLOOKUP(B815,infoTable__15[],4,FALSE),"")</f>
        <v/>
      </c>
      <c r="P815" s="4" t="str">
        <f>IFERROR(VLOOKUP(B815,infoTable__16[],4,FALSE),"")</f>
        <v/>
      </c>
    </row>
    <row r="816" spans="1:16" x14ac:dyDescent="0.55000000000000004">
      <c r="A816" t="s">
        <v>1604</v>
      </c>
      <c r="B816" t="s">
        <v>1605</v>
      </c>
      <c r="C816" s="4" t="str">
        <f>IFERROR(VLOOKUP(B816,infoTable10[],4,FALSE),"")</f>
        <v/>
      </c>
      <c r="D816" s="4" t="str">
        <f>IFERROR(VLOOKUP(B816,infoTable__2[],4,FALSE),"")</f>
        <v/>
      </c>
      <c r="E816" s="4" t="str">
        <f>IFERROR(VLOOKUP(B816,infoTable__3[],4,FALSE),"")</f>
        <v/>
      </c>
      <c r="F816" s="4" t="str">
        <f>IFERROR(VLOOKUP(B816,infoTable__4[],4,FALSE),"")</f>
        <v/>
      </c>
      <c r="G816" s="4" t="str">
        <f>IFERROR(VLOOKUP(B816,infoTable[],4,FALSE),"")</f>
        <v/>
      </c>
      <c r="H816" s="4" t="str">
        <f>IFERROR(VLOOKUP(B816,infoTable__6[],4,FALSE),"")</f>
        <v/>
      </c>
      <c r="I816" s="4" t="str">
        <f>IFERROR(VLOOKUP(B816,infoTable__28[],4,FALSE),"")</f>
        <v/>
      </c>
      <c r="J816" s="4">
        <f>IFERROR(VLOOKUP(B816,infoTable__10[],4,FALSE),"")</f>
        <v>1327762</v>
      </c>
      <c r="K816" s="4">
        <f>IFERROR(VLOOKUP(B816,infoTable__11[],4,FALSE),"")</f>
        <v>378125</v>
      </c>
      <c r="L816" s="4" t="str">
        <f>IFERROR(VLOOKUP(B816,infoTable__12[],4,FALSE),"")</f>
        <v/>
      </c>
      <c r="M816" s="4">
        <f>IFERROR(VLOOKUP(B816,infoTable__13[],4,FALSE),"")</f>
        <v>656961</v>
      </c>
      <c r="N816" s="4" t="str">
        <f>IFERROR(VLOOKUP(B816,infoTable__14[],4,FALSE),"")</f>
        <v/>
      </c>
      <c r="O816" s="4">
        <f>IFERROR(VLOOKUP(B816,infoTable__15[],4,FALSE),"")</f>
        <v>966968</v>
      </c>
      <c r="P816" s="4">
        <f>IFERROR(VLOOKUP(B816,infoTable__16[],4,FALSE),"")</f>
        <v>1140552</v>
      </c>
    </row>
    <row r="817" spans="1:16" x14ac:dyDescent="0.55000000000000004">
      <c r="A817" t="s">
        <v>2074</v>
      </c>
      <c r="B817" t="s">
        <v>2075</v>
      </c>
      <c r="C817" s="4" t="str">
        <f>IFERROR(VLOOKUP(B817,infoTable10[],4,FALSE),"")</f>
        <v/>
      </c>
      <c r="D817" s="4" t="str">
        <f>IFERROR(VLOOKUP(B817,infoTable__2[],4,FALSE),"")</f>
        <v/>
      </c>
      <c r="E817" s="4" t="str">
        <f>IFERROR(VLOOKUP(B817,infoTable__3[],4,FALSE),"")</f>
        <v/>
      </c>
      <c r="F817" s="4" t="str">
        <f>IFERROR(VLOOKUP(B817,infoTable__4[],4,FALSE),"")</f>
        <v/>
      </c>
      <c r="G817" s="4" t="str">
        <f>IFERROR(VLOOKUP(B817,infoTable[],4,FALSE),"")</f>
        <v/>
      </c>
      <c r="H817" s="4" t="str">
        <f>IFERROR(VLOOKUP(B817,infoTable__6[],4,FALSE),"")</f>
        <v/>
      </c>
      <c r="I817" s="4" t="str">
        <f>IFERROR(VLOOKUP(B817,infoTable__28[],4,FALSE),"")</f>
        <v/>
      </c>
      <c r="J817" s="4" t="str">
        <f>IFERROR(VLOOKUP(B817,infoTable__10[],4,FALSE),"")</f>
        <v/>
      </c>
      <c r="K817" s="4" t="str">
        <f>IFERROR(VLOOKUP(B817,infoTable__11[],4,FALSE),"")</f>
        <v/>
      </c>
      <c r="L817" s="4">
        <f>IFERROR(VLOOKUP(B817,infoTable__12[],4,FALSE),"")</f>
        <v>646348</v>
      </c>
      <c r="M817" s="4">
        <f>IFERROR(VLOOKUP(B817,infoTable__13[],4,FALSE),"")</f>
        <v>1565471</v>
      </c>
      <c r="N817" s="4">
        <f>IFERROR(VLOOKUP(B817,infoTable__14[],4,FALSE),"")</f>
        <v>753730</v>
      </c>
      <c r="O817" s="4">
        <f>IFERROR(VLOOKUP(B817,infoTable__15[],4,FALSE),"")</f>
        <v>419187</v>
      </c>
      <c r="P817" s="4" t="str">
        <f>IFERROR(VLOOKUP(B817,infoTable__16[],4,FALSE),"")</f>
        <v/>
      </c>
    </row>
    <row r="818" spans="1:16" x14ac:dyDescent="0.55000000000000004">
      <c r="A818" t="s">
        <v>2963</v>
      </c>
      <c r="B818" t="s">
        <v>2964</v>
      </c>
      <c r="C818" s="4" t="str">
        <f>IFERROR(VLOOKUP(B818,infoTable10[],4,FALSE),"")</f>
        <v/>
      </c>
      <c r="D818" s="4" t="str">
        <f>IFERROR(VLOOKUP(B818,infoTable__2[],4,FALSE),"")</f>
        <v/>
      </c>
      <c r="E818" s="4" t="str">
        <f>IFERROR(VLOOKUP(B818,infoTable__3[],4,FALSE),"")</f>
        <v/>
      </c>
      <c r="F818" s="4" t="str">
        <f>IFERROR(VLOOKUP(B818,infoTable__4[],4,FALSE),"")</f>
        <v/>
      </c>
      <c r="G818" s="4" t="str">
        <f>IFERROR(VLOOKUP(B818,infoTable[],4,FALSE),"")</f>
        <v/>
      </c>
      <c r="H818" s="4" t="str">
        <f>IFERROR(VLOOKUP(B818,infoTable__6[],4,FALSE),"")</f>
        <v/>
      </c>
      <c r="I818" s="4" t="str">
        <f>IFERROR(VLOOKUP(B818,infoTable__28[],4,FALSE),"")</f>
        <v/>
      </c>
      <c r="J818" s="4" t="str">
        <f>IFERROR(VLOOKUP(B818,infoTable__10[],4,FALSE),"")</f>
        <v/>
      </c>
      <c r="K818" s="4" t="str">
        <f>IFERROR(VLOOKUP(B818,infoTable__11[],4,FALSE),"")</f>
        <v/>
      </c>
      <c r="L818" s="4" t="str">
        <f>IFERROR(VLOOKUP(B818,infoTable__12[],4,FALSE),"")</f>
        <v/>
      </c>
      <c r="M818" s="4" t="str">
        <f>IFERROR(VLOOKUP(B818,infoTable__13[],4,FALSE),"")</f>
        <v/>
      </c>
      <c r="N818" s="4" t="str">
        <f>IFERROR(VLOOKUP(B818,infoTable__14[],4,FALSE),"")</f>
        <v/>
      </c>
      <c r="O818" s="4">
        <f>IFERROR(VLOOKUP(B818,infoTable__15[],4,FALSE),"")</f>
        <v>1230799</v>
      </c>
      <c r="P818" s="4" t="str">
        <f>IFERROR(VLOOKUP(B818,infoTable__16[],4,FALSE),"")</f>
        <v/>
      </c>
    </row>
    <row r="819" spans="1:16" x14ac:dyDescent="0.55000000000000004">
      <c r="A819" t="s">
        <v>456</v>
      </c>
      <c r="B819" t="s">
        <v>457</v>
      </c>
      <c r="C819" s="4" t="str">
        <f>IFERROR(VLOOKUP(B819,infoTable10[],4,FALSE),"")</f>
        <v/>
      </c>
      <c r="D819" s="4" t="str">
        <f>IFERROR(VLOOKUP(B819,infoTable__2[],4,FALSE),"")</f>
        <v/>
      </c>
      <c r="E819" s="4">
        <f>IFERROR(VLOOKUP(B819,infoTable__3[],4,FALSE),"")</f>
        <v>5637643</v>
      </c>
      <c r="F819" s="4">
        <f>IFERROR(VLOOKUP(B819,infoTable__4[],4,FALSE),"")</f>
        <v>3604552</v>
      </c>
      <c r="G819" s="4">
        <f>IFERROR(VLOOKUP(B819,infoTable[],4,FALSE),"")</f>
        <v>1735277</v>
      </c>
      <c r="H819" s="4" t="str">
        <f>IFERROR(VLOOKUP(B819,infoTable__6[],4,FALSE),"")</f>
        <v/>
      </c>
      <c r="I819" s="4" t="str">
        <f>IFERROR(VLOOKUP(B819,infoTable__28[],4,FALSE),"")</f>
        <v/>
      </c>
      <c r="J819" s="4" t="str">
        <f>IFERROR(VLOOKUP(B819,infoTable__10[],4,FALSE),"")</f>
        <v/>
      </c>
      <c r="K819" s="4" t="str">
        <f>IFERROR(VLOOKUP(B819,infoTable__11[],4,FALSE),"")</f>
        <v/>
      </c>
      <c r="L819" s="4" t="str">
        <f>IFERROR(VLOOKUP(B819,infoTable__12[],4,FALSE),"")</f>
        <v/>
      </c>
      <c r="M819" s="4" t="str">
        <f>IFERROR(VLOOKUP(B819,infoTable__13[],4,FALSE),"")</f>
        <v/>
      </c>
      <c r="N819" s="4" t="str">
        <f>IFERROR(VLOOKUP(B819,infoTable__14[],4,FALSE),"")</f>
        <v/>
      </c>
      <c r="O819" s="4" t="str">
        <f>IFERROR(VLOOKUP(B819,infoTable__15[],4,FALSE),"")</f>
        <v/>
      </c>
      <c r="P819" s="4" t="str">
        <f>IFERROR(VLOOKUP(B819,infoTable__16[],4,FALSE),"")</f>
        <v/>
      </c>
    </row>
    <row r="820" spans="1:16" x14ac:dyDescent="0.55000000000000004">
      <c r="A820" t="s">
        <v>1145</v>
      </c>
      <c r="B820" t="s">
        <v>1146</v>
      </c>
      <c r="C820" s="4" t="str">
        <f>IFERROR(VLOOKUP(B820,infoTable10[],4,FALSE),"")</f>
        <v/>
      </c>
      <c r="D820" s="4" t="str">
        <f>IFERROR(VLOOKUP(B820,infoTable__2[],4,FALSE),"")</f>
        <v/>
      </c>
      <c r="E820" s="4" t="str">
        <f>IFERROR(VLOOKUP(B820,infoTable__3[],4,FALSE),"")</f>
        <v/>
      </c>
      <c r="F820" s="4" t="str">
        <f>IFERROR(VLOOKUP(B820,infoTable__4[],4,FALSE),"")</f>
        <v/>
      </c>
      <c r="G820" s="4" t="str">
        <f>IFERROR(VLOOKUP(B820,infoTable[],4,FALSE),"")</f>
        <v/>
      </c>
      <c r="H820" s="4" t="str">
        <f>IFERROR(VLOOKUP(B820,infoTable__6[],4,FALSE),"")</f>
        <v/>
      </c>
      <c r="I820" s="4">
        <f>IFERROR(VLOOKUP(B820,infoTable__28[],4,FALSE),"")</f>
        <v>232823</v>
      </c>
      <c r="J820" s="4" t="str">
        <f>IFERROR(VLOOKUP(B820,infoTable__10[],4,FALSE),"")</f>
        <v/>
      </c>
      <c r="K820" s="4" t="str">
        <f>IFERROR(VLOOKUP(B820,infoTable__11[],4,FALSE),"")</f>
        <v/>
      </c>
      <c r="L820" s="4" t="str">
        <f>IFERROR(VLOOKUP(B820,infoTable__12[],4,FALSE),"")</f>
        <v/>
      </c>
      <c r="M820" s="4" t="str">
        <f>IFERROR(VLOOKUP(B820,infoTable__13[],4,FALSE),"")</f>
        <v/>
      </c>
      <c r="N820" s="4" t="str">
        <f>IFERROR(VLOOKUP(B820,infoTable__14[],4,FALSE),"")</f>
        <v/>
      </c>
      <c r="O820" s="4" t="str">
        <f>IFERROR(VLOOKUP(B820,infoTable__15[],4,FALSE),"")</f>
        <v/>
      </c>
      <c r="P820" s="4">
        <f>IFERROR(VLOOKUP(B820,infoTable__16[],4,FALSE),"")</f>
        <v>1189022</v>
      </c>
    </row>
    <row r="821" spans="1:16" x14ac:dyDescent="0.55000000000000004">
      <c r="A821" t="s">
        <v>20</v>
      </c>
      <c r="B821" t="s">
        <v>22</v>
      </c>
      <c r="C821" s="4" t="str">
        <f>IFERROR(VLOOKUP(B821,infoTable10[],4,FALSE),"")</f>
        <v/>
      </c>
      <c r="D821" s="4" t="str">
        <f>IFERROR(VLOOKUP(B821,infoTable__2[],4,FALSE),"")</f>
        <v/>
      </c>
      <c r="E821" s="4" t="str">
        <f>IFERROR(VLOOKUP(B821,infoTable__3[],4,FALSE),"")</f>
        <v/>
      </c>
      <c r="F821" s="4" t="str">
        <f>IFERROR(VLOOKUP(B821,infoTable__4[],4,FALSE),"")</f>
        <v/>
      </c>
      <c r="G821" s="4">
        <f>IFERROR(VLOOKUP(B821,infoTable[],4,FALSE),"")</f>
        <v>216939</v>
      </c>
      <c r="H821" s="4" t="str">
        <f>IFERROR(VLOOKUP(B821,infoTable__6[],4,FALSE),"")</f>
        <v/>
      </c>
      <c r="I821" s="4" t="str">
        <f>IFERROR(VLOOKUP(B821,infoTable__28[],4,FALSE),"")</f>
        <v/>
      </c>
      <c r="J821" s="4" t="str">
        <f>IFERROR(VLOOKUP(B821,infoTable__10[],4,FALSE),"")</f>
        <v/>
      </c>
      <c r="K821" s="4" t="str">
        <f>IFERROR(VLOOKUP(B821,infoTable__11[],4,FALSE),"")</f>
        <v/>
      </c>
      <c r="L821" s="4" t="str">
        <f>IFERROR(VLOOKUP(B821,infoTable__12[],4,FALSE),"")</f>
        <v/>
      </c>
      <c r="M821" s="4" t="str">
        <f>IFERROR(VLOOKUP(B821,infoTable__13[],4,FALSE),"")</f>
        <v/>
      </c>
      <c r="N821" s="4" t="str">
        <f>IFERROR(VLOOKUP(B821,infoTable__14[],4,FALSE),"")</f>
        <v/>
      </c>
      <c r="O821" s="4" t="str">
        <f>IFERROR(VLOOKUP(B821,infoTable__15[],4,FALSE),"")</f>
        <v/>
      </c>
      <c r="P821" s="4" t="str">
        <f>IFERROR(VLOOKUP(B821,infoTable__16[],4,FALSE),"")</f>
        <v/>
      </c>
    </row>
    <row r="822" spans="1:16" x14ac:dyDescent="0.55000000000000004">
      <c r="A822" t="s">
        <v>503</v>
      </c>
      <c r="B822" t="s">
        <v>504</v>
      </c>
      <c r="C822" s="4">
        <f>IFERROR(VLOOKUP(B822,infoTable10[],4,FALSE),"")</f>
        <v>2473483</v>
      </c>
      <c r="D822" s="4">
        <f>IFERROR(VLOOKUP(B822,infoTable__2[],4,FALSE),"")</f>
        <v>7562412</v>
      </c>
      <c r="E822" s="4">
        <f>IFERROR(VLOOKUP(B822,infoTable__3[],4,FALSE),"")</f>
        <v>7766964</v>
      </c>
      <c r="F822" s="4">
        <f>IFERROR(VLOOKUP(B822,infoTable__4[],4,FALSE),"")</f>
        <v>3909314</v>
      </c>
      <c r="G822" s="4" t="str">
        <f>IFERROR(VLOOKUP(B822,infoTable[],4,FALSE),"")</f>
        <v/>
      </c>
      <c r="H822" s="4" t="str">
        <f>IFERROR(VLOOKUP(B822,infoTable__6[],4,FALSE),"")</f>
        <v/>
      </c>
      <c r="I822" s="4" t="str">
        <f>IFERROR(VLOOKUP(B822,infoTable__28[],4,FALSE),"")</f>
        <v/>
      </c>
      <c r="J822" s="4" t="str">
        <f>IFERROR(VLOOKUP(B822,infoTable__10[],4,FALSE),"")</f>
        <v/>
      </c>
      <c r="K822" s="4" t="str">
        <f>IFERROR(VLOOKUP(B822,infoTable__11[],4,FALSE),"")</f>
        <v/>
      </c>
      <c r="L822" s="4" t="str">
        <f>IFERROR(VLOOKUP(B822,infoTable__12[],4,FALSE),"")</f>
        <v/>
      </c>
      <c r="M822" s="4">
        <f>IFERROR(VLOOKUP(B822,infoTable__13[],4,FALSE),"")</f>
        <v>347941</v>
      </c>
      <c r="N822" s="4" t="str">
        <f>IFERROR(VLOOKUP(B822,infoTable__14[],4,FALSE),"")</f>
        <v/>
      </c>
      <c r="O822" s="4">
        <f>IFERROR(VLOOKUP(B822,infoTable__15[],4,FALSE),"")</f>
        <v>756935</v>
      </c>
      <c r="P822" s="4" t="str">
        <f>IFERROR(VLOOKUP(B822,infoTable__16[],4,FALSE),"")</f>
        <v/>
      </c>
    </row>
    <row r="823" spans="1:16" x14ac:dyDescent="0.55000000000000004">
      <c r="A823" t="s">
        <v>505</v>
      </c>
      <c r="B823" t="s">
        <v>506</v>
      </c>
      <c r="C823" s="4" t="str">
        <f>IFERROR(VLOOKUP(B823,infoTable10[],4,FALSE),"")</f>
        <v/>
      </c>
      <c r="D823" s="4">
        <f>IFERROR(VLOOKUP(B823,infoTable__2[],4,FALSE),"")</f>
        <v>459428</v>
      </c>
      <c r="E823" s="4" t="str">
        <f>IFERROR(VLOOKUP(B823,infoTable__3[],4,FALSE),"")</f>
        <v/>
      </c>
      <c r="F823" s="4" t="str">
        <f>IFERROR(VLOOKUP(B823,infoTable__4[],4,FALSE),"")</f>
        <v/>
      </c>
      <c r="G823" s="4" t="str">
        <f>IFERROR(VLOOKUP(B823,infoTable[],4,FALSE),"")</f>
        <v/>
      </c>
      <c r="H823" s="4" t="str">
        <f>IFERROR(VLOOKUP(B823,infoTable__6[],4,FALSE),"")</f>
        <v/>
      </c>
      <c r="I823" s="4" t="str">
        <f>IFERROR(VLOOKUP(B823,infoTable__28[],4,FALSE),"")</f>
        <v/>
      </c>
      <c r="J823" s="4" t="str">
        <f>IFERROR(VLOOKUP(B823,infoTable__10[],4,FALSE),"")</f>
        <v/>
      </c>
      <c r="K823" s="4" t="str">
        <f>IFERROR(VLOOKUP(B823,infoTable__11[],4,FALSE),"")</f>
        <v/>
      </c>
      <c r="L823" s="4" t="str">
        <f>IFERROR(VLOOKUP(B823,infoTable__12[],4,FALSE),"")</f>
        <v/>
      </c>
      <c r="M823" s="4" t="str">
        <f>IFERROR(VLOOKUP(B823,infoTable__13[],4,FALSE),"")</f>
        <v/>
      </c>
      <c r="N823" s="4" t="str">
        <f>IFERROR(VLOOKUP(B823,infoTable__14[],4,FALSE),"")</f>
        <v/>
      </c>
      <c r="O823" s="4" t="str">
        <f>IFERROR(VLOOKUP(B823,infoTable__15[],4,FALSE),"")</f>
        <v/>
      </c>
      <c r="P823" s="4" t="str">
        <f>IFERROR(VLOOKUP(B823,infoTable__16[],4,FALSE),"")</f>
        <v/>
      </c>
    </row>
    <row r="824" spans="1:16" x14ac:dyDescent="0.55000000000000004">
      <c r="A824" t="s">
        <v>3229</v>
      </c>
      <c r="B824" t="s">
        <v>3230</v>
      </c>
      <c r="C824" s="4" t="str">
        <f>IFERROR(VLOOKUP(B824,infoTable10[],4,FALSE),"")</f>
        <v/>
      </c>
      <c r="D824" s="4" t="str">
        <f>IFERROR(VLOOKUP(B824,infoTable__2[],4,FALSE),"")</f>
        <v/>
      </c>
      <c r="E824" s="4" t="str">
        <f>IFERROR(VLOOKUP(B824,infoTable__3[],4,FALSE),"")</f>
        <v/>
      </c>
      <c r="F824" s="4" t="str">
        <f>IFERROR(VLOOKUP(B824,infoTable__4[],4,FALSE),"")</f>
        <v/>
      </c>
      <c r="G824" s="4" t="str">
        <f>IFERROR(VLOOKUP(B824,infoTable[],4,FALSE),"")</f>
        <v/>
      </c>
      <c r="H824" s="4" t="str">
        <f>IFERROR(VLOOKUP(B824,infoTable__6[],4,FALSE),"")</f>
        <v/>
      </c>
      <c r="I824" s="4" t="str">
        <f>IFERROR(VLOOKUP(B824,infoTable__28[],4,FALSE),"")</f>
        <v/>
      </c>
      <c r="J824" s="4" t="str">
        <f>IFERROR(VLOOKUP(B824,infoTable__10[],4,FALSE),"")</f>
        <v/>
      </c>
      <c r="K824" s="4" t="str">
        <f>IFERROR(VLOOKUP(B824,infoTable__11[],4,FALSE),"")</f>
        <v/>
      </c>
      <c r="L824" s="4" t="str">
        <f>IFERROR(VLOOKUP(B824,infoTable__12[],4,FALSE),"")</f>
        <v/>
      </c>
      <c r="M824" s="4" t="str">
        <f>IFERROR(VLOOKUP(B824,infoTable__13[],4,FALSE),"")</f>
        <v/>
      </c>
      <c r="N824" s="4" t="str">
        <f>IFERROR(VLOOKUP(B824,infoTable__14[],4,FALSE),"")</f>
        <v/>
      </c>
      <c r="O824" s="4" t="str">
        <f>IFERROR(VLOOKUP(B824,infoTable__15[],4,FALSE),"")</f>
        <v/>
      </c>
      <c r="P824" s="4">
        <f>IFERROR(VLOOKUP(B824,infoTable__16[],4,FALSE),"")</f>
        <v>1309638</v>
      </c>
    </row>
    <row r="825" spans="1:16" x14ac:dyDescent="0.55000000000000004">
      <c r="A825" t="s">
        <v>1936</v>
      </c>
      <c r="B825" t="s">
        <v>1938</v>
      </c>
      <c r="C825" s="4" t="str">
        <f>IFERROR(VLOOKUP(B825,infoTable10[],4,FALSE),"")</f>
        <v/>
      </c>
      <c r="D825" s="4" t="str">
        <f>IFERROR(VLOOKUP(B825,infoTable__2[],4,FALSE),"")</f>
        <v/>
      </c>
      <c r="E825" s="4" t="str">
        <f>IFERROR(VLOOKUP(B825,infoTable__3[],4,FALSE),"")</f>
        <v/>
      </c>
      <c r="F825" s="4" t="str">
        <f>IFERROR(VLOOKUP(B825,infoTable__4[],4,FALSE),"")</f>
        <v/>
      </c>
      <c r="G825" s="4" t="str">
        <f>IFERROR(VLOOKUP(B825,infoTable[],4,FALSE),"")</f>
        <v/>
      </c>
      <c r="H825" s="4" t="str">
        <f>IFERROR(VLOOKUP(B825,infoTable__6[],4,FALSE),"")</f>
        <v/>
      </c>
      <c r="I825" s="4" t="str">
        <f>IFERROR(VLOOKUP(B825,infoTable__28[],4,FALSE),"")</f>
        <v/>
      </c>
      <c r="J825" s="4" t="str">
        <f>IFERROR(VLOOKUP(B825,infoTable__10[],4,FALSE),"")</f>
        <v/>
      </c>
      <c r="K825" s="4">
        <f>IFERROR(VLOOKUP(B825,infoTable__11[],4,FALSE),"")</f>
        <v>396800</v>
      </c>
      <c r="L825" s="4">
        <f>IFERROR(VLOOKUP(B825,infoTable__12[],4,FALSE),"")</f>
        <v>1053811</v>
      </c>
      <c r="M825" s="4">
        <f>IFERROR(VLOOKUP(B825,infoTable__13[],4,FALSE),"")</f>
        <v>482259</v>
      </c>
      <c r="N825" s="4" t="str">
        <f>IFERROR(VLOOKUP(B825,infoTable__14[],4,FALSE),"")</f>
        <v/>
      </c>
      <c r="O825" s="4" t="str">
        <f>IFERROR(VLOOKUP(B825,infoTable__15[],4,FALSE),"")</f>
        <v/>
      </c>
      <c r="P825" s="4">
        <f>IFERROR(VLOOKUP(B825,infoTable__16[],4,FALSE),"")</f>
        <v>249312</v>
      </c>
    </row>
    <row r="826" spans="1:16" x14ac:dyDescent="0.55000000000000004">
      <c r="A826" t="s">
        <v>2408</v>
      </c>
      <c r="B826" t="s">
        <v>2409</v>
      </c>
      <c r="C826" s="4" t="str">
        <f>IFERROR(VLOOKUP(B826,infoTable10[],4,FALSE),"")</f>
        <v/>
      </c>
      <c r="D826" s="4" t="str">
        <f>IFERROR(VLOOKUP(B826,infoTable__2[],4,FALSE),"")</f>
        <v/>
      </c>
      <c r="E826" s="4" t="str">
        <f>IFERROR(VLOOKUP(B826,infoTable__3[],4,FALSE),"")</f>
        <v/>
      </c>
      <c r="F826" s="4" t="str">
        <f>IFERROR(VLOOKUP(B826,infoTable__4[],4,FALSE),"")</f>
        <v/>
      </c>
      <c r="G826" s="4" t="str">
        <f>IFERROR(VLOOKUP(B826,infoTable[],4,FALSE),"")</f>
        <v/>
      </c>
      <c r="H826" s="4" t="str">
        <f>IFERROR(VLOOKUP(B826,infoTable__6[],4,FALSE),"")</f>
        <v/>
      </c>
      <c r="I826" s="4" t="str">
        <f>IFERROR(VLOOKUP(B826,infoTable__28[],4,FALSE),"")</f>
        <v/>
      </c>
      <c r="J826" s="4" t="str">
        <f>IFERROR(VLOOKUP(B826,infoTable__10[],4,FALSE),"")</f>
        <v/>
      </c>
      <c r="K826" s="4" t="str">
        <f>IFERROR(VLOOKUP(B826,infoTable__11[],4,FALSE),"")</f>
        <v/>
      </c>
      <c r="L826" s="4" t="str">
        <f>IFERROR(VLOOKUP(B826,infoTable__12[],4,FALSE),"")</f>
        <v/>
      </c>
      <c r="M826" s="4">
        <f>IFERROR(VLOOKUP(B826,infoTable__13[],4,FALSE),"")</f>
        <v>416767</v>
      </c>
      <c r="N826" s="4" t="str">
        <f>IFERROR(VLOOKUP(B826,infoTable__14[],4,FALSE),"")</f>
        <v/>
      </c>
      <c r="O826" s="4" t="str">
        <f>IFERROR(VLOOKUP(B826,infoTable__15[],4,FALSE),"")</f>
        <v/>
      </c>
      <c r="P826" s="4" t="str">
        <f>IFERROR(VLOOKUP(B826,infoTable__16[],4,FALSE),"")</f>
        <v/>
      </c>
    </row>
    <row r="827" spans="1:16" x14ac:dyDescent="0.55000000000000004">
      <c r="A827" t="s">
        <v>511</v>
      </c>
      <c r="B827" t="s">
        <v>512</v>
      </c>
      <c r="C827" s="4">
        <f>IFERROR(VLOOKUP(B827,infoTable10[],4,FALSE),"")</f>
        <v>429806</v>
      </c>
      <c r="D827" s="4">
        <f>IFERROR(VLOOKUP(B827,infoTable__2[],4,FALSE),"")</f>
        <v>144291</v>
      </c>
      <c r="E827" s="4" t="str">
        <f>IFERROR(VLOOKUP(B827,infoTable__3[],4,FALSE),"")</f>
        <v/>
      </c>
      <c r="F827" s="4" t="str">
        <f>IFERROR(VLOOKUP(B827,infoTable__4[],4,FALSE),"")</f>
        <v/>
      </c>
      <c r="G827" s="4" t="str">
        <f>IFERROR(VLOOKUP(B827,infoTable[],4,FALSE),"")</f>
        <v/>
      </c>
      <c r="H827" s="4" t="str">
        <f>IFERROR(VLOOKUP(B827,infoTable__6[],4,FALSE),"")</f>
        <v/>
      </c>
      <c r="I827" s="4" t="str">
        <f>IFERROR(VLOOKUP(B827,infoTable__28[],4,FALSE),"")</f>
        <v/>
      </c>
      <c r="J827" s="4" t="str">
        <f>IFERROR(VLOOKUP(B827,infoTable__10[],4,FALSE),"")</f>
        <v/>
      </c>
      <c r="K827" s="4" t="str">
        <f>IFERROR(VLOOKUP(B827,infoTable__11[],4,FALSE),"")</f>
        <v/>
      </c>
      <c r="L827" s="4" t="str">
        <f>IFERROR(VLOOKUP(B827,infoTable__12[],4,FALSE),"")</f>
        <v/>
      </c>
      <c r="M827" s="4" t="str">
        <f>IFERROR(VLOOKUP(B827,infoTable__13[],4,FALSE),"")</f>
        <v/>
      </c>
      <c r="N827" s="4" t="str">
        <f>IFERROR(VLOOKUP(B827,infoTable__14[],4,FALSE),"")</f>
        <v/>
      </c>
      <c r="O827" s="4" t="str">
        <f>IFERROR(VLOOKUP(B827,infoTable__15[],4,FALSE),"")</f>
        <v/>
      </c>
      <c r="P827" s="4" t="str">
        <f>IFERROR(VLOOKUP(B827,infoTable__16[],4,FALSE),"")</f>
        <v/>
      </c>
    </row>
    <row r="828" spans="1:16" x14ac:dyDescent="0.55000000000000004">
      <c r="A828" t="s">
        <v>30</v>
      </c>
      <c r="B828" t="s">
        <v>31</v>
      </c>
      <c r="C828" s="4" t="str">
        <f>IFERROR(VLOOKUP(B828,infoTable10[],4,FALSE),"")</f>
        <v/>
      </c>
      <c r="D828" s="4">
        <f>IFERROR(VLOOKUP(B828,infoTable__2[],4,FALSE),"")</f>
        <v>576826</v>
      </c>
      <c r="E828" s="4">
        <f>IFERROR(VLOOKUP(B828,infoTable__3[],4,FALSE),"")</f>
        <v>1229964</v>
      </c>
      <c r="F828" s="4">
        <f>IFERROR(VLOOKUP(B828,infoTable__4[],4,FALSE),"")</f>
        <v>680162</v>
      </c>
      <c r="G828" s="4">
        <f>IFERROR(VLOOKUP(B828,infoTable[],4,FALSE),"")</f>
        <v>670189</v>
      </c>
      <c r="H828" s="4">
        <f>IFERROR(VLOOKUP(B828,infoTable__6[],4,FALSE),"")</f>
        <v>89331</v>
      </c>
      <c r="I828" s="4" t="str">
        <f>IFERROR(VLOOKUP(B828,infoTable__28[],4,FALSE),"")</f>
        <v/>
      </c>
      <c r="J828" s="4" t="str">
        <f>IFERROR(VLOOKUP(B828,infoTable__10[],4,FALSE),"")</f>
        <v/>
      </c>
      <c r="K828" s="4" t="str">
        <f>IFERROR(VLOOKUP(B828,infoTable__11[],4,FALSE),"")</f>
        <v/>
      </c>
      <c r="L828" s="4" t="str">
        <f>IFERROR(VLOOKUP(B828,infoTable__12[],4,FALSE),"")</f>
        <v/>
      </c>
      <c r="M828" s="4" t="str">
        <f>IFERROR(VLOOKUP(B828,infoTable__13[],4,FALSE),"")</f>
        <v/>
      </c>
      <c r="N828" s="4" t="str">
        <f>IFERROR(VLOOKUP(B828,infoTable__14[],4,FALSE),"")</f>
        <v/>
      </c>
      <c r="O828" s="4" t="str">
        <f>IFERROR(VLOOKUP(B828,infoTable__15[],4,FALSE),"")</f>
        <v/>
      </c>
      <c r="P828" s="4" t="str">
        <f>IFERROR(VLOOKUP(B828,infoTable__16[],4,FALSE),"")</f>
        <v/>
      </c>
    </row>
    <row r="829" spans="1:16" x14ac:dyDescent="0.55000000000000004">
      <c r="A829" t="s">
        <v>34</v>
      </c>
      <c r="B829" t="s">
        <v>35</v>
      </c>
      <c r="C829" s="4" t="str">
        <f>IFERROR(VLOOKUP(B829,infoTable10[],4,FALSE),"")</f>
        <v/>
      </c>
      <c r="D829" s="4" t="str">
        <f>IFERROR(VLOOKUP(B829,infoTable__2[],4,FALSE),"")</f>
        <v/>
      </c>
      <c r="E829" s="4" t="str">
        <f>IFERROR(VLOOKUP(B829,infoTable__3[],4,FALSE),"")</f>
        <v/>
      </c>
      <c r="F829" s="4" t="str">
        <f>IFERROR(VLOOKUP(B829,infoTable__4[],4,FALSE),"")</f>
        <v/>
      </c>
      <c r="G829" s="4">
        <f>IFERROR(VLOOKUP(B829,infoTable[],4,FALSE),"")</f>
        <v>394610</v>
      </c>
      <c r="H829" s="4" t="str">
        <f>IFERROR(VLOOKUP(B829,infoTable__6[],4,FALSE),"")</f>
        <v/>
      </c>
      <c r="I829" s="4">
        <f>IFERROR(VLOOKUP(B829,infoTable__28[],4,FALSE),"")</f>
        <v>935964</v>
      </c>
      <c r="J829" s="4">
        <f>IFERROR(VLOOKUP(B829,infoTable__10[],4,FALSE),"")</f>
        <v>318299</v>
      </c>
      <c r="K829" s="4" t="str">
        <f>IFERROR(VLOOKUP(B829,infoTable__11[],4,FALSE),"")</f>
        <v/>
      </c>
      <c r="L829" s="4" t="str">
        <f>IFERROR(VLOOKUP(B829,infoTable__12[],4,FALSE),"")</f>
        <v/>
      </c>
      <c r="M829" s="4" t="str">
        <f>IFERROR(VLOOKUP(B829,infoTable__13[],4,FALSE),"")</f>
        <v/>
      </c>
      <c r="N829" s="4" t="str">
        <f>IFERROR(VLOOKUP(B829,infoTable__14[],4,FALSE),"")</f>
        <v/>
      </c>
      <c r="O829" s="4" t="str">
        <f>IFERROR(VLOOKUP(B829,infoTable__15[],4,FALSE),"")</f>
        <v/>
      </c>
      <c r="P829" s="4" t="str">
        <f>IFERROR(VLOOKUP(B829,infoTable__16[],4,FALSE),"")</f>
        <v/>
      </c>
    </row>
    <row r="830" spans="1:16" x14ac:dyDescent="0.55000000000000004">
      <c r="A830" t="s">
        <v>3231</v>
      </c>
      <c r="B830" t="s">
        <v>3232</v>
      </c>
      <c r="C830" s="4" t="str">
        <f>IFERROR(VLOOKUP(B830,infoTable10[],4,FALSE),"")</f>
        <v/>
      </c>
      <c r="D830" s="4" t="str">
        <f>IFERROR(VLOOKUP(B830,infoTable__2[],4,FALSE),"")</f>
        <v/>
      </c>
      <c r="E830" s="4" t="str">
        <f>IFERROR(VLOOKUP(B830,infoTable__3[],4,FALSE),"")</f>
        <v/>
      </c>
      <c r="F830" s="4" t="str">
        <f>IFERROR(VLOOKUP(B830,infoTable__4[],4,FALSE),"")</f>
        <v/>
      </c>
      <c r="G830" s="4" t="str">
        <f>IFERROR(VLOOKUP(B830,infoTable[],4,FALSE),"")</f>
        <v/>
      </c>
      <c r="H830" s="4" t="str">
        <f>IFERROR(VLOOKUP(B830,infoTable__6[],4,FALSE),"")</f>
        <v/>
      </c>
      <c r="I830" s="4" t="str">
        <f>IFERROR(VLOOKUP(B830,infoTable__28[],4,FALSE),"")</f>
        <v/>
      </c>
      <c r="J830" s="4" t="str">
        <f>IFERROR(VLOOKUP(B830,infoTable__10[],4,FALSE),"")</f>
        <v/>
      </c>
      <c r="K830" s="4" t="str">
        <f>IFERROR(VLOOKUP(B830,infoTable__11[],4,FALSE),"")</f>
        <v/>
      </c>
      <c r="L830" s="4" t="str">
        <f>IFERROR(VLOOKUP(B830,infoTable__12[],4,FALSE),"")</f>
        <v/>
      </c>
      <c r="M830" s="4" t="str">
        <f>IFERROR(VLOOKUP(B830,infoTable__13[],4,FALSE),"")</f>
        <v/>
      </c>
      <c r="N830" s="4" t="str">
        <f>IFERROR(VLOOKUP(B830,infoTable__14[],4,FALSE),"")</f>
        <v/>
      </c>
      <c r="O830" s="4" t="str">
        <f>IFERROR(VLOOKUP(B830,infoTable__15[],4,FALSE),"")</f>
        <v/>
      </c>
      <c r="P830" s="4">
        <f>IFERROR(VLOOKUP(B830,infoTable__16[],4,FALSE),"")</f>
        <v>1081225</v>
      </c>
    </row>
    <row r="831" spans="1:16" x14ac:dyDescent="0.55000000000000004">
      <c r="A831" t="s">
        <v>2967</v>
      </c>
      <c r="B831" t="s">
        <v>2968</v>
      </c>
      <c r="C831" s="4" t="str">
        <f>IFERROR(VLOOKUP(B831,infoTable10[],4,FALSE),"")</f>
        <v/>
      </c>
      <c r="D831" s="4" t="str">
        <f>IFERROR(VLOOKUP(B831,infoTable__2[],4,FALSE),"")</f>
        <v/>
      </c>
      <c r="E831" s="4" t="str">
        <f>IFERROR(VLOOKUP(B831,infoTable__3[],4,FALSE),"")</f>
        <v/>
      </c>
      <c r="F831" s="4" t="str">
        <f>IFERROR(VLOOKUP(B831,infoTable__4[],4,FALSE),"")</f>
        <v/>
      </c>
      <c r="G831" s="4" t="str">
        <f>IFERROR(VLOOKUP(B831,infoTable[],4,FALSE),"")</f>
        <v/>
      </c>
      <c r="H831" s="4" t="str">
        <f>IFERROR(VLOOKUP(B831,infoTable__6[],4,FALSE),"")</f>
        <v/>
      </c>
      <c r="I831" s="4" t="str">
        <f>IFERROR(VLOOKUP(B831,infoTable__28[],4,FALSE),"")</f>
        <v/>
      </c>
      <c r="J831" s="4" t="str">
        <f>IFERROR(VLOOKUP(B831,infoTable__10[],4,FALSE),"")</f>
        <v/>
      </c>
      <c r="K831" s="4" t="str">
        <f>IFERROR(VLOOKUP(B831,infoTable__11[],4,FALSE),"")</f>
        <v/>
      </c>
      <c r="L831" s="4" t="str">
        <f>IFERROR(VLOOKUP(B831,infoTable__12[],4,FALSE),"")</f>
        <v/>
      </c>
      <c r="M831" s="4" t="str">
        <f>IFERROR(VLOOKUP(B831,infoTable__13[],4,FALSE),"")</f>
        <v/>
      </c>
      <c r="N831" s="4" t="str">
        <f>IFERROR(VLOOKUP(B831,infoTable__14[],4,FALSE),"")</f>
        <v/>
      </c>
      <c r="O831" s="4">
        <f>IFERROR(VLOOKUP(B831,infoTable__15[],4,FALSE),"")</f>
        <v>1778463</v>
      </c>
      <c r="P831" s="4">
        <f>IFERROR(VLOOKUP(B831,infoTable__16[],4,FALSE),"")</f>
        <v>2361097</v>
      </c>
    </row>
    <row r="832" spans="1:16" x14ac:dyDescent="0.55000000000000004">
      <c r="A832" t="s">
        <v>2084</v>
      </c>
      <c r="B832" t="s">
        <v>2086</v>
      </c>
      <c r="C832" s="4" t="str">
        <f>IFERROR(VLOOKUP(B832,infoTable10[],4,FALSE),"")</f>
        <v/>
      </c>
      <c r="D832" s="4" t="str">
        <f>IFERROR(VLOOKUP(B832,infoTable__2[],4,FALSE),"")</f>
        <v/>
      </c>
      <c r="E832" s="4" t="str">
        <f>IFERROR(VLOOKUP(B832,infoTable__3[],4,FALSE),"")</f>
        <v/>
      </c>
      <c r="F832" s="4" t="str">
        <f>IFERROR(VLOOKUP(B832,infoTable__4[],4,FALSE),"")</f>
        <v/>
      </c>
      <c r="G832" s="4" t="str">
        <f>IFERROR(VLOOKUP(B832,infoTable[],4,FALSE),"")</f>
        <v/>
      </c>
      <c r="H832" s="4" t="str">
        <f>IFERROR(VLOOKUP(B832,infoTable__6[],4,FALSE),"")</f>
        <v/>
      </c>
      <c r="I832" s="4" t="str">
        <f>IFERROR(VLOOKUP(B832,infoTable__28[],4,FALSE),"")</f>
        <v/>
      </c>
      <c r="J832" s="4" t="str">
        <f>IFERROR(VLOOKUP(B832,infoTable__10[],4,FALSE),"")</f>
        <v/>
      </c>
      <c r="K832" s="4" t="str">
        <f>IFERROR(VLOOKUP(B832,infoTable__11[],4,FALSE),"")</f>
        <v/>
      </c>
      <c r="L832" s="4">
        <f>IFERROR(VLOOKUP(B832,infoTable__12[],4,FALSE),"")</f>
        <v>4995578</v>
      </c>
      <c r="M832" s="4">
        <f>IFERROR(VLOOKUP(B832,infoTable__13[],4,FALSE),"")</f>
        <v>2644419</v>
      </c>
      <c r="N832" s="4">
        <f>IFERROR(VLOOKUP(B832,infoTable__14[],4,FALSE),"")</f>
        <v>1160219</v>
      </c>
      <c r="O832" s="4">
        <f>IFERROR(VLOOKUP(B832,infoTable__15[],4,FALSE),"")</f>
        <v>1574257</v>
      </c>
      <c r="P832" s="4">
        <f>IFERROR(VLOOKUP(B832,infoTable__16[],4,FALSE),"")</f>
        <v>1023337</v>
      </c>
    </row>
    <row r="833" spans="1:16" x14ac:dyDescent="0.55000000000000004">
      <c r="A833" t="s">
        <v>2087</v>
      </c>
      <c r="B833" t="s">
        <v>2088</v>
      </c>
      <c r="C833" s="4" t="str">
        <f>IFERROR(VLOOKUP(B833,infoTable10[],4,FALSE),"")</f>
        <v/>
      </c>
      <c r="D833" s="4" t="str">
        <f>IFERROR(VLOOKUP(B833,infoTable__2[],4,FALSE),"")</f>
        <v/>
      </c>
      <c r="E833" s="4" t="str">
        <f>IFERROR(VLOOKUP(B833,infoTable__3[],4,FALSE),"")</f>
        <v/>
      </c>
      <c r="F833" s="4" t="str">
        <f>IFERROR(VLOOKUP(B833,infoTable__4[],4,FALSE),"")</f>
        <v/>
      </c>
      <c r="G833" s="4" t="str">
        <f>IFERROR(VLOOKUP(B833,infoTable[],4,FALSE),"")</f>
        <v/>
      </c>
      <c r="H833" s="4" t="str">
        <f>IFERROR(VLOOKUP(B833,infoTable__6[],4,FALSE),"")</f>
        <v/>
      </c>
      <c r="I833" s="4" t="str">
        <f>IFERROR(VLOOKUP(B833,infoTable__28[],4,FALSE),"")</f>
        <v/>
      </c>
      <c r="J833" s="4" t="str">
        <f>IFERROR(VLOOKUP(B833,infoTable__10[],4,FALSE),"")</f>
        <v/>
      </c>
      <c r="K833" s="4" t="str">
        <f>IFERROR(VLOOKUP(B833,infoTable__11[],4,FALSE),"")</f>
        <v/>
      </c>
      <c r="L833" s="4">
        <f>IFERROR(VLOOKUP(B833,infoTable__12[],4,FALSE),"")</f>
        <v>985834</v>
      </c>
      <c r="M833" s="4" t="str">
        <f>IFERROR(VLOOKUP(B833,infoTable__13[],4,FALSE),"")</f>
        <v/>
      </c>
      <c r="N833" s="4" t="str">
        <f>IFERROR(VLOOKUP(B833,infoTable__14[],4,FALSE),"")</f>
        <v/>
      </c>
      <c r="O833" s="4" t="str">
        <f>IFERROR(VLOOKUP(B833,infoTable__15[],4,FALSE),"")</f>
        <v/>
      </c>
      <c r="P833" s="4" t="str">
        <f>IFERROR(VLOOKUP(B833,infoTable__16[],4,FALSE),"")</f>
        <v/>
      </c>
    </row>
    <row r="834" spans="1:16" x14ac:dyDescent="0.55000000000000004">
      <c r="A834" t="s">
        <v>38</v>
      </c>
      <c r="B834" t="s">
        <v>39</v>
      </c>
      <c r="C834" s="4" t="str">
        <f>IFERROR(VLOOKUP(B834,infoTable10[],4,FALSE),"")</f>
        <v/>
      </c>
      <c r="D834" s="4" t="str">
        <f>IFERROR(VLOOKUP(B834,infoTable__2[],4,FALSE),"")</f>
        <v/>
      </c>
      <c r="E834" s="4" t="str">
        <f>IFERROR(VLOOKUP(B834,infoTable__3[],4,FALSE),"")</f>
        <v/>
      </c>
      <c r="F834" s="4" t="str">
        <f>IFERROR(VLOOKUP(B834,infoTable__4[],4,FALSE),"")</f>
        <v/>
      </c>
      <c r="G834" s="4">
        <f>IFERROR(VLOOKUP(B834,infoTable[],4,FALSE),"")</f>
        <v>502262</v>
      </c>
      <c r="H834" s="4">
        <f>IFERROR(VLOOKUP(B834,infoTable__6[],4,FALSE),"")</f>
        <v>466534</v>
      </c>
      <c r="I834" s="4">
        <f>IFERROR(VLOOKUP(B834,infoTable__28[],4,FALSE),"")</f>
        <v>890107</v>
      </c>
      <c r="J834" s="4">
        <f>IFERROR(VLOOKUP(B834,infoTable__10[],4,FALSE),"")</f>
        <v>196999</v>
      </c>
      <c r="K834" s="4" t="str">
        <f>IFERROR(VLOOKUP(B834,infoTable__11[],4,FALSE),"")</f>
        <v/>
      </c>
      <c r="L834" s="4" t="str">
        <f>IFERROR(VLOOKUP(B834,infoTable__12[],4,FALSE),"")</f>
        <v/>
      </c>
      <c r="M834" s="4" t="str">
        <f>IFERROR(VLOOKUP(B834,infoTable__13[],4,FALSE),"")</f>
        <v/>
      </c>
      <c r="N834" s="4" t="str">
        <f>IFERROR(VLOOKUP(B834,infoTable__14[],4,FALSE),"")</f>
        <v/>
      </c>
      <c r="O834" s="4">
        <f>IFERROR(VLOOKUP(B834,infoTable__15[],4,FALSE),"")</f>
        <v>218028</v>
      </c>
      <c r="P834" s="4">
        <f>IFERROR(VLOOKUP(B834,infoTable__16[],4,FALSE),"")</f>
        <v>136305</v>
      </c>
    </row>
    <row r="835" spans="1:16" x14ac:dyDescent="0.55000000000000004">
      <c r="A835" t="s">
        <v>2785</v>
      </c>
      <c r="B835" t="s">
        <v>2784</v>
      </c>
      <c r="C835" s="4" t="str">
        <f>IFERROR(VLOOKUP(B835,infoTable10[],4,FALSE),"")</f>
        <v/>
      </c>
      <c r="D835" s="4" t="str">
        <f>IFERROR(VLOOKUP(B835,infoTable__2[],4,FALSE),"")</f>
        <v/>
      </c>
      <c r="E835" s="4" t="str">
        <f>IFERROR(VLOOKUP(B835,infoTable__3[],4,FALSE),"")</f>
        <v/>
      </c>
      <c r="F835" s="4" t="str">
        <f>IFERROR(VLOOKUP(B835,infoTable__4[],4,FALSE),"")</f>
        <v/>
      </c>
      <c r="G835" s="4" t="str">
        <f>IFERROR(VLOOKUP(B835,infoTable[],4,FALSE),"")</f>
        <v/>
      </c>
      <c r="H835" s="4" t="str">
        <f>IFERROR(VLOOKUP(B835,infoTable__6[],4,FALSE),"")</f>
        <v/>
      </c>
      <c r="I835" s="4" t="str">
        <f>IFERROR(VLOOKUP(B835,infoTable__28[],4,FALSE),"")</f>
        <v/>
      </c>
      <c r="J835" s="4" t="str">
        <f>IFERROR(VLOOKUP(B835,infoTable__10[],4,FALSE),"")</f>
        <v/>
      </c>
      <c r="K835" s="4" t="str">
        <f>IFERROR(VLOOKUP(B835,infoTable__11[],4,FALSE),"")</f>
        <v/>
      </c>
      <c r="L835" s="4" t="str">
        <f>IFERROR(VLOOKUP(B835,infoTable__12[],4,FALSE),"")</f>
        <v/>
      </c>
      <c r="M835" s="4" t="str">
        <f>IFERROR(VLOOKUP(B835,infoTable__13[],4,FALSE),"")</f>
        <v/>
      </c>
      <c r="N835" s="4">
        <f>IFERROR(VLOOKUP(B835,infoTable__14[],4,FALSE),"")</f>
        <v>783856</v>
      </c>
      <c r="O835" s="4">
        <f>IFERROR(VLOOKUP(B835,infoTable__15[],4,FALSE),"")</f>
        <v>759089</v>
      </c>
      <c r="P835" s="4" t="str">
        <f>IFERROR(VLOOKUP(B835,infoTable__16[],4,FALSE),"")</f>
        <v/>
      </c>
    </row>
    <row r="836" spans="1:16" x14ac:dyDescent="0.55000000000000004">
      <c r="A836" t="s">
        <v>2787</v>
      </c>
      <c r="B836" t="s">
        <v>2786</v>
      </c>
      <c r="C836" s="4" t="str">
        <f>IFERROR(VLOOKUP(B836,infoTable10[],4,FALSE),"")</f>
        <v/>
      </c>
      <c r="D836" s="4" t="str">
        <f>IFERROR(VLOOKUP(B836,infoTable__2[],4,FALSE),"")</f>
        <v/>
      </c>
      <c r="E836" s="4" t="str">
        <f>IFERROR(VLOOKUP(B836,infoTable__3[],4,FALSE),"")</f>
        <v/>
      </c>
      <c r="F836" s="4" t="str">
        <f>IFERROR(VLOOKUP(B836,infoTable__4[],4,FALSE),"")</f>
        <v/>
      </c>
      <c r="G836" s="4" t="str">
        <f>IFERROR(VLOOKUP(B836,infoTable[],4,FALSE),"")</f>
        <v/>
      </c>
      <c r="H836" s="4" t="str">
        <f>IFERROR(VLOOKUP(B836,infoTable__6[],4,FALSE),"")</f>
        <v/>
      </c>
      <c r="I836" s="4" t="str">
        <f>IFERROR(VLOOKUP(B836,infoTable__28[],4,FALSE),"")</f>
        <v/>
      </c>
      <c r="J836" s="4" t="str">
        <f>IFERROR(VLOOKUP(B836,infoTable__10[],4,FALSE),"")</f>
        <v/>
      </c>
      <c r="K836" s="4" t="str">
        <f>IFERROR(VLOOKUP(B836,infoTable__11[],4,FALSE),"")</f>
        <v/>
      </c>
      <c r="L836" s="4" t="str">
        <f>IFERROR(VLOOKUP(B836,infoTable__12[],4,FALSE),"")</f>
        <v/>
      </c>
      <c r="M836" s="4" t="str">
        <f>IFERROR(VLOOKUP(B836,infoTable__13[],4,FALSE),"")</f>
        <v/>
      </c>
      <c r="N836" s="4">
        <f>IFERROR(VLOOKUP(B836,infoTable__14[],4,FALSE),"")</f>
        <v>912609</v>
      </c>
      <c r="O836" s="4">
        <f>IFERROR(VLOOKUP(B836,infoTable__15[],4,FALSE),"")</f>
        <v>1360788</v>
      </c>
      <c r="P836" s="4">
        <f>IFERROR(VLOOKUP(B836,infoTable__16[],4,FALSE),"")</f>
        <v>674887</v>
      </c>
    </row>
    <row r="837" spans="1:16" x14ac:dyDescent="0.55000000000000004">
      <c r="A837" t="s">
        <v>1480</v>
      </c>
      <c r="B837" t="s">
        <v>1481</v>
      </c>
      <c r="C837" s="4">
        <f>IFERROR(VLOOKUP(B837,infoTable10[],4,FALSE),"")</f>
        <v>226269</v>
      </c>
      <c r="D837" s="4" t="str">
        <f>IFERROR(VLOOKUP(B837,infoTable__2[],4,FALSE),"")</f>
        <v/>
      </c>
      <c r="E837" s="4" t="str">
        <f>IFERROR(VLOOKUP(B837,infoTable__3[],4,FALSE),"")</f>
        <v/>
      </c>
      <c r="F837" s="4" t="str">
        <f>IFERROR(VLOOKUP(B837,infoTable__4[],4,FALSE),"")</f>
        <v/>
      </c>
      <c r="G837" s="4" t="str">
        <f>IFERROR(VLOOKUP(B837,infoTable[],4,FALSE),"")</f>
        <v/>
      </c>
      <c r="H837" s="4" t="str">
        <f>IFERROR(VLOOKUP(B837,infoTable__6[],4,FALSE),"")</f>
        <v/>
      </c>
      <c r="I837" s="4" t="str">
        <f>IFERROR(VLOOKUP(B837,infoTable__28[],4,FALSE),"")</f>
        <v/>
      </c>
      <c r="J837" s="4" t="str">
        <f>IFERROR(VLOOKUP(B837,infoTable__10[],4,FALSE),"")</f>
        <v/>
      </c>
      <c r="K837" s="4" t="str">
        <f>IFERROR(VLOOKUP(B837,infoTable__11[],4,FALSE),"")</f>
        <v/>
      </c>
      <c r="L837" s="4" t="str">
        <f>IFERROR(VLOOKUP(B837,infoTable__12[],4,FALSE),"")</f>
        <v/>
      </c>
      <c r="M837" s="4" t="str">
        <f>IFERROR(VLOOKUP(B837,infoTable__13[],4,FALSE),"")</f>
        <v/>
      </c>
      <c r="N837" s="4" t="str">
        <f>IFERROR(VLOOKUP(B837,infoTable__14[],4,FALSE),"")</f>
        <v/>
      </c>
      <c r="O837" s="4" t="str">
        <f>IFERROR(VLOOKUP(B837,infoTable__15[],4,FALSE),"")</f>
        <v/>
      </c>
      <c r="P837" s="4" t="str">
        <f>IFERROR(VLOOKUP(B837,infoTable__16[],4,FALSE),"")</f>
        <v/>
      </c>
    </row>
    <row r="838" spans="1:16" x14ac:dyDescent="0.55000000000000004">
      <c r="A838" t="s">
        <v>730</v>
      </c>
      <c r="B838" t="s">
        <v>731</v>
      </c>
      <c r="C838" s="4" t="str">
        <f>IFERROR(VLOOKUP(B838,infoTable10[],4,FALSE),"")</f>
        <v/>
      </c>
      <c r="D838" s="4" t="str">
        <f>IFERROR(VLOOKUP(B838,infoTable__2[],4,FALSE),"")</f>
        <v/>
      </c>
      <c r="E838" s="4">
        <f>IFERROR(VLOOKUP(B838,infoTable__3[],4,FALSE),"")</f>
        <v>2536547</v>
      </c>
      <c r="F838" s="4">
        <f>IFERROR(VLOOKUP(B838,infoTable__4[],4,FALSE),"")</f>
        <v>966293</v>
      </c>
      <c r="G838" s="4" t="str">
        <f>IFERROR(VLOOKUP(B838,infoTable[],4,FALSE),"")</f>
        <v/>
      </c>
      <c r="H838" s="4" t="str">
        <f>IFERROR(VLOOKUP(B838,infoTable__6[],4,FALSE),"")</f>
        <v/>
      </c>
      <c r="I838" s="4" t="str">
        <f>IFERROR(VLOOKUP(B838,infoTable__28[],4,FALSE),"")</f>
        <v/>
      </c>
      <c r="J838" s="4">
        <f>IFERROR(VLOOKUP(B838,infoTable__10[],4,FALSE),"")</f>
        <v>512004</v>
      </c>
      <c r="K838" s="4">
        <f>IFERROR(VLOOKUP(B838,infoTable__11[],4,FALSE),"")</f>
        <v>316256</v>
      </c>
      <c r="L838" s="4">
        <f>IFERROR(VLOOKUP(B838,infoTable__12[],4,FALSE),"")</f>
        <v>454465</v>
      </c>
      <c r="M838" s="4" t="str">
        <f>IFERROR(VLOOKUP(B838,infoTable__13[],4,FALSE),"")</f>
        <v/>
      </c>
      <c r="N838" s="4" t="str">
        <f>IFERROR(VLOOKUP(B838,infoTable__14[],4,FALSE),"")</f>
        <v/>
      </c>
      <c r="O838" s="4">
        <f>IFERROR(VLOOKUP(B838,infoTable__15[],4,FALSE),"")</f>
        <v>252592</v>
      </c>
      <c r="P838" s="4" t="str">
        <f>IFERROR(VLOOKUP(B838,infoTable__16[],4,FALSE),"")</f>
        <v/>
      </c>
    </row>
    <row r="839" spans="1:16" x14ac:dyDescent="0.55000000000000004">
      <c r="A839" t="s">
        <v>3233</v>
      </c>
      <c r="B839" t="s">
        <v>3234</v>
      </c>
      <c r="C839" s="4" t="str">
        <f>IFERROR(VLOOKUP(B839,infoTable10[],4,FALSE),"")</f>
        <v/>
      </c>
      <c r="D839" s="4" t="str">
        <f>IFERROR(VLOOKUP(B839,infoTable__2[],4,FALSE),"")</f>
        <v/>
      </c>
      <c r="E839" s="4" t="str">
        <f>IFERROR(VLOOKUP(B839,infoTable__3[],4,FALSE),"")</f>
        <v/>
      </c>
      <c r="F839" s="4" t="str">
        <f>IFERROR(VLOOKUP(B839,infoTable__4[],4,FALSE),"")</f>
        <v/>
      </c>
      <c r="G839" s="4" t="str">
        <f>IFERROR(VLOOKUP(B839,infoTable[],4,FALSE),"")</f>
        <v/>
      </c>
      <c r="H839" s="4" t="str">
        <f>IFERROR(VLOOKUP(B839,infoTable__6[],4,FALSE),"")</f>
        <v/>
      </c>
      <c r="I839" s="4" t="str">
        <f>IFERROR(VLOOKUP(B839,infoTable__28[],4,FALSE),"")</f>
        <v/>
      </c>
      <c r="J839" s="4" t="str">
        <f>IFERROR(VLOOKUP(B839,infoTable__10[],4,FALSE),"")</f>
        <v/>
      </c>
      <c r="K839" s="4" t="str">
        <f>IFERROR(VLOOKUP(B839,infoTable__11[],4,FALSE),"")</f>
        <v/>
      </c>
      <c r="L839" s="4" t="str">
        <f>IFERROR(VLOOKUP(B839,infoTable__12[],4,FALSE),"")</f>
        <v/>
      </c>
      <c r="M839" s="4" t="str">
        <f>IFERROR(VLOOKUP(B839,infoTable__13[],4,FALSE),"")</f>
        <v/>
      </c>
      <c r="N839" s="4" t="str">
        <f>IFERROR(VLOOKUP(B839,infoTable__14[],4,FALSE),"")</f>
        <v/>
      </c>
      <c r="O839" s="4" t="str">
        <f>IFERROR(VLOOKUP(B839,infoTable__15[],4,FALSE),"")</f>
        <v/>
      </c>
      <c r="P839" s="4">
        <f>IFERROR(VLOOKUP(B839,infoTable__16[],4,FALSE),"")</f>
        <v>92979</v>
      </c>
    </row>
    <row r="840" spans="1:16" x14ac:dyDescent="0.55000000000000004">
      <c r="A840" t="s">
        <v>2789</v>
      </c>
      <c r="B840" t="s">
        <v>2788</v>
      </c>
      <c r="C840" s="4" t="str">
        <f>IFERROR(VLOOKUP(B840,infoTable10[],4,FALSE),"")</f>
        <v/>
      </c>
      <c r="D840" s="4" t="str">
        <f>IFERROR(VLOOKUP(B840,infoTable__2[],4,FALSE),"")</f>
        <v/>
      </c>
      <c r="E840" s="4" t="str">
        <f>IFERROR(VLOOKUP(B840,infoTable__3[],4,FALSE),"")</f>
        <v/>
      </c>
      <c r="F840" s="4" t="str">
        <f>IFERROR(VLOOKUP(B840,infoTable__4[],4,FALSE),"")</f>
        <v/>
      </c>
      <c r="G840" s="4" t="str">
        <f>IFERROR(VLOOKUP(B840,infoTable[],4,FALSE),"")</f>
        <v/>
      </c>
      <c r="H840" s="4" t="str">
        <f>IFERROR(VLOOKUP(B840,infoTable__6[],4,FALSE),"")</f>
        <v/>
      </c>
      <c r="I840" s="4" t="str">
        <f>IFERROR(VLOOKUP(B840,infoTable__28[],4,FALSE),"")</f>
        <v/>
      </c>
      <c r="J840" s="4" t="str">
        <f>IFERROR(VLOOKUP(B840,infoTable__10[],4,FALSE),"")</f>
        <v/>
      </c>
      <c r="K840" s="4" t="str">
        <f>IFERROR(VLOOKUP(B840,infoTable__11[],4,FALSE),"")</f>
        <v/>
      </c>
      <c r="L840" s="4" t="str">
        <f>IFERROR(VLOOKUP(B840,infoTable__12[],4,FALSE),"")</f>
        <v/>
      </c>
      <c r="M840" s="4" t="str">
        <f>IFERROR(VLOOKUP(B840,infoTable__13[],4,FALSE),"")</f>
        <v/>
      </c>
      <c r="N840" s="4">
        <f>IFERROR(VLOOKUP(B840,infoTable__14[],4,FALSE),"")</f>
        <v>221264</v>
      </c>
      <c r="O840" s="4">
        <f>IFERROR(VLOOKUP(B840,infoTable__15[],4,FALSE),"")</f>
        <v>256806</v>
      </c>
      <c r="P840" s="4" t="str">
        <f>IFERROR(VLOOKUP(B840,infoTable__16[],4,FALSE),"")</f>
        <v/>
      </c>
    </row>
    <row r="841" spans="1:16" x14ac:dyDescent="0.55000000000000004">
      <c r="A841" t="s">
        <v>3235</v>
      </c>
      <c r="B841" t="s">
        <v>3236</v>
      </c>
      <c r="C841" s="4" t="str">
        <f>IFERROR(VLOOKUP(B841,infoTable10[],4,FALSE),"")</f>
        <v/>
      </c>
      <c r="D841" s="4" t="str">
        <f>IFERROR(VLOOKUP(B841,infoTable__2[],4,FALSE),"")</f>
        <v/>
      </c>
      <c r="E841" s="4" t="str">
        <f>IFERROR(VLOOKUP(B841,infoTable__3[],4,FALSE),"")</f>
        <v/>
      </c>
      <c r="F841" s="4" t="str">
        <f>IFERROR(VLOOKUP(B841,infoTable__4[],4,FALSE),"")</f>
        <v/>
      </c>
      <c r="G841" s="4" t="str">
        <f>IFERROR(VLOOKUP(B841,infoTable[],4,FALSE),"")</f>
        <v/>
      </c>
      <c r="H841" s="4" t="str">
        <f>IFERROR(VLOOKUP(B841,infoTable__6[],4,FALSE),"")</f>
        <v/>
      </c>
      <c r="I841" s="4" t="str">
        <f>IFERROR(VLOOKUP(B841,infoTable__28[],4,FALSE),"")</f>
        <v/>
      </c>
      <c r="J841" s="4" t="str">
        <f>IFERROR(VLOOKUP(B841,infoTable__10[],4,FALSE),"")</f>
        <v/>
      </c>
      <c r="K841" s="4" t="str">
        <f>IFERROR(VLOOKUP(B841,infoTable__11[],4,FALSE),"")</f>
        <v/>
      </c>
      <c r="L841" s="4" t="str">
        <f>IFERROR(VLOOKUP(B841,infoTable__12[],4,FALSE),"")</f>
        <v/>
      </c>
      <c r="M841" s="4" t="str">
        <f>IFERROR(VLOOKUP(B841,infoTable__13[],4,FALSE),"")</f>
        <v/>
      </c>
      <c r="N841" s="4" t="str">
        <f>IFERROR(VLOOKUP(B841,infoTable__14[],4,FALSE),"")</f>
        <v/>
      </c>
      <c r="O841" s="4" t="str">
        <f>IFERROR(VLOOKUP(B841,infoTable__15[],4,FALSE),"")</f>
        <v/>
      </c>
      <c r="P841" s="4">
        <f>IFERROR(VLOOKUP(B841,infoTable__16[],4,FALSE),"")</f>
        <v>944842</v>
      </c>
    </row>
    <row r="842" spans="1:16" x14ac:dyDescent="0.55000000000000004">
      <c r="A842" t="s">
        <v>1159</v>
      </c>
      <c r="B842" t="s">
        <v>1160</v>
      </c>
      <c r="C842" s="4">
        <f>IFERROR(VLOOKUP(B842,infoTable10[],4,FALSE),"")</f>
        <v>778738</v>
      </c>
      <c r="D842" s="4" t="str">
        <f>IFERROR(VLOOKUP(B842,infoTable__2[],4,FALSE),"")</f>
        <v/>
      </c>
      <c r="E842" s="4" t="str">
        <f>IFERROR(VLOOKUP(B842,infoTable__3[],4,FALSE),"")</f>
        <v/>
      </c>
      <c r="F842" s="4" t="str">
        <f>IFERROR(VLOOKUP(B842,infoTable__4[],4,FALSE),"")</f>
        <v/>
      </c>
      <c r="G842" s="4" t="str">
        <f>IFERROR(VLOOKUP(B842,infoTable[],4,FALSE),"")</f>
        <v/>
      </c>
      <c r="H842" s="4" t="str">
        <f>IFERROR(VLOOKUP(B842,infoTable__6[],4,FALSE),"")</f>
        <v/>
      </c>
      <c r="I842" s="4">
        <f>IFERROR(VLOOKUP(B842,infoTable__28[],4,FALSE),"")</f>
        <v>400902</v>
      </c>
      <c r="J842" s="4">
        <f>IFERROR(VLOOKUP(B842,infoTable__10[],4,FALSE),"")</f>
        <v>456930</v>
      </c>
      <c r="K842" s="4" t="str">
        <f>IFERROR(VLOOKUP(B842,infoTable__11[],4,FALSE),"")</f>
        <v/>
      </c>
      <c r="L842" s="4" t="str">
        <f>IFERROR(VLOOKUP(B842,infoTable__12[],4,FALSE),"")</f>
        <v/>
      </c>
      <c r="M842" s="4" t="str">
        <f>IFERROR(VLOOKUP(B842,infoTable__13[],4,FALSE),"")</f>
        <v/>
      </c>
      <c r="N842" s="4" t="str">
        <f>IFERROR(VLOOKUP(B842,infoTable__14[],4,FALSE),"")</f>
        <v/>
      </c>
      <c r="O842" s="4" t="str">
        <f>IFERROR(VLOOKUP(B842,infoTable__15[],4,FALSE),"")</f>
        <v/>
      </c>
      <c r="P842" s="4" t="str">
        <f>IFERROR(VLOOKUP(B842,infoTable__16[],4,FALSE),"")</f>
        <v/>
      </c>
    </row>
    <row r="843" spans="1:16" x14ac:dyDescent="0.55000000000000004">
      <c r="A843" t="s">
        <v>2414</v>
      </c>
      <c r="B843" t="s">
        <v>2415</v>
      </c>
      <c r="C843" s="4" t="str">
        <f>IFERROR(VLOOKUP(B843,infoTable10[],4,FALSE),"")</f>
        <v/>
      </c>
      <c r="D843" s="4" t="str">
        <f>IFERROR(VLOOKUP(B843,infoTable__2[],4,FALSE),"")</f>
        <v/>
      </c>
      <c r="E843" s="4" t="str">
        <f>IFERROR(VLOOKUP(B843,infoTable__3[],4,FALSE),"")</f>
        <v/>
      </c>
      <c r="F843" s="4" t="str">
        <f>IFERROR(VLOOKUP(B843,infoTable__4[],4,FALSE),"")</f>
        <v/>
      </c>
      <c r="G843" s="4" t="str">
        <f>IFERROR(VLOOKUP(B843,infoTable[],4,FALSE),"")</f>
        <v/>
      </c>
      <c r="H843" s="4" t="str">
        <f>IFERROR(VLOOKUP(B843,infoTable__6[],4,FALSE),"")</f>
        <v/>
      </c>
      <c r="I843" s="4" t="str">
        <f>IFERROR(VLOOKUP(B843,infoTable__28[],4,FALSE),"")</f>
        <v/>
      </c>
      <c r="J843" s="4" t="str">
        <f>IFERROR(VLOOKUP(B843,infoTable__10[],4,FALSE),"")</f>
        <v/>
      </c>
      <c r="K843" s="4" t="str">
        <f>IFERROR(VLOOKUP(B843,infoTable__11[],4,FALSE),"")</f>
        <v/>
      </c>
      <c r="L843" s="4" t="str">
        <f>IFERROR(VLOOKUP(B843,infoTable__12[],4,FALSE),"")</f>
        <v/>
      </c>
      <c r="M843" s="4">
        <f>IFERROR(VLOOKUP(B843,infoTable__13[],4,FALSE),"")</f>
        <v>4298000</v>
      </c>
      <c r="N843" s="4">
        <f>IFERROR(VLOOKUP(B843,infoTable__14[],4,FALSE),"")</f>
        <v>2824822</v>
      </c>
      <c r="O843" s="4" t="str">
        <f>IFERROR(VLOOKUP(B843,infoTable__15[],4,FALSE),"")</f>
        <v/>
      </c>
      <c r="P843" s="4" t="str">
        <f>IFERROR(VLOOKUP(B843,infoTable__16[],4,FALSE),"")</f>
        <v/>
      </c>
    </row>
    <row r="844" spans="1:16" x14ac:dyDescent="0.55000000000000004">
      <c r="A844" t="s">
        <v>43</v>
      </c>
      <c r="B844" t="s">
        <v>44</v>
      </c>
      <c r="C844" s="4" t="str">
        <f>IFERROR(VLOOKUP(B844,infoTable10[],4,FALSE),"")</f>
        <v/>
      </c>
      <c r="D844" s="4" t="str">
        <f>IFERROR(VLOOKUP(B844,infoTable__2[],4,FALSE),"")</f>
        <v/>
      </c>
      <c r="E844" s="4" t="str">
        <f>IFERROR(VLOOKUP(B844,infoTable__3[],4,FALSE),"")</f>
        <v/>
      </c>
      <c r="F844" s="4">
        <f>IFERROR(VLOOKUP(B844,infoTable__4[],4,FALSE),"")</f>
        <v>3244392</v>
      </c>
      <c r="G844" s="4">
        <f>IFERROR(VLOOKUP(B844,infoTable[],4,FALSE),"")</f>
        <v>2543665</v>
      </c>
      <c r="H844" s="4">
        <f>IFERROR(VLOOKUP(B844,infoTable__6[],4,FALSE),"")</f>
        <v>982993</v>
      </c>
      <c r="I844" s="4">
        <f>IFERROR(VLOOKUP(B844,infoTable__28[],4,FALSE),"")</f>
        <v>601930</v>
      </c>
      <c r="J844" s="4" t="str">
        <f>IFERROR(VLOOKUP(B844,infoTable__10[],4,FALSE),"")</f>
        <v/>
      </c>
      <c r="K844" s="4" t="str">
        <f>IFERROR(VLOOKUP(B844,infoTable__11[],4,FALSE),"")</f>
        <v/>
      </c>
      <c r="L844" s="4" t="str">
        <f>IFERROR(VLOOKUP(B844,infoTable__12[],4,FALSE),"")</f>
        <v/>
      </c>
      <c r="M844" s="4" t="str">
        <f>IFERROR(VLOOKUP(B844,infoTable__13[],4,FALSE),"")</f>
        <v/>
      </c>
      <c r="N844" s="4" t="str">
        <f>IFERROR(VLOOKUP(B844,infoTable__14[],4,FALSE),"")</f>
        <v/>
      </c>
      <c r="O844" s="4" t="str">
        <f>IFERROR(VLOOKUP(B844,infoTable__15[],4,FALSE),"")</f>
        <v/>
      </c>
      <c r="P844" s="4" t="str">
        <f>IFERROR(VLOOKUP(B844,infoTable__16[],4,FALSE),"")</f>
        <v/>
      </c>
    </row>
    <row r="845" spans="1:16" x14ac:dyDescent="0.55000000000000004">
      <c r="A845" t="s">
        <v>1161</v>
      </c>
      <c r="B845" t="s">
        <v>1162</v>
      </c>
      <c r="C845" s="4" t="str">
        <f>IFERROR(VLOOKUP(B845,infoTable10[],4,FALSE),"")</f>
        <v/>
      </c>
      <c r="D845" s="4" t="str">
        <f>IFERROR(VLOOKUP(B845,infoTable__2[],4,FALSE),"")</f>
        <v/>
      </c>
      <c r="E845" s="4" t="str">
        <f>IFERROR(VLOOKUP(B845,infoTable__3[],4,FALSE),"")</f>
        <v/>
      </c>
      <c r="F845" s="4" t="str">
        <f>IFERROR(VLOOKUP(B845,infoTable__4[],4,FALSE),"")</f>
        <v/>
      </c>
      <c r="G845" s="4" t="str">
        <f>IFERROR(VLOOKUP(B845,infoTable[],4,FALSE),"")</f>
        <v/>
      </c>
      <c r="H845" s="4" t="str">
        <f>IFERROR(VLOOKUP(B845,infoTable__6[],4,FALSE),"")</f>
        <v/>
      </c>
      <c r="I845" s="4">
        <f>IFERROR(VLOOKUP(B845,infoTable__28[],4,FALSE),"")</f>
        <v>3517364</v>
      </c>
      <c r="J845" s="4">
        <f>IFERROR(VLOOKUP(B845,infoTable__10[],4,FALSE),"")</f>
        <v>1011947</v>
      </c>
      <c r="K845" s="4">
        <f>IFERROR(VLOOKUP(B845,infoTable__11[],4,FALSE),"")</f>
        <v>580450</v>
      </c>
      <c r="L845" s="4">
        <f>IFERROR(VLOOKUP(B845,infoTable__12[],4,FALSE),"")</f>
        <v>335537</v>
      </c>
      <c r="M845" s="4" t="str">
        <f>IFERROR(VLOOKUP(B845,infoTable__13[],4,FALSE),"")</f>
        <v/>
      </c>
      <c r="N845" s="4">
        <f>IFERROR(VLOOKUP(B845,infoTable__14[],4,FALSE),"")</f>
        <v>384075</v>
      </c>
      <c r="O845" s="4">
        <f>IFERROR(VLOOKUP(B845,infoTable__15[],4,FALSE),"")</f>
        <v>2237125</v>
      </c>
      <c r="P845" s="4">
        <f>IFERROR(VLOOKUP(B845,infoTable__16[],4,FALSE),"")</f>
        <v>1084419</v>
      </c>
    </row>
    <row r="846" spans="1:16" x14ac:dyDescent="0.55000000000000004">
      <c r="A846" t="s">
        <v>817</v>
      </c>
      <c r="B846" t="s">
        <v>818</v>
      </c>
      <c r="C846" s="4" t="str">
        <f>IFERROR(VLOOKUP(B846,infoTable10[],4,FALSE),"")</f>
        <v/>
      </c>
      <c r="D846" s="4" t="str">
        <f>IFERROR(VLOOKUP(B846,infoTable__2[],4,FALSE),"")</f>
        <v/>
      </c>
      <c r="E846" s="4" t="str">
        <f>IFERROR(VLOOKUP(B846,infoTable__3[],4,FALSE),"")</f>
        <v/>
      </c>
      <c r="F846" s="4">
        <f>IFERROR(VLOOKUP(B846,infoTable__4[],4,FALSE),"")</f>
        <v>166783</v>
      </c>
      <c r="G846" s="4" t="str">
        <f>IFERROR(VLOOKUP(B846,infoTable[],4,FALSE),"")</f>
        <v/>
      </c>
      <c r="H846" s="4" t="str">
        <f>IFERROR(VLOOKUP(B846,infoTable__6[],4,FALSE),"")</f>
        <v/>
      </c>
      <c r="I846" s="4" t="str">
        <f>IFERROR(VLOOKUP(B846,infoTable__28[],4,FALSE),"")</f>
        <v/>
      </c>
      <c r="J846" s="4" t="str">
        <f>IFERROR(VLOOKUP(B846,infoTable__10[],4,FALSE),"")</f>
        <v/>
      </c>
      <c r="K846" s="4" t="str">
        <f>IFERROR(VLOOKUP(B846,infoTable__11[],4,FALSE),"")</f>
        <v/>
      </c>
      <c r="L846" s="4" t="str">
        <f>IFERROR(VLOOKUP(B846,infoTable__12[],4,FALSE),"")</f>
        <v/>
      </c>
      <c r="M846" s="4" t="str">
        <f>IFERROR(VLOOKUP(B846,infoTable__13[],4,FALSE),"")</f>
        <v/>
      </c>
      <c r="N846" s="4" t="str">
        <f>IFERROR(VLOOKUP(B846,infoTable__14[],4,FALSE),"")</f>
        <v/>
      </c>
      <c r="O846" s="4" t="str">
        <f>IFERROR(VLOOKUP(B846,infoTable__15[],4,FALSE),"")</f>
        <v/>
      </c>
      <c r="P846" s="4" t="str">
        <f>IFERROR(VLOOKUP(B846,infoTable__16[],4,FALSE),"")</f>
        <v/>
      </c>
    </row>
    <row r="847" spans="1:16" x14ac:dyDescent="0.55000000000000004">
      <c r="A847" t="s">
        <v>2791</v>
      </c>
      <c r="B847" t="s">
        <v>2790</v>
      </c>
      <c r="C847" s="4" t="str">
        <f>IFERROR(VLOOKUP(B847,infoTable10[],4,FALSE),"")</f>
        <v/>
      </c>
      <c r="D847" s="4" t="str">
        <f>IFERROR(VLOOKUP(B847,infoTable__2[],4,FALSE),"")</f>
        <v/>
      </c>
      <c r="E847" s="4" t="str">
        <f>IFERROR(VLOOKUP(B847,infoTable__3[],4,FALSE),"")</f>
        <v/>
      </c>
      <c r="F847" s="4" t="str">
        <f>IFERROR(VLOOKUP(B847,infoTable__4[],4,FALSE),"")</f>
        <v/>
      </c>
      <c r="G847" s="4" t="str">
        <f>IFERROR(VLOOKUP(B847,infoTable[],4,FALSE),"")</f>
        <v/>
      </c>
      <c r="H847" s="4" t="str">
        <f>IFERROR(VLOOKUP(B847,infoTable__6[],4,FALSE),"")</f>
        <v/>
      </c>
      <c r="I847" s="4" t="str">
        <f>IFERROR(VLOOKUP(B847,infoTable__28[],4,FALSE),"")</f>
        <v/>
      </c>
      <c r="J847" s="4" t="str">
        <f>IFERROR(VLOOKUP(B847,infoTable__10[],4,FALSE),"")</f>
        <v/>
      </c>
      <c r="K847" s="4" t="str">
        <f>IFERROR(VLOOKUP(B847,infoTable__11[],4,FALSE),"")</f>
        <v/>
      </c>
      <c r="L847" s="4" t="str">
        <f>IFERROR(VLOOKUP(B847,infoTable__12[],4,FALSE),"")</f>
        <v/>
      </c>
      <c r="M847" s="4" t="str">
        <f>IFERROR(VLOOKUP(B847,infoTable__13[],4,FALSE),"")</f>
        <v/>
      </c>
      <c r="N847" s="4">
        <f>IFERROR(VLOOKUP(B847,infoTable__14[],4,FALSE),"")</f>
        <v>1774004</v>
      </c>
      <c r="O847" s="4">
        <f>IFERROR(VLOOKUP(B847,infoTable__15[],4,FALSE),"")</f>
        <v>271285</v>
      </c>
      <c r="P847" s="4">
        <f>IFERROR(VLOOKUP(B847,infoTable__16[],4,FALSE),"")</f>
        <v>272797</v>
      </c>
    </row>
    <row r="848" spans="1:16" x14ac:dyDescent="0.55000000000000004">
      <c r="A848" t="s">
        <v>2973</v>
      </c>
      <c r="B848" t="s">
        <v>2974</v>
      </c>
      <c r="C848" s="4" t="str">
        <f>IFERROR(VLOOKUP(B848,infoTable10[],4,FALSE),"")</f>
        <v/>
      </c>
      <c r="D848" s="4" t="str">
        <f>IFERROR(VLOOKUP(B848,infoTable__2[],4,FALSE),"")</f>
        <v/>
      </c>
      <c r="E848" s="4" t="str">
        <f>IFERROR(VLOOKUP(B848,infoTable__3[],4,FALSE),"")</f>
        <v/>
      </c>
      <c r="F848" s="4" t="str">
        <f>IFERROR(VLOOKUP(B848,infoTable__4[],4,FALSE),"")</f>
        <v/>
      </c>
      <c r="G848" s="4" t="str">
        <f>IFERROR(VLOOKUP(B848,infoTable[],4,FALSE),"")</f>
        <v/>
      </c>
      <c r="H848" s="4" t="str">
        <f>IFERROR(VLOOKUP(B848,infoTable__6[],4,FALSE),"")</f>
        <v/>
      </c>
      <c r="I848" s="4" t="str">
        <f>IFERROR(VLOOKUP(B848,infoTable__28[],4,FALSE),"")</f>
        <v/>
      </c>
      <c r="J848" s="4" t="str">
        <f>IFERROR(VLOOKUP(B848,infoTable__10[],4,FALSE),"")</f>
        <v/>
      </c>
      <c r="K848" s="4" t="str">
        <f>IFERROR(VLOOKUP(B848,infoTable__11[],4,FALSE),"")</f>
        <v/>
      </c>
      <c r="L848" s="4" t="str">
        <f>IFERROR(VLOOKUP(B848,infoTable__12[],4,FALSE),"")</f>
        <v/>
      </c>
      <c r="M848" s="4" t="str">
        <f>IFERROR(VLOOKUP(B848,infoTable__13[],4,FALSE),"")</f>
        <v/>
      </c>
      <c r="N848" s="4" t="str">
        <f>IFERROR(VLOOKUP(B848,infoTable__14[],4,FALSE),"")</f>
        <v/>
      </c>
      <c r="O848" s="4">
        <f>IFERROR(VLOOKUP(B848,infoTable__15[],4,FALSE),"")</f>
        <v>616431</v>
      </c>
      <c r="P848" s="4">
        <f>IFERROR(VLOOKUP(B848,infoTable__16[],4,FALSE),"")</f>
        <v>229836</v>
      </c>
    </row>
    <row r="849" spans="1:16" x14ac:dyDescent="0.55000000000000004">
      <c r="A849" t="s">
        <v>2095</v>
      </c>
      <c r="B849" t="s">
        <v>2096</v>
      </c>
      <c r="C849" s="4" t="str">
        <f>IFERROR(VLOOKUP(B849,infoTable10[],4,FALSE),"")</f>
        <v/>
      </c>
      <c r="D849" s="4" t="str">
        <f>IFERROR(VLOOKUP(B849,infoTable__2[],4,FALSE),"")</f>
        <v/>
      </c>
      <c r="E849" s="4" t="str">
        <f>IFERROR(VLOOKUP(B849,infoTable__3[],4,FALSE),"")</f>
        <v/>
      </c>
      <c r="F849" s="4" t="str">
        <f>IFERROR(VLOOKUP(B849,infoTable__4[],4,FALSE),"")</f>
        <v/>
      </c>
      <c r="G849" s="4" t="str">
        <f>IFERROR(VLOOKUP(B849,infoTable[],4,FALSE),"")</f>
        <v/>
      </c>
      <c r="H849" s="4" t="str">
        <f>IFERROR(VLOOKUP(B849,infoTable__6[],4,FALSE),"")</f>
        <v/>
      </c>
      <c r="I849" s="4" t="str">
        <f>IFERROR(VLOOKUP(B849,infoTable__28[],4,FALSE),"")</f>
        <v/>
      </c>
      <c r="J849" s="4" t="str">
        <f>IFERROR(VLOOKUP(B849,infoTable__10[],4,FALSE),"")</f>
        <v/>
      </c>
      <c r="K849" s="4" t="str">
        <f>IFERROR(VLOOKUP(B849,infoTable__11[],4,FALSE),"")</f>
        <v/>
      </c>
      <c r="L849" s="4">
        <f>IFERROR(VLOOKUP(B849,infoTable__12[],4,FALSE),"")</f>
        <v>1770609</v>
      </c>
      <c r="M849" s="4" t="str">
        <f>IFERROR(VLOOKUP(B849,infoTable__13[],4,FALSE),"")</f>
        <v/>
      </c>
      <c r="N849" s="4" t="str">
        <f>IFERROR(VLOOKUP(B849,infoTable__14[],4,FALSE),"")</f>
        <v/>
      </c>
      <c r="O849" s="4" t="str">
        <f>IFERROR(VLOOKUP(B849,infoTable__15[],4,FALSE),"")</f>
        <v/>
      </c>
      <c r="P849" s="4" t="str">
        <f>IFERROR(VLOOKUP(B849,infoTable__16[],4,FALSE),"")</f>
        <v/>
      </c>
    </row>
    <row r="850" spans="1:16" x14ac:dyDescent="0.55000000000000004">
      <c r="A850" t="s">
        <v>2975</v>
      </c>
      <c r="B850" t="s">
        <v>2976</v>
      </c>
      <c r="C850" s="4" t="str">
        <f>IFERROR(VLOOKUP(B850,infoTable10[],4,FALSE),"")</f>
        <v/>
      </c>
      <c r="D850" s="4" t="str">
        <f>IFERROR(VLOOKUP(B850,infoTable__2[],4,FALSE),"")</f>
        <v/>
      </c>
      <c r="E850" s="4" t="str">
        <f>IFERROR(VLOOKUP(B850,infoTable__3[],4,FALSE),"")</f>
        <v/>
      </c>
      <c r="F850" s="4" t="str">
        <f>IFERROR(VLOOKUP(B850,infoTable__4[],4,FALSE),"")</f>
        <v/>
      </c>
      <c r="G850" s="4" t="str">
        <f>IFERROR(VLOOKUP(B850,infoTable[],4,FALSE),"")</f>
        <v/>
      </c>
      <c r="H850" s="4" t="str">
        <f>IFERROR(VLOOKUP(B850,infoTable__6[],4,FALSE),"")</f>
        <v/>
      </c>
      <c r="I850" s="4" t="str">
        <f>IFERROR(VLOOKUP(B850,infoTable__28[],4,FALSE),"")</f>
        <v/>
      </c>
      <c r="J850" s="4" t="str">
        <f>IFERROR(VLOOKUP(B850,infoTable__10[],4,FALSE),"")</f>
        <v/>
      </c>
      <c r="K850" s="4" t="str">
        <f>IFERROR(VLOOKUP(B850,infoTable__11[],4,FALSE),"")</f>
        <v/>
      </c>
      <c r="L850" s="4" t="str">
        <f>IFERROR(VLOOKUP(B850,infoTable__12[],4,FALSE),"")</f>
        <v/>
      </c>
      <c r="M850" s="4" t="str">
        <f>IFERROR(VLOOKUP(B850,infoTable__13[],4,FALSE),"")</f>
        <v/>
      </c>
      <c r="N850" s="4" t="str">
        <f>IFERROR(VLOOKUP(B850,infoTable__14[],4,FALSE),"")</f>
        <v/>
      </c>
      <c r="O850" s="4">
        <f>IFERROR(VLOOKUP(B850,infoTable__15[],4,FALSE),"")</f>
        <v>360884</v>
      </c>
      <c r="P850" s="4" t="str">
        <f>IFERROR(VLOOKUP(B850,infoTable__16[],4,FALSE),"")</f>
        <v/>
      </c>
    </row>
    <row r="851" spans="1:16" x14ac:dyDescent="0.55000000000000004">
      <c r="A851" t="s">
        <v>2977</v>
      </c>
      <c r="B851" t="s">
        <v>2978</v>
      </c>
      <c r="C851" s="4" t="str">
        <f>IFERROR(VLOOKUP(B851,infoTable10[],4,FALSE),"")</f>
        <v/>
      </c>
      <c r="D851" s="4" t="str">
        <f>IFERROR(VLOOKUP(B851,infoTable__2[],4,FALSE),"")</f>
        <v/>
      </c>
      <c r="E851" s="4" t="str">
        <f>IFERROR(VLOOKUP(B851,infoTable__3[],4,FALSE),"")</f>
        <v/>
      </c>
      <c r="F851" s="4" t="str">
        <f>IFERROR(VLOOKUP(B851,infoTable__4[],4,FALSE),"")</f>
        <v/>
      </c>
      <c r="G851" s="4" t="str">
        <f>IFERROR(VLOOKUP(B851,infoTable[],4,FALSE),"")</f>
        <v/>
      </c>
      <c r="H851" s="4" t="str">
        <f>IFERROR(VLOOKUP(B851,infoTable__6[],4,FALSE),"")</f>
        <v/>
      </c>
      <c r="I851" s="4" t="str">
        <f>IFERROR(VLOOKUP(B851,infoTable__28[],4,FALSE),"")</f>
        <v/>
      </c>
      <c r="J851" s="4" t="str">
        <f>IFERROR(VLOOKUP(B851,infoTable__10[],4,FALSE),"")</f>
        <v/>
      </c>
      <c r="K851" s="4" t="str">
        <f>IFERROR(VLOOKUP(B851,infoTable__11[],4,FALSE),"")</f>
        <v/>
      </c>
      <c r="L851" s="4" t="str">
        <f>IFERROR(VLOOKUP(B851,infoTable__12[],4,FALSE),"")</f>
        <v/>
      </c>
      <c r="M851" s="4" t="str">
        <f>IFERROR(VLOOKUP(B851,infoTable__13[],4,FALSE),"")</f>
        <v/>
      </c>
      <c r="N851" s="4" t="str">
        <f>IFERROR(VLOOKUP(B851,infoTable__14[],4,FALSE),"")</f>
        <v/>
      </c>
      <c r="O851" s="4">
        <f>IFERROR(VLOOKUP(B851,infoTable__15[],4,FALSE),"")</f>
        <v>3106032</v>
      </c>
      <c r="P851" s="4">
        <f>IFERROR(VLOOKUP(B851,infoTable__16[],4,FALSE),"")</f>
        <v>1400902</v>
      </c>
    </row>
    <row r="852" spans="1:16" x14ac:dyDescent="0.55000000000000004">
      <c r="A852" t="s">
        <v>1165</v>
      </c>
      <c r="B852" t="s">
        <v>1166</v>
      </c>
      <c r="C852" s="4" t="str">
        <f>IFERROR(VLOOKUP(B852,infoTable10[],4,FALSE),"")</f>
        <v/>
      </c>
      <c r="D852" s="4" t="str">
        <f>IFERROR(VLOOKUP(B852,infoTable__2[],4,FALSE),"")</f>
        <v/>
      </c>
      <c r="E852" s="4" t="str">
        <f>IFERROR(VLOOKUP(B852,infoTable__3[],4,FALSE),"")</f>
        <v/>
      </c>
      <c r="F852" s="4" t="str">
        <f>IFERROR(VLOOKUP(B852,infoTable__4[],4,FALSE),"")</f>
        <v/>
      </c>
      <c r="G852" s="4" t="str">
        <f>IFERROR(VLOOKUP(B852,infoTable[],4,FALSE),"")</f>
        <v/>
      </c>
      <c r="H852" s="4" t="str">
        <f>IFERROR(VLOOKUP(B852,infoTable__6[],4,FALSE),"")</f>
        <v/>
      </c>
      <c r="I852" s="4">
        <f>IFERROR(VLOOKUP(B852,infoTable__28[],4,FALSE),"")</f>
        <v>320734</v>
      </c>
      <c r="J852" s="4">
        <f>IFERROR(VLOOKUP(B852,infoTable__10[],4,FALSE),"")</f>
        <v>461023</v>
      </c>
      <c r="K852" s="4">
        <f>IFERROR(VLOOKUP(B852,infoTable__11[],4,FALSE),"")</f>
        <v>478808</v>
      </c>
      <c r="L852" s="4" t="str">
        <f>IFERROR(VLOOKUP(B852,infoTable__12[],4,FALSE),"")</f>
        <v/>
      </c>
      <c r="M852" s="4" t="str">
        <f>IFERROR(VLOOKUP(B852,infoTable__13[],4,FALSE),"")</f>
        <v/>
      </c>
      <c r="N852" s="4" t="str">
        <f>IFERROR(VLOOKUP(B852,infoTable__14[],4,FALSE),"")</f>
        <v/>
      </c>
      <c r="O852" s="4" t="str">
        <f>IFERROR(VLOOKUP(B852,infoTable__15[],4,FALSE),"")</f>
        <v/>
      </c>
      <c r="P852" s="4" t="str">
        <f>IFERROR(VLOOKUP(B852,infoTable__16[],4,FALSE),"")</f>
        <v/>
      </c>
    </row>
    <row r="853" spans="1:16" x14ac:dyDescent="0.55000000000000004">
      <c r="A853" t="s">
        <v>2979</v>
      </c>
      <c r="B853" t="s">
        <v>2980</v>
      </c>
      <c r="C853" s="4" t="str">
        <f>IFERROR(VLOOKUP(B853,infoTable10[],4,FALSE),"")</f>
        <v/>
      </c>
      <c r="D853" s="4" t="str">
        <f>IFERROR(VLOOKUP(B853,infoTable__2[],4,FALSE),"")</f>
        <v/>
      </c>
      <c r="E853" s="4" t="str">
        <f>IFERROR(VLOOKUP(B853,infoTable__3[],4,FALSE),"")</f>
        <v/>
      </c>
      <c r="F853" s="4" t="str">
        <f>IFERROR(VLOOKUP(B853,infoTable__4[],4,FALSE),"")</f>
        <v/>
      </c>
      <c r="G853" s="4" t="str">
        <f>IFERROR(VLOOKUP(B853,infoTable[],4,FALSE),"")</f>
        <v/>
      </c>
      <c r="H853" s="4" t="str">
        <f>IFERROR(VLOOKUP(B853,infoTable__6[],4,FALSE),"")</f>
        <v/>
      </c>
      <c r="I853" s="4" t="str">
        <f>IFERROR(VLOOKUP(B853,infoTable__28[],4,FALSE),"")</f>
        <v/>
      </c>
      <c r="J853" s="4" t="str">
        <f>IFERROR(VLOOKUP(B853,infoTable__10[],4,FALSE),"")</f>
        <v/>
      </c>
      <c r="K853" s="4" t="str">
        <f>IFERROR(VLOOKUP(B853,infoTable__11[],4,FALSE),"")</f>
        <v/>
      </c>
      <c r="L853" s="4" t="str">
        <f>IFERROR(VLOOKUP(B853,infoTable__12[],4,FALSE),"")</f>
        <v/>
      </c>
      <c r="M853" s="4" t="str">
        <f>IFERROR(VLOOKUP(B853,infoTable__13[],4,FALSE),"")</f>
        <v/>
      </c>
      <c r="N853" s="4" t="str">
        <f>IFERROR(VLOOKUP(B853,infoTable__14[],4,FALSE),"")</f>
        <v/>
      </c>
      <c r="O853" s="4">
        <f>IFERROR(VLOOKUP(B853,infoTable__15[],4,FALSE),"")</f>
        <v>404297</v>
      </c>
      <c r="P853" s="4">
        <f>IFERROR(VLOOKUP(B853,infoTable__16[],4,FALSE),"")</f>
        <v>348692</v>
      </c>
    </row>
    <row r="854" spans="1:16" x14ac:dyDescent="0.55000000000000004">
      <c r="A854" t="s">
        <v>1583</v>
      </c>
      <c r="B854" t="s">
        <v>50</v>
      </c>
      <c r="C854" s="4" t="str">
        <f>IFERROR(VLOOKUP(B854,infoTable10[],4,FALSE),"")</f>
        <v/>
      </c>
      <c r="D854" s="4" t="str">
        <f>IFERROR(VLOOKUP(B854,infoTable__2[],4,FALSE),"")</f>
        <v/>
      </c>
      <c r="E854" s="4">
        <f>IFERROR(VLOOKUP(B854,infoTable__3[],4,FALSE),"")</f>
        <v>2338379</v>
      </c>
      <c r="F854" s="4">
        <f>IFERROR(VLOOKUP(B854,infoTable__4[],4,FALSE),"")</f>
        <v>471744</v>
      </c>
      <c r="G854" s="4">
        <f>IFERROR(VLOOKUP(B854,infoTable[],4,FALSE),"")</f>
        <v>247570</v>
      </c>
      <c r="H854" s="4" t="str">
        <f>IFERROR(VLOOKUP(B854,infoTable__6[],4,FALSE),"")</f>
        <v/>
      </c>
      <c r="I854" s="4" t="str">
        <f>IFERROR(VLOOKUP(B854,infoTable__28[],4,FALSE),"")</f>
        <v/>
      </c>
      <c r="J854" s="4" t="str">
        <f>IFERROR(VLOOKUP(B854,infoTable__10[],4,FALSE),"")</f>
        <v/>
      </c>
      <c r="K854" s="4" t="str">
        <f>IFERROR(VLOOKUP(B854,infoTable__11[],4,FALSE),"")</f>
        <v/>
      </c>
      <c r="L854" s="4" t="str">
        <f>IFERROR(VLOOKUP(B854,infoTable__12[],4,FALSE),"")</f>
        <v/>
      </c>
      <c r="M854" s="4" t="str">
        <f>IFERROR(VLOOKUP(B854,infoTable__13[],4,FALSE),"")</f>
        <v/>
      </c>
      <c r="N854" s="4">
        <f>IFERROR(VLOOKUP(B854,infoTable__14[],4,FALSE),"")</f>
        <v>244228</v>
      </c>
      <c r="O854" s="4" t="str">
        <f>IFERROR(VLOOKUP(B854,infoTable__15[],4,FALSE),"")</f>
        <v/>
      </c>
      <c r="P854" s="4" t="str">
        <f>IFERROR(VLOOKUP(B854,infoTable__16[],4,FALSE),"")</f>
        <v/>
      </c>
    </row>
    <row r="855" spans="1:16" x14ac:dyDescent="0.55000000000000004">
      <c r="A855" t="s">
        <v>1482</v>
      </c>
      <c r="B855" t="s">
        <v>1484</v>
      </c>
      <c r="C855" s="4">
        <f>IFERROR(VLOOKUP(B855,infoTable10[],4,FALSE),"")</f>
        <v>1441979</v>
      </c>
      <c r="D855" s="4" t="str">
        <f>IFERROR(VLOOKUP(B855,infoTable__2[],4,FALSE),"")</f>
        <v/>
      </c>
      <c r="E855" s="4" t="str">
        <f>IFERROR(VLOOKUP(B855,infoTable__3[],4,FALSE),"")</f>
        <v/>
      </c>
      <c r="F855" s="4" t="str">
        <f>IFERROR(VLOOKUP(B855,infoTable__4[],4,FALSE),"")</f>
        <v/>
      </c>
      <c r="G855" s="4" t="str">
        <f>IFERROR(VLOOKUP(B855,infoTable[],4,FALSE),"")</f>
        <v/>
      </c>
      <c r="H855" s="4" t="str">
        <f>IFERROR(VLOOKUP(B855,infoTable__6[],4,FALSE),"")</f>
        <v/>
      </c>
      <c r="I855" s="4" t="str">
        <f>IFERROR(VLOOKUP(B855,infoTable__28[],4,FALSE),"")</f>
        <v/>
      </c>
      <c r="J855" s="4" t="str">
        <f>IFERROR(VLOOKUP(B855,infoTable__10[],4,FALSE),"")</f>
        <v/>
      </c>
      <c r="K855" s="4" t="str">
        <f>IFERROR(VLOOKUP(B855,infoTable__11[],4,FALSE),"")</f>
        <v/>
      </c>
      <c r="L855" s="4" t="str">
        <f>IFERROR(VLOOKUP(B855,infoTable__12[],4,FALSE),"")</f>
        <v/>
      </c>
      <c r="M855" s="4" t="str">
        <f>IFERROR(VLOOKUP(B855,infoTable__13[],4,FALSE),"")</f>
        <v/>
      </c>
      <c r="N855" s="4">
        <f>IFERROR(VLOOKUP(B855,infoTable__14[],4,FALSE),"")</f>
        <v>109577</v>
      </c>
      <c r="O855" s="4" t="str">
        <f>IFERROR(VLOOKUP(B855,infoTable__15[],4,FALSE),"")</f>
        <v/>
      </c>
      <c r="P855" s="4">
        <f>IFERROR(VLOOKUP(B855,infoTable__16[],4,FALSE),"")</f>
        <v>1004066</v>
      </c>
    </row>
    <row r="856" spans="1:16" x14ac:dyDescent="0.55000000000000004">
      <c r="A856" t="s">
        <v>2981</v>
      </c>
      <c r="B856" t="s">
        <v>2982</v>
      </c>
      <c r="C856" s="4" t="str">
        <f>IFERROR(VLOOKUP(B856,infoTable10[],4,FALSE),"")</f>
        <v/>
      </c>
      <c r="D856" s="4" t="str">
        <f>IFERROR(VLOOKUP(B856,infoTable__2[],4,FALSE),"")</f>
        <v/>
      </c>
      <c r="E856" s="4" t="str">
        <f>IFERROR(VLOOKUP(B856,infoTable__3[],4,FALSE),"")</f>
        <v/>
      </c>
      <c r="F856" s="4" t="str">
        <f>IFERROR(VLOOKUP(B856,infoTable__4[],4,FALSE),"")</f>
        <v/>
      </c>
      <c r="G856" s="4" t="str">
        <f>IFERROR(VLOOKUP(B856,infoTable[],4,FALSE),"")</f>
        <v/>
      </c>
      <c r="H856" s="4" t="str">
        <f>IFERROR(VLOOKUP(B856,infoTable__6[],4,FALSE),"")</f>
        <v/>
      </c>
      <c r="I856" s="4" t="str">
        <f>IFERROR(VLOOKUP(B856,infoTable__28[],4,FALSE),"")</f>
        <v/>
      </c>
      <c r="J856" s="4" t="str">
        <f>IFERROR(VLOOKUP(B856,infoTable__10[],4,FALSE),"")</f>
        <v/>
      </c>
      <c r="K856" s="4" t="str">
        <f>IFERROR(VLOOKUP(B856,infoTable__11[],4,FALSE),"")</f>
        <v/>
      </c>
      <c r="L856" s="4" t="str">
        <f>IFERROR(VLOOKUP(B856,infoTable__12[],4,FALSE),"")</f>
        <v/>
      </c>
      <c r="M856" s="4" t="str">
        <f>IFERROR(VLOOKUP(B856,infoTable__13[],4,FALSE),"")</f>
        <v/>
      </c>
      <c r="N856" s="4" t="str">
        <f>IFERROR(VLOOKUP(B856,infoTable__14[],4,FALSE),"")</f>
        <v/>
      </c>
      <c r="O856" s="4">
        <f>IFERROR(VLOOKUP(B856,infoTable__15[],4,FALSE),"")</f>
        <v>389500</v>
      </c>
      <c r="P856" s="4">
        <f>IFERROR(VLOOKUP(B856,infoTable__16[],4,FALSE),"")</f>
        <v>366250</v>
      </c>
    </row>
    <row r="857" spans="1:16" x14ac:dyDescent="0.55000000000000004">
      <c r="A857" t="s">
        <v>819</v>
      </c>
      <c r="B857" t="s">
        <v>820</v>
      </c>
      <c r="C857" s="4" t="str">
        <f>IFERROR(VLOOKUP(B857,infoTable10[],4,FALSE),"")</f>
        <v/>
      </c>
      <c r="D857" s="4" t="str">
        <f>IFERROR(VLOOKUP(B857,infoTable__2[],4,FALSE),"")</f>
        <v/>
      </c>
      <c r="E857" s="4" t="str">
        <f>IFERROR(VLOOKUP(B857,infoTable__3[],4,FALSE),"")</f>
        <v/>
      </c>
      <c r="F857" s="4">
        <f>IFERROR(VLOOKUP(B857,infoTable__4[],4,FALSE),"")</f>
        <v>529718</v>
      </c>
      <c r="G857" s="4" t="str">
        <f>IFERROR(VLOOKUP(B857,infoTable[],4,FALSE),"")</f>
        <v/>
      </c>
      <c r="H857" s="4" t="str">
        <f>IFERROR(VLOOKUP(B857,infoTable__6[],4,FALSE),"")</f>
        <v/>
      </c>
      <c r="I857" s="4" t="str">
        <f>IFERROR(VLOOKUP(B857,infoTable__28[],4,FALSE),"")</f>
        <v/>
      </c>
      <c r="J857" s="4" t="str">
        <f>IFERROR(VLOOKUP(B857,infoTable__10[],4,FALSE),"")</f>
        <v/>
      </c>
      <c r="K857" s="4" t="str">
        <f>IFERROR(VLOOKUP(B857,infoTable__11[],4,FALSE),"")</f>
        <v/>
      </c>
      <c r="L857" s="4" t="str">
        <f>IFERROR(VLOOKUP(B857,infoTable__12[],4,FALSE),"")</f>
        <v/>
      </c>
      <c r="M857" s="4" t="str">
        <f>IFERROR(VLOOKUP(B857,infoTable__13[],4,FALSE),"")</f>
        <v/>
      </c>
      <c r="N857" s="4" t="str">
        <f>IFERROR(VLOOKUP(B857,infoTable__14[],4,FALSE),"")</f>
        <v/>
      </c>
      <c r="O857" s="4" t="str">
        <f>IFERROR(VLOOKUP(B857,infoTable__15[],4,FALSE),"")</f>
        <v/>
      </c>
      <c r="P857" s="4" t="str">
        <f>IFERROR(VLOOKUP(B857,infoTable__16[],4,FALSE),"")</f>
        <v/>
      </c>
    </row>
    <row r="858" spans="1:16" x14ac:dyDescent="0.55000000000000004">
      <c r="A858" t="s">
        <v>516</v>
      </c>
      <c r="B858" t="s">
        <v>517</v>
      </c>
      <c r="C858" s="4" t="str">
        <f>IFERROR(VLOOKUP(B858,infoTable10[],4,FALSE),"")</f>
        <v/>
      </c>
      <c r="D858" s="4">
        <f>IFERROR(VLOOKUP(B858,infoTable__2[],4,FALSE),"")</f>
        <v>699365</v>
      </c>
      <c r="E858" s="4">
        <f>IFERROR(VLOOKUP(B858,infoTable__3[],4,FALSE),"")</f>
        <v>3226799</v>
      </c>
      <c r="F858" s="4">
        <f>IFERROR(VLOOKUP(B858,infoTable__4[],4,FALSE),"")</f>
        <v>243438</v>
      </c>
      <c r="G858" s="4" t="str">
        <f>IFERROR(VLOOKUP(B858,infoTable[],4,FALSE),"")</f>
        <v/>
      </c>
      <c r="H858" s="4" t="str">
        <f>IFERROR(VLOOKUP(B858,infoTable__6[],4,FALSE),"")</f>
        <v/>
      </c>
      <c r="I858" s="4" t="str">
        <f>IFERROR(VLOOKUP(B858,infoTable__28[],4,FALSE),"")</f>
        <v/>
      </c>
      <c r="J858" s="4" t="str">
        <f>IFERROR(VLOOKUP(B858,infoTable__10[],4,FALSE),"")</f>
        <v/>
      </c>
      <c r="K858" s="4" t="str">
        <f>IFERROR(VLOOKUP(B858,infoTable__11[],4,FALSE),"")</f>
        <v/>
      </c>
      <c r="L858" s="4" t="str">
        <f>IFERROR(VLOOKUP(B858,infoTable__12[],4,FALSE),"")</f>
        <v/>
      </c>
      <c r="M858" s="4" t="str">
        <f>IFERROR(VLOOKUP(B858,infoTable__13[],4,FALSE),"")</f>
        <v/>
      </c>
      <c r="N858" s="4">
        <f>IFERROR(VLOOKUP(B858,infoTable__14[],4,FALSE),"")</f>
        <v>578670</v>
      </c>
      <c r="O858" s="4">
        <f>IFERROR(VLOOKUP(B858,infoTable__15[],4,FALSE),"")</f>
        <v>383647</v>
      </c>
      <c r="P858" s="4">
        <f>IFERROR(VLOOKUP(B858,infoTable__16[],4,FALSE),"")</f>
        <v>122398</v>
      </c>
    </row>
    <row r="859" spans="1:16" x14ac:dyDescent="0.55000000000000004">
      <c r="A859" t="s">
        <v>3240</v>
      </c>
      <c r="B859" t="s">
        <v>3241</v>
      </c>
      <c r="C859" s="4" t="str">
        <f>IFERROR(VLOOKUP(B859,infoTable10[],4,FALSE),"")</f>
        <v/>
      </c>
      <c r="D859" s="4" t="str">
        <f>IFERROR(VLOOKUP(B859,infoTable__2[],4,FALSE),"")</f>
        <v/>
      </c>
      <c r="E859" s="4" t="str">
        <f>IFERROR(VLOOKUP(B859,infoTable__3[],4,FALSE),"")</f>
        <v/>
      </c>
      <c r="F859" s="4" t="str">
        <f>IFERROR(VLOOKUP(B859,infoTable__4[],4,FALSE),"")</f>
        <v/>
      </c>
      <c r="G859" s="4" t="str">
        <f>IFERROR(VLOOKUP(B859,infoTable[],4,FALSE),"")</f>
        <v/>
      </c>
      <c r="H859" s="4" t="str">
        <f>IFERROR(VLOOKUP(B859,infoTable__6[],4,FALSE),"")</f>
        <v/>
      </c>
      <c r="I859" s="4" t="str">
        <f>IFERROR(VLOOKUP(B859,infoTable__28[],4,FALSE),"")</f>
        <v/>
      </c>
      <c r="J859" s="4" t="str">
        <f>IFERROR(VLOOKUP(B859,infoTable__10[],4,FALSE),"")</f>
        <v/>
      </c>
      <c r="K859" s="4" t="str">
        <f>IFERROR(VLOOKUP(B859,infoTable__11[],4,FALSE),"")</f>
        <v/>
      </c>
      <c r="L859" s="4" t="str">
        <f>IFERROR(VLOOKUP(B859,infoTable__12[],4,FALSE),"")</f>
        <v/>
      </c>
      <c r="M859" s="4" t="str">
        <f>IFERROR(VLOOKUP(B859,infoTable__13[],4,FALSE),"")</f>
        <v/>
      </c>
      <c r="N859" s="4" t="str">
        <f>IFERROR(VLOOKUP(B859,infoTable__14[],4,FALSE),"")</f>
        <v/>
      </c>
      <c r="O859" s="4" t="str">
        <f>IFERROR(VLOOKUP(B859,infoTable__15[],4,FALSE),"")</f>
        <v/>
      </c>
      <c r="P859" s="4">
        <f>IFERROR(VLOOKUP(B859,infoTable__16[],4,FALSE),"")</f>
        <v>1206765</v>
      </c>
    </row>
    <row r="860" spans="1:16" x14ac:dyDescent="0.55000000000000004">
      <c r="A860" t="s">
        <v>1167</v>
      </c>
      <c r="B860" t="s">
        <v>1168</v>
      </c>
      <c r="C860" s="4" t="str">
        <f>IFERROR(VLOOKUP(B860,infoTable10[],4,FALSE),"")</f>
        <v/>
      </c>
      <c r="D860" s="4" t="str">
        <f>IFERROR(VLOOKUP(B860,infoTable__2[],4,FALSE),"")</f>
        <v/>
      </c>
      <c r="E860" s="4" t="str">
        <f>IFERROR(VLOOKUP(B860,infoTable__3[],4,FALSE),"")</f>
        <v/>
      </c>
      <c r="F860" s="4" t="str">
        <f>IFERROR(VLOOKUP(B860,infoTable__4[],4,FALSE),"")</f>
        <v/>
      </c>
      <c r="G860" s="4" t="str">
        <f>IFERROR(VLOOKUP(B860,infoTable[],4,FALSE),"")</f>
        <v/>
      </c>
      <c r="H860" s="4" t="str">
        <f>IFERROR(VLOOKUP(B860,infoTable__6[],4,FALSE),"")</f>
        <v/>
      </c>
      <c r="I860" s="4">
        <f>IFERROR(VLOOKUP(B860,infoTable__28[],4,FALSE),"")</f>
        <v>740853</v>
      </c>
      <c r="J860" s="4">
        <f>IFERROR(VLOOKUP(B860,infoTable__10[],4,FALSE),"")</f>
        <v>646091</v>
      </c>
      <c r="K860" s="4" t="str">
        <f>IFERROR(VLOOKUP(B860,infoTable__11[],4,FALSE),"")</f>
        <v/>
      </c>
      <c r="L860" s="4" t="str">
        <f>IFERROR(VLOOKUP(B860,infoTable__12[],4,FALSE),"")</f>
        <v/>
      </c>
      <c r="M860" s="4" t="str">
        <f>IFERROR(VLOOKUP(B860,infoTable__13[],4,FALSE),"")</f>
        <v/>
      </c>
      <c r="N860" s="4">
        <f>IFERROR(VLOOKUP(B860,infoTable__14[],4,FALSE),"")</f>
        <v>127229</v>
      </c>
      <c r="O860" s="4">
        <f>IFERROR(VLOOKUP(B860,infoTable__15[],4,FALSE),"")</f>
        <v>712843</v>
      </c>
      <c r="P860" s="4">
        <f>IFERROR(VLOOKUP(B860,infoTable__16[],4,FALSE),"")</f>
        <v>327978</v>
      </c>
    </row>
    <row r="861" spans="1:16" x14ac:dyDescent="0.55000000000000004">
      <c r="A861" t="s">
        <v>522</v>
      </c>
      <c r="B861" t="s">
        <v>523</v>
      </c>
      <c r="C861" s="4" t="str">
        <f>IFERROR(VLOOKUP(B861,infoTable10[],4,FALSE),"")</f>
        <v/>
      </c>
      <c r="D861" s="4">
        <f>IFERROR(VLOOKUP(B861,infoTable__2[],4,FALSE),"")</f>
        <v>719339</v>
      </c>
      <c r="E861" s="4" t="str">
        <f>IFERROR(VLOOKUP(B861,infoTable__3[],4,FALSE),"")</f>
        <v/>
      </c>
      <c r="F861" s="4" t="str">
        <f>IFERROR(VLOOKUP(B861,infoTable__4[],4,FALSE),"")</f>
        <v/>
      </c>
      <c r="G861" s="4" t="str">
        <f>IFERROR(VLOOKUP(B861,infoTable[],4,FALSE),"")</f>
        <v/>
      </c>
      <c r="H861" s="4" t="str">
        <f>IFERROR(VLOOKUP(B861,infoTable__6[],4,FALSE),"")</f>
        <v/>
      </c>
      <c r="I861" s="4" t="str">
        <f>IFERROR(VLOOKUP(B861,infoTable__28[],4,FALSE),"")</f>
        <v/>
      </c>
      <c r="J861" s="4" t="str">
        <f>IFERROR(VLOOKUP(B861,infoTable__10[],4,FALSE),"")</f>
        <v/>
      </c>
      <c r="K861" s="4" t="str">
        <f>IFERROR(VLOOKUP(B861,infoTable__11[],4,FALSE),"")</f>
        <v/>
      </c>
      <c r="L861" s="4" t="str">
        <f>IFERROR(VLOOKUP(B861,infoTable__12[],4,FALSE),"")</f>
        <v/>
      </c>
      <c r="M861" s="4" t="str">
        <f>IFERROR(VLOOKUP(B861,infoTable__13[],4,FALSE),"")</f>
        <v/>
      </c>
      <c r="N861" s="4" t="str">
        <f>IFERROR(VLOOKUP(B861,infoTable__14[],4,FALSE),"")</f>
        <v/>
      </c>
      <c r="O861" s="4" t="str">
        <f>IFERROR(VLOOKUP(B861,infoTable__15[],4,FALSE),"")</f>
        <v/>
      </c>
      <c r="P861" s="4" t="str">
        <f>IFERROR(VLOOKUP(B861,infoTable__16[],4,FALSE),"")</f>
        <v/>
      </c>
    </row>
    <row r="862" spans="1:16" x14ac:dyDescent="0.55000000000000004">
      <c r="A862" t="s">
        <v>1829</v>
      </c>
      <c r="B862" t="s">
        <v>1830</v>
      </c>
      <c r="C862" s="4" t="str">
        <f>IFERROR(VLOOKUP(B862,infoTable10[],4,FALSE),"")</f>
        <v/>
      </c>
      <c r="D862" s="4" t="str">
        <f>IFERROR(VLOOKUP(B862,infoTable__2[],4,FALSE),"")</f>
        <v/>
      </c>
      <c r="E862" s="4" t="str">
        <f>IFERROR(VLOOKUP(B862,infoTable__3[],4,FALSE),"")</f>
        <v/>
      </c>
      <c r="F862" s="4" t="str">
        <f>IFERROR(VLOOKUP(B862,infoTable__4[],4,FALSE),"")</f>
        <v/>
      </c>
      <c r="G862" s="4" t="str">
        <f>IFERROR(VLOOKUP(B862,infoTable[],4,FALSE),"")</f>
        <v/>
      </c>
      <c r="H862" s="4" t="str">
        <f>IFERROR(VLOOKUP(B862,infoTable__6[],4,FALSE),"")</f>
        <v/>
      </c>
      <c r="I862" s="4" t="str">
        <f>IFERROR(VLOOKUP(B862,infoTable__28[],4,FALSE),"")</f>
        <v/>
      </c>
      <c r="J862" s="4" t="str">
        <f>IFERROR(VLOOKUP(B862,infoTable__10[],4,FALSE),"")</f>
        <v/>
      </c>
      <c r="K862" s="4">
        <f>IFERROR(VLOOKUP(B862,infoTable__11[],4,FALSE),"")</f>
        <v>2519199</v>
      </c>
      <c r="L862" s="4">
        <f>IFERROR(VLOOKUP(B862,infoTable__12[],4,FALSE),"")</f>
        <v>1513112</v>
      </c>
      <c r="M862" s="4">
        <f>IFERROR(VLOOKUP(B862,infoTable__13[],4,FALSE),"")</f>
        <v>471992</v>
      </c>
      <c r="N862" s="4">
        <f>IFERROR(VLOOKUP(B862,infoTable__14[],4,FALSE),"")</f>
        <v>2586910</v>
      </c>
      <c r="O862" s="4" t="str">
        <f>IFERROR(VLOOKUP(B862,infoTable__15[],4,FALSE),"")</f>
        <v/>
      </c>
      <c r="P862" s="4" t="str">
        <f>IFERROR(VLOOKUP(B862,infoTable__16[],4,FALSE),"")</f>
        <v/>
      </c>
    </row>
    <row r="863" spans="1:16" x14ac:dyDescent="0.55000000000000004">
      <c r="A863" t="s">
        <v>952</v>
      </c>
      <c r="B863" t="s">
        <v>953</v>
      </c>
      <c r="C863" s="4" t="str">
        <f>IFERROR(VLOOKUP(B863,infoTable10[],4,FALSE),"")</f>
        <v/>
      </c>
      <c r="D863" s="4" t="str">
        <f>IFERROR(VLOOKUP(B863,infoTable__2[],4,FALSE),"")</f>
        <v/>
      </c>
      <c r="E863" s="4" t="str">
        <f>IFERROR(VLOOKUP(B863,infoTable__3[],4,FALSE),"")</f>
        <v/>
      </c>
      <c r="F863" s="4" t="str">
        <f>IFERROR(VLOOKUP(B863,infoTable__4[],4,FALSE),"")</f>
        <v/>
      </c>
      <c r="G863" s="4" t="str">
        <f>IFERROR(VLOOKUP(B863,infoTable[],4,FALSE),"")</f>
        <v/>
      </c>
      <c r="H863" s="4">
        <f>IFERROR(VLOOKUP(B863,infoTable__6[],4,FALSE),"")</f>
        <v>91223</v>
      </c>
      <c r="I863" s="4" t="str">
        <f>IFERROR(VLOOKUP(B863,infoTable__28[],4,FALSE),"")</f>
        <v/>
      </c>
      <c r="J863" s="4" t="str">
        <f>IFERROR(VLOOKUP(B863,infoTable__10[],4,FALSE),"")</f>
        <v/>
      </c>
      <c r="K863" s="4" t="str">
        <f>IFERROR(VLOOKUP(B863,infoTable__11[],4,FALSE),"")</f>
        <v/>
      </c>
      <c r="L863" s="4" t="str">
        <f>IFERROR(VLOOKUP(B863,infoTable__12[],4,FALSE),"")</f>
        <v/>
      </c>
      <c r="M863" s="4" t="str">
        <f>IFERROR(VLOOKUP(B863,infoTable__13[],4,FALSE),"")</f>
        <v/>
      </c>
      <c r="N863" s="4" t="str">
        <f>IFERROR(VLOOKUP(B863,infoTable__14[],4,FALSE),"")</f>
        <v/>
      </c>
      <c r="O863" s="4" t="str">
        <f>IFERROR(VLOOKUP(B863,infoTable__15[],4,FALSE),"")</f>
        <v/>
      </c>
      <c r="P863" s="4" t="str">
        <f>IFERROR(VLOOKUP(B863,infoTable__16[],4,FALSE),"")</f>
        <v/>
      </c>
    </row>
    <row r="864" spans="1:16" x14ac:dyDescent="0.55000000000000004">
      <c r="A864" t="s">
        <v>524</v>
      </c>
      <c r="B864" t="s">
        <v>525</v>
      </c>
      <c r="C864" s="4" t="str">
        <f>IFERROR(VLOOKUP(B864,infoTable10[],4,FALSE),"")</f>
        <v/>
      </c>
      <c r="D864" s="4">
        <f>IFERROR(VLOOKUP(B864,infoTable__2[],4,FALSE),"")</f>
        <v>1529546</v>
      </c>
      <c r="E864" s="4" t="str">
        <f>IFERROR(VLOOKUP(B864,infoTable__3[],4,FALSE),"")</f>
        <v/>
      </c>
      <c r="F864" s="4" t="str">
        <f>IFERROR(VLOOKUP(B864,infoTable__4[],4,FALSE),"")</f>
        <v/>
      </c>
      <c r="G864" s="4" t="str">
        <f>IFERROR(VLOOKUP(B864,infoTable[],4,FALSE),"")</f>
        <v/>
      </c>
      <c r="H864" s="4" t="str">
        <f>IFERROR(VLOOKUP(B864,infoTable__6[],4,FALSE),"")</f>
        <v/>
      </c>
      <c r="I864" s="4" t="str">
        <f>IFERROR(VLOOKUP(B864,infoTable__28[],4,FALSE),"")</f>
        <v/>
      </c>
      <c r="J864" s="4" t="str">
        <f>IFERROR(VLOOKUP(B864,infoTable__10[],4,FALSE),"")</f>
        <v/>
      </c>
      <c r="K864" s="4" t="str">
        <f>IFERROR(VLOOKUP(B864,infoTable__11[],4,FALSE),"")</f>
        <v/>
      </c>
      <c r="L864" s="4">
        <f>IFERROR(VLOOKUP(B864,infoTable__12[],4,FALSE),"")</f>
        <v>374539</v>
      </c>
      <c r="M864" s="4" t="str">
        <f>IFERROR(VLOOKUP(B864,infoTable__13[],4,FALSE),"")</f>
        <v/>
      </c>
      <c r="N864" s="4" t="str">
        <f>IFERROR(VLOOKUP(B864,infoTable__14[],4,FALSE),"")</f>
        <v/>
      </c>
      <c r="O864" s="4" t="str">
        <f>IFERROR(VLOOKUP(B864,infoTable__15[],4,FALSE),"")</f>
        <v/>
      </c>
      <c r="P864" s="4" t="str">
        <f>IFERROR(VLOOKUP(B864,infoTable__16[],4,FALSE),"")</f>
        <v/>
      </c>
    </row>
    <row r="865" spans="1:16" x14ac:dyDescent="0.55000000000000004">
      <c r="A865" t="s">
        <v>1608</v>
      </c>
      <c r="B865" t="s">
        <v>1609</v>
      </c>
      <c r="C865" s="4" t="str">
        <f>IFERROR(VLOOKUP(B865,infoTable10[],4,FALSE),"")</f>
        <v/>
      </c>
      <c r="D865" s="4" t="str">
        <f>IFERROR(VLOOKUP(B865,infoTable__2[],4,FALSE),"")</f>
        <v/>
      </c>
      <c r="E865" s="4" t="str">
        <f>IFERROR(VLOOKUP(B865,infoTable__3[],4,FALSE),"")</f>
        <v/>
      </c>
      <c r="F865" s="4" t="str">
        <f>IFERROR(VLOOKUP(B865,infoTable__4[],4,FALSE),"")</f>
        <v/>
      </c>
      <c r="G865" s="4" t="str">
        <f>IFERROR(VLOOKUP(B865,infoTable[],4,FALSE),"")</f>
        <v/>
      </c>
      <c r="H865" s="4" t="str">
        <f>IFERROR(VLOOKUP(B865,infoTable__6[],4,FALSE),"")</f>
        <v/>
      </c>
      <c r="I865" s="4" t="str">
        <f>IFERROR(VLOOKUP(B865,infoTable__28[],4,FALSE),"")</f>
        <v/>
      </c>
      <c r="J865" s="4">
        <f>IFERROR(VLOOKUP(B865,infoTable__10[],4,FALSE),"")</f>
        <v>6133876</v>
      </c>
      <c r="K865" s="4">
        <f>IFERROR(VLOOKUP(B865,infoTable__11[],4,FALSE),"")</f>
        <v>4529513</v>
      </c>
      <c r="L865" s="4">
        <f>IFERROR(VLOOKUP(B865,infoTable__12[],4,FALSE),"")</f>
        <v>2178981</v>
      </c>
      <c r="M865" s="4">
        <f>IFERROR(VLOOKUP(B865,infoTable__13[],4,FALSE),"")</f>
        <v>1578913</v>
      </c>
      <c r="N865" s="4">
        <f>IFERROR(VLOOKUP(B865,infoTable__14[],4,FALSE),"")</f>
        <v>1341474</v>
      </c>
      <c r="O865" s="4">
        <f>IFERROR(VLOOKUP(B865,infoTable__15[],4,FALSE),"")</f>
        <v>2192807</v>
      </c>
      <c r="P865" s="4">
        <f>IFERROR(VLOOKUP(B865,infoTable__16[],4,FALSE),"")</f>
        <v>2868493</v>
      </c>
    </row>
    <row r="866" spans="1:16" x14ac:dyDescent="0.55000000000000004">
      <c r="A866" t="s">
        <v>55</v>
      </c>
      <c r="B866" t="s">
        <v>56</v>
      </c>
      <c r="C866" s="4" t="str">
        <f>IFERROR(VLOOKUP(B866,infoTable10[],4,FALSE),"")</f>
        <v/>
      </c>
      <c r="D866" s="4" t="str">
        <f>IFERROR(VLOOKUP(B866,infoTable__2[],4,FALSE),"")</f>
        <v/>
      </c>
      <c r="E866" s="4" t="str">
        <f>IFERROR(VLOOKUP(B866,infoTable__3[],4,FALSE),"")</f>
        <v/>
      </c>
      <c r="F866" s="4" t="str">
        <f>IFERROR(VLOOKUP(B866,infoTable__4[],4,FALSE),"")</f>
        <v/>
      </c>
      <c r="G866" s="4">
        <f>IFERROR(VLOOKUP(B866,infoTable[],4,FALSE),"")</f>
        <v>1067780</v>
      </c>
      <c r="H866" s="4">
        <f>IFERROR(VLOOKUP(B866,infoTable__6[],4,FALSE),"")</f>
        <v>350036</v>
      </c>
      <c r="I866" s="4" t="str">
        <f>IFERROR(VLOOKUP(B866,infoTable__28[],4,FALSE),"")</f>
        <v/>
      </c>
      <c r="J866" s="4" t="str">
        <f>IFERROR(VLOOKUP(B866,infoTable__10[],4,FALSE),"")</f>
        <v/>
      </c>
      <c r="K866" s="4" t="str">
        <f>IFERROR(VLOOKUP(B866,infoTable__11[],4,FALSE),"")</f>
        <v/>
      </c>
      <c r="L866" s="4" t="str">
        <f>IFERROR(VLOOKUP(B866,infoTable__12[],4,FALSE),"")</f>
        <v/>
      </c>
      <c r="M866" s="4" t="str">
        <f>IFERROR(VLOOKUP(B866,infoTable__13[],4,FALSE),"")</f>
        <v/>
      </c>
      <c r="N866" s="4" t="str">
        <f>IFERROR(VLOOKUP(B866,infoTable__14[],4,FALSE),"")</f>
        <v/>
      </c>
      <c r="O866" s="4" t="str">
        <f>IFERROR(VLOOKUP(B866,infoTable__15[],4,FALSE),"")</f>
        <v/>
      </c>
      <c r="P866" s="4">
        <f>IFERROR(VLOOKUP(B866,infoTable__16[],4,FALSE),"")</f>
        <v>5646529</v>
      </c>
    </row>
    <row r="867" spans="1:16" x14ac:dyDescent="0.55000000000000004">
      <c r="A867" t="s">
        <v>954</v>
      </c>
      <c r="B867" t="s">
        <v>955</v>
      </c>
      <c r="C867" s="4" t="str">
        <f>IFERROR(VLOOKUP(B867,infoTable10[],4,FALSE),"")</f>
        <v/>
      </c>
      <c r="D867" s="4" t="str">
        <f>IFERROR(VLOOKUP(B867,infoTable__2[],4,FALSE),"")</f>
        <v/>
      </c>
      <c r="E867" s="4" t="str">
        <f>IFERROR(VLOOKUP(B867,infoTable__3[],4,FALSE),"")</f>
        <v/>
      </c>
      <c r="F867" s="4" t="str">
        <f>IFERROR(VLOOKUP(B867,infoTable__4[],4,FALSE),"")</f>
        <v/>
      </c>
      <c r="G867" s="4" t="str">
        <f>IFERROR(VLOOKUP(B867,infoTable[],4,FALSE),"")</f>
        <v/>
      </c>
      <c r="H867" s="4">
        <f>IFERROR(VLOOKUP(B867,infoTable__6[],4,FALSE),"")</f>
        <v>2424202</v>
      </c>
      <c r="I867" s="4">
        <f>IFERROR(VLOOKUP(B867,infoTable__28[],4,FALSE),"")</f>
        <v>1299760</v>
      </c>
      <c r="J867" s="4" t="str">
        <f>IFERROR(VLOOKUP(B867,infoTable__10[],4,FALSE),"")</f>
        <v/>
      </c>
      <c r="K867" s="4" t="str">
        <f>IFERROR(VLOOKUP(B867,infoTable__11[],4,FALSE),"")</f>
        <v/>
      </c>
      <c r="L867" s="4" t="str">
        <f>IFERROR(VLOOKUP(B867,infoTable__12[],4,FALSE),"")</f>
        <v/>
      </c>
      <c r="M867" s="4" t="str">
        <f>IFERROR(VLOOKUP(B867,infoTable__13[],4,FALSE),"")</f>
        <v/>
      </c>
      <c r="N867" s="4">
        <f>IFERROR(VLOOKUP(B867,infoTable__14[],4,FALSE),"")</f>
        <v>1374311</v>
      </c>
      <c r="O867" s="4">
        <f>IFERROR(VLOOKUP(B867,infoTable__15[],4,FALSE),"")</f>
        <v>508236</v>
      </c>
      <c r="P867" s="4" t="str">
        <f>IFERROR(VLOOKUP(B867,infoTable__16[],4,FALSE),"")</f>
        <v/>
      </c>
    </row>
    <row r="868" spans="1:16" x14ac:dyDescent="0.55000000000000004">
      <c r="A868" t="s">
        <v>59</v>
      </c>
      <c r="B868" t="s">
        <v>60</v>
      </c>
      <c r="C868" s="4" t="str">
        <f>IFERROR(VLOOKUP(B868,infoTable10[],4,FALSE),"")</f>
        <v/>
      </c>
      <c r="D868" s="4" t="str">
        <f>IFERROR(VLOOKUP(B868,infoTable__2[],4,FALSE),"")</f>
        <v/>
      </c>
      <c r="E868" s="4" t="str">
        <f>IFERROR(VLOOKUP(B868,infoTable__3[],4,FALSE),"")</f>
        <v/>
      </c>
      <c r="F868" s="4" t="str">
        <f>IFERROR(VLOOKUP(B868,infoTable__4[],4,FALSE),"")</f>
        <v/>
      </c>
      <c r="G868" s="4">
        <f>IFERROR(VLOOKUP(B868,infoTable[],4,FALSE),"")</f>
        <v>401301</v>
      </c>
      <c r="H868" s="4" t="str">
        <f>IFERROR(VLOOKUP(B868,infoTable__6[],4,FALSE),"")</f>
        <v/>
      </c>
      <c r="I868" s="4" t="str">
        <f>IFERROR(VLOOKUP(B868,infoTable__28[],4,FALSE),"")</f>
        <v/>
      </c>
      <c r="J868" s="4" t="str">
        <f>IFERROR(VLOOKUP(B868,infoTable__10[],4,FALSE),"")</f>
        <v/>
      </c>
      <c r="K868" s="4" t="str">
        <f>IFERROR(VLOOKUP(B868,infoTable__11[],4,FALSE),"")</f>
        <v/>
      </c>
      <c r="L868" s="4" t="str">
        <f>IFERROR(VLOOKUP(B868,infoTable__12[],4,FALSE),"")</f>
        <v/>
      </c>
      <c r="M868" s="4" t="str">
        <f>IFERROR(VLOOKUP(B868,infoTable__13[],4,FALSE),"")</f>
        <v/>
      </c>
      <c r="N868" s="4" t="str">
        <f>IFERROR(VLOOKUP(B868,infoTable__14[],4,FALSE),"")</f>
        <v/>
      </c>
      <c r="O868" s="4" t="str">
        <f>IFERROR(VLOOKUP(B868,infoTable__15[],4,FALSE),"")</f>
        <v/>
      </c>
      <c r="P868" s="4" t="str">
        <f>IFERROR(VLOOKUP(B868,infoTable__16[],4,FALSE),"")</f>
        <v/>
      </c>
    </row>
    <row r="869" spans="1:16" x14ac:dyDescent="0.55000000000000004">
      <c r="A869" t="s">
        <v>3246</v>
      </c>
      <c r="B869" t="s">
        <v>3247</v>
      </c>
      <c r="C869" s="4" t="str">
        <f>IFERROR(VLOOKUP(B869,infoTable10[],4,FALSE),"")</f>
        <v/>
      </c>
      <c r="D869" s="4" t="str">
        <f>IFERROR(VLOOKUP(B869,infoTable__2[],4,FALSE),"")</f>
        <v/>
      </c>
      <c r="E869" s="4" t="str">
        <f>IFERROR(VLOOKUP(B869,infoTable__3[],4,FALSE),"")</f>
        <v/>
      </c>
      <c r="F869" s="4" t="str">
        <f>IFERROR(VLOOKUP(B869,infoTable__4[],4,FALSE),"")</f>
        <v/>
      </c>
      <c r="G869" s="4" t="str">
        <f>IFERROR(VLOOKUP(B869,infoTable[],4,FALSE),"")</f>
        <v/>
      </c>
      <c r="H869" s="4" t="str">
        <f>IFERROR(VLOOKUP(B869,infoTable__6[],4,FALSE),"")</f>
        <v/>
      </c>
      <c r="I869" s="4" t="str">
        <f>IFERROR(VLOOKUP(B869,infoTable__28[],4,FALSE),"")</f>
        <v/>
      </c>
      <c r="J869" s="4" t="str">
        <f>IFERROR(VLOOKUP(B869,infoTable__10[],4,FALSE),"")</f>
        <v/>
      </c>
      <c r="K869" s="4" t="str">
        <f>IFERROR(VLOOKUP(B869,infoTable__11[],4,FALSE),"")</f>
        <v/>
      </c>
      <c r="L869" s="4" t="str">
        <f>IFERROR(VLOOKUP(B869,infoTable__12[],4,FALSE),"")</f>
        <v/>
      </c>
      <c r="M869" s="4" t="str">
        <f>IFERROR(VLOOKUP(B869,infoTable__13[],4,FALSE),"")</f>
        <v/>
      </c>
      <c r="N869" s="4" t="str">
        <f>IFERROR(VLOOKUP(B869,infoTable__14[],4,FALSE),"")</f>
        <v/>
      </c>
      <c r="O869" s="4" t="str">
        <f>IFERROR(VLOOKUP(B869,infoTable__15[],4,FALSE),"")</f>
        <v/>
      </c>
      <c r="P869" s="4">
        <f>IFERROR(VLOOKUP(B869,infoTable__16[],4,FALSE),"")</f>
        <v>306873</v>
      </c>
    </row>
    <row r="870" spans="1:16" x14ac:dyDescent="0.55000000000000004">
      <c r="A870" t="s">
        <v>2793</v>
      </c>
      <c r="B870" t="s">
        <v>2792</v>
      </c>
      <c r="C870" s="4" t="str">
        <f>IFERROR(VLOOKUP(B870,infoTable10[],4,FALSE),"")</f>
        <v/>
      </c>
      <c r="D870" s="4" t="str">
        <f>IFERROR(VLOOKUP(B870,infoTable__2[],4,FALSE),"")</f>
        <v/>
      </c>
      <c r="E870" s="4" t="str">
        <f>IFERROR(VLOOKUP(B870,infoTable__3[],4,FALSE),"")</f>
        <v/>
      </c>
      <c r="F870" s="4" t="str">
        <f>IFERROR(VLOOKUP(B870,infoTable__4[],4,FALSE),"")</f>
        <v/>
      </c>
      <c r="G870" s="4" t="str">
        <f>IFERROR(VLOOKUP(B870,infoTable[],4,FALSE),"")</f>
        <v/>
      </c>
      <c r="H870" s="4" t="str">
        <f>IFERROR(VLOOKUP(B870,infoTable__6[],4,FALSE),"")</f>
        <v/>
      </c>
      <c r="I870" s="4" t="str">
        <f>IFERROR(VLOOKUP(B870,infoTable__28[],4,FALSE),"")</f>
        <v/>
      </c>
      <c r="J870" s="4" t="str">
        <f>IFERROR(VLOOKUP(B870,infoTable__10[],4,FALSE),"")</f>
        <v/>
      </c>
      <c r="K870" s="4" t="str">
        <f>IFERROR(VLOOKUP(B870,infoTable__11[],4,FALSE),"")</f>
        <v/>
      </c>
      <c r="L870" s="4" t="str">
        <f>IFERROR(VLOOKUP(B870,infoTable__12[],4,FALSE),"")</f>
        <v/>
      </c>
      <c r="M870" s="4" t="str">
        <f>IFERROR(VLOOKUP(B870,infoTable__13[],4,FALSE),"")</f>
        <v/>
      </c>
      <c r="N870" s="4">
        <f>IFERROR(VLOOKUP(B870,infoTable__14[],4,FALSE),"")</f>
        <v>243136</v>
      </c>
      <c r="O870" s="4">
        <f>IFERROR(VLOOKUP(B870,infoTable__15[],4,FALSE),"")</f>
        <v>89715</v>
      </c>
      <c r="P870" s="4">
        <f>IFERROR(VLOOKUP(B870,infoTable__16[],4,FALSE),"")</f>
        <v>239272</v>
      </c>
    </row>
    <row r="871" spans="1:16" x14ac:dyDescent="0.55000000000000004">
      <c r="A871" t="s">
        <v>2983</v>
      </c>
      <c r="B871" t="s">
        <v>2984</v>
      </c>
      <c r="C871" s="4" t="str">
        <f>IFERROR(VLOOKUP(B871,infoTable10[],4,FALSE),"")</f>
        <v/>
      </c>
      <c r="D871" s="4" t="str">
        <f>IFERROR(VLOOKUP(B871,infoTable__2[],4,FALSE),"")</f>
        <v/>
      </c>
      <c r="E871" s="4" t="str">
        <f>IFERROR(VLOOKUP(B871,infoTable__3[],4,FALSE),"")</f>
        <v/>
      </c>
      <c r="F871" s="4" t="str">
        <f>IFERROR(VLOOKUP(B871,infoTable__4[],4,FALSE),"")</f>
        <v/>
      </c>
      <c r="G871" s="4" t="str">
        <f>IFERROR(VLOOKUP(B871,infoTable[],4,FALSE),"")</f>
        <v/>
      </c>
      <c r="H871" s="4" t="str">
        <f>IFERROR(VLOOKUP(B871,infoTable__6[],4,FALSE),"")</f>
        <v/>
      </c>
      <c r="I871" s="4" t="str">
        <f>IFERROR(VLOOKUP(B871,infoTable__28[],4,FALSE),"")</f>
        <v/>
      </c>
      <c r="J871" s="4" t="str">
        <f>IFERROR(VLOOKUP(B871,infoTable__10[],4,FALSE),"")</f>
        <v/>
      </c>
      <c r="K871" s="4" t="str">
        <f>IFERROR(VLOOKUP(B871,infoTable__11[],4,FALSE),"")</f>
        <v/>
      </c>
      <c r="L871" s="4" t="str">
        <f>IFERROR(VLOOKUP(B871,infoTable__12[],4,FALSE),"")</f>
        <v/>
      </c>
      <c r="M871" s="4" t="str">
        <f>IFERROR(VLOOKUP(B871,infoTable__13[],4,FALSE),"")</f>
        <v/>
      </c>
      <c r="N871" s="4" t="str">
        <f>IFERROR(VLOOKUP(B871,infoTable__14[],4,FALSE),"")</f>
        <v/>
      </c>
      <c r="O871" s="4">
        <f>IFERROR(VLOOKUP(B871,infoTable__15[],4,FALSE),"")</f>
        <v>2319945</v>
      </c>
      <c r="P871" s="4">
        <f>IFERROR(VLOOKUP(B871,infoTable__16[],4,FALSE),"")</f>
        <v>782120</v>
      </c>
    </row>
    <row r="872" spans="1:16" x14ac:dyDescent="0.55000000000000004">
      <c r="A872" t="s">
        <v>63</v>
      </c>
      <c r="B872" t="s">
        <v>64</v>
      </c>
      <c r="C872" s="4" t="str">
        <f>IFERROR(VLOOKUP(B872,infoTable10[],4,FALSE),"")</f>
        <v/>
      </c>
      <c r="D872" s="4" t="str">
        <f>IFERROR(VLOOKUP(B872,infoTable__2[],4,FALSE),"")</f>
        <v/>
      </c>
      <c r="E872" s="4" t="str">
        <f>IFERROR(VLOOKUP(B872,infoTable__3[],4,FALSE),"")</f>
        <v/>
      </c>
      <c r="F872" s="4">
        <f>IFERROR(VLOOKUP(B872,infoTable__4[],4,FALSE),"")</f>
        <v>1295271</v>
      </c>
      <c r="G872" s="4">
        <f>IFERROR(VLOOKUP(B872,infoTable[],4,FALSE),"")</f>
        <v>1096676</v>
      </c>
      <c r="H872" s="4">
        <f>IFERROR(VLOOKUP(B872,infoTable__6[],4,FALSE),"")</f>
        <v>342084</v>
      </c>
      <c r="I872" s="4" t="str">
        <f>IFERROR(VLOOKUP(B872,infoTable__28[],4,FALSE),"")</f>
        <v/>
      </c>
      <c r="J872" s="4" t="str">
        <f>IFERROR(VLOOKUP(B872,infoTable__10[],4,FALSE),"")</f>
        <v/>
      </c>
      <c r="K872" s="4" t="str">
        <f>IFERROR(VLOOKUP(B872,infoTable__11[],4,FALSE),"")</f>
        <v/>
      </c>
      <c r="L872" s="4">
        <f>IFERROR(VLOOKUP(B872,infoTable__12[],4,FALSE),"")</f>
        <v>539735</v>
      </c>
      <c r="M872" s="4" t="str">
        <f>IFERROR(VLOOKUP(B872,infoTable__13[],4,FALSE),"")</f>
        <v/>
      </c>
      <c r="N872" s="4" t="str">
        <f>IFERROR(VLOOKUP(B872,infoTable__14[],4,FALSE),"")</f>
        <v/>
      </c>
      <c r="O872" s="4" t="str">
        <f>IFERROR(VLOOKUP(B872,infoTable__15[],4,FALSE),"")</f>
        <v/>
      </c>
      <c r="P872" s="4" t="str">
        <f>IFERROR(VLOOKUP(B872,infoTable__16[],4,FALSE),"")</f>
        <v/>
      </c>
    </row>
    <row r="873" spans="1:16" x14ac:dyDescent="0.55000000000000004">
      <c r="A873" t="s">
        <v>67</v>
      </c>
      <c r="B873" t="s">
        <v>68</v>
      </c>
      <c r="C873" s="4" t="str">
        <f>IFERROR(VLOOKUP(B873,infoTable10[],4,FALSE),"")</f>
        <v/>
      </c>
      <c r="D873" s="4">
        <f>IFERROR(VLOOKUP(B873,infoTable__2[],4,FALSE),"")</f>
        <v>2448617</v>
      </c>
      <c r="E873" s="4">
        <f>IFERROR(VLOOKUP(B873,infoTable__3[],4,FALSE),"")</f>
        <v>428484</v>
      </c>
      <c r="F873" s="4">
        <f>IFERROR(VLOOKUP(B873,infoTable__4[],4,FALSE),"")</f>
        <v>281372</v>
      </c>
      <c r="G873" s="4">
        <f>IFERROR(VLOOKUP(B873,infoTable[],4,FALSE),"")</f>
        <v>478944</v>
      </c>
      <c r="H873" s="4">
        <f>IFERROR(VLOOKUP(B873,infoTable__6[],4,FALSE),"")</f>
        <v>4497963</v>
      </c>
      <c r="I873" s="4">
        <f>IFERROR(VLOOKUP(B873,infoTable__28[],4,FALSE),"")</f>
        <v>3560892</v>
      </c>
      <c r="J873" s="4">
        <f>IFERROR(VLOOKUP(B873,infoTable__10[],4,FALSE),"")</f>
        <v>2750047</v>
      </c>
      <c r="K873" s="4">
        <f>IFERROR(VLOOKUP(B873,infoTable__11[],4,FALSE),"")</f>
        <v>2707128</v>
      </c>
      <c r="L873" s="4">
        <f>IFERROR(VLOOKUP(B873,infoTable__12[],4,FALSE),"")</f>
        <v>1866597</v>
      </c>
      <c r="M873" s="4">
        <f>IFERROR(VLOOKUP(B873,infoTable__13[],4,FALSE),"")</f>
        <v>2149332</v>
      </c>
      <c r="N873" s="4">
        <f>IFERROR(VLOOKUP(B873,infoTable__14[],4,FALSE),"")</f>
        <v>481536</v>
      </c>
      <c r="O873" s="4" t="str">
        <f>IFERROR(VLOOKUP(B873,infoTable__15[],4,FALSE),"")</f>
        <v/>
      </c>
      <c r="P873" s="4" t="str">
        <f>IFERROR(VLOOKUP(B873,infoTable__16[],4,FALSE),"")</f>
        <v/>
      </c>
    </row>
    <row r="874" spans="1:16" x14ac:dyDescent="0.55000000000000004">
      <c r="A874" t="s">
        <v>1610</v>
      </c>
      <c r="B874" t="s">
        <v>1611</v>
      </c>
      <c r="C874" s="4" t="str">
        <f>IFERROR(VLOOKUP(B874,infoTable10[],4,FALSE),"")</f>
        <v/>
      </c>
      <c r="D874" s="4" t="str">
        <f>IFERROR(VLOOKUP(B874,infoTable__2[],4,FALSE),"")</f>
        <v/>
      </c>
      <c r="E874" s="4" t="str">
        <f>IFERROR(VLOOKUP(B874,infoTable__3[],4,FALSE),"")</f>
        <v/>
      </c>
      <c r="F874" s="4" t="str">
        <f>IFERROR(VLOOKUP(B874,infoTable__4[],4,FALSE),"")</f>
        <v/>
      </c>
      <c r="G874" s="4" t="str">
        <f>IFERROR(VLOOKUP(B874,infoTable[],4,FALSE),"")</f>
        <v/>
      </c>
      <c r="H874" s="4" t="str">
        <f>IFERROR(VLOOKUP(B874,infoTable__6[],4,FALSE),"")</f>
        <v/>
      </c>
      <c r="I874" s="4" t="str">
        <f>IFERROR(VLOOKUP(B874,infoTable__28[],4,FALSE),"")</f>
        <v/>
      </c>
      <c r="J874" s="4">
        <f>IFERROR(VLOOKUP(B874,infoTable__10[],4,FALSE),"")</f>
        <v>1649342</v>
      </c>
      <c r="K874" s="4">
        <f>IFERROR(VLOOKUP(B874,infoTable__11[],4,FALSE),"")</f>
        <v>1635468</v>
      </c>
      <c r="L874" s="4">
        <f>IFERROR(VLOOKUP(B874,infoTable__12[],4,FALSE),"")</f>
        <v>318084</v>
      </c>
      <c r="M874" s="4">
        <f>IFERROR(VLOOKUP(B874,infoTable__13[],4,FALSE),"")</f>
        <v>388793</v>
      </c>
      <c r="N874" s="4" t="str">
        <f>IFERROR(VLOOKUP(B874,infoTable__14[],4,FALSE),"")</f>
        <v/>
      </c>
      <c r="O874" s="4" t="str">
        <f>IFERROR(VLOOKUP(B874,infoTable__15[],4,FALSE),"")</f>
        <v/>
      </c>
      <c r="P874" s="4" t="str">
        <f>IFERROR(VLOOKUP(B874,infoTable__16[],4,FALSE),"")</f>
        <v/>
      </c>
    </row>
    <row r="875" spans="1:16" x14ac:dyDescent="0.55000000000000004">
      <c r="A875" t="s">
        <v>69</v>
      </c>
      <c r="B875" t="s">
        <v>70</v>
      </c>
      <c r="C875" s="4" t="str">
        <f>IFERROR(VLOOKUP(B875,infoTable10[],4,FALSE),"")</f>
        <v/>
      </c>
      <c r="D875" s="4" t="str">
        <f>IFERROR(VLOOKUP(B875,infoTable__2[],4,FALSE),"")</f>
        <v/>
      </c>
      <c r="E875" s="4" t="str">
        <f>IFERROR(VLOOKUP(B875,infoTable__3[],4,FALSE),"")</f>
        <v/>
      </c>
      <c r="F875" s="4" t="str">
        <f>IFERROR(VLOOKUP(B875,infoTable__4[],4,FALSE),"")</f>
        <v/>
      </c>
      <c r="G875" s="4">
        <f>IFERROR(VLOOKUP(B875,infoTable[],4,FALSE),"")</f>
        <v>571226</v>
      </c>
      <c r="H875" s="4" t="str">
        <f>IFERROR(VLOOKUP(B875,infoTable__6[],4,FALSE),"")</f>
        <v/>
      </c>
      <c r="I875" s="4">
        <f>IFERROR(VLOOKUP(B875,infoTable__28[],4,FALSE),"")</f>
        <v>289391</v>
      </c>
      <c r="J875" s="4" t="str">
        <f>IFERROR(VLOOKUP(B875,infoTable__10[],4,FALSE),"")</f>
        <v/>
      </c>
      <c r="K875" s="4" t="str">
        <f>IFERROR(VLOOKUP(B875,infoTable__11[],4,FALSE),"")</f>
        <v/>
      </c>
      <c r="L875" s="4" t="str">
        <f>IFERROR(VLOOKUP(B875,infoTable__12[],4,FALSE),"")</f>
        <v/>
      </c>
      <c r="M875" s="4" t="str">
        <f>IFERROR(VLOOKUP(B875,infoTable__13[],4,FALSE),"")</f>
        <v/>
      </c>
      <c r="N875" s="4" t="str">
        <f>IFERROR(VLOOKUP(B875,infoTable__14[],4,FALSE),"")</f>
        <v/>
      </c>
      <c r="O875" s="4" t="str">
        <f>IFERROR(VLOOKUP(B875,infoTable__15[],4,FALSE),"")</f>
        <v/>
      </c>
      <c r="P875" s="4" t="str">
        <f>IFERROR(VLOOKUP(B875,infoTable__16[],4,FALSE),"")</f>
        <v/>
      </c>
    </row>
    <row r="876" spans="1:16" x14ac:dyDescent="0.55000000000000004">
      <c r="A876" t="s">
        <v>2795</v>
      </c>
      <c r="B876" t="s">
        <v>2794</v>
      </c>
      <c r="C876" s="4" t="str">
        <f>IFERROR(VLOOKUP(B876,infoTable10[],4,FALSE),"")</f>
        <v/>
      </c>
      <c r="D876" s="4" t="str">
        <f>IFERROR(VLOOKUP(B876,infoTable__2[],4,FALSE),"")</f>
        <v/>
      </c>
      <c r="E876" s="4" t="str">
        <f>IFERROR(VLOOKUP(B876,infoTable__3[],4,FALSE),"")</f>
        <v/>
      </c>
      <c r="F876" s="4" t="str">
        <f>IFERROR(VLOOKUP(B876,infoTable__4[],4,FALSE),"")</f>
        <v/>
      </c>
      <c r="G876" s="4" t="str">
        <f>IFERROR(VLOOKUP(B876,infoTable[],4,FALSE),"")</f>
        <v/>
      </c>
      <c r="H876" s="4" t="str">
        <f>IFERROR(VLOOKUP(B876,infoTable__6[],4,FALSE),"")</f>
        <v/>
      </c>
      <c r="I876" s="4" t="str">
        <f>IFERROR(VLOOKUP(B876,infoTable__28[],4,FALSE),"")</f>
        <v/>
      </c>
      <c r="J876" s="4" t="str">
        <f>IFERROR(VLOOKUP(B876,infoTable__10[],4,FALSE),"")</f>
        <v/>
      </c>
      <c r="K876" s="4" t="str">
        <f>IFERROR(VLOOKUP(B876,infoTable__11[],4,FALSE),"")</f>
        <v/>
      </c>
      <c r="L876" s="4" t="str">
        <f>IFERROR(VLOOKUP(B876,infoTable__12[],4,FALSE),"")</f>
        <v/>
      </c>
      <c r="M876" s="4" t="str">
        <f>IFERROR(VLOOKUP(B876,infoTable__13[],4,FALSE),"")</f>
        <v/>
      </c>
      <c r="N876" s="4">
        <f>IFERROR(VLOOKUP(B876,infoTable__14[],4,FALSE),"")</f>
        <v>59211</v>
      </c>
      <c r="O876" s="4">
        <f>IFERROR(VLOOKUP(B876,infoTable__15[],4,FALSE),"")</f>
        <v>49682</v>
      </c>
      <c r="P876" s="4">
        <f>IFERROR(VLOOKUP(B876,infoTable__16[],4,FALSE),"")</f>
        <v>61275</v>
      </c>
    </row>
    <row r="877" spans="1:16" x14ac:dyDescent="0.55000000000000004">
      <c r="A877" t="s">
        <v>958</v>
      </c>
      <c r="B877" t="s">
        <v>959</v>
      </c>
      <c r="C877" s="4" t="str">
        <f>IFERROR(VLOOKUP(B877,infoTable10[],4,FALSE),"")</f>
        <v/>
      </c>
      <c r="D877" s="4" t="str">
        <f>IFERROR(VLOOKUP(B877,infoTable__2[],4,FALSE),"")</f>
        <v/>
      </c>
      <c r="E877" s="4" t="str">
        <f>IFERROR(VLOOKUP(B877,infoTable__3[],4,FALSE),"")</f>
        <v/>
      </c>
      <c r="F877" s="4" t="str">
        <f>IFERROR(VLOOKUP(B877,infoTable__4[],4,FALSE),"")</f>
        <v/>
      </c>
      <c r="G877" s="4" t="str">
        <f>IFERROR(VLOOKUP(B877,infoTable[],4,FALSE),"")</f>
        <v/>
      </c>
      <c r="H877" s="4">
        <f>IFERROR(VLOOKUP(B877,infoTable__6[],4,FALSE),"")</f>
        <v>1972335</v>
      </c>
      <c r="I877" s="4">
        <f>IFERROR(VLOOKUP(B877,infoTable__28[],4,FALSE),"")</f>
        <v>635358</v>
      </c>
      <c r="J877" s="4">
        <f>IFERROR(VLOOKUP(B877,infoTable__10[],4,FALSE),"")</f>
        <v>1227048</v>
      </c>
      <c r="K877" s="4">
        <f>IFERROR(VLOOKUP(B877,infoTable__11[],4,FALSE),"")</f>
        <v>817327</v>
      </c>
      <c r="L877" s="4">
        <f>IFERROR(VLOOKUP(B877,infoTable__12[],4,FALSE),"")</f>
        <v>1274992</v>
      </c>
      <c r="M877" s="4" t="str">
        <f>IFERROR(VLOOKUP(B877,infoTable__13[],4,FALSE),"")</f>
        <v/>
      </c>
      <c r="N877" s="4" t="str">
        <f>IFERROR(VLOOKUP(B877,infoTable__14[],4,FALSE),"")</f>
        <v/>
      </c>
      <c r="O877" s="4" t="str">
        <f>IFERROR(VLOOKUP(B877,infoTable__15[],4,FALSE),"")</f>
        <v/>
      </c>
      <c r="P877" s="4" t="str">
        <f>IFERROR(VLOOKUP(B877,infoTable__16[],4,FALSE),"")</f>
        <v/>
      </c>
    </row>
    <row r="878" spans="1:16" x14ac:dyDescent="0.55000000000000004">
      <c r="A878" t="s">
        <v>1485</v>
      </c>
      <c r="B878" t="s">
        <v>1486</v>
      </c>
      <c r="C878" s="4">
        <f>IFERROR(VLOOKUP(B878,infoTable10[],4,FALSE),"")</f>
        <v>743241</v>
      </c>
      <c r="D878" s="4" t="str">
        <f>IFERROR(VLOOKUP(B878,infoTable__2[],4,FALSE),"")</f>
        <v/>
      </c>
      <c r="E878" s="4" t="str">
        <f>IFERROR(VLOOKUP(B878,infoTable__3[],4,FALSE),"")</f>
        <v/>
      </c>
      <c r="F878" s="4" t="str">
        <f>IFERROR(VLOOKUP(B878,infoTable__4[],4,FALSE),"")</f>
        <v/>
      </c>
      <c r="G878" s="4" t="str">
        <f>IFERROR(VLOOKUP(B878,infoTable[],4,FALSE),"")</f>
        <v/>
      </c>
      <c r="H878" s="4" t="str">
        <f>IFERROR(VLOOKUP(B878,infoTable__6[],4,FALSE),"")</f>
        <v/>
      </c>
      <c r="I878" s="4" t="str">
        <f>IFERROR(VLOOKUP(B878,infoTable__28[],4,FALSE),"")</f>
        <v/>
      </c>
      <c r="J878" s="4" t="str">
        <f>IFERROR(VLOOKUP(B878,infoTable__10[],4,FALSE),"")</f>
        <v/>
      </c>
      <c r="K878" s="4" t="str">
        <f>IFERROR(VLOOKUP(B878,infoTable__11[],4,FALSE),"")</f>
        <v/>
      </c>
      <c r="L878" s="4" t="str">
        <f>IFERROR(VLOOKUP(B878,infoTable__12[],4,FALSE),"")</f>
        <v/>
      </c>
      <c r="M878" s="4">
        <f>IFERROR(VLOOKUP(B878,infoTable__13[],4,FALSE),"")</f>
        <v>325754</v>
      </c>
      <c r="N878" s="4" t="str">
        <f>IFERROR(VLOOKUP(B878,infoTable__14[],4,FALSE),"")</f>
        <v/>
      </c>
      <c r="O878" s="4" t="str">
        <f>IFERROR(VLOOKUP(B878,infoTable__15[],4,FALSE),"")</f>
        <v/>
      </c>
      <c r="P878" s="4" t="str">
        <f>IFERROR(VLOOKUP(B878,infoTable__16[],4,FALSE),"")</f>
        <v/>
      </c>
    </row>
    <row r="879" spans="1:16" x14ac:dyDescent="0.55000000000000004">
      <c r="A879" t="s">
        <v>2797</v>
      </c>
      <c r="B879" t="s">
        <v>2796</v>
      </c>
      <c r="C879" s="4" t="str">
        <f>IFERROR(VLOOKUP(B879,infoTable10[],4,FALSE),"")</f>
        <v/>
      </c>
      <c r="D879" s="4" t="str">
        <f>IFERROR(VLOOKUP(B879,infoTable__2[],4,FALSE),"")</f>
        <v/>
      </c>
      <c r="E879" s="4" t="str">
        <f>IFERROR(VLOOKUP(B879,infoTable__3[],4,FALSE),"")</f>
        <v/>
      </c>
      <c r="F879" s="4" t="str">
        <f>IFERROR(VLOOKUP(B879,infoTable__4[],4,FALSE),"")</f>
        <v/>
      </c>
      <c r="G879" s="4" t="str">
        <f>IFERROR(VLOOKUP(B879,infoTable[],4,FALSE),"")</f>
        <v/>
      </c>
      <c r="H879" s="4" t="str">
        <f>IFERROR(VLOOKUP(B879,infoTable__6[],4,FALSE),"")</f>
        <v/>
      </c>
      <c r="I879" s="4" t="str">
        <f>IFERROR(VLOOKUP(B879,infoTable__28[],4,FALSE),"")</f>
        <v/>
      </c>
      <c r="J879" s="4" t="str">
        <f>IFERROR(VLOOKUP(B879,infoTable__10[],4,FALSE),"")</f>
        <v/>
      </c>
      <c r="K879" s="4" t="str">
        <f>IFERROR(VLOOKUP(B879,infoTable__11[],4,FALSE),"")</f>
        <v/>
      </c>
      <c r="L879" s="4" t="str">
        <f>IFERROR(VLOOKUP(B879,infoTable__12[],4,FALSE),"")</f>
        <v/>
      </c>
      <c r="M879" s="4" t="str">
        <f>IFERROR(VLOOKUP(B879,infoTable__13[],4,FALSE),"")</f>
        <v/>
      </c>
      <c r="N879" s="4">
        <f>IFERROR(VLOOKUP(B879,infoTable__14[],4,FALSE),"")</f>
        <v>1949086</v>
      </c>
      <c r="O879" s="4" t="str">
        <f>IFERROR(VLOOKUP(B879,infoTable__15[],4,FALSE),"")</f>
        <v/>
      </c>
      <c r="P879" s="4">
        <f>IFERROR(VLOOKUP(B879,infoTable__16[],4,FALSE),"")</f>
        <v>890657</v>
      </c>
    </row>
    <row r="880" spans="1:16" x14ac:dyDescent="0.55000000000000004">
      <c r="A880" t="s">
        <v>966</v>
      </c>
      <c r="B880" t="s">
        <v>968</v>
      </c>
      <c r="C880" s="4" t="str">
        <f>IFERROR(VLOOKUP(B880,infoTable10[],4,FALSE),"")</f>
        <v/>
      </c>
      <c r="D880" s="4" t="str">
        <f>IFERROR(VLOOKUP(B880,infoTable__2[],4,FALSE),"")</f>
        <v/>
      </c>
      <c r="E880" s="4" t="str">
        <f>IFERROR(VLOOKUP(B880,infoTable__3[],4,FALSE),"")</f>
        <v/>
      </c>
      <c r="F880" s="4" t="str">
        <f>IFERROR(VLOOKUP(B880,infoTable__4[],4,FALSE),"")</f>
        <v/>
      </c>
      <c r="G880" s="4" t="str">
        <f>IFERROR(VLOOKUP(B880,infoTable[],4,FALSE),"")</f>
        <v/>
      </c>
      <c r="H880" s="4">
        <f>IFERROR(VLOOKUP(B880,infoTable__6[],4,FALSE),"")</f>
        <v>286853</v>
      </c>
      <c r="I880" s="4" t="str">
        <f>IFERROR(VLOOKUP(B880,infoTable__28[],4,FALSE),"")</f>
        <v/>
      </c>
      <c r="J880" s="4" t="str">
        <f>IFERROR(VLOOKUP(B880,infoTable__10[],4,FALSE),"")</f>
        <v/>
      </c>
      <c r="K880" s="4" t="str">
        <f>IFERROR(VLOOKUP(B880,infoTable__11[],4,FALSE),"")</f>
        <v/>
      </c>
      <c r="L880" s="4" t="str">
        <f>IFERROR(VLOOKUP(B880,infoTable__12[],4,FALSE),"")</f>
        <v/>
      </c>
      <c r="M880" s="4" t="str">
        <f>IFERROR(VLOOKUP(B880,infoTable__13[],4,FALSE),"")</f>
        <v/>
      </c>
      <c r="N880" s="4" t="str">
        <f>IFERROR(VLOOKUP(B880,infoTable__14[],4,FALSE),"")</f>
        <v/>
      </c>
      <c r="O880" s="4" t="str">
        <f>IFERROR(VLOOKUP(B880,infoTable__15[],4,FALSE),"")</f>
        <v/>
      </c>
      <c r="P880" s="4" t="str">
        <f>IFERROR(VLOOKUP(B880,infoTable__16[],4,FALSE),"")</f>
        <v/>
      </c>
    </row>
    <row r="881" spans="1:16" x14ac:dyDescent="0.55000000000000004">
      <c r="A881" t="s">
        <v>2799</v>
      </c>
      <c r="B881" t="s">
        <v>2798</v>
      </c>
      <c r="C881" s="4" t="str">
        <f>IFERROR(VLOOKUP(B881,infoTable10[],4,FALSE),"")</f>
        <v/>
      </c>
      <c r="D881" s="4" t="str">
        <f>IFERROR(VLOOKUP(B881,infoTable__2[],4,FALSE),"")</f>
        <v/>
      </c>
      <c r="E881" s="4" t="str">
        <f>IFERROR(VLOOKUP(B881,infoTable__3[],4,FALSE),"")</f>
        <v/>
      </c>
      <c r="F881" s="4" t="str">
        <f>IFERROR(VLOOKUP(B881,infoTable__4[],4,FALSE),"")</f>
        <v/>
      </c>
      <c r="G881" s="4" t="str">
        <f>IFERROR(VLOOKUP(B881,infoTable[],4,FALSE),"")</f>
        <v/>
      </c>
      <c r="H881" s="4" t="str">
        <f>IFERROR(VLOOKUP(B881,infoTable__6[],4,FALSE),"")</f>
        <v/>
      </c>
      <c r="I881" s="4" t="str">
        <f>IFERROR(VLOOKUP(B881,infoTable__28[],4,FALSE),"")</f>
        <v/>
      </c>
      <c r="J881" s="4" t="str">
        <f>IFERROR(VLOOKUP(B881,infoTable__10[],4,FALSE),"")</f>
        <v/>
      </c>
      <c r="K881" s="4" t="str">
        <f>IFERROR(VLOOKUP(B881,infoTable__11[],4,FALSE),"")</f>
        <v/>
      </c>
      <c r="L881" s="4" t="str">
        <f>IFERROR(VLOOKUP(B881,infoTable__12[],4,FALSE),"")</f>
        <v/>
      </c>
      <c r="M881" s="4" t="str">
        <f>IFERROR(VLOOKUP(B881,infoTable__13[],4,FALSE),"")</f>
        <v/>
      </c>
      <c r="N881" s="4">
        <f>IFERROR(VLOOKUP(B881,infoTable__14[],4,FALSE),"")</f>
        <v>409553</v>
      </c>
      <c r="O881" s="4" t="str">
        <f>IFERROR(VLOOKUP(B881,infoTable__15[],4,FALSE),"")</f>
        <v/>
      </c>
      <c r="P881" s="4">
        <f>IFERROR(VLOOKUP(B881,infoTable__16[],4,FALSE),"")</f>
        <v>519188</v>
      </c>
    </row>
    <row r="882" spans="1:16" x14ac:dyDescent="0.55000000000000004">
      <c r="A882" t="s">
        <v>1191</v>
      </c>
      <c r="B882" t="s">
        <v>1192</v>
      </c>
      <c r="C882" s="4" t="str">
        <f>IFERROR(VLOOKUP(B882,infoTable10[],4,FALSE),"")</f>
        <v/>
      </c>
      <c r="D882" s="4" t="str">
        <f>IFERROR(VLOOKUP(B882,infoTable__2[],4,FALSE),"")</f>
        <v/>
      </c>
      <c r="E882" s="4" t="str">
        <f>IFERROR(VLOOKUP(B882,infoTable__3[],4,FALSE),"")</f>
        <v/>
      </c>
      <c r="F882" s="4" t="str">
        <f>IFERROR(VLOOKUP(B882,infoTable__4[],4,FALSE),"")</f>
        <v/>
      </c>
      <c r="G882" s="4" t="str">
        <f>IFERROR(VLOOKUP(B882,infoTable[],4,FALSE),"")</f>
        <v/>
      </c>
      <c r="H882" s="4" t="str">
        <f>IFERROR(VLOOKUP(B882,infoTable__6[],4,FALSE),"")</f>
        <v/>
      </c>
      <c r="I882" s="4">
        <f>IFERROR(VLOOKUP(B882,infoTable__28[],4,FALSE),"")</f>
        <v>188810</v>
      </c>
      <c r="J882" s="4" t="str">
        <f>IFERROR(VLOOKUP(B882,infoTable__10[],4,FALSE),"")</f>
        <v/>
      </c>
      <c r="K882" s="4" t="str">
        <f>IFERROR(VLOOKUP(B882,infoTable__11[],4,FALSE),"")</f>
        <v/>
      </c>
      <c r="L882" s="4" t="str">
        <f>IFERROR(VLOOKUP(B882,infoTable__12[],4,FALSE),"")</f>
        <v/>
      </c>
      <c r="M882" s="4" t="str">
        <f>IFERROR(VLOOKUP(B882,infoTable__13[],4,FALSE),"")</f>
        <v/>
      </c>
      <c r="N882" s="4" t="str">
        <f>IFERROR(VLOOKUP(B882,infoTable__14[],4,FALSE),"")</f>
        <v/>
      </c>
      <c r="O882" s="4" t="str">
        <f>IFERROR(VLOOKUP(B882,infoTable__15[],4,FALSE),"")</f>
        <v/>
      </c>
      <c r="P882" s="4" t="str">
        <f>IFERROR(VLOOKUP(B882,infoTable__16[],4,FALSE),"")</f>
        <v/>
      </c>
    </row>
    <row r="883" spans="1:16" x14ac:dyDescent="0.55000000000000004">
      <c r="A883" t="s">
        <v>2992</v>
      </c>
      <c r="B883" t="s">
        <v>2993</v>
      </c>
      <c r="C883" s="4" t="str">
        <f>IFERROR(VLOOKUP(B883,infoTable10[],4,FALSE),"")</f>
        <v/>
      </c>
      <c r="D883" s="4" t="str">
        <f>IFERROR(VLOOKUP(B883,infoTable__2[],4,FALSE),"")</f>
        <v/>
      </c>
      <c r="E883" s="4" t="str">
        <f>IFERROR(VLOOKUP(B883,infoTable__3[],4,FALSE),"")</f>
        <v/>
      </c>
      <c r="F883" s="4" t="str">
        <f>IFERROR(VLOOKUP(B883,infoTable__4[],4,FALSE),"")</f>
        <v/>
      </c>
      <c r="G883" s="4" t="str">
        <f>IFERROR(VLOOKUP(B883,infoTable[],4,FALSE),"")</f>
        <v/>
      </c>
      <c r="H883" s="4" t="str">
        <f>IFERROR(VLOOKUP(B883,infoTable__6[],4,FALSE),"")</f>
        <v/>
      </c>
      <c r="I883" s="4" t="str">
        <f>IFERROR(VLOOKUP(B883,infoTable__28[],4,FALSE),"")</f>
        <v/>
      </c>
      <c r="J883" s="4" t="str">
        <f>IFERROR(VLOOKUP(B883,infoTable__10[],4,FALSE),"")</f>
        <v/>
      </c>
      <c r="K883" s="4" t="str">
        <f>IFERROR(VLOOKUP(B883,infoTable__11[],4,FALSE),"")</f>
        <v/>
      </c>
      <c r="L883" s="4" t="str">
        <f>IFERROR(VLOOKUP(B883,infoTable__12[],4,FALSE),"")</f>
        <v/>
      </c>
      <c r="M883" s="4" t="str">
        <f>IFERROR(VLOOKUP(B883,infoTable__13[],4,FALSE),"")</f>
        <v/>
      </c>
      <c r="N883" s="4" t="str">
        <f>IFERROR(VLOOKUP(B883,infoTable__14[],4,FALSE),"")</f>
        <v/>
      </c>
      <c r="O883" s="4">
        <f>IFERROR(VLOOKUP(B883,infoTable__15[],4,FALSE),"")</f>
        <v>231264</v>
      </c>
      <c r="P883" s="4">
        <f>IFERROR(VLOOKUP(B883,infoTable__16[],4,FALSE),"")</f>
        <v>998999</v>
      </c>
    </row>
    <row r="884" spans="1:16" x14ac:dyDescent="0.55000000000000004">
      <c r="A884" t="s">
        <v>821</v>
      </c>
      <c r="B884" t="s">
        <v>822</v>
      </c>
      <c r="C884" s="4" t="str">
        <f>IFERROR(VLOOKUP(B884,infoTable10[],4,FALSE),"")</f>
        <v/>
      </c>
      <c r="D884" s="4" t="str">
        <f>IFERROR(VLOOKUP(B884,infoTable__2[],4,FALSE),"")</f>
        <v/>
      </c>
      <c r="E884" s="4" t="str">
        <f>IFERROR(VLOOKUP(B884,infoTable__3[],4,FALSE),"")</f>
        <v/>
      </c>
      <c r="F884" s="4">
        <f>IFERROR(VLOOKUP(B884,infoTable__4[],4,FALSE),"")</f>
        <v>559332</v>
      </c>
      <c r="G884" s="4" t="str">
        <f>IFERROR(VLOOKUP(B884,infoTable[],4,FALSE),"")</f>
        <v/>
      </c>
      <c r="H884" s="4" t="str">
        <f>IFERROR(VLOOKUP(B884,infoTable__6[],4,FALSE),"")</f>
        <v/>
      </c>
      <c r="I884" s="4" t="str">
        <f>IFERROR(VLOOKUP(B884,infoTable__28[],4,FALSE),"")</f>
        <v/>
      </c>
      <c r="J884" s="4" t="str">
        <f>IFERROR(VLOOKUP(B884,infoTable__10[],4,FALSE),"")</f>
        <v/>
      </c>
      <c r="K884" s="4" t="str">
        <f>IFERROR(VLOOKUP(B884,infoTable__11[],4,FALSE),"")</f>
        <v/>
      </c>
      <c r="L884" s="4" t="str">
        <f>IFERROR(VLOOKUP(B884,infoTable__12[],4,FALSE),"")</f>
        <v/>
      </c>
      <c r="M884" s="4" t="str">
        <f>IFERROR(VLOOKUP(B884,infoTable__13[],4,FALSE),"")</f>
        <v/>
      </c>
      <c r="N884" s="4" t="str">
        <f>IFERROR(VLOOKUP(B884,infoTable__14[],4,FALSE),"")</f>
        <v/>
      </c>
      <c r="O884" s="4" t="str">
        <f>IFERROR(VLOOKUP(B884,infoTable__15[],4,FALSE),"")</f>
        <v/>
      </c>
      <c r="P884" s="4" t="str">
        <f>IFERROR(VLOOKUP(B884,infoTable__16[],4,FALSE),"")</f>
        <v/>
      </c>
    </row>
    <row r="885" spans="1:16" x14ac:dyDescent="0.55000000000000004">
      <c r="A885" t="s">
        <v>2418</v>
      </c>
      <c r="B885" t="s">
        <v>2419</v>
      </c>
      <c r="C885" s="4" t="str">
        <f>IFERROR(VLOOKUP(B885,infoTable10[],4,FALSE),"")</f>
        <v/>
      </c>
      <c r="D885" s="4" t="str">
        <f>IFERROR(VLOOKUP(B885,infoTable__2[],4,FALSE),"")</f>
        <v/>
      </c>
      <c r="E885" s="4" t="str">
        <f>IFERROR(VLOOKUP(B885,infoTable__3[],4,FALSE),"")</f>
        <v/>
      </c>
      <c r="F885" s="4" t="str">
        <f>IFERROR(VLOOKUP(B885,infoTable__4[],4,FALSE),"")</f>
        <v/>
      </c>
      <c r="G885" s="4" t="str">
        <f>IFERROR(VLOOKUP(B885,infoTable[],4,FALSE),"")</f>
        <v/>
      </c>
      <c r="H885" s="4" t="str">
        <f>IFERROR(VLOOKUP(B885,infoTable__6[],4,FALSE),"")</f>
        <v/>
      </c>
      <c r="I885" s="4" t="str">
        <f>IFERROR(VLOOKUP(B885,infoTable__28[],4,FALSE),"")</f>
        <v/>
      </c>
      <c r="J885" s="4" t="str">
        <f>IFERROR(VLOOKUP(B885,infoTable__10[],4,FALSE),"")</f>
        <v/>
      </c>
      <c r="K885" s="4" t="str">
        <f>IFERROR(VLOOKUP(B885,infoTable__11[],4,FALSE),"")</f>
        <v/>
      </c>
      <c r="L885" s="4" t="str">
        <f>IFERROR(VLOOKUP(B885,infoTable__12[],4,FALSE),"")</f>
        <v/>
      </c>
      <c r="M885" s="4">
        <f>IFERROR(VLOOKUP(B885,infoTable__13[],4,FALSE),"")</f>
        <v>201377</v>
      </c>
      <c r="N885" s="4">
        <f>IFERROR(VLOOKUP(B885,infoTable__14[],4,FALSE),"")</f>
        <v>356417</v>
      </c>
      <c r="O885" s="4">
        <f>IFERROR(VLOOKUP(B885,infoTable__15[],4,FALSE),"")</f>
        <v>458660</v>
      </c>
      <c r="P885" s="4">
        <f>IFERROR(VLOOKUP(B885,infoTable__16[],4,FALSE),"")</f>
        <v>553028</v>
      </c>
    </row>
    <row r="886" spans="1:16" x14ac:dyDescent="0.55000000000000004">
      <c r="A886" t="s">
        <v>3249</v>
      </c>
      <c r="B886" t="s">
        <v>3250</v>
      </c>
      <c r="C886" s="4" t="str">
        <f>IFERROR(VLOOKUP(B886,infoTable10[],4,FALSE),"")</f>
        <v/>
      </c>
      <c r="D886" s="4" t="str">
        <f>IFERROR(VLOOKUP(B886,infoTable__2[],4,FALSE),"")</f>
        <v/>
      </c>
      <c r="E886" s="4" t="str">
        <f>IFERROR(VLOOKUP(B886,infoTable__3[],4,FALSE),"")</f>
        <v/>
      </c>
      <c r="F886" s="4" t="str">
        <f>IFERROR(VLOOKUP(B886,infoTable__4[],4,FALSE),"")</f>
        <v/>
      </c>
      <c r="G886" s="4" t="str">
        <f>IFERROR(VLOOKUP(B886,infoTable[],4,FALSE),"")</f>
        <v/>
      </c>
      <c r="H886" s="4" t="str">
        <f>IFERROR(VLOOKUP(B886,infoTable__6[],4,FALSE),"")</f>
        <v/>
      </c>
      <c r="I886" s="4" t="str">
        <f>IFERROR(VLOOKUP(B886,infoTable__28[],4,FALSE),"")</f>
        <v/>
      </c>
      <c r="J886" s="4" t="str">
        <f>IFERROR(VLOOKUP(B886,infoTable__10[],4,FALSE),"")</f>
        <v/>
      </c>
      <c r="K886" s="4" t="str">
        <f>IFERROR(VLOOKUP(B886,infoTable__11[],4,FALSE),"")</f>
        <v/>
      </c>
      <c r="L886" s="4" t="str">
        <f>IFERROR(VLOOKUP(B886,infoTable__12[],4,FALSE),"")</f>
        <v/>
      </c>
      <c r="M886" s="4" t="str">
        <f>IFERROR(VLOOKUP(B886,infoTable__13[],4,FALSE),"")</f>
        <v/>
      </c>
      <c r="N886" s="4" t="str">
        <f>IFERROR(VLOOKUP(B886,infoTable__14[],4,FALSE),"")</f>
        <v/>
      </c>
      <c r="O886" s="4" t="str">
        <f>IFERROR(VLOOKUP(B886,infoTable__15[],4,FALSE),"")</f>
        <v/>
      </c>
      <c r="P886" s="4">
        <f>IFERROR(VLOOKUP(B886,infoTable__16[],4,FALSE),"")</f>
        <v>2297678</v>
      </c>
    </row>
    <row r="887" spans="1:16" x14ac:dyDescent="0.55000000000000004">
      <c r="A887" t="s">
        <v>1184</v>
      </c>
      <c r="B887" t="s">
        <v>1185</v>
      </c>
      <c r="C887" s="4" t="str">
        <f>IFERROR(VLOOKUP(B887,infoTable10[],4,FALSE),"")</f>
        <v/>
      </c>
      <c r="D887" s="4" t="str">
        <f>IFERROR(VLOOKUP(B887,infoTable__2[],4,FALSE),"")</f>
        <v/>
      </c>
      <c r="E887" s="4" t="str">
        <f>IFERROR(VLOOKUP(B887,infoTable__3[],4,FALSE),"")</f>
        <v/>
      </c>
      <c r="F887" s="4" t="str">
        <f>IFERROR(VLOOKUP(B887,infoTable__4[],4,FALSE),"")</f>
        <v/>
      </c>
      <c r="G887" s="4" t="str">
        <f>IFERROR(VLOOKUP(B887,infoTable[],4,FALSE),"")</f>
        <v/>
      </c>
      <c r="H887" s="4" t="str">
        <f>IFERROR(VLOOKUP(B887,infoTable__6[],4,FALSE),"")</f>
        <v/>
      </c>
      <c r="I887" s="4">
        <f>IFERROR(VLOOKUP(B887,infoTable__28[],4,FALSE),"")</f>
        <v>442797</v>
      </c>
      <c r="J887" s="4">
        <f>IFERROR(VLOOKUP(B887,infoTable__10[],4,FALSE),"")</f>
        <v>534144</v>
      </c>
      <c r="K887" s="4">
        <f>IFERROR(VLOOKUP(B887,infoTable__11[],4,FALSE),"")</f>
        <v>594688</v>
      </c>
      <c r="L887" s="4">
        <f>IFERROR(VLOOKUP(B887,infoTable__12[],4,FALSE),"")</f>
        <v>1384911</v>
      </c>
      <c r="M887" s="4" t="str">
        <f>IFERROR(VLOOKUP(B887,infoTable__13[],4,FALSE),"")</f>
        <v/>
      </c>
      <c r="N887" s="4" t="str">
        <f>IFERROR(VLOOKUP(B887,infoTable__14[],4,FALSE),"")</f>
        <v/>
      </c>
      <c r="O887" s="4">
        <f>IFERROR(VLOOKUP(B887,infoTable__15[],4,FALSE),"")</f>
        <v>1176186</v>
      </c>
      <c r="P887" s="4">
        <f>IFERROR(VLOOKUP(B887,infoTable__16[],4,FALSE),"")</f>
        <v>3517896</v>
      </c>
    </row>
    <row r="888" spans="1:16" x14ac:dyDescent="0.55000000000000004">
      <c r="A888" t="s">
        <v>1186</v>
      </c>
      <c r="B888" t="s">
        <v>1187</v>
      </c>
      <c r="C888" s="4" t="str">
        <f>IFERROR(VLOOKUP(B888,infoTable10[],4,FALSE),"")</f>
        <v/>
      </c>
      <c r="D888" s="4" t="str">
        <f>IFERROR(VLOOKUP(B888,infoTable__2[],4,FALSE),"")</f>
        <v/>
      </c>
      <c r="E888" s="4" t="str">
        <f>IFERROR(VLOOKUP(B888,infoTable__3[],4,FALSE),"")</f>
        <v/>
      </c>
      <c r="F888" s="4" t="str">
        <f>IFERROR(VLOOKUP(B888,infoTable__4[],4,FALSE),"")</f>
        <v/>
      </c>
      <c r="G888" s="4" t="str">
        <f>IFERROR(VLOOKUP(B888,infoTable[],4,FALSE),"")</f>
        <v/>
      </c>
      <c r="H888" s="4" t="str">
        <f>IFERROR(VLOOKUP(B888,infoTable__6[],4,FALSE),"")</f>
        <v/>
      </c>
      <c r="I888" s="4">
        <f>IFERROR(VLOOKUP(B888,infoTable__28[],4,FALSE),"")</f>
        <v>881885</v>
      </c>
      <c r="J888" s="4">
        <f>IFERROR(VLOOKUP(B888,infoTable__10[],4,FALSE),"")</f>
        <v>857444</v>
      </c>
      <c r="K888" s="4">
        <f>IFERROR(VLOOKUP(B888,infoTable__11[],4,FALSE),"")</f>
        <v>371884</v>
      </c>
      <c r="L888" s="4">
        <f>IFERROR(VLOOKUP(B888,infoTable__12[],4,FALSE),"")</f>
        <v>814317</v>
      </c>
      <c r="M888" s="4">
        <f>IFERROR(VLOOKUP(B888,infoTable__13[],4,FALSE),"")</f>
        <v>366431</v>
      </c>
      <c r="N888" s="4" t="str">
        <f>IFERROR(VLOOKUP(B888,infoTable__14[],4,FALSE),"")</f>
        <v/>
      </c>
      <c r="O888" s="4">
        <f>IFERROR(VLOOKUP(B888,infoTable__15[],4,FALSE),"")</f>
        <v>214849</v>
      </c>
      <c r="P888" s="4" t="str">
        <f>IFERROR(VLOOKUP(B888,infoTable__16[],4,FALSE),"")</f>
        <v/>
      </c>
    </row>
    <row r="889" spans="1:16" x14ac:dyDescent="0.55000000000000004">
      <c r="A889" t="s">
        <v>2420</v>
      </c>
      <c r="B889" t="s">
        <v>2421</v>
      </c>
      <c r="C889" s="4" t="str">
        <f>IFERROR(VLOOKUP(B889,infoTable10[],4,FALSE),"")</f>
        <v/>
      </c>
      <c r="D889" s="4" t="str">
        <f>IFERROR(VLOOKUP(B889,infoTable__2[],4,FALSE),"")</f>
        <v/>
      </c>
      <c r="E889" s="4" t="str">
        <f>IFERROR(VLOOKUP(B889,infoTable__3[],4,FALSE),"")</f>
        <v/>
      </c>
      <c r="F889" s="4" t="str">
        <f>IFERROR(VLOOKUP(B889,infoTable__4[],4,FALSE),"")</f>
        <v/>
      </c>
      <c r="G889" s="4" t="str">
        <f>IFERROR(VLOOKUP(B889,infoTable[],4,FALSE),"")</f>
        <v/>
      </c>
      <c r="H889" s="4" t="str">
        <f>IFERROR(VLOOKUP(B889,infoTable__6[],4,FALSE),"")</f>
        <v/>
      </c>
      <c r="I889" s="4" t="str">
        <f>IFERROR(VLOOKUP(B889,infoTable__28[],4,FALSE),"")</f>
        <v/>
      </c>
      <c r="J889" s="4" t="str">
        <f>IFERROR(VLOOKUP(B889,infoTable__10[],4,FALSE),"")</f>
        <v/>
      </c>
      <c r="K889" s="4" t="str">
        <f>IFERROR(VLOOKUP(B889,infoTable__11[],4,FALSE),"")</f>
        <v/>
      </c>
      <c r="L889" s="4" t="str">
        <f>IFERROR(VLOOKUP(B889,infoTable__12[],4,FALSE),"")</f>
        <v/>
      </c>
      <c r="M889" s="4">
        <f>IFERROR(VLOOKUP(B889,infoTable__13[],4,FALSE),"")</f>
        <v>200197</v>
      </c>
      <c r="N889" s="4">
        <f>IFERROR(VLOOKUP(B889,infoTable__14[],4,FALSE),"")</f>
        <v>340568</v>
      </c>
      <c r="O889" s="4" t="str">
        <f>IFERROR(VLOOKUP(B889,infoTable__15[],4,FALSE),"")</f>
        <v/>
      </c>
      <c r="P889" s="4">
        <f>IFERROR(VLOOKUP(B889,infoTable__16[],4,FALSE),"")</f>
        <v>470234</v>
      </c>
    </row>
    <row r="890" spans="1:16" x14ac:dyDescent="0.55000000000000004">
      <c r="A890" t="s">
        <v>1182</v>
      </c>
      <c r="B890" t="s">
        <v>1183</v>
      </c>
      <c r="C890" s="4" t="str">
        <f>IFERROR(VLOOKUP(B890,infoTable10[],4,FALSE),"")</f>
        <v/>
      </c>
      <c r="D890" s="4" t="str">
        <f>IFERROR(VLOOKUP(B890,infoTable__2[],4,FALSE),"")</f>
        <v/>
      </c>
      <c r="E890" s="4" t="str">
        <f>IFERROR(VLOOKUP(B890,infoTable__3[],4,FALSE),"")</f>
        <v/>
      </c>
      <c r="F890" s="4" t="str">
        <f>IFERROR(VLOOKUP(B890,infoTable__4[],4,FALSE),"")</f>
        <v/>
      </c>
      <c r="G890" s="4" t="str">
        <f>IFERROR(VLOOKUP(B890,infoTable[],4,FALSE),"")</f>
        <v/>
      </c>
      <c r="H890" s="4" t="str">
        <f>IFERROR(VLOOKUP(B890,infoTable__6[],4,FALSE),"")</f>
        <v/>
      </c>
      <c r="I890" s="4">
        <f>IFERROR(VLOOKUP(B890,infoTable__28[],4,FALSE),"")</f>
        <v>709763</v>
      </c>
      <c r="J890" s="4">
        <f>IFERROR(VLOOKUP(B890,infoTable__10[],4,FALSE),"")</f>
        <v>1066113</v>
      </c>
      <c r="K890" s="4">
        <f>IFERROR(VLOOKUP(B890,infoTable__11[],4,FALSE),"")</f>
        <v>1390503</v>
      </c>
      <c r="L890" s="4">
        <f>IFERROR(VLOOKUP(B890,infoTable__12[],4,FALSE),"")</f>
        <v>1265436</v>
      </c>
      <c r="M890" s="4">
        <f>IFERROR(VLOOKUP(B890,infoTable__13[],4,FALSE),"")</f>
        <v>1501257</v>
      </c>
      <c r="N890" s="4">
        <f>IFERROR(VLOOKUP(B890,infoTable__14[],4,FALSE),"")</f>
        <v>1806118</v>
      </c>
      <c r="O890" s="4">
        <f>IFERROR(VLOOKUP(B890,infoTable__15[],4,FALSE),"")</f>
        <v>348937</v>
      </c>
      <c r="P890" s="4">
        <f>IFERROR(VLOOKUP(B890,infoTable__16[],4,FALSE),"")</f>
        <v>2059901</v>
      </c>
    </row>
    <row r="891" spans="1:16" x14ac:dyDescent="0.55000000000000004">
      <c r="A891" t="s">
        <v>2801</v>
      </c>
      <c r="B891" t="s">
        <v>2800</v>
      </c>
      <c r="C891" s="4" t="str">
        <f>IFERROR(VLOOKUP(B891,infoTable10[],4,FALSE),"")</f>
        <v/>
      </c>
      <c r="D891" s="4" t="str">
        <f>IFERROR(VLOOKUP(B891,infoTable__2[],4,FALSE),"")</f>
        <v/>
      </c>
      <c r="E891" s="4" t="str">
        <f>IFERROR(VLOOKUP(B891,infoTable__3[],4,FALSE),"")</f>
        <v/>
      </c>
      <c r="F891" s="4" t="str">
        <f>IFERROR(VLOOKUP(B891,infoTable__4[],4,FALSE),"")</f>
        <v/>
      </c>
      <c r="G891" s="4" t="str">
        <f>IFERROR(VLOOKUP(B891,infoTable[],4,FALSE),"")</f>
        <v/>
      </c>
      <c r="H891" s="4" t="str">
        <f>IFERROR(VLOOKUP(B891,infoTable__6[],4,FALSE),"")</f>
        <v/>
      </c>
      <c r="I891" s="4" t="str">
        <f>IFERROR(VLOOKUP(B891,infoTable__28[],4,FALSE),"")</f>
        <v/>
      </c>
      <c r="J891" s="4" t="str">
        <f>IFERROR(VLOOKUP(B891,infoTable__10[],4,FALSE),"")</f>
        <v/>
      </c>
      <c r="K891" s="4" t="str">
        <f>IFERROR(VLOOKUP(B891,infoTable__11[],4,FALSE),"")</f>
        <v/>
      </c>
      <c r="L891" s="4" t="str">
        <f>IFERROR(VLOOKUP(B891,infoTable__12[],4,FALSE),"")</f>
        <v/>
      </c>
      <c r="M891" s="4" t="str">
        <f>IFERROR(VLOOKUP(B891,infoTable__13[],4,FALSE),"")</f>
        <v/>
      </c>
      <c r="N891" s="4">
        <f>IFERROR(VLOOKUP(B891,infoTable__14[],4,FALSE),"")</f>
        <v>2013302</v>
      </c>
      <c r="O891" s="4">
        <f>IFERROR(VLOOKUP(B891,infoTable__15[],4,FALSE),"")</f>
        <v>7608671</v>
      </c>
      <c r="P891" s="4">
        <f>IFERROR(VLOOKUP(B891,infoTable__16[],4,FALSE),"")</f>
        <v>7439411</v>
      </c>
    </row>
    <row r="892" spans="1:16" x14ac:dyDescent="0.55000000000000004">
      <c r="A892" t="s">
        <v>71</v>
      </c>
      <c r="B892" t="s">
        <v>72</v>
      </c>
      <c r="C892" s="4" t="str">
        <f>IFERROR(VLOOKUP(B892,infoTable10[],4,FALSE),"")</f>
        <v/>
      </c>
      <c r="D892" s="4" t="str">
        <f>IFERROR(VLOOKUP(B892,infoTable__2[],4,FALSE),"")</f>
        <v/>
      </c>
      <c r="E892" s="4">
        <f>IFERROR(VLOOKUP(B892,infoTable__3[],4,FALSE),"")</f>
        <v>1866980</v>
      </c>
      <c r="F892" s="4">
        <f>IFERROR(VLOOKUP(B892,infoTable__4[],4,FALSE),"")</f>
        <v>4187949</v>
      </c>
      <c r="G892" s="4">
        <f>IFERROR(VLOOKUP(B892,infoTable[],4,FALSE),"")</f>
        <v>2624386</v>
      </c>
      <c r="H892" s="4">
        <f>IFERROR(VLOOKUP(B892,infoTable__6[],4,FALSE),"")</f>
        <v>1691760</v>
      </c>
      <c r="I892" s="4" t="str">
        <f>IFERROR(VLOOKUP(B892,infoTable__28[],4,FALSE),"")</f>
        <v/>
      </c>
      <c r="J892" s="4" t="str">
        <f>IFERROR(VLOOKUP(B892,infoTable__10[],4,FALSE),"")</f>
        <v/>
      </c>
      <c r="K892" s="4" t="str">
        <f>IFERROR(VLOOKUP(B892,infoTable__11[],4,FALSE),"")</f>
        <v/>
      </c>
      <c r="L892" s="4" t="str">
        <f>IFERROR(VLOOKUP(B892,infoTable__12[],4,FALSE),"")</f>
        <v/>
      </c>
      <c r="M892" s="4" t="str">
        <f>IFERROR(VLOOKUP(B892,infoTable__13[],4,FALSE),"")</f>
        <v/>
      </c>
      <c r="N892" s="4" t="str">
        <f>IFERROR(VLOOKUP(B892,infoTable__14[],4,FALSE),"")</f>
        <v/>
      </c>
      <c r="O892" s="4">
        <f>IFERROR(VLOOKUP(B892,infoTable__15[],4,FALSE),"")</f>
        <v>1059518</v>
      </c>
      <c r="P892" s="4" t="str">
        <f>IFERROR(VLOOKUP(B892,infoTable__16[],4,FALSE),"")</f>
        <v/>
      </c>
    </row>
    <row r="893" spans="1:16" x14ac:dyDescent="0.55000000000000004">
      <c r="A893" t="s">
        <v>3255</v>
      </c>
      <c r="B893" t="s">
        <v>3256</v>
      </c>
      <c r="C893" s="4" t="str">
        <f>IFERROR(VLOOKUP(B893,infoTable10[],4,FALSE),"")</f>
        <v/>
      </c>
      <c r="D893" s="4" t="str">
        <f>IFERROR(VLOOKUP(B893,infoTable__2[],4,FALSE),"")</f>
        <v/>
      </c>
      <c r="E893" s="4" t="str">
        <f>IFERROR(VLOOKUP(B893,infoTable__3[],4,FALSE),"")</f>
        <v/>
      </c>
      <c r="F893" s="4" t="str">
        <f>IFERROR(VLOOKUP(B893,infoTable__4[],4,FALSE),"")</f>
        <v/>
      </c>
      <c r="G893" s="4" t="str">
        <f>IFERROR(VLOOKUP(B893,infoTable[],4,FALSE),"")</f>
        <v/>
      </c>
      <c r="H893" s="4" t="str">
        <f>IFERROR(VLOOKUP(B893,infoTable__6[],4,FALSE),"")</f>
        <v/>
      </c>
      <c r="I893" s="4" t="str">
        <f>IFERROR(VLOOKUP(B893,infoTable__28[],4,FALSE),"")</f>
        <v/>
      </c>
      <c r="J893" s="4" t="str">
        <f>IFERROR(VLOOKUP(B893,infoTable__10[],4,FALSE),"")</f>
        <v/>
      </c>
      <c r="K893" s="4" t="str">
        <f>IFERROR(VLOOKUP(B893,infoTable__11[],4,FALSE),"")</f>
        <v/>
      </c>
      <c r="L893" s="4" t="str">
        <f>IFERROR(VLOOKUP(B893,infoTable__12[],4,FALSE),"")</f>
        <v/>
      </c>
      <c r="M893" s="4" t="str">
        <f>IFERROR(VLOOKUP(B893,infoTable__13[],4,FALSE),"")</f>
        <v/>
      </c>
      <c r="N893" s="4" t="str">
        <f>IFERROR(VLOOKUP(B893,infoTable__14[],4,FALSE),"")</f>
        <v/>
      </c>
      <c r="O893" s="4" t="str">
        <f>IFERROR(VLOOKUP(B893,infoTable__15[],4,FALSE),"")</f>
        <v/>
      </c>
      <c r="P893" s="4">
        <f>IFERROR(VLOOKUP(B893,infoTable__16[],4,FALSE),"")</f>
        <v>5073746</v>
      </c>
    </row>
    <row r="894" spans="1:16" x14ac:dyDescent="0.55000000000000004">
      <c r="A894" t="s">
        <v>1833</v>
      </c>
      <c r="B894" t="s">
        <v>1834</v>
      </c>
      <c r="C894" s="4" t="str">
        <f>IFERROR(VLOOKUP(B894,infoTable10[],4,FALSE),"")</f>
        <v/>
      </c>
      <c r="D894" s="4" t="str">
        <f>IFERROR(VLOOKUP(B894,infoTable__2[],4,FALSE),"")</f>
        <v/>
      </c>
      <c r="E894" s="4" t="str">
        <f>IFERROR(VLOOKUP(B894,infoTable__3[],4,FALSE),"")</f>
        <v/>
      </c>
      <c r="F894" s="4" t="str">
        <f>IFERROR(VLOOKUP(B894,infoTable__4[],4,FALSE),"")</f>
        <v/>
      </c>
      <c r="G894" s="4" t="str">
        <f>IFERROR(VLOOKUP(B894,infoTable[],4,FALSE),"")</f>
        <v/>
      </c>
      <c r="H894" s="4" t="str">
        <f>IFERROR(VLOOKUP(B894,infoTable__6[],4,FALSE),"")</f>
        <v/>
      </c>
      <c r="I894" s="4" t="str">
        <f>IFERROR(VLOOKUP(B894,infoTable__28[],4,FALSE),"")</f>
        <v/>
      </c>
      <c r="J894" s="4" t="str">
        <f>IFERROR(VLOOKUP(B894,infoTable__10[],4,FALSE),"")</f>
        <v/>
      </c>
      <c r="K894" s="4">
        <f>IFERROR(VLOOKUP(B894,infoTable__11[],4,FALSE),"")</f>
        <v>401309</v>
      </c>
      <c r="L894" s="4">
        <f>IFERROR(VLOOKUP(B894,infoTable__12[],4,FALSE),"")</f>
        <v>974791</v>
      </c>
      <c r="M894" s="4">
        <f>IFERROR(VLOOKUP(B894,infoTable__13[],4,FALSE),"")</f>
        <v>753153</v>
      </c>
      <c r="N894" s="4">
        <f>IFERROR(VLOOKUP(B894,infoTable__14[],4,FALSE),"")</f>
        <v>1314018</v>
      </c>
      <c r="O894" s="4">
        <f>IFERROR(VLOOKUP(B894,infoTable__15[],4,FALSE),"")</f>
        <v>1578304</v>
      </c>
      <c r="P894" s="4">
        <f>IFERROR(VLOOKUP(B894,infoTable__16[],4,FALSE),"")</f>
        <v>1304467</v>
      </c>
    </row>
    <row r="895" spans="1:16" x14ac:dyDescent="0.55000000000000004">
      <c r="A895" t="s">
        <v>1618</v>
      </c>
      <c r="B895" t="s">
        <v>1619</v>
      </c>
      <c r="C895" s="4" t="str">
        <f>IFERROR(VLOOKUP(B895,infoTable10[],4,FALSE),"")</f>
        <v/>
      </c>
      <c r="D895" s="4" t="str">
        <f>IFERROR(VLOOKUP(B895,infoTable__2[],4,FALSE),"")</f>
        <v/>
      </c>
      <c r="E895" s="4" t="str">
        <f>IFERROR(VLOOKUP(B895,infoTable__3[],4,FALSE),"")</f>
        <v/>
      </c>
      <c r="F895" s="4" t="str">
        <f>IFERROR(VLOOKUP(B895,infoTable__4[],4,FALSE),"")</f>
        <v/>
      </c>
      <c r="G895" s="4" t="str">
        <f>IFERROR(VLOOKUP(B895,infoTable[],4,FALSE),"")</f>
        <v/>
      </c>
      <c r="H895" s="4" t="str">
        <f>IFERROR(VLOOKUP(B895,infoTable__6[],4,FALSE),"")</f>
        <v/>
      </c>
      <c r="I895" s="4" t="str">
        <f>IFERROR(VLOOKUP(B895,infoTable__28[],4,FALSE),"")</f>
        <v/>
      </c>
      <c r="J895" s="4">
        <f>IFERROR(VLOOKUP(B895,infoTable__10[],4,FALSE),"")</f>
        <v>638876</v>
      </c>
      <c r="K895" s="4" t="str">
        <f>IFERROR(VLOOKUP(B895,infoTable__11[],4,FALSE),"")</f>
        <v/>
      </c>
      <c r="L895" s="4" t="str">
        <f>IFERROR(VLOOKUP(B895,infoTable__12[],4,FALSE),"")</f>
        <v/>
      </c>
      <c r="M895" s="4" t="str">
        <f>IFERROR(VLOOKUP(B895,infoTable__13[],4,FALSE),"")</f>
        <v/>
      </c>
      <c r="N895" s="4" t="str">
        <f>IFERROR(VLOOKUP(B895,infoTable__14[],4,FALSE),"")</f>
        <v/>
      </c>
      <c r="O895" s="4" t="str">
        <f>IFERROR(VLOOKUP(B895,infoTable__15[],4,FALSE),"")</f>
        <v/>
      </c>
      <c r="P895" s="4">
        <f>IFERROR(VLOOKUP(B895,infoTable__16[],4,FALSE),"")</f>
        <v>2785163</v>
      </c>
    </row>
    <row r="896" spans="1:16" x14ac:dyDescent="0.55000000000000004">
      <c r="A896" t="s">
        <v>75</v>
      </c>
      <c r="B896" t="s">
        <v>77</v>
      </c>
      <c r="C896" s="4" t="str">
        <f>IFERROR(VLOOKUP(B896,infoTable10[],4,FALSE),"")</f>
        <v/>
      </c>
      <c r="D896" s="4" t="str">
        <f>IFERROR(VLOOKUP(B896,infoTable__2[],4,FALSE),"")</f>
        <v/>
      </c>
      <c r="E896" s="4" t="str">
        <f>IFERROR(VLOOKUP(B896,infoTable__3[],4,FALSE),"")</f>
        <v/>
      </c>
      <c r="F896" s="4" t="str">
        <f>IFERROR(VLOOKUP(B896,infoTable__4[],4,FALSE),"")</f>
        <v/>
      </c>
      <c r="G896" s="4">
        <f>IFERROR(VLOOKUP(B896,infoTable[],4,FALSE),"")</f>
        <v>861770</v>
      </c>
      <c r="H896" s="4">
        <f>IFERROR(VLOOKUP(B896,infoTable__6[],4,FALSE),"")</f>
        <v>1035799</v>
      </c>
      <c r="I896" s="4">
        <f>IFERROR(VLOOKUP(B896,infoTable__28[],4,FALSE),"")</f>
        <v>436035</v>
      </c>
      <c r="J896" s="4" t="str">
        <f>IFERROR(VLOOKUP(B896,infoTable__10[],4,FALSE),"")</f>
        <v/>
      </c>
      <c r="K896" s="4">
        <f>IFERROR(VLOOKUP(B896,infoTable__11[],4,FALSE),"")</f>
        <v>2487576</v>
      </c>
      <c r="L896" s="4">
        <f>IFERROR(VLOOKUP(B896,infoTable__12[],4,FALSE),"")</f>
        <v>568502</v>
      </c>
      <c r="M896" s="4" t="str">
        <f>IFERROR(VLOOKUP(B896,infoTable__13[],4,FALSE),"")</f>
        <v/>
      </c>
      <c r="N896" s="4" t="str">
        <f>IFERROR(VLOOKUP(B896,infoTable__14[],4,FALSE),"")</f>
        <v/>
      </c>
      <c r="O896" s="4" t="str">
        <f>IFERROR(VLOOKUP(B896,infoTable__15[],4,FALSE),"")</f>
        <v/>
      </c>
      <c r="P896" s="4" t="str">
        <f>IFERROR(VLOOKUP(B896,infoTable__16[],4,FALSE),"")</f>
        <v/>
      </c>
    </row>
    <row r="897" spans="1:16" x14ac:dyDescent="0.55000000000000004">
      <c r="A897" t="s">
        <v>2803</v>
      </c>
      <c r="B897" t="s">
        <v>2802</v>
      </c>
      <c r="C897" s="4" t="str">
        <f>IFERROR(VLOOKUP(B897,infoTable10[],4,FALSE),"")</f>
        <v/>
      </c>
      <c r="D897" s="4" t="str">
        <f>IFERROR(VLOOKUP(B897,infoTable__2[],4,FALSE),"")</f>
        <v/>
      </c>
      <c r="E897" s="4" t="str">
        <f>IFERROR(VLOOKUP(B897,infoTable__3[],4,FALSE),"")</f>
        <v/>
      </c>
      <c r="F897" s="4" t="str">
        <f>IFERROR(VLOOKUP(B897,infoTable__4[],4,FALSE),"")</f>
        <v/>
      </c>
      <c r="G897" s="4" t="str">
        <f>IFERROR(VLOOKUP(B897,infoTable[],4,FALSE),"")</f>
        <v/>
      </c>
      <c r="H897" s="4" t="str">
        <f>IFERROR(VLOOKUP(B897,infoTable__6[],4,FALSE),"")</f>
        <v/>
      </c>
      <c r="I897" s="4" t="str">
        <f>IFERROR(VLOOKUP(B897,infoTable__28[],4,FALSE),"")</f>
        <v/>
      </c>
      <c r="J897" s="4" t="str">
        <f>IFERROR(VLOOKUP(B897,infoTable__10[],4,FALSE),"")</f>
        <v/>
      </c>
      <c r="K897" s="4" t="str">
        <f>IFERROR(VLOOKUP(B897,infoTable__11[],4,FALSE),"")</f>
        <v/>
      </c>
      <c r="L897" s="4" t="str">
        <f>IFERROR(VLOOKUP(B897,infoTable__12[],4,FALSE),"")</f>
        <v/>
      </c>
      <c r="M897" s="4" t="str">
        <f>IFERROR(VLOOKUP(B897,infoTable__13[],4,FALSE),"")</f>
        <v/>
      </c>
      <c r="N897" s="4">
        <f>IFERROR(VLOOKUP(B897,infoTable__14[],4,FALSE),"")</f>
        <v>239434</v>
      </c>
      <c r="O897" s="4">
        <f>IFERROR(VLOOKUP(B897,infoTable__15[],4,FALSE),"")</f>
        <v>492125</v>
      </c>
      <c r="P897" s="4" t="str">
        <f>IFERROR(VLOOKUP(B897,infoTable__16[],4,FALSE),"")</f>
        <v/>
      </c>
    </row>
    <row r="898" spans="1:16" x14ac:dyDescent="0.55000000000000004">
      <c r="A898" t="s">
        <v>2987</v>
      </c>
      <c r="B898" t="s">
        <v>2989</v>
      </c>
      <c r="C898" s="4" t="str">
        <f>IFERROR(VLOOKUP(B898,infoTable10[],4,FALSE),"")</f>
        <v/>
      </c>
      <c r="D898" s="4" t="str">
        <f>IFERROR(VLOOKUP(B898,infoTable__2[],4,FALSE),"")</f>
        <v/>
      </c>
      <c r="E898" s="4" t="str">
        <f>IFERROR(VLOOKUP(B898,infoTable__3[],4,FALSE),"")</f>
        <v/>
      </c>
      <c r="F898" s="4" t="str">
        <f>IFERROR(VLOOKUP(B898,infoTable__4[],4,FALSE),"")</f>
        <v/>
      </c>
      <c r="G898" s="4" t="str">
        <f>IFERROR(VLOOKUP(B898,infoTable[],4,FALSE),"")</f>
        <v/>
      </c>
      <c r="H898" s="4" t="str">
        <f>IFERROR(VLOOKUP(B898,infoTable__6[],4,FALSE),"")</f>
        <v/>
      </c>
      <c r="I898" s="4" t="str">
        <f>IFERROR(VLOOKUP(B898,infoTable__28[],4,FALSE),"")</f>
        <v/>
      </c>
      <c r="J898" s="4" t="str">
        <f>IFERROR(VLOOKUP(B898,infoTable__10[],4,FALSE),"")</f>
        <v/>
      </c>
      <c r="K898" s="4" t="str">
        <f>IFERROR(VLOOKUP(B898,infoTable__11[],4,FALSE),"")</f>
        <v/>
      </c>
      <c r="L898" s="4" t="str">
        <f>IFERROR(VLOOKUP(B898,infoTable__12[],4,FALSE),"")</f>
        <v/>
      </c>
      <c r="M898" s="4" t="str">
        <f>IFERROR(VLOOKUP(B898,infoTable__13[],4,FALSE),"")</f>
        <v/>
      </c>
      <c r="N898" s="4" t="str">
        <f>IFERROR(VLOOKUP(B898,infoTable__14[],4,FALSE),"")</f>
        <v/>
      </c>
      <c r="O898" s="4">
        <f>IFERROR(VLOOKUP(B898,infoTable__15[],4,FALSE),"")</f>
        <v>4957252</v>
      </c>
      <c r="P898" s="4">
        <f>IFERROR(VLOOKUP(B898,infoTable__16[],4,FALSE),"")</f>
        <v>1959872</v>
      </c>
    </row>
    <row r="899" spans="1:16" x14ac:dyDescent="0.55000000000000004">
      <c r="A899" t="s">
        <v>2109</v>
      </c>
      <c r="B899" t="s">
        <v>2110</v>
      </c>
      <c r="C899" s="4" t="str">
        <f>IFERROR(VLOOKUP(B899,infoTable10[],4,FALSE),"")</f>
        <v/>
      </c>
      <c r="D899" s="4" t="str">
        <f>IFERROR(VLOOKUP(B899,infoTable__2[],4,FALSE),"")</f>
        <v/>
      </c>
      <c r="E899" s="4" t="str">
        <f>IFERROR(VLOOKUP(B899,infoTable__3[],4,FALSE),"")</f>
        <v/>
      </c>
      <c r="F899" s="4" t="str">
        <f>IFERROR(VLOOKUP(B899,infoTable__4[],4,FALSE),"")</f>
        <v/>
      </c>
      <c r="G899" s="4" t="str">
        <f>IFERROR(VLOOKUP(B899,infoTable[],4,FALSE),"")</f>
        <v/>
      </c>
      <c r="H899" s="4" t="str">
        <f>IFERROR(VLOOKUP(B899,infoTable__6[],4,FALSE),"")</f>
        <v/>
      </c>
      <c r="I899" s="4" t="str">
        <f>IFERROR(VLOOKUP(B899,infoTable__28[],4,FALSE),"")</f>
        <v/>
      </c>
      <c r="J899" s="4" t="str">
        <f>IFERROR(VLOOKUP(B899,infoTable__10[],4,FALSE),"")</f>
        <v/>
      </c>
      <c r="K899" s="4" t="str">
        <f>IFERROR(VLOOKUP(B899,infoTable__11[],4,FALSE),"")</f>
        <v/>
      </c>
      <c r="L899" s="4">
        <f>IFERROR(VLOOKUP(B899,infoTable__12[],4,FALSE),"")</f>
        <v>112671</v>
      </c>
      <c r="M899" s="4">
        <f>IFERROR(VLOOKUP(B899,infoTable__13[],4,FALSE),"")</f>
        <v>789829</v>
      </c>
      <c r="N899" s="4" t="str">
        <f>IFERROR(VLOOKUP(B899,infoTable__14[],4,FALSE),"")</f>
        <v/>
      </c>
      <c r="O899" s="4" t="str">
        <f>IFERROR(VLOOKUP(B899,infoTable__15[],4,FALSE),"")</f>
        <v/>
      </c>
      <c r="P899" s="4" t="str">
        <f>IFERROR(VLOOKUP(B899,infoTable__16[],4,FALSE),"")</f>
        <v/>
      </c>
    </row>
    <row r="900" spans="1:16" x14ac:dyDescent="0.55000000000000004">
      <c r="A900" t="s">
        <v>2990</v>
      </c>
      <c r="B900" t="s">
        <v>2991</v>
      </c>
      <c r="C900" s="4" t="str">
        <f>IFERROR(VLOOKUP(B900,infoTable10[],4,FALSE),"")</f>
        <v/>
      </c>
      <c r="D900" s="4" t="str">
        <f>IFERROR(VLOOKUP(B900,infoTable__2[],4,FALSE),"")</f>
        <v/>
      </c>
      <c r="E900" s="4" t="str">
        <f>IFERROR(VLOOKUP(B900,infoTable__3[],4,FALSE),"")</f>
        <v/>
      </c>
      <c r="F900" s="4" t="str">
        <f>IFERROR(VLOOKUP(B900,infoTable__4[],4,FALSE),"")</f>
        <v/>
      </c>
      <c r="G900" s="4" t="str">
        <f>IFERROR(VLOOKUP(B900,infoTable[],4,FALSE),"")</f>
        <v/>
      </c>
      <c r="H900" s="4" t="str">
        <f>IFERROR(VLOOKUP(B900,infoTable__6[],4,FALSE),"")</f>
        <v/>
      </c>
      <c r="I900" s="4" t="str">
        <f>IFERROR(VLOOKUP(B900,infoTable__28[],4,FALSE),"")</f>
        <v/>
      </c>
      <c r="J900" s="4" t="str">
        <f>IFERROR(VLOOKUP(B900,infoTable__10[],4,FALSE),"")</f>
        <v/>
      </c>
      <c r="K900" s="4" t="str">
        <f>IFERROR(VLOOKUP(B900,infoTable__11[],4,FALSE),"")</f>
        <v/>
      </c>
      <c r="L900" s="4" t="str">
        <f>IFERROR(VLOOKUP(B900,infoTable__12[],4,FALSE),"")</f>
        <v/>
      </c>
      <c r="M900" s="4" t="str">
        <f>IFERROR(VLOOKUP(B900,infoTable__13[],4,FALSE),"")</f>
        <v/>
      </c>
      <c r="N900" s="4" t="str">
        <f>IFERROR(VLOOKUP(B900,infoTable__14[],4,FALSE),"")</f>
        <v/>
      </c>
      <c r="O900" s="4">
        <f>IFERROR(VLOOKUP(B900,infoTable__15[],4,FALSE),"")</f>
        <v>1044664</v>
      </c>
      <c r="P900" s="4" t="str">
        <f>IFERROR(VLOOKUP(B900,infoTable__16[],4,FALSE),"")</f>
        <v/>
      </c>
    </row>
    <row r="901" spans="1:16" x14ac:dyDescent="0.55000000000000004">
      <c r="A901" t="s">
        <v>1841</v>
      </c>
      <c r="B901" t="s">
        <v>1842</v>
      </c>
      <c r="C901" s="4" t="str">
        <f>IFERROR(VLOOKUP(B901,infoTable10[],4,FALSE),"")</f>
        <v/>
      </c>
      <c r="D901" s="4" t="str">
        <f>IFERROR(VLOOKUP(B901,infoTable__2[],4,FALSE),"")</f>
        <v/>
      </c>
      <c r="E901" s="4" t="str">
        <f>IFERROR(VLOOKUP(B901,infoTable__3[],4,FALSE),"")</f>
        <v/>
      </c>
      <c r="F901" s="4" t="str">
        <f>IFERROR(VLOOKUP(B901,infoTable__4[],4,FALSE),"")</f>
        <v/>
      </c>
      <c r="G901" s="4" t="str">
        <f>IFERROR(VLOOKUP(B901,infoTable[],4,FALSE),"")</f>
        <v/>
      </c>
      <c r="H901" s="4" t="str">
        <f>IFERROR(VLOOKUP(B901,infoTable__6[],4,FALSE),"")</f>
        <v/>
      </c>
      <c r="I901" s="4" t="str">
        <f>IFERROR(VLOOKUP(B901,infoTable__28[],4,FALSE),"")</f>
        <v/>
      </c>
      <c r="J901" s="4" t="str">
        <f>IFERROR(VLOOKUP(B901,infoTable__10[],4,FALSE),"")</f>
        <v/>
      </c>
      <c r="K901" s="4">
        <f>IFERROR(VLOOKUP(B901,infoTable__11[],4,FALSE),"")</f>
        <v>489012</v>
      </c>
      <c r="L901" s="4">
        <f>IFERROR(VLOOKUP(B901,infoTable__12[],4,FALSE),"")</f>
        <v>400208</v>
      </c>
      <c r="M901" s="4">
        <f>IFERROR(VLOOKUP(B901,infoTable__13[],4,FALSE),"")</f>
        <v>5732147</v>
      </c>
      <c r="N901" s="4">
        <f>IFERROR(VLOOKUP(B901,infoTable__14[],4,FALSE),"")</f>
        <v>533603</v>
      </c>
      <c r="O901" s="4" t="str">
        <f>IFERROR(VLOOKUP(B901,infoTable__15[],4,FALSE),"")</f>
        <v/>
      </c>
      <c r="P901" s="4" t="str">
        <f>IFERROR(VLOOKUP(B901,infoTable__16[],4,FALSE),"")</f>
        <v/>
      </c>
    </row>
    <row r="902" spans="1:16" x14ac:dyDescent="0.55000000000000004">
      <c r="A902" t="s">
        <v>3262</v>
      </c>
      <c r="B902" t="s">
        <v>3263</v>
      </c>
      <c r="C902" s="4" t="str">
        <f>IFERROR(VLOOKUP(B902,infoTable10[],4,FALSE),"")</f>
        <v/>
      </c>
      <c r="D902" s="4" t="str">
        <f>IFERROR(VLOOKUP(B902,infoTable__2[],4,FALSE),"")</f>
        <v/>
      </c>
      <c r="E902" s="4" t="str">
        <f>IFERROR(VLOOKUP(B902,infoTable__3[],4,FALSE),"")</f>
        <v/>
      </c>
      <c r="F902" s="4" t="str">
        <f>IFERROR(VLOOKUP(B902,infoTable__4[],4,FALSE),"")</f>
        <v/>
      </c>
      <c r="G902" s="4" t="str">
        <f>IFERROR(VLOOKUP(B902,infoTable[],4,FALSE),"")</f>
        <v/>
      </c>
      <c r="H902" s="4" t="str">
        <f>IFERROR(VLOOKUP(B902,infoTable__6[],4,FALSE),"")</f>
        <v/>
      </c>
      <c r="I902" s="4" t="str">
        <f>IFERROR(VLOOKUP(B902,infoTable__28[],4,FALSE),"")</f>
        <v/>
      </c>
      <c r="J902" s="4" t="str">
        <f>IFERROR(VLOOKUP(B902,infoTable__10[],4,FALSE),"")</f>
        <v/>
      </c>
      <c r="K902" s="4" t="str">
        <f>IFERROR(VLOOKUP(B902,infoTable__11[],4,FALSE),"")</f>
        <v/>
      </c>
      <c r="L902" s="4" t="str">
        <f>IFERROR(VLOOKUP(B902,infoTable__12[],4,FALSE),"")</f>
        <v/>
      </c>
      <c r="M902" s="4" t="str">
        <f>IFERROR(VLOOKUP(B902,infoTable__13[],4,FALSE),"")</f>
        <v/>
      </c>
      <c r="N902" s="4" t="str">
        <f>IFERROR(VLOOKUP(B902,infoTable__14[],4,FALSE),"")</f>
        <v/>
      </c>
      <c r="O902" s="4" t="str">
        <f>IFERROR(VLOOKUP(B902,infoTable__15[],4,FALSE),"")</f>
        <v/>
      </c>
      <c r="P902" s="4">
        <f>IFERROR(VLOOKUP(B902,infoTable__16[],4,FALSE),"")</f>
        <v>279887</v>
      </c>
    </row>
    <row r="903" spans="1:16" x14ac:dyDescent="0.55000000000000004">
      <c r="A903" t="s">
        <v>3264</v>
      </c>
      <c r="B903" t="s">
        <v>3265</v>
      </c>
      <c r="C903" s="4" t="str">
        <f>IFERROR(VLOOKUP(B903,infoTable10[],4,FALSE),"")</f>
        <v/>
      </c>
      <c r="D903" s="4" t="str">
        <f>IFERROR(VLOOKUP(B903,infoTable__2[],4,FALSE),"")</f>
        <v/>
      </c>
      <c r="E903" s="4" t="str">
        <f>IFERROR(VLOOKUP(B903,infoTable__3[],4,FALSE),"")</f>
        <v/>
      </c>
      <c r="F903" s="4" t="str">
        <f>IFERROR(VLOOKUP(B903,infoTable__4[],4,FALSE),"")</f>
        <v/>
      </c>
      <c r="G903" s="4" t="str">
        <f>IFERROR(VLOOKUP(B903,infoTable[],4,FALSE),"")</f>
        <v/>
      </c>
      <c r="H903" s="4" t="str">
        <f>IFERROR(VLOOKUP(B903,infoTable__6[],4,FALSE),"")</f>
        <v/>
      </c>
      <c r="I903" s="4" t="str">
        <f>IFERROR(VLOOKUP(B903,infoTable__28[],4,FALSE),"")</f>
        <v/>
      </c>
      <c r="J903" s="4" t="str">
        <f>IFERROR(VLOOKUP(B903,infoTable__10[],4,FALSE),"")</f>
        <v/>
      </c>
      <c r="K903" s="4" t="str">
        <f>IFERROR(VLOOKUP(B903,infoTable__11[],4,FALSE),"")</f>
        <v/>
      </c>
      <c r="L903" s="4" t="str">
        <f>IFERROR(VLOOKUP(B903,infoTable__12[],4,FALSE),"")</f>
        <v/>
      </c>
      <c r="M903" s="4" t="str">
        <f>IFERROR(VLOOKUP(B903,infoTable__13[],4,FALSE),"")</f>
        <v/>
      </c>
      <c r="N903" s="4" t="str">
        <f>IFERROR(VLOOKUP(B903,infoTable__14[],4,FALSE),"")</f>
        <v/>
      </c>
      <c r="O903" s="4" t="str">
        <f>IFERROR(VLOOKUP(B903,infoTable__15[],4,FALSE),"")</f>
        <v/>
      </c>
      <c r="P903" s="4">
        <f>IFERROR(VLOOKUP(B903,infoTable__16[],4,FALSE),"")</f>
        <v>2438569</v>
      </c>
    </row>
    <row r="904" spans="1:16" x14ac:dyDescent="0.55000000000000004">
      <c r="A904" t="s">
        <v>960</v>
      </c>
      <c r="B904" t="s">
        <v>961</v>
      </c>
      <c r="C904" s="4" t="str">
        <f>IFERROR(VLOOKUP(B904,infoTable10[],4,FALSE),"")</f>
        <v/>
      </c>
      <c r="D904" s="4" t="str">
        <f>IFERROR(VLOOKUP(B904,infoTable__2[],4,FALSE),"")</f>
        <v/>
      </c>
      <c r="E904" s="4" t="str">
        <f>IFERROR(VLOOKUP(B904,infoTable__3[],4,FALSE),"")</f>
        <v/>
      </c>
      <c r="F904" s="4" t="str">
        <f>IFERROR(VLOOKUP(B904,infoTable__4[],4,FALSE),"")</f>
        <v/>
      </c>
      <c r="G904" s="4" t="str">
        <f>IFERROR(VLOOKUP(B904,infoTable[],4,FALSE),"")</f>
        <v/>
      </c>
      <c r="H904" s="4">
        <f>IFERROR(VLOOKUP(B904,infoTable__6[],4,FALSE),"")</f>
        <v>32339</v>
      </c>
      <c r="I904" s="4">
        <f>IFERROR(VLOOKUP(B904,infoTable__28[],4,FALSE),"")</f>
        <v>235635</v>
      </c>
      <c r="J904" s="4">
        <f>IFERROR(VLOOKUP(B904,infoTable__10[],4,FALSE),"")</f>
        <v>891303</v>
      </c>
      <c r="K904" s="4">
        <f>IFERROR(VLOOKUP(B904,infoTable__11[],4,FALSE),"")</f>
        <v>1194155</v>
      </c>
      <c r="L904" s="4" t="str">
        <f>IFERROR(VLOOKUP(B904,infoTable__12[],4,FALSE),"")</f>
        <v/>
      </c>
      <c r="M904" s="4" t="str">
        <f>IFERROR(VLOOKUP(B904,infoTable__13[],4,FALSE),"")</f>
        <v/>
      </c>
      <c r="N904" s="4" t="str">
        <f>IFERROR(VLOOKUP(B904,infoTable__14[],4,FALSE),"")</f>
        <v/>
      </c>
      <c r="O904" s="4" t="str">
        <f>IFERROR(VLOOKUP(B904,infoTable__15[],4,FALSE),"")</f>
        <v/>
      </c>
      <c r="P904" s="4" t="str">
        <f>IFERROR(VLOOKUP(B904,infoTable__16[],4,FALSE),"")</f>
        <v/>
      </c>
    </row>
    <row r="905" spans="1:16" x14ac:dyDescent="0.55000000000000004">
      <c r="A905" t="s">
        <v>1189</v>
      </c>
      <c r="B905" t="s">
        <v>1190</v>
      </c>
      <c r="C905" s="4" t="str">
        <f>IFERROR(VLOOKUP(B905,infoTable10[],4,FALSE),"")</f>
        <v/>
      </c>
      <c r="D905" s="4" t="str">
        <f>IFERROR(VLOOKUP(B905,infoTable__2[],4,FALSE),"")</f>
        <v/>
      </c>
      <c r="E905" s="4" t="str">
        <f>IFERROR(VLOOKUP(B905,infoTable__3[],4,FALSE),"")</f>
        <v/>
      </c>
      <c r="F905" s="4" t="str">
        <f>IFERROR(VLOOKUP(B905,infoTable__4[],4,FALSE),"")</f>
        <v/>
      </c>
      <c r="G905" s="4" t="str">
        <f>IFERROR(VLOOKUP(B905,infoTable[],4,FALSE),"")</f>
        <v/>
      </c>
      <c r="H905" s="4" t="str">
        <f>IFERROR(VLOOKUP(B905,infoTable__6[],4,FALSE),"")</f>
        <v/>
      </c>
      <c r="I905" s="4">
        <f>IFERROR(VLOOKUP(B905,infoTable__28[],4,FALSE),"")</f>
        <v>715074</v>
      </c>
      <c r="J905" s="4">
        <f>IFERROR(VLOOKUP(B905,infoTable__10[],4,FALSE),"")</f>
        <v>1259177</v>
      </c>
      <c r="K905" s="4">
        <f>IFERROR(VLOOKUP(B905,infoTable__11[],4,FALSE),"")</f>
        <v>951441</v>
      </c>
      <c r="L905" s="4">
        <f>IFERROR(VLOOKUP(B905,infoTable__12[],4,FALSE),"")</f>
        <v>723346</v>
      </c>
      <c r="M905" s="4" t="str">
        <f>IFERROR(VLOOKUP(B905,infoTable__13[],4,FALSE),"")</f>
        <v/>
      </c>
      <c r="N905" s="4" t="str">
        <f>IFERROR(VLOOKUP(B905,infoTable__14[],4,FALSE),"")</f>
        <v/>
      </c>
      <c r="O905" s="4" t="str">
        <f>IFERROR(VLOOKUP(B905,infoTable__15[],4,FALSE),"")</f>
        <v/>
      </c>
      <c r="P905" s="4">
        <f>IFERROR(VLOOKUP(B905,infoTable__16[],4,FALSE),"")</f>
        <v>613460</v>
      </c>
    </row>
    <row r="906" spans="1:16" x14ac:dyDescent="0.55000000000000004">
      <c r="A906" t="s">
        <v>2426</v>
      </c>
      <c r="B906" t="s">
        <v>2427</v>
      </c>
      <c r="C906" s="4" t="str">
        <f>IFERROR(VLOOKUP(B906,infoTable10[],4,FALSE),"")</f>
        <v/>
      </c>
      <c r="D906" s="4" t="str">
        <f>IFERROR(VLOOKUP(B906,infoTable__2[],4,FALSE),"")</f>
        <v/>
      </c>
      <c r="E906" s="4" t="str">
        <f>IFERROR(VLOOKUP(B906,infoTable__3[],4,FALSE),"")</f>
        <v/>
      </c>
      <c r="F906" s="4" t="str">
        <f>IFERROR(VLOOKUP(B906,infoTable__4[],4,FALSE),"")</f>
        <v/>
      </c>
      <c r="G906" s="4" t="str">
        <f>IFERROR(VLOOKUP(B906,infoTable[],4,FALSE),"")</f>
        <v/>
      </c>
      <c r="H906" s="4" t="str">
        <f>IFERROR(VLOOKUP(B906,infoTable__6[],4,FALSE),"")</f>
        <v/>
      </c>
      <c r="I906" s="4" t="str">
        <f>IFERROR(VLOOKUP(B906,infoTable__28[],4,FALSE),"")</f>
        <v/>
      </c>
      <c r="J906" s="4" t="str">
        <f>IFERROR(VLOOKUP(B906,infoTable__10[],4,FALSE),"")</f>
        <v/>
      </c>
      <c r="K906" s="4" t="str">
        <f>IFERROR(VLOOKUP(B906,infoTable__11[],4,FALSE),"")</f>
        <v/>
      </c>
      <c r="L906" s="4" t="str">
        <f>IFERROR(VLOOKUP(B906,infoTable__12[],4,FALSE),"")</f>
        <v/>
      </c>
      <c r="M906" s="4">
        <f>IFERROR(VLOOKUP(B906,infoTable__13[],4,FALSE),"")</f>
        <v>429752</v>
      </c>
      <c r="N906" s="4">
        <f>IFERROR(VLOOKUP(B906,infoTable__14[],4,FALSE),"")</f>
        <v>486945</v>
      </c>
      <c r="O906" s="4">
        <f>IFERROR(VLOOKUP(B906,infoTable__15[],4,FALSE),"")</f>
        <v>254438</v>
      </c>
      <c r="P906" s="4">
        <f>IFERROR(VLOOKUP(B906,infoTable__16[],4,FALSE),"")</f>
        <v>296234</v>
      </c>
    </row>
    <row r="907" spans="1:16" x14ac:dyDescent="0.55000000000000004">
      <c r="A907" t="s">
        <v>3266</v>
      </c>
      <c r="B907" t="s">
        <v>3267</v>
      </c>
      <c r="C907" s="4" t="str">
        <f>IFERROR(VLOOKUP(B907,infoTable10[],4,FALSE),"")</f>
        <v/>
      </c>
      <c r="D907" s="4" t="str">
        <f>IFERROR(VLOOKUP(B907,infoTable__2[],4,FALSE),"")</f>
        <v/>
      </c>
      <c r="E907" s="4" t="str">
        <f>IFERROR(VLOOKUP(B907,infoTable__3[],4,FALSE),"")</f>
        <v/>
      </c>
      <c r="F907" s="4" t="str">
        <f>IFERROR(VLOOKUP(B907,infoTable__4[],4,FALSE),"")</f>
        <v/>
      </c>
      <c r="G907" s="4" t="str">
        <f>IFERROR(VLOOKUP(B907,infoTable[],4,FALSE),"")</f>
        <v/>
      </c>
      <c r="H907" s="4" t="str">
        <f>IFERROR(VLOOKUP(B907,infoTable__6[],4,FALSE),"")</f>
        <v/>
      </c>
      <c r="I907" s="4" t="str">
        <f>IFERROR(VLOOKUP(B907,infoTable__28[],4,FALSE),"")</f>
        <v/>
      </c>
      <c r="J907" s="4" t="str">
        <f>IFERROR(VLOOKUP(B907,infoTable__10[],4,FALSE),"")</f>
        <v/>
      </c>
      <c r="K907" s="4" t="str">
        <f>IFERROR(VLOOKUP(B907,infoTable__11[],4,FALSE),"")</f>
        <v/>
      </c>
      <c r="L907" s="4" t="str">
        <f>IFERROR(VLOOKUP(B907,infoTable__12[],4,FALSE),"")</f>
        <v/>
      </c>
      <c r="M907" s="4" t="str">
        <f>IFERROR(VLOOKUP(B907,infoTable__13[],4,FALSE),"")</f>
        <v/>
      </c>
      <c r="N907" s="4" t="str">
        <f>IFERROR(VLOOKUP(B907,infoTable__14[],4,FALSE),"")</f>
        <v/>
      </c>
      <c r="O907" s="4" t="str">
        <f>IFERROR(VLOOKUP(B907,infoTable__15[],4,FALSE),"")</f>
        <v/>
      </c>
      <c r="P907" s="4">
        <f>IFERROR(VLOOKUP(B907,infoTable__16[],4,FALSE),"")</f>
        <v>3552557</v>
      </c>
    </row>
    <row r="908" spans="1:16" x14ac:dyDescent="0.55000000000000004">
      <c r="A908" t="s">
        <v>1843</v>
      </c>
      <c r="B908" t="s">
        <v>1844</v>
      </c>
      <c r="C908" s="4" t="str">
        <f>IFERROR(VLOOKUP(B908,infoTable10[],4,FALSE),"")</f>
        <v/>
      </c>
      <c r="D908" s="4" t="str">
        <f>IFERROR(VLOOKUP(B908,infoTable__2[],4,FALSE),"")</f>
        <v/>
      </c>
      <c r="E908" s="4" t="str">
        <f>IFERROR(VLOOKUP(B908,infoTable__3[],4,FALSE),"")</f>
        <v/>
      </c>
      <c r="F908" s="4" t="str">
        <f>IFERROR(VLOOKUP(B908,infoTable__4[],4,FALSE),"")</f>
        <v/>
      </c>
      <c r="G908" s="4" t="str">
        <f>IFERROR(VLOOKUP(B908,infoTable[],4,FALSE),"")</f>
        <v/>
      </c>
      <c r="H908" s="4" t="str">
        <f>IFERROR(VLOOKUP(B908,infoTable__6[],4,FALSE),"")</f>
        <v/>
      </c>
      <c r="I908" s="4" t="str">
        <f>IFERROR(VLOOKUP(B908,infoTable__28[],4,FALSE),"")</f>
        <v/>
      </c>
      <c r="J908" s="4" t="str">
        <f>IFERROR(VLOOKUP(B908,infoTable__10[],4,FALSE),"")</f>
        <v/>
      </c>
      <c r="K908" s="4">
        <f>IFERROR(VLOOKUP(B908,infoTable__11[],4,FALSE),"")</f>
        <v>98186</v>
      </c>
      <c r="L908" s="4" t="str">
        <f>IFERROR(VLOOKUP(B908,infoTable__12[],4,FALSE),"")</f>
        <v/>
      </c>
      <c r="M908" s="4" t="str">
        <f>IFERROR(VLOOKUP(B908,infoTable__13[],4,FALSE),"")</f>
        <v/>
      </c>
      <c r="N908" s="4" t="str">
        <f>IFERROR(VLOOKUP(B908,infoTable__14[],4,FALSE),"")</f>
        <v/>
      </c>
      <c r="O908" s="4" t="str">
        <f>IFERROR(VLOOKUP(B908,infoTable__15[],4,FALSE),"")</f>
        <v/>
      </c>
      <c r="P908" s="4" t="str">
        <f>IFERROR(VLOOKUP(B908,infoTable__16[],4,FALSE),"")</f>
        <v/>
      </c>
    </row>
    <row r="909" spans="1:16" x14ac:dyDescent="0.55000000000000004">
      <c r="A909" t="s">
        <v>962</v>
      </c>
      <c r="B909" t="s">
        <v>963</v>
      </c>
      <c r="C909" s="4" t="str">
        <f>IFERROR(VLOOKUP(B909,infoTable10[],4,FALSE),"")</f>
        <v/>
      </c>
      <c r="D909" s="4" t="str">
        <f>IFERROR(VLOOKUP(B909,infoTable__2[],4,FALSE),"")</f>
        <v/>
      </c>
      <c r="E909" s="4" t="str">
        <f>IFERROR(VLOOKUP(B909,infoTable__3[],4,FALSE),"")</f>
        <v/>
      </c>
      <c r="F909" s="4" t="str">
        <f>IFERROR(VLOOKUP(B909,infoTable__4[],4,FALSE),"")</f>
        <v/>
      </c>
      <c r="G909" s="4" t="str">
        <f>IFERROR(VLOOKUP(B909,infoTable[],4,FALSE),"")</f>
        <v/>
      </c>
      <c r="H909" s="4">
        <f>IFERROR(VLOOKUP(B909,infoTable__6[],4,FALSE),"")</f>
        <v>1261583</v>
      </c>
      <c r="I909" s="4">
        <f>IFERROR(VLOOKUP(B909,infoTable__28[],4,FALSE),"")</f>
        <v>957755</v>
      </c>
      <c r="J909" s="4">
        <f>IFERROR(VLOOKUP(B909,infoTable__10[],4,FALSE),"")</f>
        <v>682150</v>
      </c>
      <c r="K909" s="4">
        <f>IFERROR(VLOOKUP(B909,infoTable__11[],4,FALSE),"")</f>
        <v>452128</v>
      </c>
      <c r="L909" s="4" t="str">
        <f>IFERROR(VLOOKUP(B909,infoTable__12[],4,FALSE),"")</f>
        <v/>
      </c>
      <c r="M909" s="4" t="str">
        <f>IFERROR(VLOOKUP(B909,infoTable__13[],4,FALSE),"")</f>
        <v/>
      </c>
      <c r="N909" s="4" t="str">
        <f>IFERROR(VLOOKUP(B909,infoTable__14[],4,FALSE),"")</f>
        <v/>
      </c>
      <c r="O909" s="4" t="str">
        <f>IFERROR(VLOOKUP(B909,infoTable__15[],4,FALSE),"")</f>
        <v/>
      </c>
      <c r="P909" s="4">
        <f>IFERROR(VLOOKUP(B909,infoTable__16[],4,FALSE),"")</f>
        <v>353550</v>
      </c>
    </row>
    <row r="910" spans="1:16" x14ac:dyDescent="0.55000000000000004">
      <c r="A910" t="s">
        <v>2994</v>
      </c>
      <c r="B910" t="s">
        <v>2995</v>
      </c>
      <c r="C910" s="4" t="str">
        <f>IFERROR(VLOOKUP(B910,infoTable10[],4,FALSE),"")</f>
        <v/>
      </c>
      <c r="D910" s="4" t="str">
        <f>IFERROR(VLOOKUP(B910,infoTable__2[],4,FALSE),"")</f>
        <v/>
      </c>
      <c r="E910" s="4" t="str">
        <f>IFERROR(VLOOKUP(B910,infoTable__3[],4,FALSE),"")</f>
        <v/>
      </c>
      <c r="F910" s="4" t="str">
        <f>IFERROR(VLOOKUP(B910,infoTable__4[],4,FALSE),"")</f>
        <v/>
      </c>
      <c r="G910" s="4" t="str">
        <f>IFERROR(VLOOKUP(B910,infoTable[],4,FALSE),"")</f>
        <v/>
      </c>
      <c r="H910" s="4" t="str">
        <f>IFERROR(VLOOKUP(B910,infoTable__6[],4,FALSE),"")</f>
        <v/>
      </c>
      <c r="I910" s="4" t="str">
        <f>IFERROR(VLOOKUP(B910,infoTable__28[],4,FALSE),"")</f>
        <v/>
      </c>
      <c r="J910" s="4" t="str">
        <f>IFERROR(VLOOKUP(B910,infoTable__10[],4,FALSE),"")</f>
        <v/>
      </c>
      <c r="K910" s="4" t="str">
        <f>IFERROR(VLOOKUP(B910,infoTable__11[],4,FALSE),"")</f>
        <v/>
      </c>
      <c r="L910" s="4" t="str">
        <f>IFERROR(VLOOKUP(B910,infoTable__12[],4,FALSE),"")</f>
        <v/>
      </c>
      <c r="M910" s="4" t="str">
        <f>IFERROR(VLOOKUP(B910,infoTable__13[],4,FALSE),"")</f>
        <v/>
      </c>
      <c r="N910" s="4" t="str">
        <f>IFERROR(VLOOKUP(B910,infoTable__14[],4,FALSE),"")</f>
        <v/>
      </c>
      <c r="O910" s="4">
        <f>IFERROR(VLOOKUP(B910,infoTable__15[],4,FALSE),"")</f>
        <v>310897</v>
      </c>
      <c r="P910" s="4">
        <f>IFERROR(VLOOKUP(B910,infoTable__16[],4,FALSE),"")</f>
        <v>724387</v>
      </c>
    </row>
    <row r="911" spans="1:16" x14ac:dyDescent="0.55000000000000004">
      <c r="A911" t="s">
        <v>2115</v>
      </c>
      <c r="B911" t="s">
        <v>2116</v>
      </c>
      <c r="C911" s="4" t="str">
        <f>IFERROR(VLOOKUP(B911,infoTable10[],4,FALSE),"")</f>
        <v/>
      </c>
      <c r="D911" s="4" t="str">
        <f>IFERROR(VLOOKUP(B911,infoTable__2[],4,FALSE),"")</f>
        <v/>
      </c>
      <c r="E911" s="4" t="str">
        <f>IFERROR(VLOOKUP(B911,infoTable__3[],4,FALSE),"")</f>
        <v/>
      </c>
      <c r="F911" s="4" t="str">
        <f>IFERROR(VLOOKUP(B911,infoTable__4[],4,FALSE),"")</f>
        <v/>
      </c>
      <c r="G911" s="4" t="str">
        <f>IFERROR(VLOOKUP(B911,infoTable[],4,FALSE),"")</f>
        <v/>
      </c>
      <c r="H911" s="4" t="str">
        <f>IFERROR(VLOOKUP(B911,infoTable__6[],4,FALSE),"")</f>
        <v/>
      </c>
      <c r="I911" s="4" t="str">
        <f>IFERROR(VLOOKUP(B911,infoTable__28[],4,FALSE),"")</f>
        <v/>
      </c>
      <c r="J911" s="4" t="str">
        <f>IFERROR(VLOOKUP(B911,infoTable__10[],4,FALSE),"")</f>
        <v/>
      </c>
      <c r="K911" s="4" t="str">
        <f>IFERROR(VLOOKUP(B911,infoTable__11[],4,FALSE),"")</f>
        <v/>
      </c>
      <c r="L911" s="4">
        <f>IFERROR(VLOOKUP(B911,infoTable__12[],4,FALSE),"")</f>
        <v>2677563</v>
      </c>
      <c r="M911" s="4">
        <f>IFERROR(VLOOKUP(B911,infoTable__13[],4,FALSE),"")</f>
        <v>3657900</v>
      </c>
      <c r="N911" s="4">
        <f>IFERROR(VLOOKUP(B911,infoTable__14[],4,FALSE),"")</f>
        <v>3226022</v>
      </c>
      <c r="O911" s="4">
        <f>IFERROR(VLOOKUP(B911,infoTable__15[],4,FALSE),"")</f>
        <v>1276371</v>
      </c>
      <c r="P911" s="4">
        <f>IFERROR(VLOOKUP(B911,infoTable__16[],4,FALSE),"")</f>
        <v>1600359</v>
      </c>
    </row>
    <row r="912" spans="1:16" x14ac:dyDescent="0.55000000000000004">
      <c r="A912" t="s">
        <v>2117</v>
      </c>
      <c r="B912" t="s">
        <v>2118</v>
      </c>
      <c r="C912" s="4" t="str">
        <f>IFERROR(VLOOKUP(B912,infoTable10[],4,FALSE),"")</f>
        <v/>
      </c>
      <c r="D912" s="4" t="str">
        <f>IFERROR(VLOOKUP(B912,infoTable__2[],4,FALSE),"")</f>
        <v/>
      </c>
      <c r="E912" s="4" t="str">
        <f>IFERROR(VLOOKUP(B912,infoTable__3[],4,FALSE),"")</f>
        <v/>
      </c>
      <c r="F912" s="4" t="str">
        <f>IFERROR(VLOOKUP(B912,infoTable__4[],4,FALSE),"")</f>
        <v/>
      </c>
      <c r="G912" s="4" t="str">
        <f>IFERROR(VLOOKUP(B912,infoTable[],4,FALSE),"")</f>
        <v/>
      </c>
      <c r="H912" s="4" t="str">
        <f>IFERROR(VLOOKUP(B912,infoTable__6[],4,FALSE),"")</f>
        <v/>
      </c>
      <c r="I912" s="4" t="str">
        <f>IFERROR(VLOOKUP(B912,infoTable__28[],4,FALSE),"")</f>
        <v/>
      </c>
      <c r="J912" s="4" t="str">
        <f>IFERROR(VLOOKUP(B912,infoTable__10[],4,FALSE),"")</f>
        <v/>
      </c>
      <c r="K912" s="4" t="str">
        <f>IFERROR(VLOOKUP(B912,infoTable__11[],4,FALSE),"")</f>
        <v/>
      </c>
      <c r="L912" s="4">
        <f>IFERROR(VLOOKUP(B912,infoTable__12[],4,FALSE),"")</f>
        <v>248773</v>
      </c>
      <c r="M912" s="4" t="str">
        <f>IFERROR(VLOOKUP(B912,infoTable__13[],4,FALSE),"")</f>
        <v/>
      </c>
      <c r="N912" s="4" t="str">
        <f>IFERROR(VLOOKUP(B912,infoTable__14[],4,FALSE),"")</f>
        <v/>
      </c>
      <c r="O912" s="4">
        <f>IFERROR(VLOOKUP(B912,infoTable__15[],4,FALSE),"")</f>
        <v>556954</v>
      </c>
      <c r="P912" s="4">
        <f>IFERROR(VLOOKUP(B912,infoTable__16[],4,FALSE),"")</f>
        <v>277881</v>
      </c>
    </row>
    <row r="913" spans="1:16" x14ac:dyDescent="0.55000000000000004">
      <c r="A913" t="s">
        <v>2121</v>
      </c>
      <c r="B913" t="s">
        <v>2122</v>
      </c>
      <c r="C913" s="4" t="str">
        <f>IFERROR(VLOOKUP(B913,infoTable10[],4,FALSE),"")</f>
        <v/>
      </c>
      <c r="D913" s="4" t="str">
        <f>IFERROR(VLOOKUP(B913,infoTable__2[],4,FALSE),"")</f>
        <v/>
      </c>
      <c r="E913" s="4" t="str">
        <f>IFERROR(VLOOKUP(B913,infoTable__3[],4,FALSE),"")</f>
        <v/>
      </c>
      <c r="F913" s="4" t="str">
        <f>IFERROR(VLOOKUP(B913,infoTable__4[],4,FALSE),"")</f>
        <v/>
      </c>
      <c r="G913" s="4" t="str">
        <f>IFERROR(VLOOKUP(B913,infoTable[],4,FALSE),"")</f>
        <v/>
      </c>
      <c r="H913" s="4" t="str">
        <f>IFERROR(VLOOKUP(B913,infoTable__6[],4,FALSE),"")</f>
        <v/>
      </c>
      <c r="I913" s="4" t="str">
        <f>IFERROR(VLOOKUP(B913,infoTable__28[],4,FALSE),"")</f>
        <v/>
      </c>
      <c r="J913" s="4" t="str">
        <f>IFERROR(VLOOKUP(B913,infoTable__10[],4,FALSE),"")</f>
        <v/>
      </c>
      <c r="K913" s="4" t="str">
        <f>IFERROR(VLOOKUP(B913,infoTable__11[],4,FALSE),"")</f>
        <v/>
      </c>
      <c r="L913" s="4">
        <f>IFERROR(VLOOKUP(B913,infoTable__12[],4,FALSE),"")</f>
        <v>1382222</v>
      </c>
      <c r="M913" s="4" t="str">
        <f>IFERROR(VLOOKUP(B913,infoTable__13[],4,FALSE),"")</f>
        <v/>
      </c>
      <c r="N913" s="4" t="str">
        <f>IFERROR(VLOOKUP(B913,infoTable__14[],4,FALSE),"")</f>
        <v/>
      </c>
      <c r="O913" s="4" t="str">
        <f>IFERROR(VLOOKUP(B913,infoTable__15[],4,FALSE),"")</f>
        <v/>
      </c>
      <c r="P913" s="4" t="str">
        <f>IFERROR(VLOOKUP(B913,infoTable__16[],4,FALSE),"")</f>
        <v/>
      </c>
    </row>
    <row r="914" spans="1:16" x14ac:dyDescent="0.55000000000000004">
      <c r="A914" t="s">
        <v>534</v>
      </c>
      <c r="B914" t="s">
        <v>535</v>
      </c>
      <c r="C914" s="4">
        <f>IFERROR(VLOOKUP(B914,infoTable10[],4,FALSE),"")</f>
        <v>1014572</v>
      </c>
      <c r="D914" s="4">
        <f>IFERROR(VLOOKUP(B914,infoTable__2[],4,FALSE),"")</f>
        <v>1275742</v>
      </c>
      <c r="E914" s="4" t="str">
        <f>IFERROR(VLOOKUP(B914,infoTable__3[],4,FALSE),"")</f>
        <v/>
      </c>
      <c r="F914" s="4" t="str">
        <f>IFERROR(VLOOKUP(B914,infoTable__4[],4,FALSE),"")</f>
        <v/>
      </c>
      <c r="G914" s="4" t="str">
        <f>IFERROR(VLOOKUP(B914,infoTable[],4,FALSE),"")</f>
        <v/>
      </c>
      <c r="H914" s="4" t="str">
        <f>IFERROR(VLOOKUP(B914,infoTable__6[],4,FALSE),"")</f>
        <v/>
      </c>
      <c r="I914" s="4" t="str">
        <f>IFERROR(VLOOKUP(B914,infoTable__28[],4,FALSE),"")</f>
        <v/>
      </c>
      <c r="J914" s="4" t="str">
        <f>IFERROR(VLOOKUP(B914,infoTable__10[],4,FALSE),"")</f>
        <v/>
      </c>
      <c r="K914" s="4" t="str">
        <f>IFERROR(VLOOKUP(B914,infoTable__11[],4,FALSE),"")</f>
        <v/>
      </c>
      <c r="L914" s="4" t="str">
        <f>IFERROR(VLOOKUP(B914,infoTable__12[],4,FALSE),"")</f>
        <v/>
      </c>
      <c r="M914" s="4" t="str">
        <f>IFERROR(VLOOKUP(B914,infoTable__13[],4,FALSE),"")</f>
        <v/>
      </c>
      <c r="N914" s="4" t="str">
        <f>IFERROR(VLOOKUP(B914,infoTable__14[],4,FALSE),"")</f>
        <v/>
      </c>
      <c r="O914" s="4" t="str">
        <f>IFERROR(VLOOKUP(B914,infoTable__15[],4,FALSE),"")</f>
        <v/>
      </c>
      <c r="P914" s="4" t="str">
        <f>IFERROR(VLOOKUP(B914,infoTable__16[],4,FALSE),"")</f>
        <v/>
      </c>
    </row>
    <row r="915" spans="1:16" x14ac:dyDescent="0.55000000000000004">
      <c r="A915" t="s">
        <v>1620</v>
      </c>
      <c r="B915" t="s">
        <v>1621</v>
      </c>
      <c r="C915" s="4" t="str">
        <f>IFERROR(VLOOKUP(B915,infoTable10[],4,FALSE),"")</f>
        <v/>
      </c>
      <c r="D915" s="4" t="str">
        <f>IFERROR(VLOOKUP(B915,infoTable__2[],4,FALSE),"")</f>
        <v/>
      </c>
      <c r="E915" s="4" t="str">
        <f>IFERROR(VLOOKUP(B915,infoTable__3[],4,FALSE),"")</f>
        <v/>
      </c>
      <c r="F915" s="4" t="str">
        <f>IFERROR(VLOOKUP(B915,infoTable__4[],4,FALSE),"")</f>
        <v/>
      </c>
      <c r="G915" s="4" t="str">
        <f>IFERROR(VLOOKUP(B915,infoTable[],4,FALSE),"")</f>
        <v/>
      </c>
      <c r="H915" s="4" t="str">
        <f>IFERROR(VLOOKUP(B915,infoTable__6[],4,FALSE),"")</f>
        <v/>
      </c>
      <c r="I915" s="4" t="str">
        <f>IFERROR(VLOOKUP(B915,infoTable__28[],4,FALSE),"")</f>
        <v/>
      </c>
      <c r="J915" s="4">
        <f>IFERROR(VLOOKUP(B915,infoTable__10[],4,FALSE),"")</f>
        <v>664615</v>
      </c>
      <c r="K915" s="4">
        <f>IFERROR(VLOOKUP(B915,infoTable__11[],4,FALSE),"")</f>
        <v>1739138</v>
      </c>
      <c r="L915" s="4">
        <f>IFERROR(VLOOKUP(B915,infoTable__12[],4,FALSE),"")</f>
        <v>3772974</v>
      </c>
      <c r="M915" s="4">
        <f>IFERROR(VLOOKUP(B915,infoTable__13[],4,FALSE),"")</f>
        <v>4623304</v>
      </c>
      <c r="N915" s="4">
        <f>IFERROR(VLOOKUP(B915,infoTable__14[],4,FALSE),"")</f>
        <v>594833</v>
      </c>
      <c r="O915" s="4">
        <f>IFERROR(VLOOKUP(B915,infoTable__15[],4,FALSE),"")</f>
        <v>1391533</v>
      </c>
      <c r="P915" s="4">
        <f>IFERROR(VLOOKUP(B915,infoTable__16[],4,FALSE),"")</f>
        <v>3075186</v>
      </c>
    </row>
    <row r="916" spans="1:16" x14ac:dyDescent="0.55000000000000004">
      <c r="A916" t="s">
        <v>82</v>
      </c>
      <c r="B916" t="s">
        <v>83</v>
      </c>
      <c r="C916" s="4" t="str">
        <f>IFERROR(VLOOKUP(B916,infoTable10[],4,FALSE),"")</f>
        <v/>
      </c>
      <c r="D916" s="4" t="str">
        <f>IFERROR(VLOOKUP(B916,infoTable__2[],4,FALSE),"")</f>
        <v/>
      </c>
      <c r="E916" s="4" t="str">
        <f>IFERROR(VLOOKUP(B916,infoTable__3[],4,FALSE),"")</f>
        <v/>
      </c>
      <c r="F916" s="4">
        <f>IFERROR(VLOOKUP(B916,infoTable__4[],4,FALSE),"")</f>
        <v>697118</v>
      </c>
      <c r="G916" s="4">
        <f>IFERROR(VLOOKUP(B916,infoTable[],4,FALSE),"")</f>
        <v>5340628</v>
      </c>
      <c r="H916" s="4">
        <f>IFERROR(VLOOKUP(B916,infoTable__6[],4,FALSE),"")</f>
        <v>1000560</v>
      </c>
      <c r="I916" s="4">
        <f>IFERROR(VLOOKUP(B916,infoTable__28[],4,FALSE),"")</f>
        <v>872346</v>
      </c>
      <c r="J916" s="4">
        <f>IFERROR(VLOOKUP(B916,infoTable__10[],4,FALSE),"")</f>
        <v>246398</v>
      </c>
      <c r="K916" s="4" t="str">
        <f>IFERROR(VLOOKUP(B916,infoTable__11[],4,FALSE),"")</f>
        <v/>
      </c>
      <c r="L916" s="4" t="str">
        <f>IFERROR(VLOOKUP(B916,infoTable__12[],4,FALSE),"")</f>
        <v/>
      </c>
      <c r="M916" s="4" t="str">
        <f>IFERROR(VLOOKUP(B916,infoTable__13[],4,FALSE),"")</f>
        <v/>
      </c>
      <c r="N916" s="4" t="str">
        <f>IFERROR(VLOOKUP(B916,infoTable__14[],4,FALSE),"")</f>
        <v/>
      </c>
      <c r="O916" s="4">
        <f>IFERROR(VLOOKUP(B916,infoTable__15[],4,FALSE),"")</f>
        <v>272091</v>
      </c>
      <c r="P916" s="4" t="str">
        <f>IFERROR(VLOOKUP(B916,infoTable__16[],4,FALSE),"")</f>
        <v/>
      </c>
    </row>
    <row r="917" spans="1:16" x14ac:dyDescent="0.55000000000000004">
      <c r="A917" t="s">
        <v>84</v>
      </c>
      <c r="B917" t="s">
        <v>85</v>
      </c>
      <c r="C917" s="4" t="str">
        <f>IFERROR(VLOOKUP(B917,infoTable10[],4,FALSE),"")</f>
        <v/>
      </c>
      <c r="D917" s="4" t="str">
        <f>IFERROR(VLOOKUP(B917,infoTable__2[],4,FALSE),"")</f>
        <v/>
      </c>
      <c r="E917" s="4" t="str">
        <f>IFERROR(VLOOKUP(B917,infoTable__3[],4,FALSE),"")</f>
        <v/>
      </c>
      <c r="F917" s="4" t="str">
        <f>IFERROR(VLOOKUP(B917,infoTable__4[],4,FALSE),"")</f>
        <v/>
      </c>
      <c r="G917" s="4">
        <f>IFERROR(VLOOKUP(B917,infoTable[],4,FALSE),"")</f>
        <v>318102</v>
      </c>
      <c r="H917" s="4" t="str">
        <f>IFERROR(VLOOKUP(B917,infoTable__6[],4,FALSE),"")</f>
        <v/>
      </c>
      <c r="I917" s="4" t="str">
        <f>IFERROR(VLOOKUP(B917,infoTable__28[],4,FALSE),"")</f>
        <v/>
      </c>
      <c r="J917" s="4" t="str">
        <f>IFERROR(VLOOKUP(B917,infoTable__10[],4,FALSE),"")</f>
        <v/>
      </c>
      <c r="K917" s="4" t="str">
        <f>IFERROR(VLOOKUP(B917,infoTable__11[],4,FALSE),"")</f>
        <v/>
      </c>
      <c r="L917" s="4" t="str">
        <f>IFERROR(VLOOKUP(B917,infoTable__12[],4,FALSE),"")</f>
        <v/>
      </c>
      <c r="M917" s="4" t="str">
        <f>IFERROR(VLOOKUP(B917,infoTable__13[],4,FALSE),"")</f>
        <v/>
      </c>
      <c r="N917" s="4">
        <f>IFERROR(VLOOKUP(B917,infoTable__14[],4,FALSE),"")</f>
        <v>773482</v>
      </c>
      <c r="O917" s="4" t="str">
        <f>IFERROR(VLOOKUP(B917,infoTable__15[],4,FALSE),"")</f>
        <v/>
      </c>
      <c r="P917" s="4" t="str">
        <f>IFERROR(VLOOKUP(B917,infoTable__16[],4,FALSE),"")</f>
        <v/>
      </c>
    </row>
    <row r="918" spans="1:16" x14ac:dyDescent="0.55000000000000004">
      <c r="A918" t="s">
        <v>3270</v>
      </c>
      <c r="B918" t="s">
        <v>3271</v>
      </c>
      <c r="C918" s="4" t="str">
        <f>IFERROR(VLOOKUP(B918,infoTable10[],4,FALSE),"")</f>
        <v/>
      </c>
      <c r="D918" s="4" t="str">
        <f>IFERROR(VLOOKUP(B918,infoTable__2[],4,FALSE),"")</f>
        <v/>
      </c>
      <c r="E918" s="4" t="str">
        <f>IFERROR(VLOOKUP(B918,infoTable__3[],4,FALSE),"")</f>
        <v/>
      </c>
      <c r="F918" s="4" t="str">
        <f>IFERROR(VLOOKUP(B918,infoTable__4[],4,FALSE),"")</f>
        <v/>
      </c>
      <c r="G918" s="4" t="str">
        <f>IFERROR(VLOOKUP(B918,infoTable[],4,FALSE),"")</f>
        <v/>
      </c>
      <c r="H918" s="4" t="str">
        <f>IFERROR(VLOOKUP(B918,infoTable__6[],4,FALSE),"")</f>
        <v/>
      </c>
      <c r="I918" s="4" t="str">
        <f>IFERROR(VLOOKUP(B918,infoTable__28[],4,FALSE),"")</f>
        <v/>
      </c>
      <c r="J918" s="4" t="str">
        <f>IFERROR(VLOOKUP(B918,infoTable__10[],4,FALSE),"")</f>
        <v/>
      </c>
      <c r="K918" s="4" t="str">
        <f>IFERROR(VLOOKUP(B918,infoTable__11[],4,FALSE),"")</f>
        <v/>
      </c>
      <c r="L918" s="4" t="str">
        <f>IFERROR(VLOOKUP(B918,infoTable__12[],4,FALSE),"")</f>
        <v/>
      </c>
      <c r="M918" s="4" t="str">
        <f>IFERROR(VLOOKUP(B918,infoTable__13[],4,FALSE),"")</f>
        <v/>
      </c>
      <c r="N918" s="4" t="str">
        <f>IFERROR(VLOOKUP(B918,infoTable__14[],4,FALSE),"")</f>
        <v/>
      </c>
      <c r="O918" s="4" t="str">
        <f>IFERROR(VLOOKUP(B918,infoTable__15[],4,FALSE),"")</f>
        <v/>
      </c>
      <c r="P918" s="4">
        <f>IFERROR(VLOOKUP(B918,infoTable__16[],4,FALSE),"")</f>
        <v>212692</v>
      </c>
    </row>
    <row r="919" spans="1:16" x14ac:dyDescent="0.55000000000000004">
      <c r="A919" t="s">
        <v>1845</v>
      </c>
      <c r="B919" t="s">
        <v>1846</v>
      </c>
      <c r="C919" s="4" t="str">
        <f>IFERROR(VLOOKUP(B919,infoTable10[],4,FALSE),"")</f>
        <v/>
      </c>
      <c r="D919" s="4" t="str">
        <f>IFERROR(VLOOKUP(B919,infoTable__2[],4,FALSE),"")</f>
        <v/>
      </c>
      <c r="E919" s="4" t="str">
        <f>IFERROR(VLOOKUP(B919,infoTable__3[],4,FALSE),"")</f>
        <v/>
      </c>
      <c r="F919" s="4" t="str">
        <f>IFERROR(VLOOKUP(B919,infoTable__4[],4,FALSE),"")</f>
        <v/>
      </c>
      <c r="G919" s="4" t="str">
        <f>IFERROR(VLOOKUP(B919,infoTable[],4,FALSE),"")</f>
        <v/>
      </c>
      <c r="H919" s="4" t="str">
        <f>IFERROR(VLOOKUP(B919,infoTable__6[],4,FALSE),"")</f>
        <v/>
      </c>
      <c r="I919" s="4" t="str">
        <f>IFERROR(VLOOKUP(B919,infoTable__28[],4,FALSE),"")</f>
        <v/>
      </c>
      <c r="J919" s="4" t="str">
        <f>IFERROR(VLOOKUP(B919,infoTable__10[],4,FALSE),"")</f>
        <v/>
      </c>
      <c r="K919" s="4">
        <f>IFERROR(VLOOKUP(B919,infoTable__11[],4,FALSE),"")</f>
        <v>252299</v>
      </c>
      <c r="L919" s="4">
        <f>IFERROR(VLOOKUP(B919,infoTable__12[],4,FALSE),"")</f>
        <v>241610</v>
      </c>
      <c r="M919" s="4" t="str">
        <f>IFERROR(VLOOKUP(B919,infoTable__13[],4,FALSE),"")</f>
        <v/>
      </c>
      <c r="N919" s="4">
        <f>IFERROR(VLOOKUP(B919,infoTable__14[],4,FALSE),"")</f>
        <v>226755</v>
      </c>
      <c r="O919" s="4">
        <f>IFERROR(VLOOKUP(B919,infoTable__15[],4,FALSE),"")</f>
        <v>364426</v>
      </c>
      <c r="P919" s="4" t="str">
        <f>IFERROR(VLOOKUP(B919,infoTable__16[],4,FALSE),"")</f>
        <v/>
      </c>
    </row>
    <row r="920" spans="1:16" x14ac:dyDescent="0.55000000000000004">
      <c r="A920" t="s">
        <v>2430</v>
      </c>
      <c r="B920" t="s">
        <v>2431</v>
      </c>
      <c r="C920" s="4" t="str">
        <f>IFERROR(VLOOKUP(B920,infoTable10[],4,FALSE),"")</f>
        <v/>
      </c>
      <c r="D920" s="4" t="str">
        <f>IFERROR(VLOOKUP(B920,infoTable__2[],4,FALSE),"")</f>
        <v/>
      </c>
      <c r="E920" s="4" t="str">
        <f>IFERROR(VLOOKUP(B920,infoTable__3[],4,FALSE),"")</f>
        <v/>
      </c>
      <c r="F920" s="4" t="str">
        <f>IFERROR(VLOOKUP(B920,infoTable__4[],4,FALSE),"")</f>
        <v/>
      </c>
      <c r="G920" s="4" t="str">
        <f>IFERROR(VLOOKUP(B920,infoTable[],4,FALSE),"")</f>
        <v/>
      </c>
      <c r="H920" s="4" t="str">
        <f>IFERROR(VLOOKUP(B920,infoTable__6[],4,FALSE),"")</f>
        <v/>
      </c>
      <c r="I920" s="4" t="str">
        <f>IFERROR(VLOOKUP(B920,infoTable__28[],4,FALSE),"")</f>
        <v/>
      </c>
      <c r="J920" s="4" t="str">
        <f>IFERROR(VLOOKUP(B920,infoTable__10[],4,FALSE),"")</f>
        <v/>
      </c>
      <c r="K920" s="4" t="str">
        <f>IFERROR(VLOOKUP(B920,infoTable__11[],4,FALSE),"")</f>
        <v/>
      </c>
      <c r="L920" s="4" t="str">
        <f>IFERROR(VLOOKUP(B920,infoTable__12[],4,FALSE),"")</f>
        <v/>
      </c>
      <c r="M920" s="4">
        <f>IFERROR(VLOOKUP(B920,infoTable__13[],4,FALSE),"")</f>
        <v>7247155</v>
      </c>
      <c r="N920" s="4">
        <f>IFERROR(VLOOKUP(B920,infoTable__14[],4,FALSE),"")</f>
        <v>5302617</v>
      </c>
      <c r="O920" s="4" t="str">
        <f>IFERROR(VLOOKUP(B920,infoTable__15[],4,FALSE),"")</f>
        <v/>
      </c>
      <c r="P920" s="4" t="str">
        <f>IFERROR(VLOOKUP(B920,infoTable__16[],4,FALSE),"")</f>
        <v/>
      </c>
    </row>
    <row r="921" spans="1:16" x14ac:dyDescent="0.55000000000000004">
      <c r="A921" t="s">
        <v>1622</v>
      </c>
      <c r="B921" t="s">
        <v>1623</v>
      </c>
      <c r="C921" s="4" t="str">
        <f>IFERROR(VLOOKUP(B921,infoTable10[],4,FALSE),"")</f>
        <v/>
      </c>
      <c r="D921" s="4" t="str">
        <f>IFERROR(VLOOKUP(B921,infoTable__2[],4,FALSE),"")</f>
        <v/>
      </c>
      <c r="E921" s="4" t="str">
        <f>IFERROR(VLOOKUP(B921,infoTable__3[],4,FALSE),"")</f>
        <v/>
      </c>
      <c r="F921" s="4" t="str">
        <f>IFERROR(VLOOKUP(B921,infoTable__4[],4,FALSE),"")</f>
        <v/>
      </c>
      <c r="G921" s="4" t="str">
        <f>IFERROR(VLOOKUP(B921,infoTable[],4,FALSE),"")</f>
        <v/>
      </c>
      <c r="H921" s="4" t="str">
        <f>IFERROR(VLOOKUP(B921,infoTable__6[],4,FALSE),"")</f>
        <v/>
      </c>
      <c r="I921" s="4" t="str">
        <f>IFERROR(VLOOKUP(B921,infoTable__28[],4,FALSE),"")</f>
        <v/>
      </c>
      <c r="J921" s="4">
        <f>IFERROR(VLOOKUP(B921,infoTable__10[],4,FALSE),"")</f>
        <v>288075</v>
      </c>
      <c r="K921" s="4">
        <f>IFERROR(VLOOKUP(B921,infoTable__11[],4,FALSE),"")</f>
        <v>707344</v>
      </c>
      <c r="L921" s="4">
        <f>IFERROR(VLOOKUP(B921,infoTable__12[],4,FALSE),"")</f>
        <v>302713</v>
      </c>
      <c r="M921" s="4" t="str">
        <f>IFERROR(VLOOKUP(B921,infoTable__13[],4,FALSE),"")</f>
        <v/>
      </c>
      <c r="N921" s="4" t="str">
        <f>IFERROR(VLOOKUP(B921,infoTable__14[],4,FALSE),"")</f>
        <v/>
      </c>
      <c r="O921" s="4" t="str">
        <f>IFERROR(VLOOKUP(B921,infoTable__15[],4,FALSE),"")</f>
        <v/>
      </c>
      <c r="P921" s="4" t="str">
        <f>IFERROR(VLOOKUP(B921,infoTable__16[],4,FALSE),"")</f>
        <v/>
      </c>
    </row>
    <row r="922" spans="1:16" x14ac:dyDescent="0.55000000000000004">
      <c r="A922" t="s">
        <v>1180</v>
      </c>
      <c r="B922" t="s">
        <v>1181</v>
      </c>
      <c r="C922" s="4" t="str">
        <f>IFERROR(VLOOKUP(B922,infoTable10[],4,FALSE),"")</f>
        <v/>
      </c>
      <c r="D922" s="4" t="str">
        <f>IFERROR(VLOOKUP(B922,infoTable__2[],4,FALSE),"")</f>
        <v/>
      </c>
      <c r="E922" s="4" t="str">
        <f>IFERROR(VLOOKUP(B922,infoTable__3[],4,FALSE),"")</f>
        <v/>
      </c>
      <c r="F922" s="4" t="str">
        <f>IFERROR(VLOOKUP(B922,infoTable__4[],4,FALSE),"")</f>
        <v/>
      </c>
      <c r="G922" s="4" t="str">
        <f>IFERROR(VLOOKUP(B922,infoTable[],4,FALSE),"")</f>
        <v/>
      </c>
      <c r="H922" s="4" t="str">
        <f>IFERROR(VLOOKUP(B922,infoTable__6[],4,FALSE),"")</f>
        <v/>
      </c>
      <c r="I922" s="4">
        <f>IFERROR(VLOOKUP(B922,infoTable__28[],4,FALSE),"")</f>
        <v>175902</v>
      </c>
      <c r="J922" s="4">
        <f>IFERROR(VLOOKUP(B922,infoTable__10[],4,FALSE),"")</f>
        <v>225274</v>
      </c>
      <c r="K922" s="4">
        <f>IFERROR(VLOOKUP(B922,infoTable__11[],4,FALSE),"")</f>
        <v>66034</v>
      </c>
      <c r="L922" s="4">
        <f>IFERROR(VLOOKUP(B922,infoTable__12[],4,FALSE),"")</f>
        <v>304597</v>
      </c>
      <c r="M922" s="4">
        <f>IFERROR(VLOOKUP(B922,infoTable__13[],4,FALSE),"")</f>
        <v>358484</v>
      </c>
      <c r="N922" s="4">
        <f>IFERROR(VLOOKUP(B922,infoTable__14[],4,FALSE),"")</f>
        <v>741381</v>
      </c>
      <c r="O922" s="4">
        <f>IFERROR(VLOOKUP(B922,infoTable__15[],4,FALSE),"")</f>
        <v>174758</v>
      </c>
      <c r="P922" s="4">
        <f>IFERROR(VLOOKUP(B922,infoTable__16[],4,FALSE),"")</f>
        <v>66274</v>
      </c>
    </row>
    <row r="923" spans="1:16" x14ac:dyDescent="0.55000000000000004">
      <c r="A923" t="s">
        <v>3272</v>
      </c>
      <c r="B923" t="s">
        <v>3273</v>
      </c>
      <c r="C923" s="4" t="str">
        <f>IFERROR(VLOOKUP(B923,infoTable10[],4,FALSE),"")</f>
        <v/>
      </c>
      <c r="D923" s="4" t="str">
        <f>IFERROR(VLOOKUP(B923,infoTable__2[],4,FALSE),"")</f>
        <v/>
      </c>
      <c r="E923" s="4" t="str">
        <f>IFERROR(VLOOKUP(B923,infoTable__3[],4,FALSE),"")</f>
        <v/>
      </c>
      <c r="F923" s="4" t="str">
        <f>IFERROR(VLOOKUP(B923,infoTable__4[],4,FALSE),"")</f>
        <v/>
      </c>
      <c r="G923" s="4" t="str">
        <f>IFERROR(VLOOKUP(B923,infoTable[],4,FALSE),"")</f>
        <v/>
      </c>
      <c r="H923" s="4" t="str">
        <f>IFERROR(VLOOKUP(B923,infoTable__6[],4,FALSE),"")</f>
        <v/>
      </c>
      <c r="I923" s="4" t="str">
        <f>IFERROR(VLOOKUP(B923,infoTable__28[],4,FALSE),"")</f>
        <v/>
      </c>
      <c r="J923" s="4" t="str">
        <f>IFERROR(VLOOKUP(B923,infoTable__10[],4,FALSE),"")</f>
        <v/>
      </c>
      <c r="K923" s="4" t="str">
        <f>IFERROR(VLOOKUP(B923,infoTable__11[],4,FALSE),"")</f>
        <v/>
      </c>
      <c r="L923" s="4" t="str">
        <f>IFERROR(VLOOKUP(B923,infoTable__12[],4,FALSE),"")</f>
        <v/>
      </c>
      <c r="M923" s="4" t="str">
        <f>IFERROR(VLOOKUP(B923,infoTable__13[],4,FALSE),"")</f>
        <v/>
      </c>
      <c r="N923" s="4" t="str">
        <f>IFERROR(VLOOKUP(B923,infoTable__14[],4,FALSE),"")</f>
        <v/>
      </c>
      <c r="O923" s="4" t="str">
        <f>IFERROR(VLOOKUP(B923,infoTable__15[],4,FALSE),"")</f>
        <v/>
      </c>
      <c r="P923" s="4">
        <f>IFERROR(VLOOKUP(B923,infoTable__16[],4,FALSE),"")</f>
        <v>1236185</v>
      </c>
    </row>
    <row r="924" spans="1:16" x14ac:dyDescent="0.55000000000000004">
      <c r="A924" t="s">
        <v>540</v>
      </c>
      <c r="B924" t="s">
        <v>541</v>
      </c>
      <c r="C924" s="4" t="str">
        <f>IFERROR(VLOOKUP(B924,infoTable10[],4,FALSE),"")</f>
        <v/>
      </c>
      <c r="D924" s="4">
        <f>IFERROR(VLOOKUP(B924,infoTable__2[],4,FALSE),"")</f>
        <v>1079531</v>
      </c>
      <c r="E924" s="4">
        <f>IFERROR(VLOOKUP(B924,infoTable__3[],4,FALSE),"")</f>
        <v>1399872</v>
      </c>
      <c r="F924" s="4" t="str">
        <f>IFERROR(VLOOKUP(B924,infoTable__4[],4,FALSE),"")</f>
        <v/>
      </c>
      <c r="G924" s="4" t="str">
        <f>IFERROR(VLOOKUP(B924,infoTable[],4,FALSE),"")</f>
        <v/>
      </c>
      <c r="H924" s="4" t="str">
        <f>IFERROR(VLOOKUP(B924,infoTable__6[],4,FALSE),"")</f>
        <v/>
      </c>
      <c r="I924" s="4" t="str">
        <f>IFERROR(VLOOKUP(B924,infoTable__28[],4,FALSE),"")</f>
        <v/>
      </c>
      <c r="J924" s="4" t="str">
        <f>IFERROR(VLOOKUP(B924,infoTable__10[],4,FALSE),"")</f>
        <v/>
      </c>
      <c r="K924" s="4" t="str">
        <f>IFERROR(VLOOKUP(B924,infoTable__11[],4,FALSE),"")</f>
        <v/>
      </c>
      <c r="L924" s="4" t="str">
        <f>IFERROR(VLOOKUP(B924,infoTable__12[],4,FALSE),"")</f>
        <v/>
      </c>
      <c r="M924" s="4" t="str">
        <f>IFERROR(VLOOKUP(B924,infoTable__13[],4,FALSE),"")</f>
        <v/>
      </c>
      <c r="N924" s="4">
        <f>IFERROR(VLOOKUP(B924,infoTable__14[],4,FALSE),"")</f>
        <v>78025</v>
      </c>
      <c r="O924" s="4" t="str">
        <f>IFERROR(VLOOKUP(B924,infoTable__15[],4,FALSE),"")</f>
        <v/>
      </c>
      <c r="P924" s="4" t="str">
        <f>IFERROR(VLOOKUP(B924,infoTable__16[],4,FALSE),"")</f>
        <v/>
      </c>
    </row>
    <row r="925" spans="1:16" x14ac:dyDescent="0.55000000000000004">
      <c r="A925" t="s">
        <v>2805</v>
      </c>
      <c r="B925" t="s">
        <v>2804</v>
      </c>
      <c r="C925" s="4" t="str">
        <f>IFERROR(VLOOKUP(B925,infoTable10[],4,FALSE),"")</f>
        <v/>
      </c>
      <c r="D925" s="4" t="str">
        <f>IFERROR(VLOOKUP(B925,infoTable__2[],4,FALSE),"")</f>
        <v/>
      </c>
      <c r="E925" s="4" t="str">
        <f>IFERROR(VLOOKUP(B925,infoTable__3[],4,FALSE),"")</f>
        <v/>
      </c>
      <c r="F925" s="4" t="str">
        <f>IFERROR(VLOOKUP(B925,infoTable__4[],4,FALSE),"")</f>
        <v/>
      </c>
      <c r="G925" s="4" t="str">
        <f>IFERROR(VLOOKUP(B925,infoTable[],4,FALSE),"")</f>
        <v/>
      </c>
      <c r="H925" s="4" t="str">
        <f>IFERROR(VLOOKUP(B925,infoTable__6[],4,FALSE),"")</f>
        <v/>
      </c>
      <c r="I925" s="4" t="str">
        <f>IFERROR(VLOOKUP(B925,infoTable__28[],4,FALSE),"")</f>
        <v/>
      </c>
      <c r="J925" s="4" t="str">
        <f>IFERROR(VLOOKUP(B925,infoTable__10[],4,FALSE),"")</f>
        <v/>
      </c>
      <c r="K925" s="4" t="str">
        <f>IFERROR(VLOOKUP(B925,infoTable__11[],4,FALSE),"")</f>
        <v/>
      </c>
      <c r="L925" s="4" t="str">
        <f>IFERROR(VLOOKUP(B925,infoTable__12[],4,FALSE),"")</f>
        <v/>
      </c>
      <c r="M925" s="4" t="str">
        <f>IFERROR(VLOOKUP(B925,infoTable__13[],4,FALSE),"")</f>
        <v/>
      </c>
      <c r="N925" s="4">
        <f>IFERROR(VLOOKUP(B925,infoTable__14[],4,FALSE),"")</f>
        <v>1203986</v>
      </c>
      <c r="O925" s="4">
        <f>IFERROR(VLOOKUP(B925,infoTable__15[],4,FALSE),"")</f>
        <v>593376</v>
      </c>
      <c r="P925" s="4">
        <f>IFERROR(VLOOKUP(B925,infoTable__16[],4,FALSE),"")</f>
        <v>1618753</v>
      </c>
    </row>
    <row r="926" spans="1:16" x14ac:dyDescent="0.55000000000000004">
      <c r="A926" t="s">
        <v>3286</v>
      </c>
      <c r="B926" t="s">
        <v>3287</v>
      </c>
      <c r="C926" s="4" t="str">
        <f>IFERROR(VLOOKUP(B926,infoTable10[],4,FALSE),"")</f>
        <v/>
      </c>
      <c r="D926" s="4" t="str">
        <f>IFERROR(VLOOKUP(B926,infoTable__2[],4,FALSE),"")</f>
        <v/>
      </c>
      <c r="E926" s="4" t="str">
        <f>IFERROR(VLOOKUP(B926,infoTable__3[],4,FALSE),"")</f>
        <v/>
      </c>
      <c r="F926" s="4" t="str">
        <f>IFERROR(VLOOKUP(B926,infoTable__4[],4,FALSE),"")</f>
        <v/>
      </c>
      <c r="G926" s="4" t="str">
        <f>IFERROR(VLOOKUP(B926,infoTable[],4,FALSE),"")</f>
        <v/>
      </c>
      <c r="H926" s="4" t="str">
        <f>IFERROR(VLOOKUP(B926,infoTable__6[],4,FALSE),"")</f>
        <v/>
      </c>
      <c r="I926" s="4" t="str">
        <f>IFERROR(VLOOKUP(B926,infoTable__28[],4,FALSE),"")</f>
        <v/>
      </c>
      <c r="J926" s="4" t="str">
        <f>IFERROR(VLOOKUP(B926,infoTable__10[],4,FALSE),"")</f>
        <v/>
      </c>
      <c r="K926" s="4" t="str">
        <f>IFERROR(VLOOKUP(B926,infoTable__11[],4,FALSE),"")</f>
        <v/>
      </c>
      <c r="L926" s="4" t="str">
        <f>IFERROR(VLOOKUP(B926,infoTable__12[],4,FALSE),"")</f>
        <v/>
      </c>
      <c r="M926" s="4" t="str">
        <f>IFERROR(VLOOKUP(B926,infoTable__13[],4,FALSE),"")</f>
        <v/>
      </c>
      <c r="N926" s="4" t="str">
        <f>IFERROR(VLOOKUP(B926,infoTable__14[],4,FALSE),"")</f>
        <v/>
      </c>
      <c r="O926" s="4" t="str">
        <f>IFERROR(VLOOKUP(B926,infoTable__15[],4,FALSE),"")</f>
        <v/>
      </c>
      <c r="P926" s="4">
        <f>IFERROR(VLOOKUP(B926,infoTable__16[],4,FALSE),"")</f>
        <v>334296</v>
      </c>
    </row>
    <row r="927" spans="1:16" x14ac:dyDescent="0.55000000000000004">
      <c r="A927" t="s">
        <v>1849</v>
      </c>
      <c r="B927" t="s">
        <v>1850</v>
      </c>
      <c r="C927" s="4" t="str">
        <f>IFERROR(VLOOKUP(B927,infoTable10[],4,FALSE),"")</f>
        <v/>
      </c>
      <c r="D927" s="4" t="str">
        <f>IFERROR(VLOOKUP(B927,infoTable__2[],4,FALSE),"")</f>
        <v/>
      </c>
      <c r="E927" s="4" t="str">
        <f>IFERROR(VLOOKUP(B927,infoTable__3[],4,FALSE),"")</f>
        <v/>
      </c>
      <c r="F927" s="4" t="str">
        <f>IFERROR(VLOOKUP(B927,infoTable__4[],4,FALSE),"")</f>
        <v/>
      </c>
      <c r="G927" s="4" t="str">
        <f>IFERROR(VLOOKUP(B927,infoTable[],4,FALSE),"")</f>
        <v/>
      </c>
      <c r="H927" s="4" t="str">
        <f>IFERROR(VLOOKUP(B927,infoTable__6[],4,FALSE),"")</f>
        <v/>
      </c>
      <c r="I927" s="4" t="str">
        <f>IFERROR(VLOOKUP(B927,infoTable__28[],4,FALSE),"")</f>
        <v/>
      </c>
      <c r="J927" s="4" t="str">
        <f>IFERROR(VLOOKUP(B927,infoTable__10[],4,FALSE),"")</f>
        <v/>
      </c>
      <c r="K927" s="4">
        <f>IFERROR(VLOOKUP(B927,infoTable__11[],4,FALSE),"")</f>
        <v>1844824</v>
      </c>
      <c r="L927" s="4">
        <f>IFERROR(VLOOKUP(B927,infoTable__12[],4,FALSE),"")</f>
        <v>400329</v>
      </c>
      <c r="M927" s="4" t="str">
        <f>IFERROR(VLOOKUP(B927,infoTable__13[],4,FALSE),"")</f>
        <v/>
      </c>
      <c r="N927" s="4">
        <f>IFERROR(VLOOKUP(B927,infoTable__14[],4,FALSE),"")</f>
        <v>302154</v>
      </c>
      <c r="O927" s="4">
        <f>IFERROR(VLOOKUP(B927,infoTable__15[],4,FALSE),"")</f>
        <v>785602</v>
      </c>
      <c r="P927" s="4" t="str">
        <f>IFERROR(VLOOKUP(B927,infoTable__16[],4,FALSE),"")</f>
        <v/>
      </c>
    </row>
    <row r="928" spans="1:16" x14ac:dyDescent="0.55000000000000004">
      <c r="A928" t="s">
        <v>1626</v>
      </c>
      <c r="B928" t="s">
        <v>1628</v>
      </c>
      <c r="C928" s="4" t="str">
        <f>IFERROR(VLOOKUP(B928,infoTable10[],4,FALSE),"")</f>
        <v/>
      </c>
      <c r="D928" s="4" t="str">
        <f>IFERROR(VLOOKUP(B928,infoTable__2[],4,FALSE),"")</f>
        <v/>
      </c>
      <c r="E928" s="4" t="str">
        <f>IFERROR(VLOOKUP(B928,infoTable__3[],4,FALSE),"")</f>
        <v/>
      </c>
      <c r="F928" s="4" t="str">
        <f>IFERROR(VLOOKUP(B928,infoTable__4[],4,FALSE),"")</f>
        <v/>
      </c>
      <c r="G928" s="4" t="str">
        <f>IFERROR(VLOOKUP(B928,infoTable[],4,FALSE),"")</f>
        <v/>
      </c>
      <c r="H928" s="4" t="str">
        <f>IFERROR(VLOOKUP(B928,infoTable__6[],4,FALSE),"")</f>
        <v/>
      </c>
      <c r="I928" s="4" t="str">
        <f>IFERROR(VLOOKUP(B928,infoTable__28[],4,FALSE),"")</f>
        <v/>
      </c>
      <c r="J928" s="4">
        <f>IFERROR(VLOOKUP(B928,infoTable__10[],4,FALSE),"")</f>
        <v>1605072</v>
      </c>
      <c r="K928" s="4">
        <f>IFERROR(VLOOKUP(B928,infoTable__11[],4,FALSE),"")</f>
        <v>5865018</v>
      </c>
      <c r="L928" s="4">
        <f>IFERROR(VLOOKUP(B928,infoTable__12[],4,FALSE),"")</f>
        <v>6661257</v>
      </c>
      <c r="M928" s="4">
        <f>IFERROR(VLOOKUP(B928,infoTable__13[],4,FALSE),"")</f>
        <v>7130327</v>
      </c>
      <c r="N928" s="4">
        <f>IFERROR(VLOOKUP(B928,infoTable__14[],4,FALSE),"")</f>
        <v>3522150</v>
      </c>
      <c r="O928" s="4">
        <f>IFERROR(VLOOKUP(B928,infoTable__15[],4,FALSE),"")</f>
        <v>2553849</v>
      </c>
      <c r="P928" s="4">
        <f>IFERROR(VLOOKUP(B928,infoTable__16[],4,FALSE),"")</f>
        <v>569814</v>
      </c>
    </row>
    <row r="929" spans="1:16" x14ac:dyDescent="0.55000000000000004">
      <c r="A929" t="s">
        <v>90</v>
      </c>
      <c r="B929" t="s">
        <v>91</v>
      </c>
      <c r="C929" s="4" t="str">
        <f>IFERROR(VLOOKUP(B929,infoTable10[],4,FALSE),"")</f>
        <v/>
      </c>
      <c r="D929" s="4" t="str">
        <f>IFERROR(VLOOKUP(B929,infoTable__2[],4,FALSE),"")</f>
        <v/>
      </c>
      <c r="E929" s="4" t="str">
        <f>IFERROR(VLOOKUP(B929,infoTable__3[],4,FALSE),"")</f>
        <v/>
      </c>
      <c r="F929" s="4" t="str">
        <f>IFERROR(VLOOKUP(B929,infoTable__4[],4,FALSE),"")</f>
        <v/>
      </c>
      <c r="G929" s="4">
        <f>IFERROR(VLOOKUP(B929,infoTable[],4,FALSE),"")</f>
        <v>1205054</v>
      </c>
      <c r="H929" s="4">
        <f>IFERROR(VLOOKUP(B929,infoTable__6[],4,FALSE),"")</f>
        <v>901802</v>
      </c>
      <c r="I929" s="4" t="str">
        <f>IFERROR(VLOOKUP(B929,infoTable__28[],4,FALSE),"")</f>
        <v/>
      </c>
      <c r="J929" s="4" t="str">
        <f>IFERROR(VLOOKUP(B929,infoTable__10[],4,FALSE),"")</f>
        <v/>
      </c>
      <c r="K929" s="4" t="str">
        <f>IFERROR(VLOOKUP(B929,infoTable__11[],4,FALSE),"")</f>
        <v/>
      </c>
      <c r="L929" s="4" t="str">
        <f>IFERROR(VLOOKUP(B929,infoTable__12[],4,FALSE),"")</f>
        <v/>
      </c>
      <c r="M929" s="4" t="str">
        <f>IFERROR(VLOOKUP(B929,infoTable__13[],4,FALSE),"")</f>
        <v/>
      </c>
      <c r="N929" s="4" t="str">
        <f>IFERROR(VLOOKUP(B929,infoTable__14[],4,FALSE),"")</f>
        <v/>
      </c>
      <c r="O929" s="4" t="str">
        <f>IFERROR(VLOOKUP(B929,infoTable__15[],4,FALSE),"")</f>
        <v/>
      </c>
      <c r="P929" s="4">
        <f>IFERROR(VLOOKUP(B929,infoTable__16[],4,FALSE),"")</f>
        <v>2096634</v>
      </c>
    </row>
    <row r="930" spans="1:16" x14ac:dyDescent="0.55000000000000004">
      <c r="A930" t="s">
        <v>1205</v>
      </c>
      <c r="B930" t="s">
        <v>1206</v>
      </c>
      <c r="C930" s="4">
        <f>IFERROR(VLOOKUP(B930,infoTable10[],4,FALSE),"")</f>
        <v>2610516</v>
      </c>
      <c r="D930" s="4" t="str">
        <f>IFERROR(VLOOKUP(B930,infoTable__2[],4,FALSE),"")</f>
        <v/>
      </c>
      <c r="E930" s="4" t="str">
        <f>IFERROR(VLOOKUP(B930,infoTable__3[],4,FALSE),"")</f>
        <v/>
      </c>
      <c r="F930" s="4" t="str">
        <f>IFERROR(VLOOKUP(B930,infoTable__4[],4,FALSE),"")</f>
        <v/>
      </c>
      <c r="G930" s="4" t="str">
        <f>IFERROR(VLOOKUP(B930,infoTable[],4,FALSE),"")</f>
        <v/>
      </c>
      <c r="H930" s="4" t="str">
        <f>IFERROR(VLOOKUP(B930,infoTable__6[],4,FALSE),"")</f>
        <v/>
      </c>
      <c r="I930" s="4">
        <f>IFERROR(VLOOKUP(B930,infoTable__28[],4,FALSE),"")</f>
        <v>1748560</v>
      </c>
      <c r="J930" s="4">
        <f>IFERROR(VLOOKUP(B930,infoTable__10[],4,FALSE),"")</f>
        <v>2277549</v>
      </c>
      <c r="K930" s="4">
        <f>IFERROR(VLOOKUP(B930,infoTable__11[],4,FALSE),"")</f>
        <v>1201326</v>
      </c>
      <c r="L930" s="4" t="str">
        <f>IFERROR(VLOOKUP(B930,infoTable__12[],4,FALSE),"")</f>
        <v/>
      </c>
      <c r="M930" s="4" t="str">
        <f>IFERROR(VLOOKUP(B930,infoTable__13[],4,FALSE),"")</f>
        <v/>
      </c>
      <c r="N930" s="4">
        <f>IFERROR(VLOOKUP(B930,infoTable__14[],4,FALSE),"")</f>
        <v>3895329</v>
      </c>
      <c r="O930" s="4">
        <f>IFERROR(VLOOKUP(B930,infoTable__15[],4,FALSE),"")</f>
        <v>3557686</v>
      </c>
      <c r="P930" s="4">
        <f>IFERROR(VLOOKUP(B930,infoTable__16[],4,FALSE),"")</f>
        <v>1635353</v>
      </c>
    </row>
    <row r="931" spans="1:16" x14ac:dyDescent="0.55000000000000004">
      <c r="A931" t="s">
        <v>2807</v>
      </c>
      <c r="B931" t="s">
        <v>2806</v>
      </c>
      <c r="C931" s="4" t="str">
        <f>IFERROR(VLOOKUP(B931,infoTable10[],4,FALSE),"")</f>
        <v/>
      </c>
      <c r="D931" s="4" t="str">
        <f>IFERROR(VLOOKUP(B931,infoTable__2[],4,FALSE),"")</f>
        <v/>
      </c>
      <c r="E931" s="4" t="str">
        <f>IFERROR(VLOOKUP(B931,infoTable__3[],4,FALSE),"")</f>
        <v/>
      </c>
      <c r="F931" s="4" t="str">
        <f>IFERROR(VLOOKUP(B931,infoTable__4[],4,FALSE),"")</f>
        <v/>
      </c>
      <c r="G931" s="4" t="str">
        <f>IFERROR(VLOOKUP(B931,infoTable[],4,FALSE),"")</f>
        <v/>
      </c>
      <c r="H931" s="4" t="str">
        <f>IFERROR(VLOOKUP(B931,infoTable__6[],4,FALSE),"")</f>
        <v/>
      </c>
      <c r="I931" s="4" t="str">
        <f>IFERROR(VLOOKUP(B931,infoTable__28[],4,FALSE),"")</f>
        <v/>
      </c>
      <c r="J931" s="4" t="str">
        <f>IFERROR(VLOOKUP(B931,infoTable__10[],4,FALSE),"")</f>
        <v/>
      </c>
      <c r="K931" s="4" t="str">
        <f>IFERROR(VLOOKUP(B931,infoTable__11[],4,FALSE),"")</f>
        <v/>
      </c>
      <c r="L931" s="4" t="str">
        <f>IFERROR(VLOOKUP(B931,infoTable__12[],4,FALSE),"")</f>
        <v/>
      </c>
      <c r="M931" s="4" t="str">
        <f>IFERROR(VLOOKUP(B931,infoTable__13[],4,FALSE),"")</f>
        <v/>
      </c>
      <c r="N931" s="4">
        <f>IFERROR(VLOOKUP(B931,infoTable__14[],4,FALSE),"")</f>
        <v>885627</v>
      </c>
      <c r="O931" s="4">
        <f>IFERROR(VLOOKUP(B931,infoTable__15[],4,FALSE),"")</f>
        <v>700426</v>
      </c>
      <c r="P931" s="4">
        <f>IFERROR(VLOOKUP(B931,infoTable__16[],4,FALSE),"")</f>
        <v>2187484</v>
      </c>
    </row>
    <row r="932" spans="1:16" x14ac:dyDescent="0.55000000000000004">
      <c r="A932" t="s">
        <v>3016</v>
      </c>
      <c r="B932" t="s">
        <v>3017</v>
      </c>
      <c r="C932" s="4" t="str">
        <f>IFERROR(VLOOKUP(B932,infoTable10[],4,FALSE),"")</f>
        <v/>
      </c>
      <c r="D932" s="4" t="str">
        <f>IFERROR(VLOOKUP(B932,infoTable__2[],4,FALSE),"")</f>
        <v/>
      </c>
      <c r="E932" s="4" t="str">
        <f>IFERROR(VLOOKUP(B932,infoTable__3[],4,FALSE),"")</f>
        <v/>
      </c>
      <c r="F932" s="4" t="str">
        <f>IFERROR(VLOOKUP(B932,infoTable__4[],4,FALSE),"")</f>
        <v/>
      </c>
      <c r="G932" s="4" t="str">
        <f>IFERROR(VLOOKUP(B932,infoTable[],4,FALSE),"")</f>
        <v/>
      </c>
      <c r="H932" s="4" t="str">
        <f>IFERROR(VLOOKUP(B932,infoTable__6[],4,FALSE),"")</f>
        <v/>
      </c>
      <c r="I932" s="4" t="str">
        <f>IFERROR(VLOOKUP(B932,infoTable__28[],4,FALSE),"")</f>
        <v/>
      </c>
      <c r="J932" s="4" t="str">
        <f>IFERROR(VLOOKUP(B932,infoTable__10[],4,FALSE),"")</f>
        <v/>
      </c>
      <c r="K932" s="4" t="str">
        <f>IFERROR(VLOOKUP(B932,infoTable__11[],4,FALSE),"")</f>
        <v/>
      </c>
      <c r="L932" s="4" t="str">
        <f>IFERROR(VLOOKUP(B932,infoTable__12[],4,FALSE),"")</f>
        <v/>
      </c>
      <c r="M932" s="4" t="str">
        <f>IFERROR(VLOOKUP(B932,infoTable__13[],4,FALSE),"")</f>
        <v/>
      </c>
      <c r="N932" s="4" t="str">
        <f>IFERROR(VLOOKUP(B932,infoTable__14[],4,FALSE),"")</f>
        <v/>
      </c>
      <c r="O932" s="4">
        <f>IFERROR(VLOOKUP(B932,infoTable__15[],4,FALSE),"")</f>
        <v>822766</v>
      </c>
      <c r="P932" s="4" t="str">
        <f>IFERROR(VLOOKUP(B932,infoTable__16[],4,FALSE),"")</f>
        <v/>
      </c>
    </row>
    <row r="933" spans="1:16" x14ac:dyDescent="0.55000000000000004">
      <c r="A933" t="s">
        <v>149</v>
      </c>
      <c r="B933" t="s">
        <v>150</v>
      </c>
      <c r="C933" s="4" t="str">
        <f>IFERROR(VLOOKUP(B933,infoTable10[],4,FALSE),"")</f>
        <v/>
      </c>
      <c r="D933" s="4" t="str">
        <f>IFERROR(VLOOKUP(B933,infoTable__2[],4,FALSE),"")</f>
        <v/>
      </c>
      <c r="E933" s="4" t="str">
        <f>IFERROR(VLOOKUP(B933,infoTable__3[],4,FALSE),"")</f>
        <v/>
      </c>
      <c r="F933" s="4">
        <f>IFERROR(VLOOKUP(B933,infoTable__4[],4,FALSE),"")</f>
        <v>2835618</v>
      </c>
      <c r="G933" s="4">
        <f>IFERROR(VLOOKUP(B933,infoTable[],4,FALSE),"")</f>
        <v>1704011</v>
      </c>
      <c r="H933" s="4" t="str">
        <f>IFERROR(VLOOKUP(B933,infoTable__6[],4,FALSE),"")</f>
        <v/>
      </c>
      <c r="I933" s="4" t="str">
        <f>IFERROR(VLOOKUP(B933,infoTable__28[],4,FALSE),"")</f>
        <v/>
      </c>
      <c r="J933" s="4" t="str">
        <f>IFERROR(VLOOKUP(B933,infoTable__10[],4,FALSE),"")</f>
        <v/>
      </c>
      <c r="K933" s="4">
        <f>IFERROR(VLOOKUP(B933,infoTable__11[],4,FALSE),"")</f>
        <v>228216</v>
      </c>
      <c r="L933" s="4" t="str">
        <f>IFERROR(VLOOKUP(B933,infoTable__12[],4,FALSE),"")</f>
        <v/>
      </c>
      <c r="M933" s="4" t="str">
        <f>IFERROR(VLOOKUP(B933,infoTable__13[],4,FALSE),"")</f>
        <v/>
      </c>
      <c r="N933" s="4" t="str">
        <f>IFERROR(VLOOKUP(B933,infoTable__14[],4,FALSE),"")</f>
        <v/>
      </c>
      <c r="O933" s="4" t="str">
        <f>IFERROR(VLOOKUP(B933,infoTable__15[],4,FALSE),"")</f>
        <v/>
      </c>
      <c r="P933" s="4">
        <f>IFERROR(VLOOKUP(B933,infoTable__16[],4,FALSE),"")</f>
        <v>2515001</v>
      </c>
    </row>
    <row r="934" spans="1:16" x14ac:dyDescent="0.55000000000000004">
      <c r="A934" t="s">
        <v>2996</v>
      </c>
      <c r="B934" t="s">
        <v>2997</v>
      </c>
      <c r="C934" s="4" t="str">
        <f>IFERROR(VLOOKUP(B934,infoTable10[],4,FALSE),"")</f>
        <v/>
      </c>
      <c r="D934" s="4" t="str">
        <f>IFERROR(VLOOKUP(B934,infoTable__2[],4,FALSE),"")</f>
        <v/>
      </c>
      <c r="E934" s="4" t="str">
        <f>IFERROR(VLOOKUP(B934,infoTable__3[],4,FALSE),"")</f>
        <v/>
      </c>
      <c r="F934" s="4" t="str">
        <f>IFERROR(VLOOKUP(B934,infoTable__4[],4,FALSE),"")</f>
        <v/>
      </c>
      <c r="G934" s="4" t="str">
        <f>IFERROR(VLOOKUP(B934,infoTable[],4,FALSE),"")</f>
        <v/>
      </c>
      <c r="H934" s="4" t="str">
        <f>IFERROR(VLOOKUP(B934,infoTable__6[],4,FALSE),"")</f>
        <v/>
      </c>
      <c r="I934" s="4" t="str">
        <f>IFERROR(VLOOKUP(B934,infoTable__28[],4,FALSE),"")</f>
        <v/>
      </c>
      <c r="J934" s="4" t="str">
        <f>IFERROR(VLOOKUP(B934,infoTable__10[],4,FALSE),"")</f>
        <v/>
      </c>
      <c r="K934" s="4" t="str">
        <f>IFERROR(VLOOKUP(B934,infoTable__11[],4,FALSE),"")</f>
        <v/>
      </c>
      <c r="L934" s="4" t="str">
        <f>IFERROR(VLOOKUP(B934,infoTable__12[],4,FALSE),"")</f>
        <v/>
      </c>
      <c r="M934" s="4" t="str">
        <f>IFERROR(VLOOKUP(B934,infoTable__13[],4,FALSE),"")</f>
        <v/>
      </c>
      <c r="N934" s="4" t="str">
        <f>IFERROR(VLOOKUP(B934,infoTable__14[],4,FALSE),"")</f>
        <v/>
      </c>
      <c r="O934" s="4">
        <f>IFERROR(VLOOKUP(B934,infoTable__15[],4,FALSE),"")</f>
        <v>668072</v>
      </c>
      <c r="P934" s="4">
        <f>IFERROR(VLOOKUP(B934,infoTable__16[],4,FALSE),"")</f>
        <v>981784</v>
      </c>
    </row>
    <row r="935" spans="1:16" x14ac:dyDescent="0.55000000000000004">
      <c r="A935" t="s">
        <v>3275</v>
      </c>
      <c r="B935" t="s">
        <v>3276</v>
      </c>
      <c r="C935" s="4" t="str">
        <f>IFERROR(VLOOKUP(B935,infoTable10[],4,FALSE),"")</f>
        <v/>
      </c>
      <c r="D935" s="4" t="str">
        <f>IFERROR(VLOOKUP(B935,infoTable__2[],4,FALSE),"")</f>
        <v/>
      </c>
      <c r="E935" s="4" t="str">
        <f>IFERROR(VLOOKUP(B935,infoTable__3[],4,FALSE),"")</f>
        <v/>
      </c>
      <c r="F935" s="4" t="str">
        <f>IFERROR(VLOOKUP(B935,infoTable__4[],4,FALSE),"")</f>
        <v/>
      </c>
      <c r="G935" s="4" t="str">
        <f>IFERROR(VLOOKUP(B935,infoTable[],4,FALSE),"")</f>
        <v/>
      </c>
      <c r="H935" s="4" t="str">
        <f>IFERROR(VLOOKUP(B935,infoTable__6[],4,FALSE),"")</f>
        <v/>
      </c>
      <c r="I935" s="4" t="str">
        <f>IFERROR(VLOOKUP(B935,infoTable__28[],4,FALSE),"")</f>
        <v/>
      </c>
      <c r="J935" s="4" t="str">
        <f>IFERROR(VLOOKUP(B935,infoTable__10[],4,FALSE),"")</f>
        <v/>
      </c>
      <c r="K935" s="4" t="str">
        <f>IFERROR(VLOOKUP(B935,infoTable__11[],4,FALSE),"")</f>
        <v/>
      </c>
      <c r="L935" s="4" t="str">
        <f>IFERROR(VLOOKUP(B935,infoTable__12[],4,FALSE),"")</f>
        <v/>
      </c>
      <c r="M935" s="4" t="str">
        <f>IFERROR(VLOOKUP(B935,infoTable__13[],4,FALSE),"")</f>
        <v/>
      </c>
      <c r="N935" s="4" t="str">
        <f>IFERROR(VLOOKUP(B935,infoTable__14[],4,FALSE),"")</f>
        <v/>
      </c>
      <c r="O935" s="4" t="str">
        <f>IFERROR(VLOOKUP(B935,infoTable__15[],4,FALSE),"")</f>
        <v/>
      </c>
      <c r="P935" s="4">
        <f>IFERROR(VLOOKUP(B935,infoTable__16[],4,FALSE),"")</f>
        <v>304039</v>
      </c>
    </row>
    <row r="936" spans="1:16" x14ac:dyDescent="0.55000000000000004">
      <c r="A936" t="s">
        <v>2436</v>
      </c>
      <c r="B936" t="s">
        <v>2438</v>
      </c>
      <c r="C936" s="4" t="str">
        <f>IFERROR(VLOOKUP(B936,infoTable10[],4,FALSE),"")</f>
        <v/>
      </c>
      <c r="D936" s="4" t="str">
        <f>IFERROR(VLOOKUP(B936,infoTable__2[],4,FALSE),"")</f>
        <v/>
      </c>
      <c r="E936" s="4" t="str">
        <f>IFERROR(VLOOKUP(B936,infoTable__3[],4,FALSE),"")</f>
        <v/>
      </c>
      <c r="F936" s="4" t="str">
        <f>IFERROR(VLOOKUP(B936,infoTable__4[],4,FALSE),"")</f>
        <v/>
      </c>
      <c r="G936" s="4" t="str">
        <f>IFERROR(VLOOKUP(B936,infoTable[],4,FALSE),"")</f>
        <v/>
      </c>
      <c r="H936" s="4" t="str">
        <f>IFERROR(VLOOKUP(B936,infoTable__6[],4,FALSE),"")</f>
        <v/>
      </c>
      <c r="I936" s="4" t="str">
        <f>IFERROR(VLOOKUP(B936,infoTable__28[],4,FALSE),"")</f>
        <v/>
      </c>
      <c r="J936" s="4" t="str">
        <f>IFERROR(VLOOKUP(B936,infoTable__10[],4,FALSE),"")</f>
        <v/>
      </c>
      <c r="K936" s="4" t="str">
        <f>IFERROR(VLOOKUP(B936,infoTable__11[],4,FALSE),"")</f>
        <v/>
      </c>
      <c r="L936" s="4" t="str">
        <f>IFERROR(VLOOKUP(B936,infoTable__12[],4,FALSE),"")</f>
        <v/>
      </c>
      <c r="M936" s="4">
        <f>IFERROR(VLOOKUP(B936,infoTable__13[],4,FALSE),"")</f>
        <v>1988654</v>
      </c>
      <c r="N936" s="4">
        <f>IFERROR(VLOOKUP(B936,infoTable__14[],4,FALSE),"")</f>
        <v>291426</v>
      </c>
      <c r="O936" s="4" t="str">
        <f>IFERROR(VLOOKUP(B936,infoTable__15[],4,FALSE),"")</f>
        <v/>
      </c>
      <c r="P936" s="4" t="str">
        <f>IFERROR(VLOOKUP(B936,infoTable__16[],4,FALSE),"")</f>
        <v/>
      </c>
    </row>
    <row r="937" spans="1:16" x14ac:dyDescent="0.55000000000000004">
      <c r="A937" t="s">
        <v>2129</v>
      </c>
      <c r="B937" t="s">
        <v>2130</v>
      </c>
      <c r="C937" s="4" t="str">
        <f>IFERROR(VLOOKUP(B937,infoTable10[],4,FALSE),"")</f>
        <v/>
      </c>
      <c r="D937" s="4" t="str">
        <f>IFERROR(VLOOKUP(B937,infoTable__2[],4,FALSE),"")</f>
        <v/>
      </c>
      <c r="E937" s="4" t="str">
        <f>IFERROR(VLOOKUP(B937,infoTable__3[],4,FALSE),"")</f>
        <v/>
      </c>
      <c r="F937" s="4" t="str">
        <f>IFERROR(VLOOKUP(B937,infoTable__4[],4,FALSE),"")</f>
        <v/>
      </c>
      <c r="G937" s="4" t="str">
        <f>IFERROR(VLOOKUP(B937,infoTable[],4,FALSE),"")</f>
        <v/>
      </c>
      <c r="H937" s="4" t="str">
        <f>IFERROR(VLOOKUP(B937,infoTable__6[],4,FALSE),"")</f>
        <v/>
      </c>
      <c r="I937" s="4" t="str">
        <f>IFERROR(VLOOKUP(B937,infoTable__28[],4,FALSE),"")</f>
        <v/>
      </c>
      <c r="J937" s="4" t="str">
        <f>IFERROR(VLOOKUP(B937,infoTable__10[],4,FALSE),"")</f>
        <v/>
      </c>
      <c r="K937" s="4" t="str">
        <f>IFERROR(VLOOKUP(B937,infoTable__11[],4,FALSE),"")</f>
        <v/>
      </c>
      <c r="L937" s="4">
        <f>IFERROR(VLOOKUP(B937,infoTable__12[],4,FALSE),"")</f>
        <v>423660</v>
      </c>
      <c r="M937" s="4">
        <f>IFERROR(VLOOKUP(B937,infoTable__13[],4,FALSE),"")</f>
        <v>612472</v>
      </c>
      <c r="N937" s="4">
        <f>IFERROR(VLOOKUP(B937,infoTable__14[],4,FALSE),"")</f>
        <v>253844</v>
      </c>
      <c r="O937" s="4">
        <f>IFERROR(VLOOKUP(B937,infoTable__15[],4,FALSE),"")</f>
        <v>513716</v>
      </c>
      <c r="P937" s="4">
        <f>IFERROR(VLOOKUP(B937,infoTable__16[],4,FALSE),"")</f>
        <v>740177</v>
      </c>
    </row>
    <row r="938" spans="1:16" x14ac:dyDescent="0.55000000000000004">
      <c r="A938" t="s">
        <v>3000</v>
      </c>
      <c r="B938" t="s">
        <v>3001</v>
      </c>
      <c r="C938" s="4" t="str">
        <f>IFERROR(VLOOKUP(B938,infoTable10[],4,FALSE),"")</f>
        <v/>
      </c>
      <c r="D938" s="4" t="str">
        <f>IFERROR(VLOOKUP(B938,infoTable__2[],4,FALSE),"")</f>
        <v/>
      </c>
      <c r="E938" s="4" t="str">
        <f>IFERROR(VLOOKUP(B938,infoTable__3[],4,FALSE),"")</f>
        <v/>
      </c>
      <c r="F938" s="4" t="str">
        <f>IFERROR(VLOOKUP(B938,infoTable__4[],4,FALSE),"")</f>
        <v/>
      </c>
      <c r="G938" s="4" t="str">
        <f>IFERROR(VLOOKUP(B938,infoTable[],4,FALSE),"")</f>
        <v/>
      </c>
      <c r="H938" s="4" t="str">
        <f>IFERROR(VLOOKUP(B938,infoTable__6[],4,FALSE),"")</f>
        <v/>
      </c>
      <c r="I938" s="4" t="str">
        <f>IFERROR(VLOOKUP(B938,infoTable__28[],4,FALSE),"")</f>
        <v/>
      </c>
      <c r="J938" s="4" t="str">
        <f>IFERROR(VLOOKUP(B938,infoTable__10[],4,FALSE),"")</f>
        <v/>
      </c>
      <c r="K938" s="4" t="str">
        <f>IFERROR(VLOOKUP(B938,infoTable__11[],4,FALSE),"")</f>
        <v/>
      </c>
      <c r="L938" s="4" t="str">
        <f>IFERROR(VLOOKUP(B938,infoTable__12[],4,FALSE),"")</f>
        <v/>
      </c>
      <c r="M938" s="4" t="str">
        <f>IFERROR(VLOOKUP(B938,infoTable__13[],4,FALSE),"")</f>
        <v/>
      </c>
      <c r="N938" s="4" t="str">
        <f>IFERROR(VLOOKUP(B938,infoTable__14[],4,FALSE),"")</f>
        <v/>
      </c>
      <c r="O938" s="4">
        <f>IFERROR(VLOOKUP(B938,infoTable__15[],4,FALSE),"")</f>
        <v>141143</v>
      </c>
      <c r="P938" s="4">
        <f>IFERROR(VLOOKUP(B938,infoTable__16[],4,FALSE),"")</f>
        <v>330422</v>
      </c>
    </row>
    <row r="939" spans="1:16" x14ac:dyDescent="0.55000000000000004">
      <c r="A939" t="s">
        <v>92</v>
      </c>
      <c r="B939" t="s">
        <v>93</v>
      </c>
      <c r="C939" s="4" t="str">
        <f>IFERROR(VLOOKUP(B939,infoTable10[],4,FALSE),"")</f>
        <v/>
      </c>
      <c r="D939" s="4" t="str">
        <f>IFERROR(VLOOKUP(B939,infoTable__2[],4,FALSE),"")</f>
        <v/>
      </c>
      <c r="E939" s="4" t="str">
        <f>IFERROR(VLOOKUP(B939,infoTable__3[],4,FALSE),"")</f>
        <v/>
      </c>
      <c r="F939" s="4" t="str">
        <f>IFERROR(VLOOKUP(B939,infoTable__4[],4,FALSE),"")</f>
        <v/>
      </c>
      <c r="G939" s="4">
        <f>IFERROR(VLOOKUP(B939,infoTable[],4,FALSE),"")</f>
        <v>262795</v>
      </c>
      <c r="H939" s="4" t="str">
        <f>IFERROR(VLOOKUP(B939,infoTable__6[],4,FALSE),"")</f>
        <v/>
      </c>
      <c r="I939" s="4" t="str">
        <f>IFERROR(VLOOKUP(B939,infoTable__28[],4,FALSE),"")</f>
        <v/>
      </c>
      <c r="J939" s="4" t="str">
        <f>IFERROR(VLOOKUP(B939,infoTable__10[],4,FALSE),"")</f>
        <v/>
      </c>
      <c r="K939" s="4" t="str">
        <f>IFERROR(VLOOKUP(B939,infoTable__11[],4,FALSE),"")</f>
        <v/>
      </c>
      <c r="L939" s="4" t="str">
        <f>IFERROR(VLOOKUP(B939,infoTable__12[],4,FALSE),"")</f>
        <v/>
      </c>
      <c r="M939" s="4" t="str">
        <f>IFERROR(VLOOKUP(B939,infoTable__13[],4,FALSE),"")</f>
        <v/>
      </c>
      <c r="N939" s="4" t="str">
        <f>IFERROR(VLOOKUP(B939,infoTable__14[],4,FALSE),"")</f>
        <v/>
      </c>
      <c r="O939" s="4">
        <f>IFERROR(VLOOKUP(B939,infoTable__15[],4,FALSE),"")</f>
        <v>3202684</v>
      </c>
      <c r="P939" s="4">
        <f>IFERROR(VLOOKUP(B939,infoTable__16[],4,FALSE),"")</f>
        <v>916940</v>
      </c>
    </row>
    <row r="940" spans="1:16" x14ac:dyDescent="0.55000000000000004">
      <c r="A940" t="s">
        <v>2439</v>
      </c>
      <c r="B940" t="s">
        <v>2440</v>
      </c>
      <c r="C940" s="4" t="str">
        <f>IFERROR(VLOOKUP(B940,infoTable10[],4,FALSE),"")</f>
        <v/>
      </c>
      <c r="D940" s="4" t="str">
        <f>IFERROR(VLOOKUP(B940,infoTable__2[],4,FALSE),"")</f>
        <v/>
      </c>
      <c r="E940" s="4" t="str">
        <f>IFERROR(VLOOKUP(B940,infoTable__3[],4,FALSE),"")</f>
        <v/>
      </c>
      <c r="F940" s="4" t="str">
        <f>IFERROR(VLOOKUP(B940,infoTable__4[],4,FALSE),"")</f>
        <v/>
      </c>
      <c r="G940" s="4" t="str">
        <f>IFERROR(VLOOKUP(B940,infoTable[],4,FALSE),"")</f>
        <v/>
      </c>
      <c r="H940" s="4" t="str">
        <f>IFERROR(VLOOKUP(B940,infoTable__6[],4,FALSE),"")</f>
        <v/>
      </c>
      <c r="I940" s="4" t="str">
        <f>IFERROR(VLOOKUP(B940,infoTable__28[],4,FALSE),"")</f>
        <v/>
      </c>
      <c r="J940" s="4" t="str">
        <f>IFERROR(VLOOKUP(B940,infoTable__10[],4,FALSE),"")</f>
        <v/>
      </c>
      <c r="K940" s="4" t="str">
        <f>IFERROR(VLOOKUP(B940,infoTable__11[],4,FALSE),"")</f>
        <v/>
      </c>
      <c r="L940" s="4" t="str">
        <f>IFERROR(VLOOKUP(B940,infoTable__12[],4,FALSE),"")</f>
        <v/>
      </c>
      <c r="M940" s="4">
        <f>IFERROR(VLOOKUP(B940,infoTable__13[],4,FALSE),"")</f>
        <v>229871</v>
      </c>
      <c r="N940" s="4" t="str">
        <f>IFERROR(VLOOKUP(B940,infoTable__14[],4,FALSE),"")</f>
        <v/>
      </c>
      <c r="O940" s="4" t="str">
        <f>IFERROR(VLOOKUP(B940,infoTable__15[],4,FALSE),"")</f>
        <v/>
      </c>
      <c r="P940" s="4" t="str">
        <f>IFERROR(VLOOKUP(B940,infoTable__16[],4,FALSE),"")</f>
        <v/>
      </c>
    </row>
    <row r="941" spans="1:16" x14ac:dyDescent="0.55000000000000004">
      <c r="A941" t="s">
        <v>3282</v>
      </c>
      <c r="B941" t="s">
        <v>3283</v>
      </c>
      <c r="C941" s="4" t="str">
        <f>IFERROR(VLOOKUP(B941,infoTable10[],4,FALSE),"")</f>
        <v/>
      </c>
      <c r="D941" s="4" t="str">
        <f>IFERROR(VLOOKUP(B941,infoTable__2[],4,FALSE),"")</f>
        <v/>
      </c>
      <c r="E941" s="4" t="str">
        <f>IFERROR(VLOOKUP(B941,infoTable__3[],4,FALSE),"")</f>
        <v/>
      </c>
      <c r="F941" s="4" t="str">
        <f>IFERROR(VLOOKUP(B941,infoTable__4[],4,FALSE),"")</f>
        <v/>
      </c>
      <c r="G941" s="4" t="str">
        <f>IFERROR(VLOOKUP(B941,infoTable[],4,FALSE),"")</f>
        <v/>
      </c>
      <c r="H941" s="4" t="str">
        <f>IFERROR(VLOOKUP(B941,infoTable__6[],4,FALSE),"")</f>
        <v/>
      </c>
      <c r="I941" s="4" t="str">
        <f>IFERROR(VLOOKUP(B941,infoTable__28[],4,FALSE),"")</f>
        <v/>
      </c>
      <c r="J941" s="4" t="str">
        <f>IFERROR(VLOOKUP(B941,infoTable__10[],4,FALSE),"")</f>
        <v/>
      </c>
      <c r="K941" s="4" t="str">
        <f>IFERROR(VLOOKUP(B941,infoTable__11[],4,FALSE),"")</f>
        <v/>
      </c>
      <c r="L941" s="4" t="str">
        <f>IFERROR(VLOOKUP(B941,infoTable__12[],4,FALSE),"")</f>
        <v/>
      </c>
      <c r="M941" s="4" t="str">
        <f>IFERROR(VLOOKUP(B941,infoTable__13[],4,FALSE),"")</f>
        <v/>
      </c>
      <c r="N941" s="4" t="str">
        <f>IFERROR(VLOOKUP(B941,infoTable__14[],4,FALSE),"")</f>
        <v/>
      </c>
      <c r="O941" s="4" t="str">
        <f>IFERROR(VLOOKUP(B941,infoTable__15[],4,FALSE),"")</f>
        <v/>
      </c>
      <c r="P941" s="4">
        <f>IFERROR(VLOOKUP(B941,infoTable__16[],4,FALSE),"")</f>
        <v>1089654</v>
      </c>
    </row>
    <row r="942" spans="1:16" x14ac:dyDescent="0.55000000000000004">
      <c r="A942" t="s">
        <v>1624</v>
      </c>
      <c r="B942" t="s">
        <v>1625</v>
      </c>
      <c r="C942" s="4" t="str">
        <f>IFERROR(VLOOKUP(B942,infoTable10[],4,FALSE),"")</f>
        <v/>
      </c>
      <c r="D942" s="4" t="str">
        <f>IFERROR(VLOOKUP(B942,infoTable__2[],4,FALSE),"")</f>
        <v/>
      </c>
      <c r="E942" s="4" t="str">
        <f>IFERROR(VLOOKUP(B942,infoTable__3[],4,FALSE),"")</f>
        <v/>
      </c>
      <c r="F942" s="4" t="str">
        <f>IFERROR(VLOOKUP(B942,infoTable__4[],4,FALSE),"")</f>
        <v/>
      </c>
      <c r="G942" s="4" t="str">
        <f>IFERROR(VLOOKUP(B942,infoTable[],4,FALSE),"")</f>
        <v/>
      </c>
      <c r="H942" s="4" t="str">
        <f>IFERROR(VLOOKUP(B942,infoTable__6[],4,FALSE),"")</f>
        <v/>
      </c>
      <c r="I942" s="4" t="str">
        <f>IFERROR(VLOOKUP(B942,infoTable__28[],4,FALSE),"")</f>
        <v/>
      </c>
      <c r="J942" s="4">
        <f>IFERROR(VLOOKUP(B942,infoTable__10[],4,FALSE),"")</f>
        <v>469594</v>
      </c>
      <c r="K942" s="4">
        <f>IFERROR(VLOOKUP(B942,infoTable__11[],4,FALSE),"")</f>
        <v>522426</v>
      </c>
      <c r="L942" s="4">
        <f>IFERROR(VLOOKUP(B942,infoTable__12[],4,FALSE),"")</f>
        <v>249760</v>
      </c>
      <c r="M942" s="4" t="str">
        <f>IFERROR(VLOOKUP(B942,infoTable__13[],4,FALSE),"")</f>
        <v/>
      </c>
      <c r="N942" s="4" t="str">
        <f>IFERROR(VLOOKUP(B942,infoTable__14[],4,FALSE),"")</f>
        <v/>
      </c>
      <c r="O942" s="4" t="str">
        <f>IFERROR(VLOOKUP(B942,infoTable__15[],4,FALSE),"")</f>
        <v/>
      </c>
      <c r="P942" s="4" t="str">
        <f>IFERROR(VLOOKUP(B942,infoTable__16[],4,FALSE),"")</f>
        <v/>
      </c>
    </row>
    <row r="943" spans="1:16" x14ac:dyDescent="0.55000000000000004">
      <c r="A943" t="s">
        <v>2809</v>
      </c>
      <c r="B943" t="s">
        <v>2808</v>
      </c>
      <c r="C943" s="4" t="str">
        <f>IFERROR(VLOOKUP(B943,infoTable10[],4,FALSE),"")</f>
        <v/>
      </c>
      <c r="D943" s="4" t="str">
        <f>IFERROR(VLOOKUP(B943,infoTable__2[],4,FALSE),"")</f>
        <v/>
      </c>
      <c r="E943" s="4" t="str">
        <f>IFERROR(VLOOKUP(B943,infoTable__3[],4,FALSE),"")</f>
        <v/>
      </c>
      <c r="F943" s="4" t="str">
        <f>IFERROR(VLOOKUP(B943,infoTable__4[],4,FALSE),"")</f>
        <v/>
      </c>
      <c r="G943" s="4" t="str">
        <f>IFERROR(VLOOKUP(B943,infoTable[],4,FALSE),"")</f>
        <v/>
      </c>
      <c r="H943" s="4" t="str">
        <f>IFERROR(VLOOKUP(B943,infoTable__6[],4,FALSE),"")</f>
        <v/>
      </c>
      <c r="I943" s="4" t="str">
        <f>IFERROR(VLOOKUP(B943,infoTable__28[],4,FALSE),"")</f>
        <v/>
      </c>
      <c r="J943" s="4" t="str">
        <f>IFERROR(VLOOKUP(B943,infoTable__10[],4,FALSE),"")</f>
        <v/>
      </c>
      <c r="K943" s="4" t="str">
        <f>IFERROR(VLOOKUP(B943,infoTable__11[],4,FALSE),"")</f>
        <v/>
      </c>
      <c r="L943" s="4" t="str">
        <f>IFERROR(VLOOKUP(B943,infoTable__12[],4,FALSE),"")</f>
        <v/>
      </c>
      <c r="M943" s="4" t="str">
        <f>IFERROR(VLOOKUP(B943,infoTable__13[],4,FALSE),"")</f>
        <v/>
      </c>
      <c r="N943" s="4">
        <f>IFERROR(VLOOKUP(B943,infoTable__14[],4,FALSE),"")</f>
        <v>4136210</v>
      </c>
      <c r="O943" s="4">
        <f>IFERROR(VLOOKUP(B943,infoTable__15[],4,FALSE),"")</f>
        <v>1545154</v>
      </c>
      <c r="P943" s="4" t="str">
        <f>IFERROR(VLOOKUP(B943,infoTable__16[],4,FALSE),"")</f>
        <v/>
      </c>
    </row>
    <row r="944" spans="1:16" x14ac:dyDescent="0.55000000000000004">
      <c r="A944" t="s">
        <v>975</v>
      </c>
      <c r="B944" t="s">
        <v>976</v>
      </c>
      <c r="C944" s="4" t="str">
        <f>IFERROR(VLOOKUP(B944,infoTable10[],4,FALSE),"")</f>
        <v/>
      </c>
      <c r="D944" s="4" t="str">
        <f>IFERROR(VLOOKUP(B944,infoTable__2[],4,FALSE),"")</f>
        <v/>
      </c>
      <c r="E944" s="4" t="str">
        <f>IFERROR(VLOOKUP(B944,infoTable__3[],4,FALSE),"")</f>
        <v/>
      </c>
      <c r="F944" s="4" t="str">
        <f>IFERROR(VLOOKUP(B944,infoTable__4[],4,FALSE),"")</f>
        <v/>
      </c>
      <c r="G944" s="4" t="str">
        <f>IFERROR(VLOOKUP(B944,infoTable[],4,FALSE),"")</f>
        <v/>
      </c>
      <c r="H944" s="4">
        <f>IFERROR(VLOOKUP(B944,infoTable__6[],4,FALSE),"")</f>
        <v>640069</v>
      </c>
      <c r="I944" s="4">
        <f>IFERROR(VLOOKUP(B944,infoTable__28[],4,FALSE),"")</f>
        <v>393241</v>
      </c>
      <c r="J944" s="4" t="str">
        <f>IFERROR(VLOOKUP(B944,infoTable__10[],4,FALSE),"")</f>
        <v/>
      </c>
      <c r="K944" s="4" t="str">
        <f>IFERROR(VLOOKUP(B944,infoTable__11[],4,FALSE),"")</f>
        <v/>
      </c>
      <c r="L944" s="4" t="str">
        <f>IFERROR(VLOOKUP(B944,infoTable__12[],4,FALSE),"")</f>
        <v/>
      </c>
      <c r="M944" s="4" t="str">
        <f>IFERROR(VLOOKUP(B944,infoTable__13[],4,FALSE),"")</f>
        <v/>
      </c>
      <c r="N944" s="4">
        <f>IFERROR(VLOOKUP(B944,infoTable__14[],4,FALSE),"")</f>
        <v>1686883</v>
      </c>
      <c r="O944" s="4">
        <f>IFERROR(VLOOKUP(B944,infoTable__15[],4,FALSE),"")</f>
        <v>2166810</v>
      </c>
      <c r="P944" s="4" t="str">
        <f>IFERROR(VLOOKUP(B944,infoTable__16[],4,FALSE),"")</f>
        <v/>
      </c>
    </row>
    <row r="945" spans="1:16" x14ac:dyDescent="0.55000000000000004">
      <c r="A945" t="s">
        <v>99</v>
      </c>
      <c r="B945" t="s">
        <v>100</v>
      </c>
      <c r="C945" s="4" t="str">
        <f>IFERROR(VLOOKUP(B945,infoTable10[],4,FALSE),"")</f>
        <v/>
      </c>
      <c r="D945" s="4" t="str">
        <f>IFERROR(VLOOKUP(B945,infoTable__2[],4,FALSE),"")</f>
        <v/>
      </c>
      <c r="E945" s="4">
        <f>IFERROR(VLOOKUP(B945,infoTable__3[],4,FALSE),"")</f>
        <v>921984</v>
      </c>
      <c r="F945" s="4">
        <f>IFERROR(VLOOKUP(B945,infoTable__4[],4,FALSE),"")</f>
        <v>1151273</v>
      </c>
      <c r="G945" s="4">
        <f>IFERROR(VLOOKUP(B945,infoTable[],4,FALSE),"")</f>
        <v>949067</v>
      </c>
      <c r="H945" s="4" t="str">
        <f>IFERROR(VLOOKUP(B945,infoTable__6[],4,FALSE),"")</f>
        <v/>
      </c>
      <c r="I945" s="4" t="str">
        <f>IFERROR(VLOOKUP(B945,infoTable__28[],4,FALSE),"")</f>
        <v/>
      </c>
      <c r="J945" s="4" t="str">
        <f>IFERROR(VLOOKUP(B945,infoTable__10[],4,FALSE),"")</f>
        <v/>
      </c>
      <c r="K945" s="4" t="str">
        <f>IFERROR(VLOOKUP(B945,infoTable__11[],4,FALSE),"")</f>
        <v/>
      </c>
      <c r="L945" s="4" t="str">
        <f>IFERROR(VLOOKUP(B945,infoTable__12[],4,FALSE),"")</f>
        <v/>
      </c>
      <c r="M945" s="4" t="str">
        <f>IFERROR(VLOOKUP(B945,infoTable__13[],4,FALSE),"")</f>
        <v/>
      </c>
      <c r="N945" s="4" t="str">
        <f>IFERROR(VLOOKUP(B945,infoTable__14[],4,FALSE),"")</f>
        <v/>
      </c>
      <c r="O945" s="4" t="str">
        <f>IFERROR(VLOOKUP(B945,infoTable__15[],4,FALSE),"")</f>
        <v/>
      </c>
      <c r="P945" s="4">
        <f>IFERROR(VLOOKUP(B945,infoTable__16[],4,FALSE),"")</f>
        <v>203937</v>
      </c>
    </row>
    <row r="946" spans="1:16" x14ac:dyDescent="0.55000000000000004">
      <c r="A946" t="s">
        <v>101</v>
      </c>
      <c r="B946" t="s">
        <v>102</v>
      </c>
      <c r="C946" s="4">
        <f>IFERROR(VLOOKUP(B946,infoTable10[],4,FALSE),"")</f>
        <v>1882916</v>
      </c>
      <c r="D946" s="4">
        <f>IFERROR(VLOOKUP(B946,infoTable__2[],4,FALSE),"")</f>
        <v>7327111</v>
      </c>
      <c r="E946" s="4">
        <f>IFERROR(VLOOKUP(B946,infoTable__3[],4,FALSE),"")</f>
        <v>10447179</v>
      </c>
      <c r="F946" s="4">
        <f>IFERROR(VLOOKUP(B946,infoTable__4[],4,FALSE),"")</f>
        <v>3394763</v>
      </c>
      <c r="G946" s="4">
        <f>IFERROR(VLOOKUP(B946,infoTable[],4,FALSE),"")</f>
        <v>2692252</v>
      </c>
      <c r="H946" s="4">
        <f>IFERROR(VLOOKUP(B946,infoTable__6[],4,FALSE),"")</f>
        <v>1440320</v>
      </c>
      <c r="I946" s="4" t="str">
        <f>IFERROR(VLOOKUP(B946,infoTable__28[],4,FALSE),"")</f>
        <v/>
      </c>
      <c r="J946" s="4" t="str">
        <f>IFERROR(VLOOKUP(B946,infoTable__10[],4,FALSE),"")</f>
        <v/>
      </c>
      <c r="K946" s="4" t="str">
        <f>IFERROR(VLOOKUP(B946,infoTable__11[],4,FALSE),"")</f>
        <v/>
      </c>
      <c r="L946" s="4" t="str">
        <f>IFERROR(VLOOKUP(B946,infoTable__12[],4,FALSE),"")</f>
        <v/>
      </c>
      <c r="M946" s="4" t="str">
        <f>IFERROR(VLOOKUP(B946,infoTable__13[],4,FALSE),"")</f>
        <v/>
      </c>
      <c r="N946" s="4">
        <f>IFERROR(VLOOKUP(B946,infoTable__14[],4,FALSE),"")</f>
        <v>2608264</v>
      </c>
      <c r="O946" s="4" t="str">
        <f>IFERROR(VLOOKUP(B946,infoTable__15[],4,FALSE),"")</f>
        <v/>
      </c>
      <c r="P946" s="4">
        <f>IFERROR(VLOOKUP(B946,infoTable__16[],4,FALSE),"")</f>
        <v>598725</v>
      </c>
    </row>
    <row r="947" spans="1:16" x14ac:dyDescent="0.55000000000000004">
      <c r="A947" t="s">
        <v>103</v>
      </c>
      <c r="B947" t="s">
        <v>104</v>
      </c>
      <c r="C947" s="4" t="str">
        <f>IFERROR(VLOOKUP(B947,infoTable10[],4,FALSE),"")</f>
        <v/>
      </c>
      <c r="D947" s="4" t="str">
        <f>IFERROR(VLOOKUP(B947,infoTable__2[],4,FALSE),"")</f>
        <v/>
      </c>
      <c r="E947" s="4">
        <f>IFERROR(VLOOKUP(B947,infoTable__3[],4,FALSE),"")</f>
        <v>1900269</v>
      </c>
      <c r="F947" s="4">
        <f>IFERROR(VLOOKUP(B947,infoTable__4[],4,FALSE),"")</f>
        <v>957432</v>
      </c>
      <c r="G947" s="4">
        <f>IFERROR(VLOOKUP(B947,infoTable[],4,FALSE),"")</f>
        <v>589302</v>
      </c>
      <c r="H947" s="4">
        <f>IFERROR(VLOOKUP(B947,infoTable__6[],4,FALSE),"")</f>
        <v>371838</v>
      </c>
      <c r="I947" s="4" t="str">
        <f>IFERROR(VLOOKUP(B947,infoTable__28[],4,FALSE),"")</f>
        <v/>
      </c>
      <c r="J947" s="4" t="str">
        <f>IFERROR(VLOOKUP(B947,infoTable__10[],4,FALSE),"")</f>
        <v/>
      </c>
      <c r="K947" s="4" t="str">
        <f>IFERROR(VLOOKUP(B947,infoTable__11[],4,FALSE),"")</f>
        <v/>
      </c>
      <c r="L947" s="4">
        <f>IFERROR(VLOOKUP(B947,infoTable__12[],4,FALSE),"")</f>
        <v>549426</v>
      </c>
      <c r="M947" s="4">
        <f>IFERROR(VLOOKUP(B947,infoTable__13[],4,FALSE),"")</f>
        <v>698149</v>
      </c>
      <c r="N947" s="4">
        <f>IFERROR(VLOOKUP(B947,infoTable__14[],4,FALSE),"")</f>
        <v>2300896</v>
      </c>
      <c r="O947" s="4">
        <f>IFERROR(VLOOKUP(B947,infoTable__15[],4,FALSE),"")</f>
        <v>754938</v>
      </c>
      <c r="P947" s="4">
        <f>IFERROR(VLOOKUP(B947,infoTable__16[],4,FALSE),"")</f>
        <v>1162303</v>
      </c>
    </row>
    <row r="948" spans="1:16" x14ac:dyDescent="0.55000000000000004">
      <c r="A948" t="s">
        <v>3004</v>
      </c>
      <c r="B948" t="s">
        <v>3005</v>
      </c>
      <c r="C948" s="4" t="str">
        <f>IFERROR(VLOOKUP(B948,infoTable10[],4,FALSE),"")</f>
        <v/>
      </c>
      <c r="D948" s="4" t="str">
        <f>IFERROR(VLOOKUP(B948,infoTable__2[],4,FALSE),"")</f>
        <v/>
      </c>
      <c r="E948" s="4" t="str">
        <f>IFERROR(VLOOKUP(B948,infoTable__3[],4,FALSE),"")</f>
        <v/>
      </c>
      <c r="F948" s="4" t="str">
        <f>IFERROR(VLOOKUP(B948,infoTable__4[],4,FALSE),"")</f>
        <v/>
      </c>
      <c r="G948" s="4" t="str">
        <f>IFERROR(VLOOKUP(B948,infoTable[],4,FALSE),"")</f>
        <v/>
      </c>
      <c r="H948" s="4" t="str">
        <f>IFERROR(VLOOKUP(B948,infoTable__6[],4,FALSE),"")</f>
        <v/>
      </c>
      <c r="I948" s="4" t="str">
        <f>IFERROR(VLOOKUP(B948,infoTable__28[],4,FALSE),"")</f>
        <v/>
      </c>
      <c r="J948" s="4" t="str">
        <f>IFERROR(VLOOKUP(B948,infoTable__10[],4,FALSE),"")</f>
        <v/>
      </c>
      <c r="K948" s="4" t="str">
        <f>IFERROR(VLOOKUP(B948,infoTable__11[],4,FALSE),"")</f>
        <v/>
      </c>
      <c r="L948" s="4" t="str">
        <f>IFERROR(VLOOKUP(B948,infoTable__12[],4,FALSE),"")</f>
        <v/>
      </c>
      <c r="M948" s="4" t="str">
        <f>IFERROR(VLOOKUP(B948,infoTable__13[],4,FALSE),"")</f>
        <v/>
      </c>
      <c r="N948" s="4" t="str">
        <f>IFERROR(VLOOKUP(B948,infoTable__14[],4,FALSE),"")</f>
        <v/>
      </c>
      <c r="O948" s="4">
        <f>IFERROR(VLOOKUP(B948,infoTable__15[],4,FALSE),"")</f>
        <v>2771107</v>
      </c>
      <c r="P948" s="4">
        <f>IFERROR(VLOOKUP(B948,infoTable__16[],4,FALSE),"")</f>
        <v>824473</v>
      </c>
    </row>
    <row r="949" spans="1:16" x14ac:dyDescent="0.55000000000000004">
      <c r="A949" t="s">
        <v>3291</v>
      </c>
      <c r="B949" t="s">
        <v>3292</v>
      </c>
      <c r="C949" s="4" t="str">
        <f>IFERROR(VLOOKUP(B949,infoTable10[],4,FALSE),"")</f>
        <v/>
      </c>
      <c r="D949" s="4" t="str">
        <f>IFERROR(VLOOKUP(B949,infoTable__2[],4,FALSE),"")</f>
        <v/>
      </c>
      <c r="E949" s="4" t="str">
        <f>IFERROR(VLOOKUP(B949,infoTable__3[],4,FALSE),"")</f>
        <v/>
      </c>
      <c r="F949" s="4" t="str">
        <f>IFERROR(VLOOKUP(B949,infoTable__4[],4,FALSE),"")</f>
        <v/>
      </c>
      <c r="G949" s="4" t="str">
        <f>IFERROR(VLOOKUP(B949,infoTable[],4,FALSE),"")</f>
        <v/>
      </c>
      <c r="H949" s="4" t="str">
        <f>IFERROR(VLOOKUP(B949,infoTable__6[],4,FALSE),"")</f>
        <v/>
      </c>
      <c r="I949" s="4" t="str">
        <f>IFERROR(VLOOKUP(B949,infoTable__28[],4,FALSE),"")</f>
        <v/>
      </c>
      <c r="J949" s="4" t="str">
        <f>IFERROR(VLOOKUP(B949,infoTable__10[],4,FALSE),"")</f>
        <v/>
      </c>
      <c r="K949" s="4" t="str">
        <f>IFERROR(VLOOKUP(B949,infoTable__11[],4,FALSE),"")</f>
        <v/>
      </c>
      <c r="L949" s="4" t="str">
        <f>IFERROR(VLOOKUP(B949,infoTable__12[],4,FALSE),"")</f>
        <v/>
      </c>
      <c r="M949" s="4" t="str">
        <f>IFERROR(VLOOKUP(B949,infoTable__13[],4,FALSE),"")</f>
        <v/>
      </c>
      <c r="N949" s="4" t="str">
        <f>IFERROR(VLOOKUP(B949,infoTable__14[],4,FALSE),"")</f>
        <v/>
      </c>
      <c r="O949" s="4" t="str">
        <f>IFERROR(VLOOKUP(B949,infoTable__15[],4,FALSE),"")</f>
        <v/>
      </c>
      <c r="P949" s="4">
        <f>IFERROR(VLOOKUP(B949,infoTable__16[],4,FALSE),"")</f>
        <v>1265723</v>
      </c>
    </row>
    <row r="950" spans="1:16" x14ac:dyDescent="0.55000000000000004">
      <c r="A950" t="s">
        <v>1201</v>
      </c>
      <c r="B950" t="s">
        <v>1202</v>
      </c>
      <c r="C950" s="4" t="str">
        <f>IFERROR(VLOOKUP(B950,infoTable10[],4,FALSE),"")</f>
        <v/>
      </c>
      <c r="D950" s="4" t="str">
        <f>IFERROR(VLOOKUP(B950,infoTable__2[],4,FALSE),"")</f>
        <v/>
      </c>
      <c r="E950" s="4" t="str">
        <f>IFERROR(VLOOKUP(B950,infoTable__3[],4,FALSE),"")</f>
        <v/>
      </c>
      <c r="F950" s="4" t="str">
        <f>IFERROR(VLOOKUP(B950,infoTable__4[],4,FALSE),"")</f>
        <v/>
      </c>
      <c r="G950" s="4" t="str">
        <f>IFERROR(VLOOKUP(B950,infoTable[],4,FALSE),"")</f>
        <v/>
      </c>
      <c r="H950" s="4" t="str">
        <f>IFERROR(VLOOKUP(B950,infoTable__6[],4,FALSE),"")</f>
        <v/>
      </c>
      <c r="I950" s="4">
        <f>IFERROR(VLOOKUP(B950,infoTable__28[],4,FALSE),"")</f>
        <v>99119</v>
      </c>
      <c r="J950" s="4" t="str">
        <f>IFERROR(VLOOKUP(B950,infoTable__10[],4,FALSE),"")</f>
        <v/>
      </c>
      <c r="K950" s="4" t="str">
        <f>IFERROR(VLOOKUP(B950,infoTable__11[],4,FALSE),"")</f>
        <v/>
      </c>
      <c r="L950" s="4" t="str">
        <f>IFERROR(VLOOKUP(B950,infoTable__12[],4,FALSE),"")</f>
        <v/>
      </c>
      <c r="M950" s="4" t="str">
        <f>IFERROR(VLOOKUP(B950,infoTable__13[],4,FALSE),"")</f>
        <v/>
      </c>
      <c r="N950" s="4" t="str">
        <f>IFERROR(VLOOKUP(B950,infoTable__14[],4,FALSE),"")</f>
        <v/>
      </c>
      <c r="O950" s="4" t="str">
        <f>IFERROR(VLOOKUP(B950,infoTable__15[],4,FALSE),"")</f>
        <v/>
      </c>
      <c r="P950" s="4" t="str">
        <f>IFERROR(VLOOKUP(B950,infoTable__16[],4,FALSE),"")</f>
        <v/>
      </c>
    </row>
    <row r="951" spans="1:16" x14ac:dyDescent="0.55000000000000004">
      <c r="A951" t="s">
        <v>2137</v>
      </c>
      <c r="B951" t="s">
        <v>2138</v>
      </c>
      <c r="C951" s="4" t="str">
        <f>IFERROR(VLOOKUP(B951,infoTable10[],4,FALSE),"")</f>
        <v/>
      </c>
      <c r="D951" s="4" t="str">
        <f>IFERROR(VLOOKUP(B951,infoTable__2[],4,FALSE),"")</f>
        <v/>
      </c>
      <c r="E951" s="4" t="str">
        <f>IFERROR(VLOOKUP(B951,infoTable__3[],4,FALSE),"")</f>
        <v/>
      </c>
      <c r="F951" s="4" t="str">
        <f>IFERROR(VLOOKUP(B951,infoTable__4[],4,FALSE),"")</f>
        <v/>
      </c>
      <c r="G951" s="4" t="str">
        <f>IFERROR(VLOOKUP(B951,infoTable[],4,FALSE),"")</f>
        <v/>
      </c>
      <c r="H951" s="4" t="str">
        <f>IFERROR(VLOOKUP(B951,infoTable__6[],4,FALSE),"")</f>
        <v/>
      </c>
      <c r="I951" s="4" t="str">
        <f>IFERROR(VLOOKUP(B951,infoTable__28[],4,FALSE),"")</f>
        <v/>
      </c>
      <c r="J951" s="4" t="str">
        <f>IFERROR(VLOOKUP(B951,infoTable__10[],4,FALSE),"")</f>
        <v/>
      </c>
      <c r="K951" s="4" t="str">
        <f>IFERROR(VLOOKUP(B951,infoTable__11[],4,FALSE),"")</f>
        <v/>
      </c>
      <c r="L951" s="4">
        <f>IFERROR(VLOOKUP(B951,infoTable__12[],4,FALSE),"")</f>
        <v>388431</v>
      </c>
      <c r="M951" s="4">
        <f>IFERROR(VLOOKUP(B951,infoTable__13[],4,FALSE),"")</f>
        <v>1183096</v>
      </c>
      <c r="N951" s="4" t="str">
        <f>IFERROR(VLOOKUP(B951,infoTable__14[],4,FALSE),"")</f>
        <v/>
      </c>
      <c r="O951" s="4" t="str">
        <f>IFERROR(VLOOKUP(B951,infoTable__15[],4,FALSE),"")</f>
        <v/>
      </c>
      <c r="P951" s="4" t="str">
        <f>IFERROR(VLOOKUP(B951,infoTable__16[],4,FALSE),"")</f>
        <v/>
      </c>
    </row>
    <row r="952" spans="1:16" x14ac:dyDescent="0.55000000000000004">
      <c r="A952" t="s">
        <v>2445</v>
      </c>
      <c r="B952" t="s">
        <v>2446</v>
      </c>
      <c r="C952" s="4" t="str">
        <f>IFERROR(VLOOKUP(B952,infoTable10[],4,FALSE),"")</f>
        <v/>
      </c>
      <c r="D952" s="4" t="str">
        <f>IFERROR(VLOOKUP(B952,infoTable__2[],4,FALSE),"")</f>
        <v/>
      </c>
      <c r="E952" s="4" t="str">
        <f>IFERROR(VLOOKUP(B952,infoTable__3[],4,FALSE),"")</f>
        <v/>
      </c>
      <c r="F952" s="4" t="str">
        <f>IFERROR(VLOOKUP(B952,infoTable__4[],4,FALSE),"")</f>
        <v/>
      </c>
      <c r="G952" s="4" t="str">
        <f>IFERROR(VLOOKUP(B952,infoTable[],4,FALSE),"")</f>
        <v/>
      </c>
      <c r="H952" s="4" t="str">
        <f>IFERROR(VLOOKUP(B952,infoTable__6[],4,FALSE),"")</f>
        <v/>
      </c>
      <c r="I952" s="4" t="str">
        <f>IFERROR(VLOOKUP(B952,infoTable__28[],4,FALSE),"")</f>
        <v/>
      </c>
      <c r="J952" s="4" t="str">
        <f>IFERROR(VLOOKUP(B952,infoTable__10[],4,FALSE),"")</f>
        <v/>
      </c>
      <c r="K952" s="4" t="str">
        <f>IFERROR(VLOOKUP(B952,infoTable__11[],4,FALSE),"")</f>
        <v/>
      </c>
      <c r="L952" s="4" t="str">
        <f>IFERROR(VLOOKUP(B952,infoTable__12[],4,FALSE),"")</f>
        <v/>
      </c>
      <c r="M952" s="4">
        <f>IFERROR(VLOOKUP(B952,infoTable__13[],4,FALSE),"")</f>
        <v>588211</v>
      </c>
      <c r="N952" s="4" t="str">
        <f>IFERROR(VLOOKUP(B952,infoTable__14[],4,FALSE),"")</f>
        <v/>
      </c>
      <c r="O952" s="4" t="str">
        <f>IFERROR(VLOOKUP(B952,infoTable__15[],4,FALSE),"")</f>
        <v/>
      </c>
      <c r="P952" s="4" t="str">
        <f>IFERROR(VLOOKUP(B952,infoTable__16[],4,FALSE),"")</f>
        <v/>
      </c>
    </row>
    <row r="953" spans="1:16" x14ac:dyDescent="0.55000000000000004">
      <c r="A953" t="s">
        <v>827</v>
      </c>
      <c r="B953" t="s">
        <v>828</v>
      </c>
      <c r="C953" s="4" t="str">
        <f>IFERROR(VLOOKUP(B953,infoTable10[],4,FALSE),"")</f>
        <v/>
      </c>
      <c r="D953" s="4" t="str">
        <f>IFERROR(VLOOKUP(B953,infoTable__2[],4,FALSE),"")</f>
        <v/>
      </c>
      <c r="E953" s="4" t="str">
        <f>IFERROR(VLOOKUP(B953,infoTable__3[],4,FALSE),"")</f>
        <v/>
      </c>
      <c r="F953" s="4">
        <f>IFERROR(VLOOKUP(B953,infoTable__4[],4,FALSE),"")</f>
        <v>1713537</v>
      </c>
      <c r="G953" s="4" t="str">
        <f>IFERROR(VLOOKUP(B953,infoTable[],4,FALSE),"")</f>
        <v/>
      </c>
      <c r="H953" s="4" t="str">
        <f>IFERROR(VLOOKUP(B953,infoTable__6[],4,FALSE),"")</f>
        <v/>
      </c>
      <c r="I953" s="4" t="str">
        <f>IFERROR(VLOOKUP(B953,infoTable__28[],4,FALSE),"")</f>
        <v/>
      </c>
      <c r="J953" s="4" t="str">
        <f>IFERROR(VLOOKUP(B953,infoTable__10[],4,FALSE),"")</f>
        <v/>
      </c>
      <c r="K953" s="4" t="str">
        <f>IFERROR(VLOOKUP(B953,infoTable__11[],4,FALSE),"")</f>
        <v/>
      </c>
      <c r="L953" s="4" t="str">
        <f>IFERROR(VLOOKUP(B953,infoTable__12[],4,FALSE),"")</f>
        <v/>
      </c>
      <c r="M953" s="4" t="str">
        <f>IFERROR(VLOOKUP(B953,infoTable__13[],4,FALSE),"")</f>
        <v/>
      </c>
      <c r="N953" s="4" t="str">
        <f>IFERROR(VLOOKUP(B953,infoTable__14[],4,FALSE),"")</f>
        <v/>
      </c>
      <c r="O953" s="4" t="str">
        <f>IFERROR(VLOOKUP(B953,infoTable__15[],4,FALSE),"")</f>
        <v/>
      </c>
      <c r="P953" s="4" t="str">
        <f>IFERROR(VLOOKUP(B953,infoTable__16[],4,FALSE),"")</f>
        <v/>
      </c>
    </row>
    <row r="954" spans="1:16" x14ac:dyDescent="0.55000000000000004">
      <c r="A954" t="s">
        <v>2811</v>
      </c>
      <c r="B954" t="s">
        <v>2810</v>
      </c>
      <c r="C954" s="4" t="str">
        <f>IFERROR(VLOOKUP(B954,infoTable10[],4,FALSE),"")</f>
        <v/>
      </c>
      <c r="D954" s="4" t="str">
        <f>IFERROR(VLOOKUP(B954,infoTable__2[],4,FALSE),"")</f>
        <v/>
      </c>
      <c r="E954" s="4" t="str">
        <f>IFERROR(VLOOKUP(B954,infoTable__3[],4,FALSE),"")</f>
        <v/>
      </c>
      <c r="F954" s="4" t="str">
        <f>IFERROR(VLOOKUP(B954,infoTable__4[],4,FALSE),"")</f>
        <v/>
      </c>
      <c r="G954" s="4" t="str">
        <f>IFERROR(VLOOKUP(B954,infoTable[],4,FALSE),"")</f>
        <v/>
      </c>
      <c r="H954" s="4" t="str">
        <f>IFERROR(VLOOKUP(B954,infoTable__6[],4,FALSE),"")</f>
        <v/>
      </c>
      <c r="I954" s="4" t="str">
        <f>IFERROR(VLOOKUP(B954,infoTable__28[],4,FALSE),"")</f>
        <v/>
      </c>
      <c r="J954" s="4" t="str">
        <f>IFERROR(VLOOKUP(B954,infoTable__10[],4,FALSE),"")</f>
        <v/>
      </c>
      <c r="K954" s="4" t="str">
        <f>IFERROR(VLOOKUP(B954,infoTable__11[],4,FALSE),"")</f>
        <v/>
      </c>
      <c r="L954" s="4" t="str">
        <f>IFERROR(VLOOKUP(B954,infoTable__12[],4,FALSE),"")</f>
        <v/>
      </c>
      <c r="M954" s="4" t="str">
        <f>IFERROR(VLOOKUP(B954,infoTable__13[],4,FALSE),"")</f>
        <v/>
      </c>
      <c r="N954" s="4">
        <f>IFERROR(VLOOKUP(B954,infoTable__14[],4,FALSE),"")</f>
        <v>493975</v>
      </c>
      <c r="O954" s="4" t="str">
        <f>IFERROR(VLOOKUP(B954,infoTable__15[],4,FALSE),"")</f>
        <v/>
      </c>
      <c r="P954" s="4" t="str">
        <f>IFERROR(VLOOKUP(B954,infoTable__16[],4,FALSE),"")</f>
        <v/>
      </c>
    </row>
    <row r="955" spans="1:16" x14ac:dyDescent="0.55000000000000004">
      <c r="A955" t="s">
        <v>115</v>
      </c>
      <c r="B955" t="s">
        <v>116</v>
      </c>
      <c r="C955" s="4" t="str">
        <f>IFERROR(VLOOKUP(B955,infoTable10[],4,FALSE),"")</f>
        <v/>
      </c>
      <c r="D955" s="4" t="str">
        <f>IFERROR(VLOOKUP(B955,infoTable__2[],4,FALSE),"")</f>
        <v/>
      </c>
      <c r="E955" s="4">
        <f>IFERROR(VLOOKUP(B955,infoTable__3[],4,FALSE),"")</f>
        <v>9138492</v>
      </c>
      <c r="F955" s="4">
        <f>IFERROR(VLOOKUP(B955,infoTable__4[],4,FALSE),"")</f>
        <v>3755162</v>
      </c>
      <c r="G955" s="4">
        <f>IFERROR(VLOOKUP(B955,infoTable[],4,FALSE),"")</f>
        <v>2172734</v>
      </c>
      <c r="H955" s="4">
        <f>IFERROR(VLOOKUP(B955,infoTable__6[],4,FALSE),"")</f>
        <v>802289</v>
      </c>
      <c r="I955" s="4" t="str">
        <f>IFERROR(VLOOKUP(B955,infoTable__28[],4,FALSE),"")</f>
        <v/>
      </c>
      <c r="J955" s="4" t="str">
        <f>IFERROR(VLOOKUP(B955,infoTable__10[],4,FALSE),"")</f>
        <v/>
      </c>
      <c r="K955" s="4">
        <f>IFERROR(VLOOKUP(B955,infoTable__11[],4,FALSE),"")</f>
        <v>233434</v>
      </c>
      <c r="L955" s="4">
        <f>IFERROR(VLOOKUP(B955,infoTable__12[],4,FALSE),"")</f>
        <v>1510375</v>
      </c>
      <c r="M955" s="4">
        <f>IFERROR(VLOOKUP(B955,infoTable__13[],4,FALSE),"")</f>
        <v>3176656</v>
      </c>
      <c r="N955" s="4">
        <f>IFERROR(VLOOKUP(B955,infoTable__14[],4,FALSE),"")</f>
        <v>1113907</v>
      </c>
      <c r="O955" s="4" t="str">
        <f>IFERROR(VLOOKUP(B955,infoTable__15[],4,FALSE),"")</f>
        <v/>
      </c>
      <c r="P955" s="4" t="str">
        <f>IFERROR(VLOOKUP(B955,infoTable__16[],4,FALSE),"")</f>
        <v/>
      </c>
    </row>
    <row r="956" spans="1:16" x14ac:dyDescent="0.55000000000000004">
      <c r="A956" t="s">
        <v>3297</v>
      </c>
      <c r="B956" t="s">
        <v>3298</v>
      </c>
      <c r="C956" s="4" t="str">
        <f>IFERROR(VLOOKUP(B956,infoTable10[],4,FALSE),"")</f>
        <v/>
      </c>
      <c r="D956" s="4" t="str">
        <f>IFERROR(VLOOKUP(B956,infoTable__2[],4,FALSE),"")</f>
        <v/>
      </c>
      <c r="E956" s="4" t="str">
        <f>IFERROR(VLOOKUP(B956,infoTable__3[],4,FALSE),"")</f>
        <v/>
      </c>
      <c r="F956" s="4" t="str">
        <f>IFERROR(VLOOKUP(B956,infoTable__4[],4,FALSE),"")</f>
        <v/>
      </c>
      <c r="G956" s="4" t="str">
        <f>IFERROR(VLOOKUP(B956,infoTable[],4,FALSE),"")</f>
        <v/>
      </c>
      <c r="H956" s="4" t="str">
        <f>IFERROR(VLOOKUP(B956,infoTable__6[],4,FALSE),"")</f>
        <v/>
      </c>
      <c r="I956" s="4" t="str">
        <f>IFERROR(VLOOKUP(B956,infoTable__28[],4,FALSE),"")</f>
        <v/>
      </c>
      <c r="J956" s="4" t="str">
        <f>IFERROR(VLOOKUP(B956,infoTable__10[],4,FALSE),"")</f>
        <v/>
      </c>
      <c r="K956" s="4" t="str">
        <f>IFERROR(VLOOKUP(B956,infoTable__11[],4,FALSE),"")</f>
        <v/>
      </c>
      <c r="L956" s="4" t="str">
        <f>IFERROR(VLOOKUP(B956,infoTable__12[],4,FALSE),"")</f>
        <v/>
      </c>
      <c r="M956" s="4" t="str">
        <f>IFERROR(VLOOKUP(B956,infoTable__13[],4,FALSE),"")</f>
        <v/>
      </c>
      <c r="N956" s="4" t="str">
        <f>IFERROR(VLOOKUP(B956,infoTable__14[],4,FALSE),"")</f>
        <v/>
      </c>
      <c r="O956" s="4" t="str">
        <f>IFERROR(VLOOKUP(B956,infoTable__15[],4,FALSE),"")</f>
        <v/>
      </c>
      <c r="P956" s="4">
        <f>IFERROR(VLOOKUP(B956,infoTable__16[],4,FALSE),"")</f>
        <v>286821</v>
      </c>
    </row>
    <row r="957" spans="1:16" x14ac:dyDescent="0.55000000000000004">
      <c r="A957" t="s">
        <v>2447</v>
      </c>
      <c r="B957" t="s">
        <v>2448</v>
      </c>
      <c r="C957" s="4" t="str">
        <f>IFERROR(VLOOKUP(B957,infoTable10[],4,FALSE),"")</f>
        <v/>
      </c>
      <c r="D957" s="4" t="str">
        <f>IFERROR(VLOOKUP(B957,infoTable__2[],4,FALSE),"")</f>
        <v/>
      </c>
      <c r="E957" s="4" t="str">
        <f>IFERROR(VLOOKUP(B957,infoTable__3[],4,FALSE),"")</f>
        <v/>
      </c>
      <c r="F957" s="4" t="str">
        <f>IFERROR(VLOOKUP(B957,infoTable__4[],4,FALSE),"")</f>
        <v/>
      </c>
      <c r="G957" s="4" t="str">
        <f>IFERROR(VLOOKUP(B957,infoTable[],4,FALSE),"")</f>
        <v/>
      </c>
      <c r="H957" s="4" t="str">
        <f>IFERROR(VLOOKUP(B957,infoTable__6[],4,FALSE),"")</f>
        <v/>
      </c>
      <c r="I957" s="4" t="str">
        <f>IFERROR(VLOOKUP(B957,infoTable__28[],4,FALSE),"")</f>
        <v/>
      </c>
      <c r="J957" s="4" t="str">
        <f>IFERROR(VLOOKUP(B957,infoTable__10[],4,FALSE),"")</f>
        <v/>
      </c>
      <c r="K957" s="4" t="str">
        <f>IFERROR(VLOOKUP(B957,infoTable__11[],4,FALSE),"")</f>
        <v/>
      </c>
      <c r="L957" s="4" t="str">
        <f>IFERROR(VLOOKUP(B957,infoTable__12[],4,FALSE),"")</f>
        <v/>
      </c>
      <c r="M957" s="4">
        <f>IFERROR(VLOOKUP(B957,infoTable__13[],4,FALSE),"")</f>
        <v>455410</v>
      </c>
      <c r="N957" s="4">
        <f>IFERROR(VLOOKUP(B957,infoTable__14[],4,FALSE),"")</f>
        <v>316100</v>
      </c>
      <c r="O957" s="4" t="str">
        <f>IFERROR(VLOOKUP(B957,infoTable__15[],4,FALSE),"")</f>
        <v/>
      </c>
      <c r="P957" s="4" t="str">
        <f>IFERROR(VLOOKUP(B957,infoTable__16[],4,FALSE),"")</f>
        <v/>
      </c>
    </row>
    <row r="958" spans="1:16" x14ac:dyDescent="0.55000000000000004">
      <c r="A958" t="s">
        <v>1584</v>
      </c>
      <c r="B958" t="s">
        <v>548</v>
      </c>
      <c r="C958" s="4">
        <f>IFERROR(VLOOKUP(B958,infoTable10[],4,FALSE),"")</f>
        <v>1271280</v>
      </c>
      <c r="D958" s="4">
        <f>IFERROR(VLOOKUP(B958,infoTable__2[],4,FALSE),"")</f>
        <v>1870930</v>
      </c>
      <c r="E958" s="4">
        <f>IFERROR(VLOOKUP(B958,infoTable__3[],4,FALSE),"")</f>
        <v>2839597</v>
      </c>
      <c r="F958" s="4">
        <f>IFERROR(VLOOKUP(B958,infoTable__4[],4,FALSE),"")</f>
        <v>1574740</v>
      </c>
      <c r="G958" s="4" t="str">
        <f>IFERROR(VLOOKUP(B958,infoTable[],4,FALSE),"")</f>
        <v/>
      </c>
      <c r="H958" s="4" t="str">
        <f>IFERROR(VLOOKUP(B958,infoTable__6[],4,FALSE),"")</f>
        <v/>
      </c>
      <c r="I958" s="4" t="str">
        <f>IFERROR(VLOOKUP(B958,infoTable__28[],4,FALSE),"")</f>
        <v/>
      </c>
      <c r="J958" s="4" t="str">
        <f>IFERROR(VLOOKUP(B958,infoTable__10[],4,FALSE),"")</f>
        <v/>
      </c>
      <c r="K958" s="4" t="str">
        <f>IFERROR(VLOOKUP(B958,infoTable__11[],4,FALSE),"")</f>
        <v/>
      </c>
      <c r="L958" s="4" t="str">
        <f>IFERROR(VLOOKUP(B958,infoTable__12[],4,FALSE),"")</f>
        <v/>
      </c>
      <c r="M958" s="4" t="str">
        <f>IFERROR(VLOOKUP(B958,infoTable__13[],4,FALSE),"")</f>
        <v/>
      </c>
      <c r="N958" s="4" t="str">
        <f>IFERROR(VLOOKUP(B958,infoTable__14[],4,FALSE),"")</f>
        <v/>
      </c>
      <c r="O958" s="4" t="str">
        <f>IFERROR(VLOOKUP(B958,infoTable__15[],4,FALSE),"")</f>
        <v/>
      </c>
      <c r="P958" s="4" t="str">
        <f>IFERROR(VLOOKUP(B958,infoTable__16[],4,FALSE),"")</f>
        <v/>
      </c>
    </row>
    <row r="959" spans="1:16" x14ac:dyDescent="0.55000000000000004">
      <c r="A959" t="s">
        <v>3299</v>
      </c>
      <c r="B959" t="s">
        <v>3300</v>
      </c>
      <c r="C959" s="4" t="str">
        <f>IFERROR(VLOOKUP(B959,infoTable10[],4,FALSE),"")</f>
        <v/>
      </c>
      <c r="D959" s="4" t="str">
        <f>IFERROR(VLOOKUP(B959,infoTable__2[],4,FALSE),"")</f>
        <v/>
      </c>
      <c r="E959" s="4" t="str">
        <f>IFERROR(VLOOKUP(B959,infoTable__3[],4,FALSE),"")</f>
        <v/>
      </c>
      <c r="F959" s="4" t="str">
        <f>IFERROR(VLOOKUP(B959,infoTable__4[],4,FALSE),"")</f>
        <v/>
      </c>
      <c r="G959" s="4" t="str">
        <f>IFERROR(VLOOKUP(B959,infoTable[],4,FALSE),"")</f>
        <v/>
      </c>
      <c r="H959" s="4" t="str">
        <f>IFERROR(VLOOKUP(B959,infoTable__6[],4,FALSE),"")</f>
        <v/>
      </c>
      <c r="I959" s="4" t="str">
        <f>IFERROR(VLOOKUP(B959,infoTable__28[],4,FALSE),"")</f>
        <v/>
      </c>
      <c r="J959" s="4" t="str">
        <f>IFERROR(VLOOKUP(B959,infoTable__10[],4,FALSE),"")</f>
        <v/>
      </c>
      <c r="K959" s="4" t="str">
        <f>IFERROR(VLOOKUP(B959,infoTable__11[],4,FALSE),"")</f>
        <v/>
      </c>
      <c r="L959" s="4" t="str">
        <f>IFERROR(VLOOKUP(B959,infoTable__12[],4,FALSE),"")</f>
        <v/>
      </c>
      <c r="M959" s="4" t="str">
        <f>IFERROR(VLOOKUP(B959,infoTable__13[],4,FALSE),"")</f>
        <v/>
      </c>
      <c r="N959" s="4" t="str">
        <f>IFERROR(VLOOKUP(B959,infoTable__14[],4,FALSE),"")</f>
        <v/>
      </c>
      <c r="O959" s="4" t="str">
        <f>IFERROR(VLOOKUP(B959,infoTable__15[],4,FALSE),"")</f>
        <v/>
      </c>
      <c r="P959" s="4">
        <f>IFERROR(VLOOKUP(B959,infoTable__16[],4,FALSE),"")</f>
        <v>180710</v>
      </c>
    </row>
    <row r="960" spans="1:16" x14ac:dyDescent="0.55000000000000004">
      <c r="A960" t="s">
        <v>1639</v>
      </c>
      <c r="B960" t="s">
        <v>1640</v>
      </c>
      <c r="C960" s="4" t="str">
        <f>IFERROR(VLOOKUP(B960,infoTable10[],4,FALSE),"")</f>
        <v/>
      </c>
      <c r="D960" s="4" t="str">
        <f>IFERROR(VLOOKUP(B960,infoTable__2[],4,FALSE),"")</f>
        <v/>
      </c>
      <c r="E960" s="4" t="str">
        <f>IFERROR(VLOOKUP(B960,infoTable__3[],4,FALSE),"")</f>
        <v/>
      </c>
      <c r="F960" s="4" t="str">
        <f>IFERROR(VLOOKUP(B960,infoTable__4[],4,FALSE),"")</f>
        <v/>
      </c>
      <c r="G960" s="4" t="str">
        <f>IFERROR(VLOOKUP(B960,infoTable[],4,FALSE),"")</f>
        <v/>
      </c>
      <c r="H960" s="4" t="str">
        <f>IFERROR(VLOOKUP(B960,infoTable__6[],4,FALSE),"")</f>
        <v/>
      </c>
      <c r="I960" s="4" t="str">
        <f>IFERROR(VLOOKUP(B960,infoTable__28[],4,FALSE),"")</f>
        <v/>
      </c>
      <c r="J960" s="4">
        <f>IFERROR(VLOOKUP(B960,infoTable__10[],4,FALSE),"")</f>
        <v>2056470</v>
      </c>
      <c r="K960" s="4" t="str">
        <f>IFERROR(VLOOKUP(B960,infoTable__11[],4,FALSE),"")</f>
        <v/>
      </c>
      <c r="L960" s="4" t="str">
        <f>IFERROR(VLOOKUP(B960,infoTable__12[],4,FALSE),"")</f>
        <v/>
      </c>
      <c r="M960" s="4" t="str">
        <f>IFERROR(VLOOKUP(B960,infoTable__13[],4,FALSE),"")</f>
        <v/>
      </c>
      <c r="N960" s="4" t="str">
        <f>IFERROR(VLOOKUP(B960,infoTable__14[],4,FALSE),"")</f>
        <v/>
      </c>
      <c r="O960" s="4" t="str">
        <f>IFERROR(VLOOKUP(B960,infoTable__15[],4,FALSE),"")</f>
        <v/>
      </c>
      <c r="P960" s="4">
        <f>IFERROR(VLOOKUP(B960,infoTable__16[],4,FALSE),"")</f>
        <v>936588</v>
      </c>
    </row>
    <row r="961" spans="1:16" x14ac:dyDescent="0.55000000000000004">
      <c r="A961" t="s">
        <v>3301</v>
      </c>
      <c r="B961" t="s">
        <v>3302</v>
      </c>
      <c r="C961" s="4" t="str">
        <f>IFERROR(VLOOKUP(B961,infoTable10[],4,FALSE),"")</f>
        <v/>
      </c>
      <c r="D961" s="4" t="str">
        <f>IFERROR(VLOOKUP(B961,infoTable__2[],4,FALSE),"")</f>
        <v/>
      </c>
      <c r="E961" s="4" t="str">
        <f>IFERROR(VLOOKUP(B961,infoTable__3[],4,FALSE),"")</f>
        <v/>
      </c>
      <c r="F961" s="4" t="str">
        <f>IFERROR(VLOOKUP(B961,infoTable__4[],4,FALSE),"")</f>
        <v/>
      </c>
      <c r="G961" s="4" t="str">
        <f>IFERROR(VLOOKUP(B961,infoTable[],4,FALSE),"")</f>
        <v/>
      </c>
      <c r="H961" s="4" t="str">
        <f>IFERROR(VLOOKUP(B961,infoTable__6[],4,FALSE),"")</f>
        <v/>
      </c>
      <c r="I961" s="4" t="str">
        <f>IFERROR(VLOOKUP(B961,infoTable__28[],4,FALSE),"")</f>
        <v/>
      </c>
      <c r="J961" s="4" t="str">
        <f>IFERROR(VLOOKUP(B961,infoTable__10[],4,FALSE),"")</f>
        <v/>
      </c>
      <c r="K961" s="4" t="str">
        <f>IFERROR(VLOOKUP(B961,infoTable__11[],4,FALSE),"")</f>
        <v/>
      </c>
      <c r="L961" s="4" t="str">
        <f>IFERROR(VLOOKUP(B961,infoTable__12[],4,FALSE),"")</f>
        <v/>
      </c>
      <c r="M961" s="4" t="str">
        <f>IFERROR(VLOOKUP(B961,infoTable__13[],4,FALSE),"")</f>
        <v/>
      </c>
      <c r="N961" s="4" t="str">
        <f>IFERROR(VLOOKUP(B961,infoTable__14[],4,FALSE),"")</f>
        <v/>
      </c>
      <c r="O961" s="4" t="str">
        <f>IFERROR(VLOOKUP(B961,infoTable__15[],4,FALSE),"")</f>
        <v/>
      </c>
      <c r="P961" s="4">
        <f>IFERROR(VLOOKUP(B961,infoTable__16[],4,FALSE),"")</f>
        <v>379370</v>
      </c>
    </row>
    <row r="962" spans="1:16" x14ac:dyDescent="0.55000000000000004">
      <c r="A962" t="s">
        <v>1203</v>
      </c>
      <c r="B962" t="s">
        <v>1204</v>
      </c>
      <c r="C962" s="4" t="str">
        <f>IFERROR(VLOOKUP(B962,infoTable10[],4,FALSE),"")</f>
        <v/>
      </c>
      <c r="D962" s="4" t="str">
        <f>IFERROR(VLOOKUP(B962,infoTable__2[],4,FALSE),"")</f>
        <v/>
      </c>
      <c r="E962" s="4" t="str">
        <f>IFERROR(VLOOKUP(B962,infoTable__3[],4,FALSE),"")</f>
        <v/>
      </c>
      <c r="F962" s="4" t="str">
        <f>IFERROR(VLOOKUP(B962,infoTable__4[],4,FALSE),"")</f>
        <v/>
      </c>
      <c r="G962" s="4" t="str">
        <f>IFERROR(VLOOKUP(B962,infoTable[],4,FALSE),"")</f>
        <v/>
      </c>
      <c r="H962" s="4" t="str">
        <f>IFERROR(VLOOKUP(B962,infoTable__6[],4,FALSE),"")</f>
        <v/>
      </c>
      <c r="I962" s="4">
        <f>IFERROR(VLOOKUP(B962,infoTable__28[],4,FALSE),"")</f>
        <v>1524866</v>
      </c>
      <c r="J962" s="4" t="str">
        <f>IFERROR(VLOOKUP(B962,infoTable__10[],4,FALSE),"")</f>
        <v/>
      </c>
      <c r="K962" s="4" t="str">
        <f>IFERROR(VLOOKUP(B962,infoTable__11[],4,FALSE),"")</f>
        <v/>
      </c>
      <c r="L962" s="4" t="str">
        <f>IFERROR(VLOOKUP(B962,infoTable__12[],4,FALSE),"")</f>
        <v/>
      </c>
      <c r="M962" s="4">
        <f>IFERROR(VLOOKUP(B962,infoTable__13[],4,FALSE),"")</f>
        <v>1090771</v>
      </c>
      <c r="N962" s="4">
        <f>IFERROR(VLOOKUP(B962,infoTable__14[],4,FALSE),"")</f>
        <v>1219920</v>
      </c>
      <c r="O962" s="4">
        <f>IFERROR(VLOOKUP(B962,infoTable__15[],4,FALSE),"")</f>
        <v>1053309</v>
      </c>
      <c r="P962" s="4">
        <f>IFERROR(VLOOKUP(B962,infoTable__16[],4,FALSE),"")</f>
        <v>922261</v>
      </c>
    </row>
    <row r="963" spans="1:16" x14ac:dyDescent="0.55000000000000004">
      <c r="A963" t="s">
        <v>829</v>
      </c>
      <c r="B963" t="s">
        <v>831</v>
      </c>
      <c r="C963" s="4" t="str">
        <f>IFERROR(VLOOKUP(B963,infoTable10[],4,FALSE),"")</f>
        <v/>
      </c>
      <c r="D963" s="4" t="str">
        <f>IFERROR(VLOOKUP(B963,infoTable__2[],4,FALSE),"")</f>
        <v/>
      </c>
      <c r="E963" s="4" t="str">
        <f>IFERROR(VLOOKUP(B963,infoTable__3[],4,FALSE),"")</f>
        <v/>
      </c>
      <c r="F963" s="4">
        <f>IFERROR(VLOOKUP(B963,infoTable__4[],4,FALSE),"")</f>
        <v>427030</v>
      </c>
      <c r="G963" s="4" t="str">
        <f>IFERROR(VLOOKUP(B963,infoTable[],4,FALSE),"")</f>
        <v/>
      </c>
      <c r="H963" s="4" t="str">
        <f>IFERROR(VLOOKUP(B963,infoTable__6[],4,FALSE),"")</f>
        <v/>
      </c>
      <c r="I963" s="4" t="str">
        <f>IFERROR(VLOOKUP(B963,infoTable__28[],4,FALSE),"")</f>
        <v/>
      </c>
      <c r="J963" s="4" t="str">
        <f>IFERROR(VLOOKUP(B963,infoTable__10[],4,FALSE),"")</f>
        <v/>
      </c>
      <c r="K963" s="4" t="str">
        <f>IFERROR(VLOOKUP(B963,infoTable__11[],4,FALSE),"")</f>
        <v/>
      </c>
      <c r="L963" s="4" t="str">
        <f>IFERROR(VLOOKUP(B963,infoTable__12[],4,FALSE),"")</f>
        <v/>
      </c>
      <c r="M963" s="4" t="str">
        <f>IFERROR(VLOOKUP(B963,infoTable__13[],4,FALSE),"")</f>
        <v/>
      </c>
      <c r="N963" s="4" t="str">
        <f>IFERROR(VLOOKUP(B963,infoTable__14[],4,FALSE),"")</f>
        <v/>
      </c>
      <c r="O963" s="4" t="str">
        <f>IFERROR(VLOOKUP(B963,infoTable__15[],4,FALSE),"")</f>
        <v/>
      </c>
      <c r="P963" s="4" t="str">
        <f>IFERROR(VLOOKUP(B963,infoTable__16[],4,FALSE),"")</f>
        <v/>
      </c>
    </row>
    <row r="964" spans="1:16" x14ac:dyDescent="0.55000000000000004">
      <c r="A964" t="s">
        <v>832</v>
      </c>
      <c r="B964" t="s">
        <v>833</v>
      </c>
      <c r="C964" s="4" t="str">
        <f>IFERROR(VLOOKUP(B964,infoTable10[],4,FALSE),"")</f>
        <v/>
      </c>
      <c r="D964" s="4" t="str">
        <f>IFERROR(VLOOKUP(B964,infoTable__2[],4,FALSE),"")</f>
        <v/>
      </c>
      <c r="E964" s="4" t="str">
        <f>IFERROR(VLOOKUP(B964,infoTable__3[],4,FALSE),"")</f>
        <v/>
      </c>
      <c r="F964" s="4">
        <f>IFERROR(VLOOKUP(B964,infoTable__4[],4,FALSE),"")</f>
        <v>792665</v>
      </c>
      <c r="G964" s="4" t="str">
        <f>IFERROR(VLOOKUP(B964,infoTable[],4,FALSE),"")</f>
        <v/>
      </c>
      <c r="H964" s="4" t="str">
        <f>IFERROR(VLOOKUP(B964,infoTable__6[],4,FALSE),"")</f>
        <v/>
      </c>
      <c r="I964" s="4">
        <f>IFERROR(VLOOKUP(B964,infoTable__28[],4,FALSE),"")</f>
        <v>1605245</v>
      </c>
      <c r="J964" s="4" t="str">
        <f>IFERROR(VLOOKUP(B964,infoTable__10[],4,FALSE),"")</f>
        <v/>
      </c>
      <c r="K964" s="4" t="str">
        <f>IFERROR(VLOOKUP(B964,infoTable__11[],4,FALSE),"")</f>
        <v/>
      </c>
      <c r="L964" s="4">
        <f>IFERROR(VLOOKUP(B964,infoTable__12[],4,FALSE),"")</f>
        <v>1634568</v>
      </c>
      <c r="M964" s="4">
        <f>IFERROR(VLOOKUP(B964,infoTable__13[],4,FALSE),"")</f>
        <v>3528857</v>
      </c>
      <c r="N964" s="4">
        <f>IFERROR(VLOOKUP(B964,infoTable__14[],4,FALSE),"")</f>
        <v>2036459</v>
      </c>
      <c r="O964" s="4">
        <f>IFERROR(VLOOKUP(B964,infoTable__15[],4,FALSE),"")</f>
        <v>4508229</v>
      </c>
      <c r="P964" s="4">
        <f>IFERROR(VLOOKUP(B964,infoTable__16[],4,FALSE),"")</f>
        <v>1661656</v>
      </c>
    </row>
    <row r="965" spans="1:16" x14ac:dyDescent="0.55000000000000004">
      <c r="A965" t="s">
        <v>3018</v>
      </c>
      <c r="B965" t="s">
        <v>3019</v>
      </c>
      <c r="C965" s="4" t="str">
        <f>IFERROR(VLOOKUP(B965,infoTable10[],4,FALSE),"")</f>
        <v/>
      </c>
      <c r="D965" s="4" t="str">
        <f>IFERROR(VLOOKUP(B965,infoTable__2[],4,FALSE),"")</f>
        <v/>
      </c>
      <c r="E965" s="4" t="str">
        <f>IFERROR(VLOOKUP(B965,infoTable__3[],4,FALSE),"")</f>
        <v/>
      </c>
      <c r="F965" s="4" t="str">
        <f>IFERROR(VLOOKUP(B965,infoTable__4[],4,FALSE),"")</f>
        <v/>
      </c>
      <c r="G965" s="4" t="str">
        <f>IFERROR(VLOOKUP(B965,infoTable[],4,FALSE),"")</f>
        <v/>
      </c>
      <c r="H965" s="4" t="str">
        <f>IFERROR(VLOOKUP(B965,infoTable__6[],4,FALSE),"")</f>
        <v/>
      </c>
      <c r="I965" s="4" t="str">
        <f>IFERROR(VLOOKUP(B965,infoTable__28[],4,FALSE),"")</f>
        <v/>
      </c>
      <c r="J965" s="4" t="str">
        <f>IFERROR(VLOOKUP(B965,infoTable__10[],4,FALSE),"")</f>
        <v/>
      </c>
      <c r="K965" s="4" t="str">
        <f>IFERROR(VLOOKUP(B965,infoTable__11[],4,FALSE),"")</f>
        <v/>
      </c>
      <c r="L965" s="4" t="str">
        <f>IFERROR(VLOOKUP(B965,infoTable__12[],4,FALSE),"")</f>
        <v/>
      </c>
      <c r="M965" s="4" t="str">
        <f>IFERROR(VLOOKUP(B965,infoTable__13[],4,FALSE),"")</f>
        <v/>
      </c>
      <c r="N965" s="4" t="str">
        <f>IFERROR(VLOOKUP(B965,infoTable__14[],4,FALSE),"")</f>
        <v/>
      </c>
      <c r="O965" s="4">
        <f>IFERROR(VLOOKUP(B965,infoTable__15[],4,FALSE),"")</f>
        <v>977567</v>
      </c>
      <c r="P965" s="4">
        <f>IFERROR(VLOOKUP(B965,infoTable__16[],4,FALSE),"")</f>
        <v>1327336</v>
      </c>
    </row>
    <row r="966" spans="1:16" x14ac:dyDescent="0.55000000000000004">
      <c r="A966" t="s">
        <v>2449</v>
      </c>
      <c r="B966" t="s">
        <v>2450</v>
      </c>
      <c r="C966" s="4" t="str">
        <f>IFERROR(VLOOKUP(B966,infoTable10[],4,FALSE),"")</f>
        <v/>
      </c>
      <c r="D966" s="4" t="str">
        <f>IFERROR(VLOOKUP(B966,infoTable__2[],4,FALSE),"")</f>
        <v/>
      </c>
      <c r="E966" s="4" t="str">
        <f>IFERROR(VLOOKUP(B966,infoTable__3[],4,FALSE),"")</f>
        <v/>
      </c>
      <c r="F966" s="4" t="str">
        <f>IFERROR(VLOOKUP(B966,infoTable__4[],4,FALSE),"")</f>
        <v/>
      </c>
      <c r="G966" s="4" t="str">
        <f>IFERROR(VLOOKUP(B966,infoTable[],4,FALSE),"")</f>
        <v/>
      </c>
      <c r="H966" s="4" t="str">
        <f>IFERROR(VLOOKUP(B966,infoTable__6[],4,FALSE),"")</f>
        <v/>
      </c>
      <c r="I966" s="4" t="str">
        <f>IFERROR(VLOOKUP(B966,infoTable__28[],4,FALSE),"")</f>
        <v/>
      </c>
      <c r="J966" s="4" t="str">
        <f>IFERROR(VLOOKUP(B966,infoTable__10[],4,FALSE),"")</f>
        <v/>
      </c>
      <c r="K966" s="4" t="str">
        <f>IFERROR(VLOOKUP(B966,infoTable__11[],4,FALSE),"")</f>
        <v/>
      </c>
      <c r="L966" s="4" t="str">
        <f>IFERROR(VLOOKUP(B966,infoTable__12[],4,FALSE),"")</f>
        <v/>
      </c>
      <c r="M966" s="4">
        <f>IFERROR(VLOOKUP(B966,infoTable__13[],4,FALSE),"")</f>
        <v>695028</v>
      </c>
      <c r="N966" s="4">
        <f>IFERROR(VLOOKUP(B966,infoTable__14[],4,FALSE),"")</f>
        <v>986250</v>
      </c>
      <c r="O966" s="4">
        <f>IFERROR(VLOOKUP(B966,infoTable__15[],4,FALSE),"")</f>
        <v>306680</v>
      </c>
      <c r="P966" s="4" t="str">
        <f>IFERROR(VLOOKUP(B966,infoTable__16[],4,FALSE),"")</f>
        <v/>
      </c>
    </row>
    <row r="967" spans="1:16" x14ac:dyDescent="0.55000000000000004">
      <c r="A967" t="s">
        <v>834</v>
      </c>
      <c r="B967" t="s">
        <v>835</v>
      </c>
      <c r="C967" s="4" t="str">
        <f>IFERROR(VLOOKUP(B967,infoTable10[],4,FALSE),"")</f>
        <v/>
      </c>
      <c r="D967" s="4" t="str">
        <f>IFERROR(VLOOKUP(B967,infoTable__2[],4,FALSE),"")</f>
        <v/>
      </c>
      <c r="E967" s="4" t="str">
        <f>IFERROR(VLOOKUP(B967,infoTable__3[],4,FALSE),"")</f>
        <v/>
      </c>
      <c r="F967" s="4">
        <f>IFERROR(VLOOKUP(B967,infoTable__4[],4,FALSE),"")</f>
        <v>366972</v>
      </c>
      <c r="G967" s="4" t="str">
        <f>IFERROR(VLOOKUP(B967,infoTable[],4,FALSE),"")</f>
        <v/>
      </c>
      <c r="H967" s="4" t="str">
        <f>IFERROR(VLOOKUP(B967,infoTable__6[],4,FALSE),"")</f>
        <v/>
      </c>
      <c r="I967" s="4" t="str">
        <f>IFERROR(VLOOKUP(B967,infoTable__28[],4,FALSE),"")</f>
        <v/>
      </c>
      <c r="J967" s="4" t="str">
        <f>IFERROR(VLOOKUP(B967,infoTable__10[],4,FALSE),"")</f>
        <v/>
      </c>
      <c r="K967" s="4" t="str">
        <f>IFERROR(VLOOKUP(B967,infoTable__11[],4,FALSE),"")</f>
        <v/>
      </c>
      <c r="L967" s="4" t="str">
        <f>IFERROR(VLOOKUP(B967,infoTable__12[],4,FALSE),"")</f>
        <v/>
      </c>
      <c r="M967" s="4" t="str">
        <f>IFERROR(VLOOKUP(B967,infoTable__13[],4,FALSE),"")</f>
        <v/>
      </c>
      <c r="N967" s="4" t="str">
        <f>IFERROR(VLOOKUP(B967,infoTable__14[],4,FALSE),"")</f>
        <v/>
      </c>
      <c r="O967" s="4" t="str">
        <f>IFERROR(VLOOKUP(B967,infoTable__15[],4,FALSE),"")</f>
        <v/>
      </c>
      <c r="P967" s="4">
        <f>IFERROR(VLOOKUP(B967,infoTable__16[],4,FALSE),"")</f>
        <v>444976</v>
      </c>
    </row>
    <row r="968" spans="1:16" x14ac:dyDescent="0.55000000000000004">
      <c r="A968" t="s">
        <v>836</v>
      </c>
      <c r="B968" t="s">
        <v>837</v>
      </c>
      <c r="C968" s="4" t="str">
        <f>IFERROR(VLOOKUP(B968,infoTable10[],4,FALSE),"")</f>
        <v/>
      </c>
      <c r="D968" s="4" t="str">
        <f>IFERROR(VLOOKUP(B968,infoTable__2[],4,FALSE),"")</f>
        <v/>
      </c>
      <c r="E968" s="4" t="str">
        <f>IFERROR(VLOOKUP(B968,infoTable__3[],4,FALSE),"")</f>
        <v/>
      </c>
      <c r="F968" s="4">
        <f>IFERROR(VLOOKUP(B968,infoTable__4[],4,FALSE),"")</f>
        <v>220059</v>
      </c>
      <c r="G968" s="4" t="str">
        <f>IFERROR(VLOOKUP(B968,infoTable[],4,FALSE),"")</f>
        <v/>
      </c>
      <c r="H968" s="4" t="str">
        <f>IFERROR(VLOOKUP(B968,infoTable__6[],4,FALSE),"")</f>
        <v/>
      </c>
      <c r="I968" s="4">
        <f>IFERROR(VLOOKUP(B968,infoTable__28[],4,FALSE),"")</f>
        <v>575131</v>
      </c>
      <c r="J968" s="4" t="str">
        <f>IFERROR(VLOOKUP(B968,infoTable__10[],4,FALSE),"")</f>
        <v/>
      </c>
      <c r="K968" s="4" t="str">
        <f>IFERROR(VLOOKUP(B968,infoTable__11[],4,FALSE),"")</f>
        <v/>
      </c>
      <c r="L968" s="4" t="str">
        <f>IFERROR(VLOOKUP(B968,infoTable__12[],4,FALSE),"")</f>
        <v/>
      </c>
      <c r="M968" s="4" t="str">
        <f>IFERROR(VLOOKUP(B968,infoTable__13[],4,FALSE),"")</f>
        <v/>
      </c>
      <c r="N968" s="4" t="str">
        <f>IFERROR(VLOOKUP(B968,infoTable__14[],4,FALSE),"")</f>
        <v/>
      </c>
      <c r="O968" s="4" t="str">
        <f>IFERROR(VLOOKUP(B968,infoTable__15[],4,FALSE),"")</f>
        <v/>
      </c>
      <c r="P968" s="4" t="str">
        <f>IFERROR(VLOOKUP(B968,infoTable__16[],4,FALSE),"")</f>
        <v/>
      </c>
    </row>
    <row r="969" spans="1:16" x14ac:dyDescent="0.55000000000000004">
      <c r="A969" t="s">
        <v>551</v>
      </c>
      <c r="B969" t="s">
        <v>552</v>
      </c>
      <c r="C969" s="4" t="str">
        <f>IFERROR(VLOOKUP(B969,infoTable10[],4,FALSE),"")</f>
        <v/>
      </c>
      <c r="D969" s="4">
        <f>IFERROR(VLOOKUP(B969,infoTable__2[],4,FALSE),"")</f>
        <v>261755</v>
      </c>
      <c r="E969" s="4" t="str">
        <f>IFERROR(VLOOKUP(B969,infoTable__3[],4,FALSE),"")</f>
        <v/>
      </c>
      <c r="F969" s="4" t="str">
        <f>IFERROR(VLOOKUP(B969,infoTable__4[],4,FALSE),"")</f>
        <v/>
      </c>
      <c r="G969" s="4" t="str">
        <f>IFERROR(VLOOKUP(B969,infoTable[],4,FALSE),"")</f>
        <v/>
      </c>
      <c r="H969" s="4" t="str">
        <f>IFERROR(VLOOKUP(B969,infoTable__6[],4,FALSE),"")</f>
        <v/>
      </c>
      <c r="I969" s="4" t="str">
        <f>IFERROR(VLOOKUP(B969,infoTable__28[],4,FALSE),"")</f>
        <v/>
      </c>
      <c r="J969" s="4" t="str">
        <f>IFERROR(VLOOKUP(B969,infoTable__10[],4,FALSE),"")</f>
        <v/>
      </c>
      <c r="K969" s="4" t="str">
        <f>IFERROR(VLOOKUP(B969,infoTable__11[],4,FALSE),"")</f>
        <v/>
      </c>
      <c r="L969" s="4" t="str">
        <f>IFERROR(VLOOKUP(B969,infoTable__12[],4,FALSE),"")</f>
        <v/>
      </c>
      <c r="M969" s="4" t="str">
        <f>IFERROR(VLOOKUP(B969,infoTable__13[],4,FALSE),"")</f>
        <v/>
      </c>
      <c r="N969" s="4">
        <f>IFERROR(VLOOKUP(B969,infoTable__14[],4,FALSE),"")</f>
        <v>823525</v>
      </c>
      <c r="O969" s="4">
        <f>IFERROR(VLOOKUP(B969,infoTable__15[],4,FALSE),"")</f>
        <v>1173242</v>
      </c>
      <c r="P969" s="4" t="str">
        <f>IFERROR(VLOOKUP(B969,infoTable__16[],4,FALSE),"")</f>
        <v/>
      </c>
    </row>
    <row r="970" spans="1:16" x14ac:dyDescent="0.55000000000000004">
      <c r="A970" t="s">
        <v>3309</v>
      </c>
      <c r="B970" t="s">
        <v>3310</v>
      </c>
      <c r="C970" s="4" t="str">
        <f>IFERROR(VLOOKUP(B970,infoTable10[],4,FALSE),"")</f>
        <v/>
      </c>
      <c r="D970" s="4" t="str">
        <f>IFERROR(VLOOKUP(B970,infoTable__2[],4,FALSE),"")</f>
        <v/>
      </c>
      <c r="E970" s="4" t="str">
        <f>IFERROR(VLOOKUP(B970,infoTable__3[],4,FALSE),"")</f>
        <v/>
      </c>
      <c r="F970" s="4" t="str">
        <f>IFERROR(VLOOKUP(B970,infoTable__4[],4,FALSE),"")</f>
        <v/>
      </c>
      <c r="G970" s="4" t="str">
        <f>IFERROR(VLOOKUP(B970,infoTable[],4,FALSE),"")</f>
        <v/>
      </c>
      <c r="H970" s="4" t="str">
        <f>IFERROR(VLOOKUP(B970,infoTable__6[],4,FALSE),"")</f>
        <v/>
      </c>
      <c r="I970" s="4" t="str">
        <f>IFERROR(VLOOKUP(B970,infoTable__28[],4,FALSE),"")</f>
        <v/>
      </c>
      <c r="J970" s="4" t="str">
        <f>IFERROR(VLOOKUP(B970,infoTable__10[],4,FALSE),"")</f>
        <v/>
      </c>
      <c r="K970" s="4" t="str">
        <f>IFERROR(VLOOKUP(B970,infoTable__11[],4,FALSE),"")</f>
        <v/>
      </c>
      <c r="L970" s="4" t="str">
        <f>IFERROR(VLOOKUP(B970,infoTable__12[],4,FALSE),"")</f>
        <v/>
      </c>
      <c r="M970" s="4" t="str">
        <f>IFERROR(VLOOKUP(B970,infoTable__13[],4,FALSE),"")</f>
        <v/>
      </c>
      <c r="N970" s="4" t="str">
        <f>IFERROR(VLOOKUP(B970,infoTable__14[],4,FALSE),"")</f>
        <v/>
      </c>
      <c r="O970" s="4" t="str">
        <f>IFERROR(VLOOKUP(B970,infoTable__15[],4,FALSE),"")</f>
        <v/>
      </c>
      <c r="P970" s="4">
        <f>IFERROR(VLOOKUP(B970,infoTable__16[],4,FALSE),"")</f>
        <v>1153188</v>
      </c>
    </row>
    <row r="971" spans="1:16" x14ac:dyDescent="0.55000000000000004">
      <c r="A971" t="s">
        <v>2145</v>
      </c>
      <c r="B971" t="s">
        <v>2146</v>
      </c>
      <c r="C971" s="4" t="str">
        <f>IFERROR(VLOOKUP(B971,infoTable10[],4,FALSE),"")</f>
        <v/>
      </c>
      <c r="D971" s="4" t="str">
        <f>IFERROR(VLOOKUP(B971,infoTable__2[],4,FALSE),"")</f>
        <v/>
      </c>
      <c r="E971" s="4" t="str">
        <f>IFERROR(VLOOKUP(B971,infoTable__3[],4,FALSE),"")</f>
        <v/>
      </c>
      <c r="F971" s="4" t="str">
        <f>IFERROR(VLOOKUP(B971,infoTable__4[],4,FALSE),"")</f>
        <v/>
      </c>
      <c r="G971" s="4" t="str">
        <f>IFERROR(VLOOKUP(B971,infoTable[],4,FALSE),"")</f>
        <v/>
      </c>
      <c r="H971" s="4" t="str">
        <f>IFERROR(VLOOKUP(B971,infoTable__6[],4,FALSE),"")</f>
        <v/>
      </c>
      <c r="I971" s="4" t="str">
        <f>IFERROR(VLOOKUP(B971,infoTable__28[],4,FALSE),"")</f>
        <v/>
      </c>
      <c r="J971" s="4" t="str">
        <f>IFERROR(VLOOKUP(B971,infoTable__10[],4,FALSE),"")</f>
        <v/>
      </c>
      <c r="K971" s="4" t="str">
        <f>IFERROR(VLOOKUP(B971,infoTable__11[],4,FALSE),"")</f>
        <v/>
      </c>
      <c r="L971" s="4">
        <f>IFERROR(VLOOKUP(B971,infoTable__12[],4,FALSE),"")</f>
        <v>3161887</v>
      </c>
      <c r="M971" s="4">
        <f>IFERROR(VLOOKUP(B971,infoTable__13[],4,FALSE),"")</f>
        <v>1732607</v>
      </c>
      <c r="N971" s="4">
        <f>IFERROR(VLOOKUP(B971,infoTable__14[],4,FALSE),"")</f>
        <v>714491</v>
      </c>
      <c r="O971" s="4">
        <f>IFERROR(VLOOKUP(B971,infoTable__15[],4,FALSE),"")</f>
        <v>485832</v>
      </c>
      <c r="P971" s="4">
        <f>IFERROR(VLOOKUP(B971,infoTable__16[],4,FALSE),"")</f>
        <v>504923</v>
      </c>
    </row>
    <row r="972" spans="1:16" x14ac:dyDescent="0.55000000000000004">
      <c r="A972" t="s">
        <v>2147</v>
      </c>
      <c r="B972" t="s">
        <v>2148</v>
      </c>
      <c r="C972" s="4" t="str">
        <f>IFERROR(VLOOKUP(B972,infoTable10[],4,FALSE),"")</f>
        <v/>
      </c>
      <c r="D972" s="4" t="str">
        <f>IFERROR(VLOOKUP(B972,infoTable__2[],4,FALSE),"")</f>
        <v/>
      </c>
      <c r="E972" s="4" t="str">
        <f>IFERROR(VLOOKUP(B972,infoTable__3[],4,FALSE),"")</f>
        <v/>
      </c>
      <c r="F972" s="4" t="str">
        <f>IFERROR(VLOOKUP(B972,infoTable__4[],4,FALSE),"")</f>
        <v/>
      </c>
      <c r="G972" s="4" t="str">
        <f>IFERROR(VLOOKUP(B972,infoTable[],4,FALSE),"")</f>
        <v/>
      </c>
      <c r="H972" s="4" t="str">
        <f>IFERROR(VLOOKUP(B972,infoTable__6[],4,FALSE),"")</f>
        <v/>
      </c>
      <c r="I972" s="4" t="str">
        <f>IFERROR(VLOOKUP(B972,infoTable__28[],4,FALSE),"")</f>
        <v/>
      </c>
      <c r="J972" s="4" t="str">
        <f>IFERROR(VLOOKUP(B972,infoTable__10[],4,FALSE),"")</f>
        <v/>
      </c>
      <c r="K972" s="4" t="str">
        <f>IFERROR(VLOOKUP(B972,infoTable__11[],4,FALSE),"")</f>
        <v/>
      </c>
      <c r="L972" s="4">
        <f>IFERROR(VLOOKUP(B972,infoTable__12[],4,FALSE),"")</f>
        <v>62430</v>
      </c>
      <c r="M972" s="4" t="str">
        <f>IFERROR(VLOOKUP(B972,infoTable__13[],4,FALSE),"")</f>
        <v/>
      </c>
      <c r="N972" s="4" t="str">
        <f>IFERROR(VLOOKUP(B972,infoTable__14[],4,FALSE),"")</f>
        <v/>
      </c>
      <c r="O972" s="4" t="str">
        <f>IFERROR(VLOOKUP(B972,infoTable__15[],4,FALSE),"")</f>
        <v/>
      </c>
      <c r="P972" s="4" t="str">
        <f>IFERROR(VLOOKUP(B972,infoTable__16[],4,FALSE),"")</f>
        <v/>
      </c>
    </row>
    <row r="973" spans="1:16" x14ac:dyDescent="0.55000000000000004">
      <c r="A973" t="s">
        <v>2149</v>
      </c>
      <c r="B973" t="s">
        <v>2150</v>
      </c>
      <c r="C973" s="4" t="str">
        <f>IFERROR(VLOOKUP(B973,infoTable10[],4,FALSE),"")</f>
        <v/>
      </c>
      <c r="D973" s="4" t="str">
        <f>IFERROR(VLOOKUP(B973,infoTable__2[],4,FALSE),"")</f>
        <v/>
      </c>
      <c r="E973" s="4" t="str">
        <f>IFERROR(VLOOKUP(B973,infoTable__3[],4,FALSE),"")</f>
        <v/>
      </c>
      <c r="F973" s="4" t="str">
        <f>IFERROR(VLOOKUP(B973,infoTable__4[],4,FALSE),"")</f>
        <v/>
      </c>
      <c r="G973" s="4" t="str">
        <f>IFERROR(VLOOKUP(B973,infoTable[],4,FALSE),"")</f>
        <v/>
      </c>
      <c r="H973" s="4" t="str">
        <f>IFERROR(VLOOKUP(B973,infoTable__6[],4,FALSE),"")</f>
        <v/>
      </c>
      <c r="I973" s="4" t="str">
        <f>IFERROR(VLOOKUP(B973,infoTable__28[],4,FALSE),"")</f>
        <v/>
      </c>
      <c r="J973" s="4" t="str">
        <f>IFERROR(VLOOKUP(B973,infoTable__10[],4,FALSE),"")</f>
        <v/>
      </c>
      <c r="K973" s="4" t="str">
        <f>IFERROR(VLOOKUP(B973,infoTable__11[],4,FALSE),"")</f>
        <v/>
      </c>
      <c r="L973" s="4">
        <f>IFERROR(VLOOKUP(B973,infoTable__12[],4,FALSE),"")</f>
        <v>388062</v>
      </c>
      <c r="M973" s="4">
        <f>IFERROR(VLOOKUP(B973,infoTable__13[],4,FALSE),"")</f>
        <v>1238227</v>
      </c>
      <c r="N973" s="4">
        <f>IFERROR(VLOOKUP(B973,infoTable__14[],4,FALSE),"")</f>
        <v>1193760</v>
      </c>
      <c r="O973" s="4" t="str">
        <f>IFERROR(VLOOKUP(B973,infoTable__15[],4,FALSE),"")</f>
        <v/>
      </c>
      <c r="P973" s="4" t="str">
        <f>IFERROR(VLOOKUP(B973,infoTable__16[],4,FALSE),"")</f>
        <v/>
      </c>
    </row>
    <row r="974" spans="1:16" x14ac:dyDescent="0.55000000000000004">
      <c r="A974" t="s">
        <v>2454</v>
      </c>
      <c r="B974" t="s">
        <v>2455</v>
      </c>
      <c r="C974" s="4" t="str">
        <f>IFERROR(VLOOKUP(B974,infoTable10[],4,FALSE),"")</f>
        <v/>
      </c>
      <c r="D974" s="4" t="str">
        <f>IFERROR(VLOOKUP(B974,infoTable__2[],4,FALSE),"")</f>
        <v/>
      </c>
      <c r="E974" s="4" t="str">
        <f>IFERROR(VLOOKUP(B974,infoTable__3[],4,FALSE),"")</f>
        <v/>
      </c>
      <c r="F974" s="4" t="str">
        <f>IFERROR(VLOOKUP(B974,infoTable__4[],4,FALSE),"")</f>
        <v/>
      </c>
      <c r="G974" s="4" t="str">
        <f>IFERROR(VLOOKUP(B974,infoTable[],4,FALSE),"")</f>
        <v/>
      </c>
      <c r="H974" s="4" t="str">
        <f>IFERROR(VLOOKUP(B974,infoTable__6[],4,FALSE),"")</f>
        <v/>
      </c>
      <c r="I974" s="4" t="str">
        <f>IFERROR(VLOOKUP(B974,infoTable__28[],4,FALSE),"")</f>
        <v/>
      </c>
      <c r="J974" s="4" t="str">
        <f>IFERROR(VLOOKUP(B974,infoTable__10[],4,FALSE),"")</f>
        <v/>
      </c>
      <c r="K974" s="4" t="str">
        <f>IFERROR(VLOOKUP(B974,infoTable__11[],4,FALSE),"")</f>
        <v/>
      </c>
      <c r="L974" s="4" t="str">
        <f>IFERROR(VLOOKUP(B974,infoTable__12[],4,FALSE),"")</f>
        <v/>
      </c>
      <c r="M974" s="4">
        <f>IFERROR(VLOOKUP(B974,infoTable__13[],4,FALSE),"")</f>
        <v>1017944</v>
      </c>
      <c r="N974" s="4">
        <f>IFERROR(VLOOKUP(B974,infoTable__14[],4,FALSE),"")</f>
        <v>713153</v>
      </c>
      <c r="O974" s="4" t="str">
        <f>IFERROR(VLOOKUP(B974,infoTable__15[],4,FALSE),"")</f>
        <v/>
      </c>
      <c r="P974" s="4" t="str">
        <f>IFERROR(VLOOKUP(B974,infoTable__16[],4,FALSE),"")</f>
        <v/>
      </c>
    </row>
    <row r="975" spans="1:16" x14ac:dyDescent="0.55000000000000004">
      <c r="A975" t="s">
        <v>1649</v>
      </c>
      <c r="B975" t="s">
        <v>1650</v>
      </c>
      <c r="C975" s="4" t="str">
        <f>IFERROR(VLOOKUP(B975,infoTable10[],4,FALSE),"")</f>
        <v/>
      </c>
      <c r="D975" s="4" t="str">
        <f>IFERROR(VLOOKUP(B975,infoTable__2[],4,FALSE),"")</f>
        <v/>
      </c>
      <c r="E975" s="4" t="str">
        <f>IFERROR(VLOOKUP(B975,infoTable__3[],4,FALSE),"")</f>
        <v/>
      </c>
      <c r="F975" s="4" t="str">
        <f>IFERROR(VLOOKUP(B975,infoTable__4[],4,FALSE),"")</f>
        <v/>
      </c>
      <c r="G975" s="4" t="str">
        <f>IFERROR(VLOOKUP(B975,infoTable[],4,FALSE),"")</f>
        <v/>
      </c>
      <c r="H975" s="4" t="str">
        <f>IFERROR(VLOOKUP(B975,infoTable__6[],4,FALSE),"")</f>
        <v/>
      </c>
      <c r="I975" s="4" t="str">
        <f>IFERROR(VLOOKUP(B975,infoTable__28[],4,FALSE),"")</f>
        <v/>
      </c>
      <c r="J975" s="4">
        <f>IFERROR(VLOOKUP(B975,infoTable__10[],4,FALSE),"")</f>
        <v>4111996</v>
      </c>
      <c r="K975" s="4">
        <f>IFERROR(VLOOKUP(B975,infoTable__11[],4,FALSE),"")</f>
        <v>1239385</v>
      </c>
      <c r="L975" s="4">
        <f>IFERROR(VLOOKUP(B975,infoTable__12[],4,FALSE),"")</f>
        <v>517140</v>
      </c>
      <c r="M975" s="4">
        <f>IFERROR(VLOOKUP(B975,infoTable__13[],4,FALSE),"")</f>
        <v>596303</v>
      </c>
      <c r="N975" s="4">
        <f>IFERROR(VLOOKUP(B975,infoTable__14[],4,FALSE),"")</f>
        <v>278551</v>
      </c>
      <c r="O975" s="4" t="str">
        <f>IFERROR(VLOOKUP(B975,infoTable__15[],4,FALSE),"")</f>
        <v/>
      </c>
      <c r="P975" s="4" t="str">
        <f>IFERROR(VLOOKUP(B975,infoTable__16[],4,FALSE),"")</f>
        <v/>
      </c>
    </row>
    <row r="976" spans="1:16" x14ac:dyDescent="0.55000000000000004">
      <c r="A976" t="s">
        <v>1212</v>
      </c>
      <c r="B976" t="s">
        <v>1213</v>
      </c>
      <c r="C976" s="4" t="str">
        <f>IFERROR(VLOOKUP(B976,infoTable10[],4,FALSE),"")</f>
        <v/>
      </c>
      <c r="D976" s="4" t="str">
        <f>IFERROR(VLOOKUP(B976,infoTable__2[],4,FALSE),"")</f>
        <v/>
      </c>
      <c r="E976" s="4" t="str">
        <f>IFERROR(VLOOKUP(B976,infoTable__3[],4,FALSE),"")</f>
        <v/>
      </c>
      <c r="F976" s="4" t="str">
        <f>IFERROR(VLOOKUP(B976,infoTable__4[],4,FALSE),"")</f>
        <v/>
      </c>
      <c r="G976" s="4" t="str">
        <f>IFERROR(VLOOKUP(B976,infoTable[],4,FALSE),"")</f>
        <v/>
      </c>
      <c r="H976" s="4" t="str">
        <f>IFERROR(VLOOKUP(B976,infoTable__6[],4,FALSE),"")</f>
        <v/>
      </c>
      <c r="I976" s="4">
        <f>IFERROR(VLOOKUP(B976,infoTable__28[],4,FALSE),"")</f>
        <v>902765</v>
      </c>
      <c r="J976" s="4">
        <f>IFERROR(VLOOKUP(B976,infoTable__10[],4,FALSE),"")</f>
        <v>2821934</v>
      </c>
      <c r="K976" s="4" t="str">
        <f>IFERROR(VLOOKUP(B976,infoTable__11[],4,FALSE),"")</f>
        <v/>
      </c>
      <c r="L976" s="4" t="str">
        <f>IFERROR(VLOOKUP(B976,infoTable__12[],4,FALSE),"")</f>
        <v/>
      </c>
      <c r="M976" s="4" t="str">
        <f>IFERROR(VLOOKUP(B976,infoTable__13[],4,FALSE),"")</f>
        <v/>
      </c>
      <c r="N976" s="4" t="str">
        <f>IFERROR(VLOOKUP(B976,infoTable__14[],4,FALSE),"")</f>
        <v/>
      </c>
      <c r="O976" s="4" t="str">
        <f>IFERROR(VLOOKUP(B976,infoTable__15[],4,FALSE),"")</f>
        <v/>
      </c>
      <c r="P976" s="4" t="str">
        <f>IFERROR(VLOOKUP(B976,infoTable__16[],4,FALSE),"")</f>
        <v/>
      </c>
    </row>
    <row r="977" spans="1:16" x14ac:dyDescent="0.55000000000000004">
      <c r="A977" t="s">
        <v>1860</v>
      </c>
      <c r="B977" t="s">
        <v>1861</v>
      </c>
      <c r="C977" s="4" t="str">
        <f>IFERROR(VLOOKUP(B977,infoTable10[],4,FALSE),"")</f>
        <v/>
      </c>
      <c r="D977" s="4" t="str">
        <f>IFERROR(VLOOKUP(B977,infoTable__2[],4,FALSE),"")</f>
        <v/>
      </c>
      <c r="E977" s="4" t="str">
        <f>IFERROR(VLOOKUP(B977,infoTable__3[],4,FALSE),"")</f>
        <v/>
      </c>
      <c r="F977" s="4" t="str">
        <f>IFERROR(VLOOKUP(B977,infoTable__4[],4,FALSE),"")</f>
        <v/>
      </c>
      <c r="G977" s="4" t="str">
        <f>IFERROR(VLOOKUP(B977,infoTable[],4,FALSE),"")</f>
        <v/>
      </c>
      <c r="H977" s="4" t="str">
        <f>IFERROR(VLOOKUP(B977,infoTable__6[],4,FALSE),"")</f>
        <v/>
      </c>
      <c r="I977" s="4" t="str">
        <f>IFERROR(VLOOKUP(B977,infoTable__28[],4,FALSE),"")</f>
        <v/>
      </c>
      <c r="J977" s="4" t="str">
        <f>IFERROR(VLOOKUP(B977,infoTable__10[],4,FALSE),"")</f>
        <v/>
      </c>
      <c r="K977" s="4">
        <f>IFERROR(VLOOKUP(B977,infoTable__11[],4,FALSE),"")</f>
        <v>852679</v>
      </c>
      <c r="L977" s="4">
        <f>IFERROR(VLOOKUP(B977,infoTable__12[],4,FALSE),"")</f>
        <v>466096</v>
      </c>
      <c r="M977" s="4" t="str">
        <f>IFERROR(VLOOKUP(B977,infoTable__13[],4,FALSE),"")</f>
        <v/>
      </c>
      <c r="N977" s="4" t="str">
        <f>IFERROR(VLOOKUP(B977,infoTable__14[],4,FALSE),"")</f>
        <v/>
      </c>
      <c r="O977" s="4" t="str">
        <f>IFERROR(VLOOKUP(B977,infoTable__15[],4,FALSE),"")</f>
        <v/>
      </c>
      <c r="P977" s="4">
        <f>IFERROR(VLOOKUP(B977,infoTable__16[],4,FALSE),"")</f>
        <v>1669042</v>
      </c>
    </row>
    <row r="978" spans="1:16" x14ac:dyDescent="0.55000000000000004">
      <c r="A978" t="s">
        <v>736</v>
      </c>
      <c r="B978" t="s">
        <v>737</v>
      </c>
      <c r="C978" s="4" t="str">
        <f>IFERROR(VLOOKUP(B978,infoTable10[],4,FALSE),"")</f>
        <v/>
      </c>
      <c r="D978" s="4" t="str">
        <f>IFERROR(VLOOKUP(B978,infoTable__2[],4,FALSE),"")</f>
        <v/>
      </c>
      <c r="E978" s="4">
        <f>IFERROR(VLOOKUP(B978,infoTable__3[],4,FALSE),"")</f>
        <v>222621</v>
      </c>
      <c r="F978" s="4" t="str">
        <f>IFERROR(VLOOKUP(B978,infoTable__4[],4,FALSE),"")</f>
        <v/>
      </c>
      <c r="G978" s="4" t="str">
        <f>IFERROR(VLOOKUP(B978,infoTable[],4,FALSE),"")</f>
        <v/>
      </c>
      <c r="H978" s="4" t="str">
        <f>IFERROR(VLOOKUP(B978,infoTable__6[],4,FALSE),"")</f>
        <v/>
      </c>
      <c r="I978" s="4" t="str">
        <f>IFERROR(VLOOKUP(B978,infoTable__28[],4,FALSE),"")</f>
        <v/>
      </c>
      <c r="J978" s="4" t="str">
        <f>IFERROR(VLOOKUP(B978,infoTable__10[],4,FALSE),"")</f>
        <v/>
      </c>
      <c r="K978" s="4" t="str">
        <f>IFERROR(VLOOKUP(B978,infoTable__11[],4,FALSE),"")</f>
        <v/>
      </c>
      <c r="L978" s="4">
        <f>IFERROR(VLOOKUP(B978,infoTable__12[],4,FALSE),"")</f>
        <v>1100562</v>
      </c>
      <c r="M978" s="4" t="str">
        <f>IFERROR(VLOOKUP(B978,infoTable__13[],4,FALSE),"")</f>
        <v/>
      </c>
      <c r="N978" s="4" t="str">
        <f>IFERROR(VLOOKUP(B978,infoTable__14[],4,FALSE),"")</f>
        <v/>
      </c>
      <c r="O978" s="4" t="str">
        <f>IFERROR(VLOOKUP(B978,infoTable__15[],4,FALSE),"")</f>
        <v/>
      </c>
      <c r="P978" s="4" t="str">
        <f>IFERROR(VLOOKUP(B978,infoTable__16[],4,FALSE),"")</f>
        <v/>
      </c>
    </row>
    <row r="979" spans="1:16" x14ac:dyDescent="0.55000000000000004">
      <c r="A979" t="s">
        <v>129</v>
      </c>
      <c r="B979" t="s">
        <v>130</v>
      </c>
      <c r="C979" s="4" t="str">
        <f>IFERROR(VLOOKUP(B979,infoTable10[],4,FALSE),"")</f>
        <v/>
      </c>
      <c r="D979" s="4" t="str">
        <f>IFERROR(VLOOKUP(B979,infoTable__2[],4,FALSE),"")</f>
        <v/>
      </c>
      <c r="E979" s="4" t="str">
        <f>IFERROR(VLOOKUP(B979,infoTable__3[],4,FALSE),"")</f>
        <v/>
      </c>
      <c r="F979" s="4" t="str">
        <f>IFERROR(VLOOKUP(B979,infoTable__4[],4,FALSE),"")</f>
        <v/>
      </c>
      <c r="G979" s="4">
        <f>IFERROR(VLOOKUP(B979,infoTable[],4,FALSE),"")</f>
        <v>588913</v>
      </c>
      <c r="H979" s="4">
        <f>IFERROR(VLOOKUP(B979,infoTable__6[],4,FALSE),"")</f>
        <v>313598</v>
      </c>
      <c r="I979" s="4" t="str">
        <f>IFERROR(VLOOKUP(B979,infoTable__28[],4,FALSE),"")</f>
        <v/>
      </c>
      <c r="J979" s="4" t="str">
        <f>IFERROR(VLOOKUP(B979,infoTable__10[],4,FALSE),"")</f>
        <v/>
      </c>
      <c r="K979" s="4" t="str">
        <f>IFERROR(VLOOKUP(B979,infoTable__11[],4,FALSE),"")</f>
        <v/>
      </c>
      <c r="L979" s="4" t="str">
        <f>IFERROR(VLOOKUP(B979,infoTable__12[],4,FALSE),"")</f>
        <v/>
      </c>
      <c r="M979" s="4">
        <f>IFERROR(VLOOKUP(B979,infoTable__13[],4,FALSE),"")</f>
        <v>2269822</v>
      </c>
      <c r="N979" s="4">
        <f>IFERROR(VLOOKUP(B979,infoTable__14[],4,FALSE),"")</f>
        <v>2194306</v>
      </c>
      <c r="O979" s="4">
        <f>IFERROR(VLOOKUP(B979,infoTable__15[],4,FALSE),"")</f>
        <v>1394433</v>
      </c>
      <c r="P979" s="4">
        <f>IFERROR(VLOOKUP(B979,infoTable__16[],4,FALSE),"")</f>
        <v>374919</v>
      </c>
    </row>
    <row r="980" spans="1:16" x14ac:dyDescent="0.55000000000000004">
      <c r="A980" t="s">
        <v>3315</v>
      </c>
      <c r="B980" s="6" t="s">
        <v>3316</v>
      </c>
      <c r="C980" s="4" t="str">
        <f>IFERROR(VLOOKUP(B980,infoTable10[],4,FALSE),"")</f>
        <v/>
      </c>
      <c r="D980" s="4" t="str">
        <f>IFERROR(VLOOKUP(B980,infoTable__2[],4,FALSE),"")</f>
        <v/>
      </c>
      <c r="E980" s="4" t="str">
        <f>IFERROR(VLOOKUP(B980,infoTable__3[],4,FALSE),"")</f>
        <v/>
      </c>
      <c r="F980" s="4" t="str">
        <f>IFERROR(VLOOKUP(B980,infoTable__4[],4,FALSE),"")</f>
        <v/>
      </c>
      <c r="G980" s="4" t="str">
        <f>IFERROR(VLOOKUP(B980,infoTable[],4,FALSE),"")</f>
        <v/>
      </c>
      <c r="H980" s="4" t="str">
        <f>IFERROR(VLOOKUP(B980,infoTable__6[],4,FALSE),"")</f>
        <v/>
      </c>
      <c r="I980" s="4" t="str">
        <f>IFERROR(VLOOKUP(B980,infoTable__28[],4,FALSE),"")</f>
        <v/>
      </c>
      <c r="J980" s="4" t="str">
        <f>IFERROR(VLOOKUP(B980,infoTable__10[],4,FALSE),"")</f>
        <v/>
      </c>
      <c r="K980" s="4" t="str">
        <f>IFERROR(VLOOKUP(B980,infoTable__11[],4,FALSE),"")</f>
        <v/>
      </c>
      <c r="L980" s="4" t="str">
        <f>IFERROR(VLOOKUP(B980,infoTable__12[],4,FALSE),"")</f>
        <v/>
      </c>
      <c r="M980" s="4" t="str">
        <f>IFERROR(VLOOKUP(B980,infoTable__13[],4,FALSE),"")</f>
        <v/>
      </c>
      <c r="N980" s="4" t="str">
        <f>IFERROR(VLOOKUP(B980,infoTable__14[],4,FALSE),"")</f>
        <v/>
      </c>
      <c r="O980" s="4" t="str">
        <f>IFERROR(VLOOKUP(B980,infoTable__15[],4,FALSE),"")</f>
        <v/>
      </c>
      <c r="P980" s="4">
        <f>IFERROR(VLOOKUP(B980,infoTable__16[],4,FALSE),"")</f>
        <v>416888</v>
      </c>
    </row>
    <row r="981" spans="1:16" x14ac:dyDescent="0.55000000000000004">
      <c r="A981" t="s">
        <v>131</v>
      </c>
      <c r="B981" s="6" t="s">
        <v>132</v>
      </c>
      <c r="C981" s="4" t="str">
        <f>IFERROR(VLOOKUP(B981,infoTable10[],4,FALSE),"")</f>
        <v/>
      </c>
      <c r="D981" s="4" t="str">
        <f>IFERROR(VLOOKUP(B981,infoTable__2[],4,FALSE),"")</f>
        <v/>
      </c>
      <c r="E981" s="4">
        <f>IFERROR(VLOOKUP(B981,infoTable__3[],4,FALSE),"")</f>
        <v>565654</v>
      </c>
      <c r="F981" s="4">
        <f>IFERROR(VLOOKUP(B981,infoTable__4[],4,FALSE),"")</f>
        <v>344554</v>
      </c>
      <c r="G981" s="4">
        <f>IFERROR(VLOOKUP(B981,infoTable[],4,FALSE),"")</f>
        <v>279848</v>
      </c>
      <c r="H981" s="4" t="str">
        <f>IFERROR(VLOOKUP(B981,infoTable__6[],4,FALSE),"")</f>
        <v/>
      </c>
      <c r="I981" s="4" t="str">
        <f>IFERROR(VLOOKUP(B981,infoTable__28[],4,FALSE),"")</f>
        <v/>
      </c>
      <c r="J981" s="4" t="str">
        <f>IFERROR(VLOOKUP(B981,infoTable__10[],4,FALSE),"")</f>
        <v/>
      </c>
      <c r="K981" s="4" t="str">
        <f>IFERROR(VLOOKUP(B981,infoTable__11[],4,FALSE),"")</f>
        <v/>
      </c>
      <c r="L981" s="4" t="str">
        <f>IFERROR(VLOOKUP(B981,infoTable__12[],4,FALSE),"")</f>
        <v/>
      </c>
      <c r="M981" s="4" t="str">
        <f>IFERROR(VLOOKUP(B981,infoTable__13[],4,FALSE),"")</f>
        <v/>
      </c>
      <c r="N981" s="4" t="str">
        <f>IFERROR(VLOOKUP(B981,infoTable__14[],4,FALSE),"")</f>
        <v/>
      </c>
      <c r="O981" s="4" t="str">
        <f>IFERROR(VLOOKUP(B981,infoTable__15[],4,FALSE),"")</f>
        <v/>
      </c>
      <c r="P981" s="4" t="str">
        <f>IFERROR(VLOOKUP(B981,infoTable__16[],4,FALSE),"")</f>
        <v/>
      </c>
    </row>
    <row r="982" spans="1:16" x14ac:dyDescent="0.55000000000000004">
      <c r="A982" t="s">
        <v>1214</v>
      </c>
      <c r="B982" s="6" t="s">
        <v>1215</v>
      </c>
      <c r="C982" s="4" t="str">
        <f>IFERROR(VLOOKUP(B982,infoTable10[],4,FALSE),"")</f>
        <v/>
      </c>
      <c r="D982" s="4" t="str">
        <f>IFERROR(VLOOKUP(B982,infoTable__2[],4,FALSE),"")</f>
        <v/>
      </c>
      <c r="E982" s="4" t="str">
        <f>IFERROR(VLOOKUP(B982,infoTable__3[],4,FALSE),"")</f>
        <v/>
      </c>
      <c r="F982" s="4" t="str">
        <f>IFERROR(VLOOKUP(B982,infoTable__4[],4,FALSE),"")</f>
        <v/>
      </c>
      <c r="G982" s="4" t="str">
        <f>IFERROR(VLOOKUP(B982,infoTable[],4,FALSE),"")</f>
        <v/>
      </c>
      <c r="H982" s="4" t="str">
        <f>IFERROR(VLOOKUP(B982,infoTable__6[],4,FALSE),"")</f>
        <v/>
      </c>
      <c r="I982" s="4">
        <f>IFERROR(VLOOKUP(B982,infoTable__28[],4,FALSE),"")</f>
        <v>884899</v>
      </c>
      <c r="J982" s="4">
        <f>IFERROR(VLOOKUP(B982,infoTable__10[],4,FALSE),"")</f>
        <v>459678</v>
      </c>
      <c r="K982" s="4">
        <f>IFERROR(VLOOKUP(B982,infoTable__11[],4,FALSE),"")</f>
        <v>395914</v>
      </c>
      <c r="L982" s="4">
        <f>IFERROR(VLOOKUP(B982,infoTable__12[],4,FALSE),"")</f>
        <v>479959</v>
      </c>
      <c r="M982" s="4" t="str">
        <f>IFERROR(VLOOKUP(B982,infoTable__13[],4,FALSE),"")</f>
        <v/>
      </c>
      <c r="N982" s="4" t="str">
        <f>IFERROR(VLOOKUP(B982,infoTable__14[],4,FALSE),"")</f>
        <v/>
      </c>
      <c r="O982" s="4" t="str">
        <f>IFERROR(VLOOKUP(B982,infoTable__15[],4,FALSE),"")</f>
        <v/>
      </c>
      <c r="P982" s="4" t="str">
        <f>IFERROR(VLOOKUP(B982,infoTable__16[],4,FALSE),"")</f>
        <v/>
      </c>
    </row>
    <row r="983" spans="1:16" x14ac:dyDescent="0.55000000000000004">
      <c r="A983" t="s">
        <v>1866</v>
      </c>
      <c r="B983" s="6" t="s">
        <v>1867</v>
      </c>
      <c r="C983" s="4" t="str">
        <f>IFERROR(VLOOKUP(B983,infoTable10[],4,FALSE),"")</f>
        <v/>
      </c>
      <c r="D983" s="4" t="str">
        <f>IFERROR(VLOOKUP(B983,infoTable__2[],4,FALSE),"")</f>
        <v/>
      </c>
      <c r="E983" s="4" t="str">
        <f>IFERROR(VLOOKUP(B983,infoTable__3[],4,FALSE),"")</f>
        <v/>
      </c>
      <c r="F983" s="4" t="str">
        <f>IFERROR(VLOOKUP(B983,infoTable__4[],4,FALSE),"")</f>
        <v/>
      </c>
      <c r="G983" s="4" t="str">
        <f>IFERROR(VLOOKUP(B983,infoTable[],4,FALSE),"")</f>
        <v/>
      </c>
      <c r="H983" s="4" t="str">
        <f>IFERROR(VLOOKUP(B983,infoTable__6[],4,FALSE),"")</f>
        <v/>
      </c>
      <c r="I983" s="4" t="str">
        <f>IFERROR(VLOOKUP(B983,infoTable__28[],4,FALSE),"")</f>
        <v/>
      </c>
      <c r="J983" s="4" t="str">
        <f>IFERROR(VLOOKUP(B983,infoTable__10[],4,FALSE),"")</f>
        <v/>
      </c>
      <c r="K983" s="4">
        <f>IFERROR(VLOOKUP(B983,infoTable__11[],4,FALSE),"")</f>
        <v>187919</v>
      </c>
      <c r="L983" s="4">
        <f>IFERROR(VLOOKUP(B983,infoTable__12[],4,FALSE),"")</f>
        <v>95597</v>
      </c>
      <c r="M983" s="4" t="str">
        <f>IFERROR(VLOOKUP(B983,infoTable__13[],4,FALSE),"")</f>
        <v/>
      </c>
      <c r="N983" s="4" t="str">
        <f>IFERROR(VLOOKUP(B983,infoTable__14[],4,FALSE),"")</f>
        <v/>
      </c>
      <c r="O983" s="4">
        <f>IFERROR(VLOOKUP(B983,infoTable__15[],4,FALSE),"")</f>
        <v>246777</v>
      </c>
      <c r="P983" s="4">
        <f>IFERROR(VLOOKUP(B983,infoTable__16[],4,FALSE),"")</f>
        <v>825089</v>
      </c>
    </row>
    <row r="984" spans="1:16" x14ac:dyDescent="0.55000000000000004">
      <c r="A984" t="s">
        <v>1651</v>
      </c>
      <c r="B984" s="6" t="s">
        <v>1652</v>
      </c>
      <c r="C984" s="4" t="str">
        <f>IFERROR(VLOOKUP(B984,infoTable10[],4,FALSE),"")</f>
        <v/>
      </c>
      <c r="D984" s="4" t="str">
        <f>IFERROR(VLOOKUP(B984,infoTable__2[],4,FALSE),"")</f>
        <v/>
      </c>
      <c r="E984" s="4" t="str">
        <f>IFERROR(VLOOKUP(B984,infoTable__3[],4,FALSE),"")</f>
        <v/>
      </c>
      <c r="F984" s="4" t="str">
        <f>IFERROR(VLOOKUP(B984,infoTable__4[],4,FALSE),"")</f>
        <v/>
      </c>
      <c r="G984" s="4" t="str">
        <f>IFERROR(VLOOKUP(B984,infoTable[],4,FALSE),"")</f>
        <v/>
      </c>
      <c r="H984" s="4" t="str">
        <f>IFERROR(VLOOKUP(B984,infoTable__6[],4,FALSE),"")</f>
        <v/>
      </c>
      <c r="I984" s="4" t="str">
        <f>IFERROR(VLOOKUP(B984,infoTable__28[],4,FALSE),"")</f>
        <v/>
      </c>
      <c r="J984" s="4">
        <f>IFERROR(VLOOKUP(B984,infoTable__10[],4,FALSE),"")</f>
        <v>486017</v>
      </c>
      <c r="K984" s="4" t="str">
        <f>IFERROR(VLOOKUP(B984,infoTable__11[],4,FALSE),"")</f>
        <v/>
      </c>
      <c r="L984" s="4" t="str">
        <f>IFERROR(VLOOKUP(B984,infoTable__12[],4,FALSE),"")</f>
        <v/>
      </c>
      <c r="M984" s="4">
        <f>IFERROR(VLOOKUP(B984,infoTable__13[],4,FALSE),"")</f>
        <v>836498</v>
      </c>
      <c r="N984" s="4">
        <f>IFERROR(VLOOKUP(B984,infoTable__14[],4,FALSE),"")</f>
        <v>440603</v>
      </c>
      <c r="O984" s="4">
        <f>IFERROR(VLOOKUP(B984,infoTable__15[],4,FALSE),"")</f>
        <v>92379</v>
      </c>
      <c r="P984" s="4">
        <f>IFERROR(VLOOKUP(B984,infoTable__16[],4,FALSE),"")</f>
        <v>79792</v>
      </c>
    </row>
    <row r="985" spans="1:16" x14ac:dyDescent="0.55000000000000004">
      <c r="A985" t="s">
        <v>1585</v>
      </c>
      <c r="B985" s="6" t="s">
        <v>134</v>
      </c>
      <c r="C985" s="4" t="str">
        <f>IFERROR(VLOOKUP(B985,infoTable10[],4,FALSE),"")</f>
        <v/>
      </c>
      <c r="D985" s="4" t="str">
        <f>IFERROR(VLOOKUP(B985,infoTable__2[],4,FALSE),"")</f>
        <v/>
      </c>
      <c r="E985" s="4" t="str">
        <f>IFERROR(VLOOKUP(B985,infoTable__3[],4,FALSE),"")</f>
        <v/>
      </c>
      <c r="F985" s="4" t="str">
        <f>IFERROR(VLOOKUP(B985,infoTable__4[],4,FALSE),"")</f>
        <v/>
      </c>
      <c r="G985" s="4">
        <f>IFERROR(VLOOKUP(B985,infoTable[],4,FALSE),"")</f>
        <v>1086492</v>
      </c>
      <c r="H985" s="4" t="str">
        <f>IFERROR(VLOOKUP(B985,infoTable__6[],4,FALSE),"")</f>
        <v/>
      </c>
      <c r="I985" s="4" t="str">
        <f>IFERROR(VLOOKUP(B985,infoTable__28[],4,FALSE),"")</f>
        <v/>
      </c>
      <c r="J985" s="4" t="str">
        <f>IFERROR(VLOOKUP(B985,infoTable__10[],4,FALSE),"")</f>
        <v/>
      </c>
      <c r="K985" s="4" t="str">
        <f>IFERROR(VLOOKUP(B985,infoTable__11[],4,FALSE),"")</f>
        <v/>
      </c>
      <c r="L985" s="4" t="str">
        <f>IFERROR(VLOOKUP(B985,infoTable__12[],4,FALSE),"")</f>
        <v/>
      </c>
      <c r="M985" s="4">
        <f>IFERROR(VLOOKUP(B985,infoTable__13[],4,FALSE),"")</f>
        <v>5996067</v>
      </c>
      <c r="N985" s="4">
        <f>IFERROR(VLOOKUP(B985,infoTable__14[],4,FALSE),"")</f>
        <v>11773088</v>
      </c>
      <c r="O985" s="4">
        <f>IFERROR(VLOOKUP(B985,infoTable__15[],4,FALSE),"")</f>
        <v>7957674</v>
      </c>
      <c r="P985" s="4">
        <f>IFERROR(VLOOKUP(B985,infoTable__16[],4,FALSE),"")</f>
        <v>6878356</v>
      </c>
    </row>
    <row r="986" spans="1:16" x14ac:dyDescent="0.55000000000000004">
      <c r="A986" t="s">
        <v>3024</v>
      </c>
      <c r="B986" s="6" t="s">
        <v>3025</v>
      </c>
      <c r="C986" s="4" t="str">
        <f>IFERROR(VLOOKUP(B986,infoTable10[],4,FALSE),"")</f>
        <v/>
      </c>
      <c r="D986" s="4" t="str">
        <f>IFERROR(VLOOKUP(B986,infoTable__2[],4,FALSE),"")</f>
        <v/>
      </c>
      <c r="E986" s="4" t="str">
        <f>IFERROR(VLOOKUP(B986,infoTable__3[],4,FALSE),"")</f>
        <v/>
      </c>
      <c r="F986" s="4" t="str">
        <f>IFERROR(VLOOKUP(B986,infoTable__4[],4,FALSE),"")</f>
        <v/>
      </c>
      <c r="G986" s="4" t="str">
        <f>IFERROR(VLOOKUP(B986,infoTable[],4,FALSE),"")</f>
        <v/>
      </c>
      <c r="H986" s="4" t="str">
        <f>IFERROR(VLOOKUP(B986,infoTable__6[],4,FALSE),"")</f>
        <v/>
      </c>
      <c r="I986" s="4" t="str">
        <f>IFERROR(VLOOKUP(B986,infoTable__28[],4,FALSE),"")</f>
        <v/>
      </c>
      <c r="J986" s="4" t="str">
        <f>IFERROR(VLOOKUP(B986,infoTable__10[],4,FALSE),"")</f>
        <v/>
      </c>
      <c r="K986" s="4" t="str">
        <f>IFERROR(VLOOKUP(B986,infoTable__11[],4,FALSE),"")</f>
        <v/>
      </c>
      <c r="L986" s="4" t="str">
        <f>IFERROR(VLOOKUP(B986,infoTable__12[],4,FALSE),"")</f>
        <v/>
      </c>
      <c r="M986" s="4" t="str">
        <f>IFERROR(VLOOKUP(B986,infoTable__13[],4,FALSE),"")</f>
        <v/>
      </c>
      <c r="N986" s="4" t="str">
        <f>IFERROR(VLOOKUP(B986,infoTable__14[],4,FALSE),"")</f>
        <v/>
      </c>
      <c r="O986" s="4">
        <f>IFERROR(VLOOKUP(B986,infoTable__15[],4,FALSE),"")</f>
        <v>2026277</v>
      </c>
      <c r="P986" s="4">
        <f>IFERROR(VLOOKUP(B986,infoTable__16[],4,FALSE),"")</f>
        <v>1783794</v>
      </c>
    </row>
    <row r="987" spans="1:16" x14ac:dyDescent="0.55000000000000004">
      <c r="A987" t="s">
        <v>989</v>
      </c>
      <c r="B987" s="6" t="s">
        <v>990</v>
      </c>
      <c r="C987" s="4" t="str">
        <f>IFERROR(VLOOKUP(B987,infoTable10[],4,FALSE),"")</f>
        <v/>
      </c>
      <c r="D987" s="4" t="str">
        <f>IFERROR(VLOOKUP(B987,infoTable__2[],4,FALSE),"")</f>
        <v/>
      </c>
      <c r="E987" s="4" t="str">
        <f>IFERROR(VLOOKUP(B987,infoTable__3[],4,FALSE),"")</f>
        <v/>
      </c>
      <c r="F987" s="4" t="str">
        <f>IFERROR(VLOOKUP(B987,infoTable__4[],4,FALSE),"")</f>
        <v/>
      </c>
      <c r="G987" s="4" t="str">
        <f>IFERROR(VLOOKUP(B987,infoTable[],4,FALSE),"")</f>
        <v/>
      </c>
      <c r="H987" s="4">
        <f>IFERROR(VLOOKUP(B987,infoTable__6[],4,FALSE),"")</f>
        <v>2003638</v>
      </c>
      <c r="I987" s="4">
        <f>IFERROR(VLOOKUP(B987,infoTable__28[],4,FALSE),"")</f>
        <v>547380</v>
      </c>
      <c r="J987" s="4">
        <f>IFERROR(VLOOKUP(B987,infoTable__10[],4,FALSE),"")</f>
        <v>313776</v>
      </c>
      <c r="K987" s="4" t="str">
        <f>IFERROR(VLOOKUP(B987,infoTable__11[],4,FALSE),"")</f>
        <v/>
      </c>
      <c r="L987" s="4" t="str">
        <f>IFERROR(VLOOKUP(B987,infoTable__12[],4,FALSE),"")</f>
        <v/>
      </c>
      <c r="M987" s="4" t="str">
        <f>IFERROR(VLOOKUP(B987,infoTable__13[],4,FALSE),"")</f>
        <v/>
      </c>
      <c r="N987" s="4" t="str">
        <f>IFERROR(VLOOKUP(B987,infoTable__14[],4,FALSE),"")</f>
        <v/>
      </c>
      <c r="O987" s="4" t="str">
        <f>IFERROR(VLOOKUP(B987,infoTable__15[],4,FALSE),"")</f>
        <v/>
      </c>
      <c r="P987" s="4" t="str">
        <f>IFERROR(VLOOKUP(B987,infoTable__16[],4,FALSE),"")</f>
        <v/>
      </c>
    </row>
    <row r="988" spans="1:16" x14ac:dyDescent="0.55000000000000004">
      <c r="A988" t="s">
        <v>135</v>
      </c>
      <c r="B988" s="6" t="s">
        <v>136</v>
      </c>
      <c r="C988" s="4" t="str">
        <f>IFERROR(VLOOKUP(B988,infoTable10[],4,FALSE),"")</f>
        <v/>
      </c>
      <c r="D988" s="4" t="str">
        <f>IFERROR(VLOOKUP(B988,infoTable__2[],4,FALSE),"")</f>
        <v/>
      </c>
      <c r="E988" s="4" t="str">
        <f>IFERROR(VLOOKUP(B988,infoTable__3[],4,FALSE),"")</f>
        <v/>
      </c>
      <c r="F988" s="4" t="str">
        <f>IFERROR(VLOOKUP(B988,infoTable__4[],4,FALSE),"")</f>
        <v/>
      </c>
      <c r="G988" s="4">
        <f>IFERROR(VLOOKUP(B988,infoTable[],4,FALSE),"")</f>
        <v>599269</v>
      </c>
      <c r="H988" s="4">
        <f>IFERROR(VLOOKUP(B988,infoTable__6[],4,FALSE),"")</f>
        <v>278690</v>
      </c>
      <c r="I988" s="4">
        <f>IFERROR(VLOOKUP(B988,infoTable__28[],4,FALSE),"")</f>
        <v>1511233</v>
      </c>
      <c r="J988" s="4">
        <f>IFERROR(VLOOKUP(B988,infoTable__10[],4,FALSE),"")</f>
        <v>1076640</v>
      </c>
      <c r="K988" s="4">
        <f>IFERROR(VLOOKUP(B988,infoTable__11[],4,FALSE),"")</f>
        <v>827016</v>
      </c>
      <c r="L988" s="4">
        <f>IFERROR(VLOOKUP(B988,infoTable__12[],4,FALSE),"")</f>
        <v>235657</v>
      </c>
      <c r="M988" s="4">
        <f>IFERROR(VLOOKUP(B988,infoTable__13[],4,FALSE),"")</f>
        <v>101721</v>
      </c>
      <c r="N988" s="4" t="str">
        <f>IFERROR(VLOOKUP(B988,infoTable__14[],4,FALSE),"")</f>
        <v/>
      </c>
      <c r="O988" s="4">
        <f>IFERROR(VLOOKUP(B988,infoTable__15[],4,FALSE),"")</f>
        <v>114706</v>
      </c>
      <c r="P988" s="4">
        <f>IFERROR(VLOOKUP(B988,infoTable__16[],4,FALSE),"")</f>
        <v>1220669</v>
      </c>
    </row>
    <row r="989" spans="1:16" x14ac:dyDescent="0.55000000000000004">
      <c r="A989" t="s">
        <v>1216</v>
      </c>
      <c r="B989" s="6" t="s">
        <v>1217</v>
      </c>
      <c r="C989" s="4" t="str">
        <f>IFERROR(VLOOKUP(B989,infoTable10[],4,FALSE),"")</f>
        <v/>
      </c>
      <c r="D989" s="4" t="str">
        <f>IFERROR(VLOOKUP(B989,infoTable__2[],4,FALSE),"")</f>
        <v/>
      </c>
      <c r="E989" s="4" t="str">
        <f>IFERROR(VLOOKUP(B989,infoTable__3[],4,FALSE),"")</f>
        <v/>
      </c>
      <c r="F989" s="4" t="str">
        <f>IFERROR(VLOOKUP(B989,infoTable__4[],4,FALSE),"")</f>
        <v/>
      </c>
      <c r="G989" s="4" t="str">
        <f>IFERROR(VLOOKUP(B989,infoTable[],4,FALSE),"")</f>
        <v/>
      </c>
      <c r="H989" s="4" t="str">
        <f>IFERROR(VLOOKUP(B989,infoTable__6[],4,FALSE),"")</f>
        <v/>
      </c>
      <c r="I989" s="4">
        <f>IFERROR(VLOOKUP(B989,infoTable__28[],4,FALSE),"")</f>
        <v>341799</v>
      </c>
      <c r="J989" s="4">
        <f>IFERROR(VLOOKUP(B989,infoTable__10[],4,FALSE),"")</f>
        <v>975789</v>
      </c>
      <c r="K989" s="4">
        <f>IFERROR(VLOOKUP(B989,infoTable__11[],4,FALSE),"")</f>
        <v>852077</v>
      </c>
      <c r="L989" s="4">
        <f>IFERROR(VLOOKUP(B989,infoTable__12[],4,FALSE),"")</f>
        <v>1065228</v>
      </c>
      <c r="M989" s="4">
        <f>IFERROR(VLOOKUP(B989,infoTable__13[],4,FALSE),"")</f>
        <v>1120144</v>
      </c>
      <c r="N989" s="4">
        <f>IFERROR(VLOOKUP(B989,infoTable__14[],4,FALSE),"")</f>
        <v>1096024</v>
      </c>
      <c r="O989" s="4" t="str">
        <f>IFERROR(VLOOKUP(B989,infoTable__15[],4,FALSE),"")</f>
        <v/>
      </c>
      <c r="P989" s="4" t="str">
        <f>IFERROR(VLOOKUP(B989,infoTable__16[],4,FALSE),"")</f>
        <v/>
      </c>
    </row>
    <row r="990" spans="1:16" x14ac:dyDescent="0.55000000000000004">
      <c r="A990" t="s">
        <v>3026</v>
      </c>
      <c r="B990" s="6" t="s">
        <v>3027</v>
      </c>
      <c r="C990" s="4" t="str">
        <f>IFERROR(VLOOKUP(B990,infoTable10[],4,FALSE),"")</f>
        <v/>
      </c>
      <c r="D990" s="4" t="str">
        <f>IFERROR(VLOOKUP(B990,infoTable__2[],4,FALSE),"")</f>
        <v/>
      </c>
      <c r="E990" s="4" t="str">
        <f>IFERROR(VLOOKUP(B990,infoTable__3[],4,FALSE),"")</f>
        <v/>
      </c>
      <c r="F990" s="4" t="str">
        <f>IFERROR(VLOOKUP(B990,infoTable__4[],4,FALSE),"")</f>
        <v/>
      </c>
      <c r="G990" s="4" t="str">
        <f>IFERROR(VLOOKUP(B990,infoTable[],4,FALSE),"")</f>
        <v/>
      </c>
      <c r="H990" s="4" t="str">
        <f>IFERROR(VLOOKUP(B990,infoTable__6[],4,FALSE),"")</f>
        <v/>
      </c>
      <c r="I990" s="4" t="str">
        <f>IFERROR(VLOOKUP(B990,infoTable__28[],4,FALSE),"")</f>
        <v/>
      </c>
      <c r="J990" s="4" t="str">
        <f>IFERROR(VLOOKUP(B990,infoTable__10[],4,FALSE),"")</f>
        <v/>
      </c>
      <c r="K990" s="4" t="str">
        <f>IFERROR(VLOOKUP(B990,infoTable__11[],4,FALSE),"")</f>
        <v/>
      </c>
      <c r="L990" s="4" t="str">
        <f>IFERROR(VLOOKUP(B990,infoTable__12[],4,FALSE),"")</f>
        <v/>
      </c>
      <c r="M990" s="4" t="str">
        <f>IFERROR(VLOOKUP(B990,infoTable__13[],4,FALSE),"")</f>
        <v/>
      </c>
      <c r="N990" s="4" t="str">
        <f>IFERROR(VLOOKUP(B990,infoTable__14[],4,FALSE),"")</f>
        <v/>
      </c>
      <c r="O990" s="4">
        <f>IFERROR(VLOOKUP(B990,infoTable__15[],4,FALSE),"")</f>
        <v>584986</v>
      </c>
      <c r="P990" s="4">
        <f>IFERROR(VLOOKUP(B990,infoTable__16[],4,FALSE),"")</f>
        <v>665555</v>
      </c>
    </row>
    <row r="991" spans="1:16" x14ac:dyDescent="0.55000000000000004">
      <c r="A991" t="s">
        <v>1218</v>
      </c>
      <c r="B991" s="6" t="s">
        <v>1219</v>
      </c>
      <c r="C991" s="4" t="str">
        <f>IFERROR(VLOOKUP(B991,infoTable10[],4,FALSE),"")</f>
        <v/>
      </c>
      <c r="D991" s="4" t="str">
        <f>IFERROR(VLOOKUP(B991,infoTable__2[],4,FALSE),"")</f>
        <v/>
      </c>
      <c r="E991" s="4" t="str">
        <f>IFERROR(VLOOKUP(B991,infoTable__3[],4,FALSE),"")</f>
        <v/>
      </c>
      <c r="F991" s="4" t="str">
        <f>IFERROR(VLOOKUP(B991,infoTable__4[],4,FALSE),"")</f>
        <v/>
      </c>
      <c r="G991" s="4" t="str">
        <f>IFERROR(VLOOKUP(B991,infoTable[],4,FALSE),"")</f>
        <v/>
      </c>
      <c r="H991" s="4" t="str">
        <f>IFERROR(VLOOKUP(B991,infoTable__6[],4,FALSE),"")</f>
        <v/>
      </c>
      <c r="I991" s="4">
        <f>IFERROR(VLOOKUP(B991,infoTable__28[],4,FALSE),"")</f>
        <v>214131</v>
      </c>
      <c r="J991" s="4" t="str">
        <f>IFERROR(VLOOKUP(B991,infoTable__10[],4,FALSE),"")</f>
        <v/>
      </c>
      <c r="K991" s="4" t="str">
        <f>IFERROR(VLOOKUP(B991,infoTable__11[],4,FALSE),"")</f>
        <v/>
      </c>
      <c r="L991" s="4" t="str">
        <f>IFERROR(VLOOKUP(B991,infoTable__12[],4,FALSE),"")</f>
        <v/>
      </c>
      <c r="M991" s="4" t="str">
        <f>IFERROR(VLOOKUP(B991,infoTable__13[],4,FALSE),"")</f>
        <v/>
      </c>
      <c r="N991" s="4" t="str">
        <f>IFERROR(VLOOKUP(B991,infoTable__14[],4,FALSE),"")</f>
        <v/>
      </c>
      <c r="O991" s="4" t="str">
        <f>IFERROR(VLOOKUP(B991,infoTable__15[],4,FALSE),"")</f>
        <v/>
      </c>
      <c r="P991" s="4">
        <f>IFERROR(VLOOKUP(B991,infoTable__16[],4,FALSE),"")</f>
        <v>287116</v>
      </c>
    </row>
    <row r="992" spans="1:16" x14ac:dyDescent="0.55000000000000004">
      <c r="A992" t="s">
        <v>1653</v>
      </c>
      <c r="B992" s="6" t="s">
        <v>1654</v>
      </c>
      <c r="C992" s="4" t="str">
        <f>IFERROR(VLOOKUP(B992,infoTable10[],4,FALSE),"")</f>
        <v/>
      </c>
      <c r="D992" s="4" t="str">
        <f>IFERROR(VLOOKUP(B992,infoTable__2[],4,FALSE),"")</f>
        <v/>
      </c>
      <c r="E992" s="4" t="str">
        <f>IFERROR(VLOOKUP(B992,infoTable__3[],4,FALSE),"")</f>
        <v/>
      </c>
      <c r="F992" s="4" t="str">
        <f>IFERROR(VLOOKUP(B992,infoTable__4[],4,FALSE),"")</f>
        <v/>
      </c>
      <c r="G992" s="4" t="str">
        <f>IFERROR(VLOOKUP(B992,infoTable[],4,FALSE),"")</f>
        <v/>
      </c>
      <c r="H992" s="4" t="str">
        <f>IFERROR(VLOOKUP(B992,infoTable__6[],4,FALSE),"")</f>
        <v/>
      </c>
      <c r="I992" s="4" t="str">
        <f>IFERROR(VLOOKUP(B992,infoTable__28[],4,FALSE),"")</f>
        <v/>
      </c>
      <c r="J992" s="4">
        <f>IFERROR(VLOOKUP(B992,infoTable__10[],4,FALSE),"")</f>
        <v>195620</v>
      </c>
      <c r="K992" s="4" t="str">
        <f>IFERROR(VLOOKUP(B992,infoTable__11[],4,FALSE),"")</f>
        <v/>
      </c>
      <c r="L992" s="4" t="str">
        <f>IFERROR(VLOOKUP(B992,infoTable__12[],4,FALSE),"")</f>
        <v/>
      </c>
      <c r="M992" s="4" t="str">
        <f>IFERROR(VLOOKUP(B992,infoTable__13[],4,FALSE),"")</f>
        <v/>
      </c>
      <c r="N992" s="4" t="str">
        <f>IFERROR(VLOOKUP(B992,infoTable__14[],4,FALSE),"")</f>
        <v/>
      </c>
      <c r="O992" s="4" t="str">
        <f>IFERROR(VLOOKUP(B992,infoTable__15[],4,FALSE),"")</f>
        <v/>
      </c>
      <c r="P992" s="4">
        <f>IFERROR(VLOOKUP(B992,infoTable__16[],4,FALSE),"")</f>
        <v>870605</v>
      </c>
    </row>
    <row r="993" spans="1:16" x14ac:dyDescent="0.55000000000000004">
      <c r="A993" t="s">
        <v>145</v>
      </c>
      <c r="B993" s="6" t="s">
        <v>146</v>
      </c>
      <c r="C993" s="4" t="str">
        <f>IFERROR(VLOOKUP(B993,infoTable10[],4,FALSE),"")</f>
        <v/>
      </c>
      <c r="D993" s="4" t="str">
        <f>IFERROR(VLOOKUP(B993,infoTable__2[],4,FALSE),"")</f>
        <v/>
      </c>
      <c r="E993" s="4" t="str">
        <f>IFERROR(VLOOKUP(B993,infoTable__3[],4,FALSE),"")</f>
        <v/>
      </c>
      <c r="F993" s="4" t="str">
        <f>IFERROR(VLOOKUP(B993,infoTable__4[],4,FALSE),"")</f>
        <v/>
      </c>
      <c r="G993" s="4">
        <f>IFERROR(VLOOKUP(B993,infoTable[],4,FALSE),"")</f>
        <v>5063506</v>
      </c>
      <c r="H993" s="4">
        <f>IFERROR(VLOOKUP(B993,infoTable__6[],4,FALSE),"")</f>
        <v>4088805</v>
      </c>
      <c r="I993" s="4">
        <f>IFERROR(VLOOKUP(B993,infoTable__28[],4,FALSE),"")</f>
        <v>2735593</v>
      </c>
      <c r="J993" s="4" t="str">
        <f>IFERROR(VLOOKUP(B993,infoTable__10[],4,FALSE),"")</f>
        <v/>
      </c>
      <c r="K993" s="4" t="str">
        <f>IFERROR(VLOOKUP(B993,infoTable__11[],4,FALSE),"")</f>
        <v/>
      </c>
      <c r="L993" s="4" t="str">
        <f>IFERROR(VLOOKUP(B993,infoTable__12[],4,FALSE),"")</f>
        <v/>
      </c>
      <c r="M993" s="4">
        <f>IFERROR(VLOOKUP(B993,infoTable__13[],4,FALSE),"")</f>
        <v>1245263</v>
      </c>
      <c r="N993" s="4">
        <f>IFERROR(VLOOKUP(B993,infoTable__14[],4,FALSE),"")</f>
        <v>626215</v>
      </c>
      <c r="O993" s="4">
        <f>IFERROR(VLOOKUP(B993,infoTable__15[],4,FALSE),"")</f>
        <v>600950</v>
      </c>
      <c r="P993" s="4">
        <f>IFERROR(VLOOKUP(B993,infoTable__16[],4,FALSE),"")</f>
        <v>949868</v>
      </c>
    </row>
    <row r="994" spans="1:16" x14ac:dyDescent="0.55000000000000004">
      <c r="A994" t="s">
        <v>147</v>
      </c>
      <c r="B994" s="6" t="s">
        <v>148</v>
      </c>
      <c r="C994" s="4" t="str">
        <f>IFERROR(VLOOKUP(B994,infoTable10[],4,FALSE),"")</f>
        <v/>
      </c>
      <c r="D994" s="4" t="str">
        <f>IFERROR(VLOOKUP(B994,infoTable__2[],4,FALSE),"")</f>
        <v/>
      </c>
      <c r="E994" s="4" t="str">
        <f>IFERROR(VLOOKUP(B994,infoTable__3[],4,FALSE),"")</f>
        <v/>
      </c>
      <c r="F994" s="4">
        <f>IFERROR(VLOOKUP(B994,infoTable__4[],4,FALSE),"")</f>
        <v>362690</v>
      </c>
      <c r="G994" s="4">
        <f>IFERROR(VLOOKUP(B994,infoTable[],4,FALSE),"")</f>
        <v>1051565</v>
      </c>
      <c r="H994" s="4">
        <f>IFERROR(VLOOKUP(B994,infoTable__6[],4,FALSE),"")</f>
        <v>915444</v>
      </c>
      <c r="I994" s="4">
        <f>IFERROR(VLOOKUP(B994,infoTable__28[],4,FALSE),"")</f>
        <v>515161</v>
      </c>
      <c r="J994" s="4" t="str">
        <f>IFERROR(VLOOKUP(B994,infoTable__10[],4,FALSE),"")</f>
        <v/>
      </c>
      <c r="K994" s="4" t="str">
        <f>IFERROR(VLOOKUP(B994,infoTable__11[],4,FALSE),"")</f>
        <v/>
      </c>
      <c r="L994" s="4" t="str">
        <f>IFERROR(VLOOKUP(B994,infoTable__12[],4,FALSE),"")</f>
        <v/>
      </c>
      <c r="M994" s="4" t="str">
        <f>IFERROR(VLOOKUP(B994,infoTable__13[],4,FALSE),"")</f>
        <v/>
      </c>
      <c r="N994" s="4">
        <f>IFERROR(VLOOKUP(B994,infoTable__14[],4,FALSE),"")</f>
        <v>408693</v>
      </c>
      <c r="O994" s="4" t="str">
        <f>IFERROR(VLOOKUP(B994,infoTable__15[],4,FALSE),"")</f>
        <v/>
      </c>
      <c r="P994" s="4" t="str">
        <f>IFERROR(VLOOKUP(B994,infoTable__16[],4,FALSE),"")</f>
        <v/>
      </c>
    </row>
    <row r="995" spans="1:16" x14ac:dyDescent="0.55000000000000004">
      <c r="A995" t="s">
        <v>3329</v>
      </c>
      <c r="B995" s="6" t="s">
        <v>3330</v>
      </c>
      <c r="C995" s="4" t="str">
        <f>IFERROR(VLOOKUP(B995,infoTable10[],4,FALSE),"")</f>
        <v/>
      </c>
      <c r="D995" s="4" t="str">
        <f>IFERROR(VLOOKUP(B995,infoTable__2[],4,FALSE),"")</f>
        <v/>
      </c>
      <c r="E995" s="4" t="str">
        <f>IFERROR(VLOOKUP(B995,infoTable__3[],4,FALSE),"")</f>
        <v/>
      </c>
      <c r="F995" s="4" t="str">
        <f>IFERROR(VLOOKUP(B995,infoTable__4[],4,FALSE),"")</f>
        <v/>
      </c>
      <c r="G995" s="4" t="str">
        <f>IFERROR(VLOOKUP(B995,infoTable[],4,FALSE),"")</f>
        <v/>
      </c>
      <c r="H995" s="4" t="str">
        <f>IFERROR(VLOOKUP(B995,infoTable__6[],4,FALSE),"")</f>
        <v/>
      </c>
      <c r="I995" s="4" t="str">
        <f>IFERROR(VLOOKUP(B995,infoTable__28[],4,FALSE),"")</f>
        <v/>
      </c>
      <c r="J995" s="4" t="str">
        <f>IFERROR(VLOOKUP(B995,infoTable__10[],4,FALSE),"")</f>
        <v/>
      </c>
      <c r="K995" s="4" t="str">
        <f>IFERROR(VLOOKUP(B995,infoTable__11[],4,FALSE),"")</f>
        <v/>
      </c>
      <c r="L995" s="4" t="str">
        <f>IFERROR(VLOOKUP(B995,infoTable__12[],4,FALSE),"")</f>
        <v/>
      </c>
      <c r="M995" s="4" t="str">
        <f>IFERROR(VLOOKUP(B995,infoTable__13[],4,FALSE),"")</f>
        <v/>
      </c>
      <c r="N995" s="4" t="str">
        <f>IFERROR(VLOOKUP(B995,infoTable__14[],4,FALSE),"")</f>
        <v/>
      </c>
      <c r="O995" s="4" t="str">
        <f>IFERROR(VLOOKUP(B995,infoTable__15[],4,FALSE),"")</f>
        <v/>
      </c>
      <c r="P995" s="4">
        <f>IFERROR(VLOOKUP(B995,infoTable__16[],4,FALSE),"")</f>
        <v>318290</v>
      </c>
    </row>
    <row r="996" spans="1:16" x14ac:dyDescent="0.55000000000000004">
      <c r="A996" t="s">
        <v>2456</v>
      </c>
      <c r="B996" s="6" t="s">
        <v>2457</v>
      </c>
      <c r="C996" s="4" t="str">
        <f>IFERROR(VLOOKUP(B996,infoTable10[],4,FALSE),"")</f>
        <v/>
      </c>
      <c r="D996" s="4" t="str">
        <f>IFERROR(VLOOKUP(B996,infoTable__2[],4,FALSE),"")</f>
        <v/>
      </c>
      <c r="E996" s="4" t="str">
        <f>IFERROR(VLOOKUP(B996,infoTable__3[],4,FALSE),"")</f>
        <v/>
      </c>
      <c r="F996" s="4" t="str">
        <f>IFERROR(VLOOKUP(B996,infoTable__4[],4,FALSE),"")</f>
        <v/>
      </c>
      <c r="G996" s="4" t="str">
        <f>IFERROR(VLOOKUP(B996,infoTable[],4,FALSE),"")</f>
        <v/>
      </c>
      <c r="H996" s="4" t="str">
        <f>IFERROR(VLOOKUP(B996,infoTable__6[],4,FALSE),"")</f>
        <v/>
      </c>
      <c r="I996" s="4" t="str">
        <f>IFERROR(VLOOKUP(B996,infoTable__28[],4,FALSE),"")</f>
        <v/>
      </c>
      <c r="J996" s="4" t="str">
        <f>IFERROR(VLOOKUP(B996,infoTable__10[],4,FALSE),"")</f>
        <v/>
      </c>
      <c r="K996" s="4" t="str">
        <f>IFERROR(VLOOKUP(B996,infoTable__11[],4,FALSE),"")</f>
        <v/>
      </c>
      <c r="L996" s="4" t="str">
        <f>IFERROR(VLOOKUP(B996,infoTable__12[],4,FALSE),"")</f>
        <v/>
      </c>
      <c r="M996" s="4">
        <f>IFERROR(VLOOKUP(B996,infoTable__13[],4,FALSE),"")</f>
        <v>1435881</v>
      </c>
      <c r="N996" s="4">
        <f>IFERROR(VLOOKUP(B996,infoTable__14[],4,FALSE),"")</f>
        <v>369538</v>
      </c>
      <c r="O996" s="4">
        <f>IFERROR(VLOOKUP(B996,infoTable__15[],4,FALSE),"")</f>
        <v>943158</v>
      </c>
      <c r="P996" s="4">
        <f>IFERROR(VLOOKUP(B996,infoTable__16[],4,FALSE),"")</f>
        <v>491450</v>
      </c>
    </row>
    <row r="997" spans="1:16" x14ac:dyDescent="0.55000000000000004">
      <c r="A997" t="s">
        <v>151</v>
      </c>
      <c r="B997" s="6" t="s">
        <v>152</v>
      </c>
      <c r="C997" s="4" t="str">
        <f>IFERROR(VLOOKUP(B997,infoTable10[],4,FALSE),"")</f>
        <v/>
      </c>
      <c r="D997" s="4" t="str">
        <f>IFERROR(VLOOKUP(B997,infoTable__2[],4,FALSE),"")</f>
        <v/>
      </c>
      <c r="E997" s="4" t="str">
        <f>IFERROR(VLOOKUP(B997,infoTable__3[],4,FALSE),"")</f>
        <v/>
      </c>
      <c r="F997" s="4" t="str">
        <f>IFERROR(VLOOKUP(B997,infoTable__4[],4,FALSE),"")</f>
        <v/>
      </c>
      <c r="G997" s="4">
        <f>IFERROR(VLOOKUP(B997,infoTable[],4,FALSE),"")</f>
        <v>798807</v>
      </c>
      <c r="H997" s="4">
        <f>IFERROR(VLOOKUP(B997,infoTable__6[],4,FALSE),"")</f>
        <v>296355</v>
      </c>
      <c r="I997" s="4">
        <f>IFERROR(VLOOKUP(B997,infoTable__28[],4,FALSE),"")</f>
        <v>291443</v>
      </c>
      <c r="J997" s="4" t="str">
        <f>IFERROR(VLOOKUP(B997,infoTable__10[],4,FALSE),"")</f>
        <v/>
      </c>
      <c r="K997" s="4" t="str">
        <f>IFERROR(VLOOKUP(B997,infoTable__11[],4,FALSE),"")</f>
        <v/>
      </c>
      <c r="L997" s="4">
        <f>IFERROR(VLOOKUP(B997,infoTable__12[],4,FALSE),"")</f>
        <v>1617729</v>
      </c>
      <c r="M997" s="4">
        <f>IFERROR(VLOOKUP(B997,infoTable__13[],4,FALSE),"")</f>
        <v>2313598</v>
      </c>
      <c r="N997" s="4">
        <f>IFERROR(VLOOKUP(B997,infoTable__14[],4,FALSE),"")</f>
        <v>1333559</v>
      </c>
      <c r="O997" s="4">
        <f>IFERROR(VLOOKUP(B997,infoTable__15[],4,FALSE),"")</f>
        <v>3945270</v>
      </c>
      <c r="P997" s="4">
        <f>IFERROR(VLOOKUP(B997,infoTable__16[],4,FALSE),"")</f>
        <v>5477960</v>
      </c>
    </row>
    <row r="998" spans="1:16" x14ac:dyDescent="0.55000000000000004">
      <c r="A998" t="s">
        <v>2813</v>
      </c>
      <c r="B998" s="6" t="s">
        <v>2812</v>
      </c>
      <c r="C998" s="4" t="str">
        <f>IFERROR(VLOOKUP(B998,infoTable10[],4,FALSE),"")</f>
        <v/>
      </c>
      <c r="D998" s="4" t="str">
        <f>IFERROR(VLOOKUP(B998,infoTable__2[],4,FALSE),"")</f>
        <v/>
      </c>
      <c r="E998" s="4" t="str">
        <f>IFERROR(VLOOKUP(B998,infoTable__3[],4,FALSE),"")</f>
        <v/>
      </c>
      <c r="F998" s="4" t="str">
        <f>IFERROR(VLOOKUP(B998,infoTable__4[],4,FALSE),"")</f>
        <v/>
      </c>
      <c r="G998" s="4" t="str">
        <f>IFERROR(VLOOKUP(B998,infoTable[],4,FALSE),"")</f>
        <v/>
      </c>
      <c r="H998" s="4" t="str">
        <f>IFERROR(VLOOKUP(B998,infoTable__6[],4,FALSE),"")</f>
        <v/>
      </c>
      <c r="I998" s="4" t="str">
        <f>IFERROR(VLOOKUP(B998,infoTable__28[],4,FALSE),"")</f>
        <v/>
      </c>
      <c r="J998" s="4" t="str">
        <f>IFERROR(VLOOKUP(B998,infoTable__10[],4,FALSE),"")</f>
        <v/>
      </c>
      <c r="K998" s="4" t="str">
        <f>IFERROR(VLOOKUP(B998,infoTable__11[],4,FALSE),"")</f>
        <v/>
      </c>
      <c r="L998" s="4" t="str">
        <f>IFERROR(VLOOKUP(B998,infoTable__12[],4,FALSE),"")</f>
        <v/>
      </c>
      <c r="M998" s="4" t="str">
        <f>IFERROR(VLOOKUP(B998,infoTable__13[],4,FALSE),"")</f>
        <v/>
      </c>
      <c r="N998" s="4">
        <f>IFERROR(VLOOKUP(B998,infoTable__14[],4,FALSE),"")</f>
        <v>1666844</v>
      </c>
      <c r="O998" s="4">
        <f>IFERROR(VLOOKUP(B998,infoTable__15[],4,FALSE),"")</f>
        <v>2460621</v>
      </c>
      <c r="P998" s="4">
        <f>IFERROR(VLOOKUP(B998,infoTable__16[],4,FALSE),"")</f>
        <v>308260</v>
      </c>
    </row>
    <row r="999" spans="1:16" x14ac:dyDescent="0.55000000000000004">
      <c r="A999" t="s">
        <v>153</v>
      </c>
      <c r="B999" s="6" t="s">
        <v>154</v>
      </c>
      <c r="C999" s="4" t="str">
        <f>IFERROR(VLOOKUP(B999,infoTable10[],4,FALSE),"")</f>
        <v/>
      </c>
      <c r="D999" s="4" t="str">
        <f>IFERROR(VLOOKUP(B999,infoTable__2[],4,FALSE),"")</f>
        <v/>
      </c>
      <c r="E999" s="4" t="str">
        <f>IFERROR(VLOOKUP(B999,infoTable__3[],4,FALSE),"")</f>
        <v/>
      </c>
      <c r="F999" s="4" t="str">
        <f>IFERROR(VLOOKUP(B999,infoTable__4[],4,FALSE),"")</f>
        <v/>
      </c>
      <c r="G999" s="4">
        <f>IFERROR(VLOOKUP(B999,infoTable[],4,FALSE),"")</f>
        <v>3535799</v>
      </c>
      <c r="H999" s="4">
        <f>IFERROR(VLOOKUP(B999,infoTable__6[],4,FALSE),"")</f>
        <v>3438923</v>
      </c>
      <c r="I999" s="4">
        <f>IFERROR(VLOOKUP(B999,infoTable__28[],4,FALSE),"")</f>
        <v>2179700</v>
      </c>
      <c r="J999" s="4">
        <f>IFERROR(VLOOKUP(B999,infoTable__10[],4,FALSE),"")</f>
        <v>367847</v>
      </c>
      <c r="K999" s="4" t="str">
        <f>IFERROR(VLOOKUP(B999,infoTable__11[],4,FALSE),"")</f>
        <v/>
      </c>
      <c r="L999" s="4" t="str">
        <f>IFERROR(VLOOKUP(B999,infoTable__12[],4,FALSE),"")</f>
        <v/>
      </c>
      <c r="M999" s="4" t="str">
        <f>IFERROR(VLOOKUP(B999,infoTable__13[],4,FALSE),"")</f>
        <v/>
      </c>
      <c r="N999" s="4" t="str">
        <f>IFERROR(VLOOKUP(B999,infoTable__14[],4,FALSE),"")</f>
        <v/>
      </c>
      <c r="O999" s="4">
        <f>IFERROR(VLOOKUP(B999,infoTable__15[],4,FALSE),"")</f>
        <v>712452</v>
      </c>
      <c r="P999" s="4" t="str">
        <f>IFERROR(VLOOKUP(B999,infoTable__16[],4,FALSE),"")</f>
        <v/>
      </c>
    </row>
    <row r="1000" spans="1:16" x14ac:dyDescent="0.55000000000000004">
      <c r="A1000" t="s">
        <v>2815</v>
      </c>
      <c r="B1000" s="6" t="s">
        <v>2814</v>
      </c>
      <c r="C1000" s="4" t="str">
        <f>IFERROR(VLOOKUP(B1000,infoTable10[],4,FALSE),"")</f>
        <v/>
      </c>
      <c r="D1000" s="4" t="str">
        <f>IFERROR(VLOOKUP(B1000,infoTable__2[],4,FALSE),"")</f>
        <v/>
      </c>
      <c r="E1000" s="4" t="str">
        <f>IFERROR(VLOOKUP(B1000,infoTable__3[],4,FALSE),"")</f>
        <v/>
      </c>
      <c r="F1000" s="4" t="str">
        <f>IFERROR(VLOOKUP(B1000,infoTable__4[],4,FALSE),"")</f>
        <v/>
      </c>
      <c r="G1000" s="4" t="str">
        <f>IFERROR(VLOOKUP(B1000,infoTable[],4,FALSE),"")</f>
        <v/>
      </c>
      <c r="H1000" s="4" t="str">
        <f>IFERROR(VLOOKUP(B1000,infoTable__6[],4,FALSE),"")</f>
        <v/>
      </c>
      <c r="I1000" s="4" t="str">
        <f>IFERROR(VLOOKUP(B1000,infoTable__28[],4,FALSE),"")</f>
        <v/>
      </c>
      <c r="J1000" s="4" t="str">
        <f>IFERROR(VLOOKUP(B1000,infoTable__10[],4,FALSE),"")</f>
        <v/>
      </c>
      <c r="K1000" s="4" t="str">
        <f>IFERROR(VLOOKUP(B1000,infoTable__11[],4,FALSE),"")</f>
        <v/>
      </c>
      <c r="L1000" s="4" t="str">
        <f>IFERROR(VLOOKUP(B1000,infoTable__12[],4,FALSE),"")</f>
        <v/>
      </c>
      <c r="M1000" s="4" t="str">
        <f>IFERROR(VLOOKUP(B1000,infoTable__13[],4,FALSE),"")</f>
        <v/>
      </c>
      <c r="N1000" s="4">
        <f>IFERROR(VLOOKUP(B1000,infoTable__14[],4,FALSE),"")</f>
        <v>388932</v>
      </c>
      <c r="O1000" s="4" t="str">
        <f>IFERROR(VLOOKUP(B1000,infoTable__15[],4,FALSE),"")</f>
        <v/>
      </c>
      <c r="P1000" s="4" t="str">
        <f>IFERROR(VLOOKUP(B1000,infoTable__16[],4,FALSE),"")</f>
        <v/>
      </c>
    </row>
    <row r="1001" spans="1:16" x14ac:dyDescent="0.55000000000000004">
      <c r="A1001" t="s">
        <v>2153</v>
      </c>
      <c r="B1001" s="6" t="s">
        <v>2154</v>
      </c>
      <c r="C1001" s="4" t="str">
        <f>IFERROR(VLOOKUP(B1001,infoTable10[],4,FALSE),"")</f>
        <v/>
      </c>
      <c r="D1001" s="4" t="str">
        <f>IFERROR(VLOOKUP(B1001,infoTable__2[],4,FALSE),"")</f>
        <v/>
      </c>
      <c r="E1001" s="4" t="str">
        <f>IFERROR(VLOOKUP(B1001,infoTable__3[],4,FALSE),"")</f>
        <v/>
      </c>
      <c r="F1001" s="4" t="str">
        <f>IFERROR(VLOOKUP(B1001,infoTable__4[],4,FALSE),"")</f>
        <v/>
      </c>
      <c r="G1001" s="4" t="str">
        <f>IFERROR(VLOOKUP(B1001,infoTable[],4,FALSE),"")</f>
        <v/>
      </c>
      <c r="H1001" s="4" t="str">
        <f>IFERROR(VLOOKUP(B1001,infoTable__6[],4,FALSE),"")</f>
        <v/>
      </c>
      <c r="I1001" s="4" t="str">
        <f>IFERROR(VLOOKUP(B1001,infoTable__28[],4,FALSE),"")</f>
        <v/>
      </c>
      <c r="J1001" s="4" t="str">
        <f>IFERROR(VLOOKUP(B1001,infoTable__10[],4,FALSE),"")</f>
        <v/>
      </c>
      <c r="K1001" s="4" t="str">
        <f>IFERROR(VLOOKUP(B1001,infoTable__11[],4,FALSE),"")</f>
        <v/>
      </c>
      <c r="L1001" s="4">
        <f>IFERROR(VLOOKUP(B1001,infoTable__12[],4,FALSE),"")</f>
        <v>778311</v>
      </c>
      <c r="M1001" s="4">
        <f>IFERROR(VLOOKUP(B1001,infoTable__13[],4,FALSE),"")</f>
        <v>699287</v>
      </c>
      <c r="N1001" s="4">
        <f>IFERROR(VLOOKUP(B1001,infoTable__14[],4,FALSE),"")</f>
        <v>624223</v>
      </c>
      <c r="O1001" s="4">
        <f>IFERROR(VLOOKUP(B1001,infoTable__15[],4,FALSE),"")</f>
        <v>485115</v>
      </c>
      <c r="P1001" s="4">
        <f>IFERROR(VLOOKUP(B1001,infoTable__16[],4,FALSE),"")</f>
        <v>4351118</v>
      </c>
    </row>
    <row r="1002" spans="1:16" x14ac:dyDescent="0.55000000000000004">
      <c r="A1002" t="s">
        <v>1586</v>
      </c>
      <c r="B1002" s="6" t="s">
        <v>1227</v>
      </c>
      <c r="C1002" s="4" t="str">
        <f>IFERROR(VLOOKUP(B1002,infoTable10[],4,FALSE),"")</f>
        <v/>
      </c>
      <c r="D1002" s="4" t="str">
        <f>IFERROR(VLOOKUP(B1002,infoTable__2[],4,FALSE),"")</f>
        <v/>
      </c>
      <c r="E1002" s="4" t="str">
        <f>IFERROR(VLOOKUP(B1002,infoTable__3[],4,FALSE),"")</f>
        <v/>
      </c>
      <c r="F1002" s="4" t="str">
        <f>IFERROR(VLOOKUP(B1002,infoTable__4[],4,FALSE),"")</f>
        <v/>
      </c>
      <c r="G1002" s="4" t="str">
        <f>IFERROR(VLOOKUP(B1002,infoTable[],4,FALSE),"")</f>
        <v/>
      </c>
      <c r="H1002" s="4" t="str">
        <f>IFERROR(VLOOKUP(B1002,infoTable__6[],4,FALSE),"")</f>
        <v/>
      </c>
      <c r="I1002" s="4">
        <f>IFERROR(VLOOKUP(B1002,infoTable__28[],4,FALSE),"")</f>
        <v>374495</v>
      </c>
      <c r="J1002" s="4" t="str">
        <f>IFERROR(VLOOKUP(B1002,infoTable__10[],4,FALSE),"")</f>
        <v/>
      </c>
      <c r="K1002" s="4" t="str">
        <f>IFERROR(VLOOKUP(B1002,infoTable__11[],4,FALSE),"")</f>
        <v/>
      </c>
      <c r="L1002" s="4" t="str">
        <f>IFERROR(VLOOKUP(B1002,infoTable__12[],4,FALSE),"")</f>
        <v/>
      </c>
      <c r="M1002" s="4" t="str">
        <f>IFERROR(VLOOKUP(B1002,infoTable__13[],4,FALSE),"")</f>
        <v/>
      </c>
      <c r="N1002" s="4">
        <f>IFERROR(VLOOKUP(B1002,infoTable__14[],4,FALSE),"")</f>
        <v>381270</v>
      </c>
      <c r="O1002" s="4">
        <f>IFERROR(VLOOKUP(B1002,infoTable__15[],4,FALSE),"")</f>
        <v>1679735</v>
      </c>
      <c r="P1002" s="4">
        <f>IFERROR(VLOOKUP(B1002,infoTable__16[],4,FALSE),"")</f>
        <v>803147</v>
      </c>
    </row>
    <row r="1003" spans="1:16" x14ac:dyDescent="0.55000000000000004">
      <c r="A1003" t="s">
        <v>1228</v>
      </c>
      <c r="B1003" s="6" t="s">
        <v>1229</v>
      </c>
      <c r="C1003" s="4" t="str">
        <f>IFERROR(VLOOKUP(B1003,infoTable10[],4,FALSE),"")</f>
        <v/>
      </c>
      <c r="D1003" s="4" t="str">
        <f>IFERROR(VLOOKUP(B1003,infoTable__2[],4,FALSE),"")</f>
        <v/>
      </c>
      <c r="E1003" s="4" t="str">
        <f>IFERROR(VLOOKUP(B1003,infoTable__3[],4,FALSE),"")</f>
        <v/>
      </c>
      <c r="F1003" s="4" t="str">
        <f>IFERROR(VLOOKUP(B1003,infoTable__4[],4,FALSE),"")</f>
        <v/>
      </c>
      <c r="G1003" s="4" t="str">
        <f>IFERROR(VLOOKUP(B1003,infoTable[],4,FALSE),"")</f>
        <v/>
      </c>
      <c r="H1003" s="4" t="str">
        <f>IFERROR(VLOOKUP(B1003,infoTable__6[],4,FALSE),"")</f>
        <v/>
      </c>
      <c r="I1003" s="4">
        <f>IFERROR(VLOOKUP(B1003,infoTable__28[],4,FALSE),"")</f>
        <v>714967</v>
      </c>
      <c r="J1003" s="4">
        <f>IFERROR(VLOOKUP(B1003,infoTable__10[],4,FALSE),"")</f>
        <v>1516524</v>
      </c>
      <c r="K1003" s="4">
        <f>IFERROR(VLOOKUP(B1003,infoTable__11[],4,FALSE),"")</f>
        <v>522842</v>
      </c>
      <c r="L1003" s="4">
        <f>IFERROR(VLOOKUP(B1003,infoTable__12[],4,FALSE),"")</f>
        <v>310319</v>
      </c>
      <c r="M1003" s="4" t="str">
        <f>IFERROR(VLOOKUP(B1003,infoTable__13[],4,FALSE),"")</f>
        <v/>
      </c>
      <c r="N1003" s="4" t="str">
        <f>IFERROR(VLOOKUP(B1003,infoTable__14[],4,FALSE),"")</f>
        <v/>
      </c>
      <c r="O1003" s="4" t="str">
        <f>IFERROR(VLOOKUP(B1003,infoTable__15[],4,FALSE),"")</f>
        <v/>
      </c>
      <c r="P1003" s="4" t="str">
        <f>IFERROR(VLOOKUP(B1003,infoTable__16[],4,FALSE),"")</f>
        <v/>
      </c>
    </row>
    <row r="1004" spans="1:16" x14ac:dyDescent="0.55000000000000004">
      <c r="A1004" t="s">
        <v>1587</v>
      </c>
      <c r="B1004" s="6" t="s">
        <v>158</v>
      </c>
      <c r="C1004" s="4" t="str">
        <f>IFERROR(VLOOKUP(B1004,infoTable10[],4,FALSE),"")</f>
        <v/>
      </c>
      <c r="D1004" s="4" t="str">
        <f>IFERROR(VLOOKUP(B1004,infoTable__2[],4,FALSE),"")</f>
        <v/>
      </c>
      <c r="E1004" s="4" t="str">
        <f>IFERROR(VLOOKUP(B1004,infoTable__3[],4,FALSE),"")</f>
        <v/>
      </c>
      <c r="F1004" s="4">
        <f>IFERROR(VLOOKUP(B1004,infoTable__4[],4,FALSE),"")</f>
        <v>757905</v>
      </c>
      <c r="G1004" s="4">
        <f>IFERROR(VLOOKUP(B1004,infoTable[],4,FALSE),"")</f>
        <v>587677</v>
      </c>
      <c r="H1004" s="4" t="str">
        <f>IFERROR(VLOOKUP(B1004,infoTable__6[],4,FALSE),"")</f>
        <v/>
      </c>
      <c r="I1004" s="4" t="str">
        <f>IFERROR(VLOOKUP(B1004,infoTable__28[],4,FALSE),"")</f>
        <v/>
      </c>
      <c r="J1004" s="4" t="str">
        <f>IFERROR(VLOOKUP(B1004,infoTable__10[],4,FALSE),"")</f>
        <v/>
      </c>
      <c r="K1004" s="4" t="str">
        <f>IFERROR(VLOOKUP(B1004,infoTable__11[],4,FALSE),"")</f>
        <v/>
      </c>
      <c r="L1004" s="4" t="str">
        <f>IFERROR(VLOOKUP(B1004,infoTable__12[],4,FALSE),"")</f>
        <v/>
      </c>
      <c r="M1004" s="4" t="str">
        <f>IFERROR(VLOOKUP(B1004,infoTable__13[],4,FALSE),"")</f>
        <v/>
      </c>
      <c r="N1004" s="4" t="str">
        <f>IFERROR(VLOOKUP(B1004,infoTable__14[],4,FALSE),"")</f>
        <v/>
      </c>
      <c r="O1004" s="4" t="str">
        <f>IFERROR(VLOOKUP(B1004,infoTable__15[],4,FALSE),"")</f>
        <v/>
      </c>
      <c r="P1004" s="4" t="str">
        <f>IFERROR(VLOOKUP(B1004,infoTable__16[],4,FALSE),"")</f>
        <v/>
      </c>
    </row>
    <row r="1005" spans="1:16" x14ac:dyDescent="0.55000000000000004">
      <c r="A1005" t="s">
        <v>1877</v>
      </c>
      <c r="B1005" s="6" t="s">
        <v>1878</v>
      </c>
      <c r="C1005" s="4" t="str">
        <f>IFERROR(VLOOKUP(B1005,infoTable10[],4,FALSE),"")</f>
        <v/>
      </c>
      <c r="D1005" s="4" t="str">
        <f>IFERROR(VLOOKUP(B1005,infoTable__2[],4,FALSE),"")</f>
        <v/>
      </c>
      <c r="E1005" s="4" t="str">
        <f>IFERROR(VLOOKUP(B1005,infoTable__3[],4,FALSE),"")</f>
        <v/>
      </c>
      <c r="F1005" s="4" t="str">
        <f>IFERROR(VLOOKUP(B1005,infoTable__4[],4,FALSE),"")</f>
        <v/>
      </c>
      <c r="G1005" s="4" t="str">
        <f>IFERROR(VLOOKUP(B1005,infoTable[],4,FALSE),"")</f>
        <v/>
      </c>
      <c r="H1005" s="4" t="str">
        <f>IFERROR(VLOOKUP(B1005,infoTable__6[],4,FALSE),"")</f>
        <v/>
      </c>
      <c r="I1005" s="4" t="str">
        <f>IFERROR(VLOOKUP(B1005,infoTable__28[],4,FALSE),"")</f>
        <v/>
      </c>
      <c r="J1005" s="4" t="str">
        <f>IFERROR(VLOOKUP(B1005,infoTable__10[],4,FALSE),"")</f>
        <v/>
      </c>
      <c r="K1005" s="4">
        <f>IFERROR(VLOOKUP(B1005,infoTable__11[],4,FALSE),"")</f>
        <v>274372</v>
      </c>
      <c r="L1005" s="4">
        <f>IFERROR(VLOOKUP(B1005,infoTable__12[],4,FALSE),"")</f>
        <v>366242</v>
      </c>
      <c r="M1005" s="4" t="str">
        <f>IFERROR(VLOOKUP(B1005,infoTable__13[],4,FALSE),"")</f>
        <v/>
      </c>
      <c r="N1005" s="4" t="str">
        <f>IFERROR(VLOOKUP(B1005,infoTable__14[],4,FALSE),"")</f>
        <v/>
      </c>
      <c r="O1005" s="4">
        <f>IFERROR(VLOOKUP(B1005,infoTable__15[],4,FALSE),"")</f>
        <v>515450</v>
      </c>
      <c r="P1005" s="4" t="str">
        <f>IFERROR(VLOOKUP(B1005,infoTable__16[],4,FALSE),"")</f>
        <v/>
      </c>
    </row>
    <row r="1006" spans="1:16" x14ac:dyDescent="0.55000000000000004">
      <c r="A1006" t="s">
        <v>993</v>
      </c>
      <c r="B1006" s="6" t="s">
        <v>994</v>
      </c>
      <c r="C1006" s="4" t="str">
        <f>IFERROR(VLOOKUP(B1006,infoTable10[],4,FALSE),"")</f>
        <v/>
      </c>
      <c r="D1006" s="4" t="str">
        <f>IFERROR(VLOOKUP(B1006,infoTable__2[],4,FALSE),"")</f>
        <v/>
      </c>
      <c r="E1006" s="4" t="str">
        <f>IFERROR(VLOOKUP(B1006,infoTable__3[],4,FALSE),"")</f>
        <v/>
      </c>
      <c r="F1006" s="4" t="str">
        <f>IFERROR(VLOOKUP(B1006,infoTable__4[],4,FALSE),"")</f>
        <v/>
      </c>
      <c r="G1006" s="4" t="str">
        <f>IFERROR(VLOOKUP(B1006,infoTable[],4,FALSE),"")</f>
        <v/>
      </c>
      <c r="H1006" s="4">
        <f>IFERROR(VLOOKUP(B1006,infoTable__6[],4,FALSE),"")</f>
        <v>238486</v>
      </c>
      <c r="I1006" s="4" t="str">
        <f>IFERROR(VLOOKUP(B1006,infoTable__28[],4,FALSE),"")</f>
        <v/>
      </c>
      <c r="J1006" s="4" t="str">
        <f>IFERROR(VLOOKUP(B1006,infoTable__10[],4,FALSE),"")</f>
        <v/>
      </c>
      <c r="K1006" s="4" t="str">
        <f>IFERROR(VLOOKUP(B1006,infoTable__11[],4,FALSE),"")</f>
        <v/>
      </c>
      <c r="L1006" s="4" t="str">
        <f>IFERROR(VLOOKUP(B1006,infoTable__12[],4,FALSE),"")</f>
        <v/>
      </c>
      <c r="M1006" s="4" t="str">
        <f>IFERROR(VLOOKUP(B1006,infoTable__13[],4,FALSE),"")</f>
        <v/>
      </c>
      <c r="N1006" s="4" t="str">
        <f>IFERROR(VLOOKUP(B1006,infoTable__14[],4,FALSE),"")</f>
        <v/>
      </c>
      <c r="O1006" s="4" t="str">
        <f>IFERROR(VLOOKUP(B1006,infoTable__15[],4,FALSE),"")</f>
        <v/>
      </c>
      <c r="P1006" s="4" t="str">
        <f>IFERROR(VLOOKUP(B1006,infoTable__16[],4,FALSE),"")</f>
        <v/>
      </c>
    </row>
    <row r="1007" spans="1:16" x14ac:dyDescent="0.55000000000000004">
      <c r="A1007" t="s">
        <v>2155</v>
      </c>
      <c r="B1007" s="6" t="s">
        <v>2156</v>
      </c>
      <c r="C1007" s="4" t="str">
        <f>IFERROR(VLOOKUP(B1007,infoTable10[],4,FALSE),"")</f>
        <v/>
      </c>
      <c r="D1007" s="4" t="str">
        <f>IFERROR(VLOOKUP(B1007,infoTable__2[],4,FALSE),"")</f>
        <v/>
      </c>
      <c r="E1007" s="4" t="str">
        <f>IFERROR(VLOOKUP(B1007,infoTable__3[],4,FALSE),"")</f>
        <v/>
      </c>
      <c r="F1007" s="4" t="str">
        <f>IFERROR(VLOOKUP(B1007,infoTable__4[],4,FALSE),"")</f>
        <v/>
      </c>
      <c r="G1007" s="4" t="str">
        <f>IFERROR(VLOOKUP(B1007,infoTable[],4,FALSE),"")</f>
        <v/>
      </c>
      <c r="H1007" s="4" t="str">
        <f>IFERROR(VLOOKUP(B1007,infoTable__6[],4,FALSE),"")</f>
        <v/>
      </c>
      <c r="I1007" s="4" t="str">
        <f>IFERROR(VLOOKUP(B1007,infoTable__28[],4,FALSE),"")</f>
        <v/>
      </c>
      <c r="J1007" s="4" t="str">
        <f>IFERROR(VLOOKUP(B1007,infoTable__10[],4,FALSE),"")</f>
        <v/>
      </c>
      <c r="K1007" s="4" t="str">
        <f>IFERROR(VLOOKUP(B1007,infoTable__11[],4,FALSE),"")</f>
        <v/>
      </c>
      <c r="L1007" s="4">
        <f>IFERROR(VLOOKUP(B1007,infoTable__12[],4,FALSE),"")</f>
        <v>447446</v>
      </c>
      <c r="M1007" s="4" t="str">
        <f>IFERROR(VLOOKUP(B1007,infoTable__13[],4,FALSE),"")</f>
        <v/>
      </c>
      <c r="N1007" s="4" t="str">
        <f>IFERROR(VLOOKUP(B1007,infoTable__14[],4,FALSE),"")</f>
        <v/>
      </c>
      <c r="O1007" s="4" t="str">
        <f>IFERROR(VLOOKUP(B1007,infoTable__15[],4,FALSE),"")</f>
        <v/>
      </c>
      <c r="P1007" s="4" t="str">
        <f>IFERROR(VLOOKUP(B1007,infoTable__16[],4,FALSE),"")</f>
        <v/>
      </c>
    </row>
    <row r="1008" spans="1:16" x14ac:dyDescent="0.55000000000000004">
      <c r="A1008" t="s">
        <v>1655</v>
      </c>
      <c r="B1008" s="6" t="s">
        <v>1657</v>
      </c>
      <c r="C1008" s="4" t="str">
        <f>IFERROR(VLOOKUP(B1008,infoTable10[],4,FALSE),"")</f>
        <v/>
      </c>
      <c r="D1008" s="4" t="str">
        <f>IFERROR(VLOOKUP(B1008,infoTable__2[],4,FALSE),"")</f>
        <v/>
      </c>
      <c r="E1008" s="4" t="str">
        <f>IFERROR(VLOOKUP(B1008,infoTable__3[],4,FALSE),"")</f>
        <v/>
      </c>
      <c r="F1008" s="4" t="str">
        <f>IFERROR(VLOOKUP(B1008,infoTable__4[],4,FALSE),"")</f>
        <v/>
      </c>
      <c r="G1008" s="4" t="str">
        <f>IFERROR(VLOOKUP(B1008,infoTable[],4,FALSE),"")</f>
        <v/>
      </c>
      <c r="H1008" s="4" t="str">
        <f>IFERROR(VLOOKUP(B1008,infoTable__6[],4,FALSE),"")</f>
        <v/>
      </c>
      <c r="I1008" s="4" t="str">
        <f>IFERROR(VLOOKUP(B1008,infoTable__28[],4,FALSE),"")</f>
        <v/>
      </c>
      <c r="J1008" s="4">
        <f>IFERROR(VLOOKUP(B1008,infoTable__10[],4,FALSE),"")</f>
        <v>158284</v>
      </c>
      <c r="K1008" s="4">
        <f>IFERROR(VLOOKUP(B1008,infoTable__11[],4,FALSE),"")</f>
        <v>1138262</v>
      </c>
      <c r="L1008" s="4">
        <f>IFERROR(VLOOKUP(B1008,infoTable__12[],4,FALSE),"")</f>
        <v>78821</v>
      </c>
      <c r="M1008" s="4" t="str">
        <f>IFERROR(VLOOKUP(B1008,infoTable__13[],4,FALSE),"")</f>
        <v/>
      </c>
      <c r="N1008" s="4" t="str">
        <f>IFERROR(VLOOKUP(B1008,infoTable__14[],4,FALSE),"")</f>
        <v/>
      </c>
      <c r="O1008" s="4" t="str">
        <f>IFERROR(VLOOKUP(B1008,infoTable__15[],4,FALSE),"")</f>
        <v/>
      </c>
      <c r="P1008" s="4" t="str">
        <f>IFERROR(VLOOKUP(B1008,infoTable__16[],4,FALSE),"")</f>
        <v/>
      </c>
    </row>
    <row r="1009" spans="1:16" x14ac:dyDescent="0.55000000000000004">
      <c r="A1009" t="s">
        <v>3032</v>
      </c>
      <c r="B1009" s="6" t="s">
        <v>3033</v>
      </c>
      <c r="C1009" s="4" t="str">
        <f>IFERROR(VLOOKUP(B1009,infoTable10[],4,FALSE),"")</f>
        <v/>
      </c>
      <c r="D1009" s="4" t="str">
        <f>IFERROR(VLOOKUP(B1009,infoTable__2[],4,FALSE),"")</f>
        <v/>
      </c>
      <c r="E1009" s="4" t="str">
        <f>IFERROR(VLOOKUP(B1009,infoTable__3[],4,FALSE),"")</f>
        <v/>
      </c>
      <c r="F1009" s="4" t="str">
        <f>IFERROR(VLOOKUP(B1009,infoTable__4[],4,FALSE),"")</f>
        <v/>
      </c>
      <c r="G1009" s="4" t="str">
        <f>IFERROR(VLOOKUP(B1009,infoTable[],4,FALSE),"")</f>
        <v/>
      </c>
      <c r="H1009" s="4" t="str">
        <f>IFERROR(VLOOKUP(B1009,infoTable__6[],4,FALSE),"")</f>
        <v/>
      </c>
      <c r="I1009" s="4" t="str">
        <f>IFERROR(VLOOKUP(B1009,infoTable__28[],4,FALSE),"")</f>
        <v/>
      </c>
      <c r="J1009" s="4" t="str">
        <f>IFERROR(VLOOKUP(B1009,infoTable__10[],4,FALSE),"")</f>
        <v/>
      </c>
      <c r="K1009" s="4" t="str">
        <f>IFERROR(VLOOKUP(B1009,infoTable__11[],4,FALSE),"")</f>
        <v/>
      </c>
      <c r="L1009" s="4" t="str">
        <f>IFERROR(VLOOKUP(B1009,infoTable__12[],4,FALSE),"")</f>
        <v/>
      </c>
      <c r="M1009" s="4" t="str">
        <f>IFERROR(VLOOKUP(B1009,infoTable__13[],4,FALSE),"")</f>
        <v/>
      </c>
      <c r="N1009" s="4" t="str">
        <f>IFERROR(VLOOKUP(B1009,infoTable__14[],4,FALSE),"")</f>
        <v/>
      </c>
      <c r="O1009" s="4">
        <f>IFERROR(VLOOKUP(B1009,infoTable__15[],4,FALSE),"")</f>
        <v>518123</v>
      </c>
      <c r="P1009" s="4">
        <f>IFERROR(VLOOKUP(B1009,infoTable__16[],4,FALSE),"")</f>
        <v>527926</v>
      </c>
    </row>
    <row r="1010" spans="1:16" x14ac:dyDescent="0.55000000000000004">
      <c r="A1010" t="s">
        <v>1660</v>
      </c>
      <c r="B1010" s="6" t="s">
        <v>1661</v>
      </c>
      <c r="C1010" s="4" t="str">
        <f>IFERROR(VLOOKUP(B1010,infoTable10[],4,FALSE),"")</f>
        <v/>
      </c>
      <c r="D1010" s="4" t="str">
        <f>IFERROR(VLOOKUP(B1010,infoTable__2[],4,FALSE),"")</f>
        <v/>
      </c>
      <c r="E1010" s="4" t="str">
        <f>IFERROR(VLOOKUP(B1010,infoTable__3[],4,FALSE),"")</f>
        <v/>
      </c>
      <c r="F1010" s="4" t="str">
        <f>IFERROR(VLOOKUP(B1010,infoTable__4[],4,FALSE),"")</f>
        <v/>
      </c>
      <c r="G1010" s="4" t="str">
        <f>IFERROR(VLOOKUP(B1010,infoTable[],4,FALSE),"")</f>
        <v/>
      </c>
      <c r="H1010" s="4" t="str">
        <f>IFERROR(VLOOKUP(B1010,infoTable__6[],4,FALSE),"")</f>
        <v/>
      </c>
      <c r="I1010" s="4" t="str">
        <f>IFERROR(VLOOKUP(B1010,infoTable__28[],4,FALSE),"")</f>
        <v/>
      </c>
      <c r="J1010" s="4">
        <f>IFERROR(VLOOKUP(B1010,infoTable__10[],4,FALSE),"")</f>
        <v>2039754</v>
      </c>
      <c r="K1010" s="4">
        <f>IFERROR(VLOOKUP(B1010,infoTable__11[],4,FALSE),"")</f>
        <v>2212261</v>
      </c>
      <c r="L1010" s="4" t="str">
        <f>IFERROR(VLOOKUP(B1010,infoTable__12[],4,FALSE),"")</f>
        <v/>
      </c>
      <c r="M1010" s="4" t="str">
        <f>IFERROR(VLOOKUP(B1010,infoTable__13[],4,FALSE),"")</f>
        <v/>
      </c>
      <c r="N1010" s="4" t="str">
        <f>IFERROR(VLOOKUP(B1010,infoTable__14[],4,FALSE),"")</f>
        <v/>
      </c>
      <c r="O1010" s="4" t="str">
        <f>IFERROR(VLOOKUP(B1010,infoTable__15[],4,FALSE),"")</f>
        <v/>
      </c>
      <c r="P1010" s="4" t="str">
        <f>IFERROR(VLOOKUP(B1010,infoTable__16[],4,FALSE),"")</f>
        <v/>
      </c>
    </row>
    <row r="1011" spans="1:16" x14ac:dyDescent="0.55000000000000004">
      <c r="A1011" t="s">
        <v>3038</v>
      </c>
      <c r="B1011" s="6" t="s">
        <v>3039</v>
      </c>
      <c r="C1011" s="4" t="str">
        <f>IFERROR(VLOOKUP(B1011,infoTable10[],4,FALSE),"")</f>
        <v/>
      </c>
      <c r="D1011" s="4" t="str">
        <f>IFERROR(VLOOKUP(B1011,infoTable__2[],4,FALSE),"")</f>
        <v/>
      </c>
      <c r="E1011" s="4" t="str">
        <f>IFERROR(VLOOKUP(B1011,infoTable__3[],4,FALSE),"")</f>
        <v/>
      </c>
      <c r="F1011" s="4" t="str">
        <f>IFERROR(VLOOKUP(B1011,infoTable__4[],4,FALSE),"")</f>
        <v/>
      </c>
      <c r="G1011" s="4" t="str">
        <f>IFERROR(VLOOKUP(B1011,infoTable[],4,FALSE),"")</f>
        <v/>
      </c>
      <c r="H1011" s="4" t="str">
        <f>IFERROR(VLOOKUP(B1011,infoTable__6[],4,FALSE),"")</f>
        <v/>
      </c>
      <c r="I1011" s="4" t="str">
        <f>IFERROR(VLOOKUP(B1011,infoTable__28[],4,FALSE),"")</f>
        <v/>
      </c>
      <c r="J1011" s="4" t="str">
        <f>IFERROR(VLOOKUP(B1011,infoTable__10[],4,FALSE),"")</f>
        <v/>
      </c>
      <c r="K1011" s="4" t="str">
        <f>IFERROR(VLOOKUP(B1011,infoTable__11[],4,FALSE),"")</f>
        <v/>
      </c>
      <c r="L1011" s="4" t="str">
        <f>IFERROR(VLOOKUP(B1011,infoTable__12[],4,FALSE),"")</f>
        <v/>
      </c>
      <c r="M1011" s="4" t="str">
        <f>IFERROR(VLOOKUP(B1011,infoTable__13[],4,FALSE),"")</f>
        <v/>
      </c>
      <c r="N1011" s="4" t="str">
        <f>IFERROR(VLOOKUP(B1011,infoTable__14[],4,FALSE),"")</f>
        <v/>
      </c>
      <c r="O1011" s="4">
        <f>IFERROR(VLOOKUP(B1011,infoTable__15[],4,FALSE),"")</f>
        <v>2755597</v>
      </c>
      <c r="P1011" s="4">
        <f>IFERROR(VLOOKUP(B1011,infoTable__16[],4,FALSE),"")</f>
        <v>3416398</v>
      </c>
    </row>
    <row r="1012" spans="1:16" x14ac:dyDescent="0.55000000000000004">
      <c r="A1012" t="s">
        <v>2157</v>
      </c>
      <c r="B1012" s="6" t="s">
        <v>2158</v>
      </c>
      <c r="C1012" s="4" t="str">
        <f>IFERROR(VLOOKUP(B1012,infoTable10[],4,FALSE),"")</f>
        <v/>
      </c>
      <c r="D1012" s="4" t="str">
        <f>IFERROR(VLOOKUP(B1012,infoTable__2[],4,FALSE),"")</f>
        <v/>
      </c>
      <c r="E1012" s="4" t="str">
        <f>IFERROR(VLOOKUP(B1012,infoTable__3[],4,FALSE),"")</f>
        <v/>
      </c>
      <c r="F1012" s="4" t="str">
        <f>IFERROR(VLOOKUP(B1012,infoTable__4[],4,FALSE),"")</f>
        <v/>
      </c>
      <c r="G1012" s="4" t="str">
        <f>IFERROR(VLOOKUP(B1012,infoTable[],4,FALSE),"")</f>
        <v/>
      </c>
      <c r="H1012" s="4" t="str">
        <f>IFERROR(VLOOKUP(B1012,infoTable__6[],4,FALSE),"")</f>
        <v/>
      </c>
      <c r="I1012" s="4" t="str">
        <f>IFERROR(VLOOKUP(B1012,infoTable__28[],4,FALSE),"")</f>
        <v/>
      </c>
      <c r="J1012" s="4" t="str">
        <f>IFERROR(VLOOKUP(B1012,infoTable__10[],4,FALSE),"")</f>
        <v/>
      </c>
      <c r="K1012" s="4" t="str">
        <f>IFERROR(VLOOKUP(B1012,infoTable__11[],4,FALSE),"")</f>
        <v/>
      </c>
      <c r="L1012" s="4">
        <f>IFERROR(VLOOKUP(B1012,infoTable__12[],4,FALSE),"")</f>
        <v>401476</v>
      </c>
      <c r="M1012" s="4">
        <f>IFERROR(VLOOKUP(B1012,infoTable__13[],4,FALSE),"")</f>
        <v>347274</v>
      </c>
      <c r="N1012" s="4">
        <f>IFERROR(VLOOKUP(B1012,infoTable__14[],4,FALSE),"")</f>
        <v>615257</v>
      </c>
      <c r="O1012" s="4">
        <f>IFERROR(VLOOKUP(B1012,infoTable__15[],4,FALSE),"")</f>
        <v>1243121</v>
      </c>
      <c r="P1012" s="4">
        <f>IFERROR(VLOOKUP(B1012,infoTable__16[],4,FALSE),"")</f>
        <v>846163</v>
      </c>
    </row>
    <row r="1013" spans="1:16" x14ac:dyDescent="0.55000000000000004">
      <c r="A1013" t="s">
        <v>161</v>
      </c>
      <c r="B1013" s="6" t="s">
        <v>162</v>
      </c>
      <c r="C1013" s="4" t="str">
        <f>IFERROR(VLOOKUP(B1013,infoTable10[],4,FALSE),"")</f>
        <v/>
      </c>
      <c r="D1013" s="4" t="str">
        <f>IFERROR(VLOOKUP(B1013,infoTable__2[],4,FALSE),"")</f>
        <v/>
      </c>
      <c r="E1013" s="4" t="str">
        <f>IFERROR(VLOOKUP(B1013,infoTable__3[],4,FALSE),"")</f>
        <v/>
      </c>
      <c r="F1013" s="4">
        <f>IFERROR(VLOOKUP(B1013,infoTable__4[],4,FALSE),"")</f>
        <v>324794</v>
      </c>
      <c r="G1013" s="4">
        <f>IFERROR(VLOOKUP(B1013,infoTable[],4,FALSE),"")</f>
        <v>2863459</v>
      </c>
      <c r="H1013" s="4">
        <f>IFERROR(VLOOKUP(B1013,infoTable__6[],4,FALSE),"")</f>
        <v>3110957</v>
      </c>
      <c r="I1013" s="4">
        <f>IFERROR(VLOOKUP(B1013,infoTable__28[],4,FALSE),"")</f>
        <v>1023402</v>
      </c>
      <c r="J1013" s="4">
        <f>IFERROR(VLOOKUP(B1013,infoTable__10[],4,FALSE),"")</f>
        <v>1776132</v>
      </c>
      <c r="K1013" s="4">
        <f>IFERROR(VLOOKUP(B1013,infoTable__11[],4,FALSE),"")</f>
        <v>4263198</v>
      </c>
      <c r="L1013" s="4">
        <f>IFERROR(VLOOKUP(B1013,infoTable__12[],4,FALSE),"")</f>
        <v>7880860</v>
      </c>
      <c r="M1013" s="4">
        <f>IFERROR(VLOOKUP(B1013,infoTable__13[],4,FALSE),"")</f>
        <v>1230085</v>
      </c>
      <c r="N1013" s="4">
        <f>IFERROR(VLOOKUP(B1013,infoTable__14[],4,FALSE),"")</f>
        <v>2352714</v>
      </c>
      <c r="O1013" s="4">
        <f>IFERROR(VLOOKUP(B1013,infoTable__15[],4,FALSE),"")</f>
        <v>291706</v>
      </c>
      <c r="P1013" s="4" t="str">
        <f>IFERROR(VLOOKUP(B1013,infoTable__16[],4,FALSE),"")</f>
        <v/>
      </c>
    </row>
    <row r="1014" spans="1:16" x14ac:dyDescent="0.55000000000000004">
      <c r="A1014" t="s">
        <v>1662</v>
      </c>
      <c r="B1014" s="6" t="s">
        <v>1663</v>
      </c>
      <c r="C1014" s="4" t="str">
        <f>IFERROR(VLOOKUP(B1014,infoTable10[],4,FALSE),"")</f>
        <v/>
      </c>
      <c r="D1014" s="4" t="str">
        <f>IFERROR(VLOOKUP(B1014,infoTable__2[],4,FALSE),"")</f>
        <v/>
      </c>
      <c r="E1014" s="4" t="str">
        <f>IFERROR(VLOOKUP(B1014,infoTable__3[],4,FALSE),"")</f>
        <v/>
      </c>
      <c r="F1014" s="4" t="str">
        <f>IFERROR(VLOOKUP(B1014,infoTable__4[],4,FALSE),"")</f>
        <v/>
      </c>
      <c r="G1014" s="4" t="str">
        <f>IFERROR(VLOOKUP(B1014,infoTable[],4,FALSE),"")</f>
        <v/>
      </c>
      <c r="H1014" s="4" t="str">
        <f>IFERROR(VLOOKUP(B1014,infoTable__6[],4,FALSE),"")</f>
        <v/>
      </c>
      <c r="I1014" s="4" t="str">
        <f>IFERROR(VLOOKUP(B1014,infoTable__28[],4,FALSE),"")</f>
        <v/>
      </c>
      <c r="J1014" s="4">
        <f>IFERROR(VLOOKUP(B1014,infoTable__10[],4,FALSE),"")</f>
        <v>660179</v>
      </c>
      <c r="K1014" s="4" t="str">
        <f>IFERROR(VLOOKUP(B1014,infoTable__11[],4,FALSE),"")</f>
        <v/>
      </c>
      <c r="L1014" s="4">
        <f>IFERROR(VLOOKUP(B1014,infoTable__12[],4,FALSE),"")</f>
        <v>139262</v>
      </c>
      <c r="M1014" s="4" t="str">
        <f>IFERROR(VLOOKUP(B1014,infoTable__13[],4,FALSE),"")</f>
        <v/>
      </c>
      <c r="N1014" s="4" t="str">
        <f>IFERROR(VLOOKUP(B1014,infoTable__14[],4,FALSE),"")</f>
        <v/>
      </c>
      <c r="O1014" s="4" t="str">
        <f>IFERROR(VLOOKUP(B1014,infoTable__15[],4,FALSE),"")</f>
        <v/>
      </c>
      <c r="P1014" s="4" t="str">
        <f>IFERROR(VLOOKUP(B1014,infoTable__16[],4,FALSE),"")</f>
        <v/>
      </c>
    </row>
    <row r="1015" spans="1:16" x14ac:dyDescent="0.55000000000000004">
      <c r="A1015" t="s">
        <v>1000</v>
      </c>
      <c r="B1015" s="6" t="s">
        <v>1001</v>
      </c>
      <c r="C1015" s="4" t="str">
        <f>IFERROR(VLOOKUP(B1015,infoTable10[],4,FALSE),"")</f>
        <v/>
      </c>
      <c r="D1015" s="4" t="str">
        <f>IFERROR(VLOOKUP(B1015,infoTable__2[],4,FALSE),"")</f>
        <v/>
      </c>
      <c r="E1015" s="4" t="str">
        <f>IFERROR(VLOOKUP(B1015,infoTable__3[],4,FALSE),"")</f>
        <v/>
      </c>
      <c r="F1015" s="4" t="str">
        <f>IFERROR(VLOOKUP(B1015,infoTable__4[],4,FALSE),"")</f>
        <v/>
      </c>
      <c r="G1015" s="4" t="str">
        <f>IFERROR(VLOOKUP(B1015,infoTable[],4,FALSE),"")</f>
        <v/>
      </c>
      <c r="H1015" s="4">
        <f>IFERROR(VLOOKUP(B1015,infoTable__6[],4,FALSE),"")</f>
        <v>2265688</v>
      </c>
      <c r="I1015" s="4">
        <f>IFERROR(VLOOKUP(B1015,infoTable__28[],4,FALSE),"")</f>
        <v>960991</v>
      </c>
      <c r="J1015" s="4" t="str">
        <f>IFERROR(VLOOKUP(B1015,infoTable__10[],4,FALSE),"")</f>
        <v/>
      </c>
      <c r="K1015" s="4" t="str">
        <f>IFERROR(VLOOKUP(B1015,infoTable__11[],4,FALSE),"")</f>
        <v/>
      </c>
      <c r="L1015" s="4" t="str">
        <f>IFERROR(VLOOKUP(B1015,infoTable__12[],4,FALSE),"")</f>
        <v/>
      </c>
      <c r="M1015" s="4" t="str">
        <f>IFERROR(VLOOKUP(B1015,infoTable__13[],4,FALSE),"")</f>
        <v/>
      </c>
      <c r="N1015" s="4" t="str">
        <f>IFERROR(VLOOKUP(B1015,infoTable__14[],4,FALSE),"")</f>
        <v/>
      </c>
      <c r="O1015" s="4" t="str">
        <f>IFERROR(VLOOKUP(B1015,infoTable__15[],4,FALSE),"")</f>
        <v/>
      </c>
      <c r="P1015" s="4" t="str">
        <f>IFERROR(VLOOKUP(B1015,infoTable__16[],4,FALSE),"")</f>
        <v/>
      </c>
    </row>
    <row r="1016" spans="1:16" x14ac:dyDescent="0.55000000000000004">
      <c r="A1016" t="s">
        <v>1588</v>
      </c>
      <c r="B1016" s="6" t="s">
        <v>164</v>
      </c>
      <c r="C1016" s="4" t="str">
        <f>IFERROR(VLOOKUP(B1016,infoTable10[],4,FALSE),"")</f>
        <v/>
      </c>
      <c r="D1016" s="4">
        <f>IFERROR(VLOOKUP(B1016,infoTable__2[],4,FALSE),"")</f>
        <v>1093008</v>
      </c>
      <c r="E1016" s="4">
        <f>IFERROR(VLOOKUP(B1016,infoTable__3[],4,FALSE),"")</f>
        <v>10546802</v>
      </c>
      <c r="F1016" s="4">
        <f>IFERROR(VLOOKUP(B1016,infoTable__4[],4,FALSE),"")</f>
        <v>6630977</v>
      </c>
      <c r="G1016" s="4">
        <f>IFERROR(VLOOKUP(B1016,infoTable[],4,FALSE),"")</f>
        <v>525754</v>
      </c>
      <c r="H1016" s="4">
        <f>IFERROR(VLOOKUP(B1016,infoTable__6[],4,FALSE),"")</f>
        <v>409780</v>
      </c>
      <c r="I1016" s="4" t="str">
        <f>IFERROR(VLOOKUP(B1016,infoTable__28[],4,FALSE),"")</f>
        <v/>
      </c>
      <c r="J1016" s="4" t="str">
        <f>IFERROR(VLOOKUP(B1016,infoTable__10[],4,FALSE),"")</f>
        <v/>
      </c>
      <c r="K1016" s="4" t="str">
        <f>IFERROR(VLOOKUP(B1016,infoTable__11[],4,FALSE),"")</f>
        <v/>
      </c>
      <c r="L1016" s="4" t="str">
        <f>IFERROR(VLOOKUP(B1016,infoTable__12[],4,FALSE),"")</f>
        <v/>
      </c>
      <c r="M1016" s="4" t="str">
        <f>IFERROR(VLOOKUP(B1016,infoTable__13[],4,FALSE),"")</f>
        <v/>
      </c>
      <c r="N1016" s="4" t="str">
        <f>IFERROR(VLOOKUP(B1016,infoTable__14[],4,FALSE),"")</f>
        <v/>
      </c>
      <c r="O1016" s="4" t="str">
        <f>IFERROR(VLOOKUP(B1016,infoTable__15[],4,FALSE),"")</f>
        <v/>
      </c>
      <c r="P1016" s="4" t="str">
        <f>IFERROR(VLOOKUP(B1016,infoTable__16[],4,FALSE),"")</f>
        <v/>
      </c>
    </row>
    <row r="1017" spans="1:16" x14ac:dyDescent="0.55000000000000004">
      <c r="A1017" t="s">
        <v>165</v>
      </c>
      <c r="B1017" s="6" t="s">
        <v>166</v>
      </c>
      <c r="C1017" s="4" t="str">
        <f>IFERROR(VLOOKUP(B1017,infoTable10[],4,FALSE),"")</f>
        <v/>
      </c>
      <c r="D1017" s="4" t="str">
        <f>IFERROR(VLOOKUP(B1017,infoTable__2[],4,FALSE),"")</f>
        <v/>
      </c>
      <c r="E1017" s="4" t="str">
        <f>IFERROR(VLOOKUP(B1017,infoTable__3[],4,FALSE),"")</f>
        <v/>
      </c>
      <c r="F1017" s="4" t="str">
        <f>IFERROR(VLOOKUP(B1017,infoTable__4[],4,FALSE),"")</f>
        <v/>
      </c>
      <c r="G1017" s="4">
        <f>IFERROR(VLOOKUP(B1017,infoTable[],4,FALSE),"")</f>
        <v>952275</v>
      </c>
      <c r="H1017" s="4">
        <f>IFERROR(VLOOKUP(B1017,infoTable__6[],4,FALSE),"")</f>
        <v>499659</v>
      </c>
      <c r="I1017" s="4" t="str">
        <f>IFERROR(VLOOKUP(B1017,infoTable__28[],4,FALSE),"")</f>
        <v/>
      </c>
      <c r="J1017" s="4">
        <f>IFERROR(VLOOKUP(B1017,infoTable__10[],4,FALSE),"")</f>
        <v>420362</v>
      </c>
      <c r="K1017" s="4" t="str">
        <f>IFERROR(VLOOKUP(B1017,infoTable__11[],4,FALSE),"")</f>
        <v/>
      </c>
      <c r="L1017" s="4" t="str">
        <f>IFERROR(VLOOKUP(B1017,infoTable__12[],4,FALSE),"")</f>
        <v/>
      </c>
      <c r="M1017" s="4" t="str">
        <f>IFERROR(VLOOKUP(B1017,infoTable__13[],4,FALSE),"")</f>
        <v/>
      </c>
      <c r="N1017" s="4" t="str">
        <f>IFERROR(VLOOKUP(B1017,infoTable__14[],4,FALSE),"")</f>
        <v/>
      </c>
      <c r="O1017" s="4" t="str">
        <f>IFERROR(VLOOKUP(B1017,infoTable__15[],4,FALSE),"")</f>
        <v/>
      </c>
      <c r="P1017" s="4" t="str">
        <f>IFERROR(VLOOKUP(B1017,infoTable__16[],4,FALSE),"")</f>
        <v/>
      </c>
    </row>
    <row r="1018" spans="1:16" x14ac:dyDescent="0.55000000000000004">
      <c r="A1018" t="s">
        <v>2159</v>
      </c>
      <c r="B1018" s="6" t="s">
        <v>2160</v>
      </c>
      <c r="C1018" s="4" t="str">
        <f>IFERROR(VLOOKUP(B1018,infoTable10[],4,FALSE),"")</f>
        <v/>
      </c>
      <c r="D1018" s="4" t="str">
        <f>IFERROR(VLOOKUP(B1018,infoTable__2[],4,FALSE),"")</f>
        <v/>
      </c>
      <c r="E1018" s="4" t="str">
        <f>IFERROR(VLOOKUP(B1018,infoTable__3[],4,FALSE),"")</f>
        <v/>
      </c>
      <c r="F1018" s="4" t="str">
        <f>IFERROR(VLOOKUP(B1018,infoTable__4[],4,FALSE),"")</f>
        <v/>
      </c>
      <c r="G1018" s="4" t="str">
        <f>IFERROR(VLOOKUP(B1018,infoTable[],4,FALSE),"")</f>
        <v/>
      </c>
      <c r="H1018" s="4" t="str">
        <f>IFERROR(VLOOKUP(B1018,infoTable__6[],4,FALSE),"")</f>
        <v/>
      </c>
      <c r="I1018" s="4" t="str">
        <f>IFERROR(VLOOKUP(B1018,infoTable__28[],4,FALSE),"")</f>
        <v/>
      </c>
      <c r="J1018" s="4" t="str">
        <f>IFERROR(VLOOKUP(B1018,infoTable__10[],4,FALSE),"")</f>
        <v/>
      </c>
      <c r="K1018" s="4" t="str">
        <f>IFERROR(VLOOKUP(B1018,infoTable__11[],4,FALSE),"")</f>
        <v/>
      </c>
      <c r="L1018" s="4">
        <f>IFERROR(VLOOKUP(B1018,infoTable__12[],4,FALSE),"")</f>
        <v>309783</v>
      </c>
      <c r="M1018" s="4" t="str">
        <f>IFERROR(VLOOKUP(B1018,infoTable__13[],4,FALSE),"")</f>
        <v/>
      </c>
      <c r="N1018" s="4" t="str">
        <f>IFERROR(VLOOKUP(B1018,infoTable__14[],4,FALSE),"")</f>
        <v/>
      </c>
      <c r="O1018" s="4" t="str">
        <f>IFERROR(VLOOKUP(B1018,infoTable__15[],4,FALSE),"")</f>
        <v/>
      </c>
      <c r="P1018" s="4" t="str">
        <f>IFERROR(VLOOKUP(B1018,infoTable__16[],4,FALSE),"")</f>
        <v/>
      </c>
    </row>
    <row r="1019" spans="1:16" x14ac:dyDescent="0.55000000000000004">
      <c r="A1019" t="s">
        <v>167</v>
      </c>
      <c r="B1019" s="6" t="s">
        <v>168</v>
      </c>
      <c r="C1019" s="4" t="str">
        <f>IFERROR(VLOOKUP(B1019,infoTable10[],4,FALSE),"")</f>
        <v/>
      </c>
      <c r="D1019" s="4" t="str">
        <f>IFERROR(VLOOKUP(B1019,infoTable__2[],4,FALSE),"")</f>
        <v/>
      </c>
      <c r="E1019" s="4" t="str">
        <f>IFERROR(VLOOKUP(B1019,infoTable__3[],4,FALSE),"")</f>
        <v/>
      </c>
      <c r="F1019" s="4">
        <f>IFERROR(VLOOKUP(B1019,infoTable__4[],4,FALSE),"")</f>
        <v>1819368</v>
      </c>
      <c r="G1019" s="4">
        <f>IFERROR(VLOOKUP(B1019,infoTable[],4,FALSE),"")</f>
        <v>2275297</v>
      </c>
      <c r="H1019" s="4">
        <f>IFERROR(VLOOKUP(B1019,infoTable__6[],4,FALSE),"")</f>
        <v>1040103</v>
      </c>
      <c r="I1019" s="4" t="str">
        <f>IFERROR(VLOOKUP(B1019,infoTable__28[],4,FALSE),"")</f>
        <v/>
      </c>
      <c r="J1019" s="4" t="str">
        <f>IFERROR(VLOOKUP(B1019,infoTable__10[],4,FALSE),"")</f>
        <v/>
      </c>
      <c r="K1019" s="4" t="str">
        <f>IFERROR(VLOOKUP(B1019,infoTable__11[],4,FALSE),"")</f>
        <v/>
      </c>
      <c r="L1019" s="4" t="str">
        <f>IFERROR(VLOOKUP(B1019,infoTable__12[],4,FALSE),"")</f>
        <v/>
      </c>
      <c r="M1019" s="4" t="str">
        <f>IFERROR(VLOOKUP(B1019,infoTable__13[],4,FALSE),"")</f>
        <v/>
      </c>
      <c r="N1019" s="4" t="str">
        <f>IFERROR(VLOOKUP(B1019,infoTable__14[],4,FALSE),"")</f>
        <v/>
      </c>
      <c r="O1019" s="4" t="str">
        <f>IFERROR(VLOOKUP(B1019,infoTable__15[],4,FALSE),"")</f>
        <v/>
      </c>
      <c r="P1019" s="4" t="str">
        <f>IFERROR(VLOOKUP(B1019,infoTable__16[],4,FALSE),"")</f>
        <v/>
      </c>
    </row>
    <row r="1020" spans="1:16" x14ac:dyDescent="0.55000000000000004">
      <c r="A1020" t="s">
        <v>169</v>
      </c>
      <c r="B1020" s="6" t="s">
        <v>170</v>
      </c>
      <c r="C1020" s="4" t="str">
        <f>IFERROR(VLOOKUP(B1020,infoTable10[],4,FALSE),"")</f>
        <v/>
      </c>
      <c r="D1020" s="4" t="str">
        <f>IFERROR(VLOOKUP(B1020,infoTable__2[],4,FALSE),"")</f>
        <v/>
      </c>
      <c r="E1020" s="4">
        <f>IFERROR(VLOOKUP(B1020,infoTable__3[],4,FALSE),"")</f>
        <v>312707</v>
      </c>
      <c r="F1020" s="4">
        <f>IFERROR(VLOOKUP(B1020,infoTable__4[],4,FALSE),"")</f>
        <v>365636</v>
      </c>
      <c r="G1020" s="4">
        <f>IFERROR(VLOOKUP(B1020,infoTable[],4,FALSE),"")</f>
        <v>407800</v>
      </c>
      <c r="H1020" s="4">
        <f>IFERROR(VLOOKUP(B1020,infoTable__6[],4,FALSE),"")</f>
        <v>209671</v>
      </c>
      <c r="I1020" s="4">
        <f>IFERROR(VLOOKUP(B1020,infoTable__28[],4,FALSE),"")</f>
        <v>556136</v>
      </c>
      <c r="J1020" s="4">
        <f>IFERROR(VLOOKUP(B1020,infoTable__10[],4,FALSE),"")</f>
        <v>218311</v>
      </c>
      <c r="K1020" s="4" t="str">
        <f>IFERROR(VLOOKUP(B1020,infoTable__11[],4,FALSE),"")</f>
        <v/>
      </c>
      <c r="L1020" s="4" t="str">
        <f>IFERROR(VLOOKUP(B1020,infoTable__12[],4,FALSE),"")</f>
        <v/>
      </c>
      <c r="M1020" s="4" t="str">
        <f>IFERROR(VLOOKUP(B1020,infoTable__13[],4,FALSE),"")</f>
        <v/>
      </c>
      <c r="N1020" s="4" t="str">
        <f>IFERROR(VLOOKUP(B1020,infoTable__14[],4,FALSE),"")</f>
        <v/>
      </c>
      <c r="O1020" s="4" t="str">
        <f>IFERROR(VLOOKUP(B1020,infoTable__15[],4,FALSE),"")</f>
        <v/>
      </c>
      <c r="P1020" s="4" t="str">
        <f>IFERROR(VLOOKUP(B1020,infoTable__16[],4,FALSE),"")</f>
        <v/>
      </c>
    </row>
    <row r="1021" spans="1:16" x14ac:dyDescent="0.55000000000000004">
      <c r="A1021" t="s">
        <v>171</v>
      </c>
      <c r="B1021" s="6" t="s">
        <v>172</v>
      </c>
      <c r="C1021" s="4" t="str">
        <f>IFERROR(VLOOKUP(B1021,infoTable10[],4,FALSE),"")</f>
        <v/>
      </c>
      <c r="D1021" s="4" t="str">
        <f>IFERROR(VLOOKUP(B1021,infoTable__2[],4,FALSE),"")</f>
        <v/>
      </c>
      <c r="E1021" s="4">
        <f>IFERROR(VLOOKUP(B1021,infoTable__3[],4,FALSE),"")</f>
        <v>7266069</v>
      </c>
      <c r="F1021" s="4">
        <f>IFERROR(VLOOKUP(B1021,infoTable__4[],4,FALSE),"")</f>
        <v>755870</v>
      </c>
      <c r="G1021" s="4">
        <f>IFERROR(VLOOKUP(B1021,infoTable[],4,FALSE),"")</f>
        <v>2770519</v>
      </c>
      <c r="H1021" s="4">
        <f>IFERROR(VLOOKUP(B1021,infoTable__6[],4,FALSE),"")</f>
        <v>719753</v>
      </c>
      <c r="I1021" s="4" t="str">
        <f>IFERROR(VLOOKUP(B1021,infoTable__28[],4,FALSE),"")</f>
        <v/>
      </c>
      <c r="J1021" s="4">
        <f>IFERROR(VLOOKUP(B1021,infoTable__10[],4,FALSE),"")</f>
        <v>270175</v>
      </c>
      <c r="K1021" s="4">
        <f>IFERROR(VLOOKUP(B1021,infoTable__11[],4,FALSE),"")</f>
        <v>903305</v>
      </c>
      <c r="L1021" s="4">
        <f>IFERROR(VLOOKUP(B1021,infoTable__12[],4,FALSE),"")</f>
        <v>628533</v>
      </c>
      <c r="M1021" s="4">
        <f>IFERROR(VLOOKUP(B1021,infoTable__13[],4,FALSE),"")</f>
        <v>2210828</v>
      </c>
      <c r="N1021" s="4" t="str">
        <f>IFERROR(VLOOKUP(B1021,infoTable__14[],4,FALSE),"")</f>
        <v/>
      </c>
      <c r="O1021" s="4" t="str">
        <f>IFERROR(VLOOKUP(B1021,infoTable__15[],4,FALSE),"")</f>
        <v/>
      </c>
      <c r="P1021" s="4" t="str">
        <f>IFERROR(VLOOKUP(B1021,infoTable__16[],4,FALSE),"")</f>
        <v/>
      </c>
    </row>
    <row r="1022" spans="1:16" x14ac:dyDescent="0.55000000000000004">
      <c r="A1022" t="s">
        <v>842</v>
      </c>
      <c r="B1022" s="6" t="s">
        <v>843</v>
      </c>
      <c r="C1022" s="4" t="str">
        <f>IFERROR(VLOOKUP(B1022,infoTable10[],4,FALSE),"")</f>
        <v/>
      </c>
      <c r="D1022" s="4" t="str">
        <f>IFERROR(VLOOKUP(B1022,infoTable__2[],4,FALSE),"")</f>
        <v/>
      </c>
      <c r="E1022" s="4" t="str">
        <f>IFERROR(VLOOKUP(B1022,infoTable__3[],4,FALSE),"")</f>
        <v/>
      </c>
      <c r="F1022" s="4">
        <f>IFERROR(VLOOKUP(B1022,infoTable__4[],4,FALSE),"")</f>
        <v>322014</v>
      </c>
      <c r="G1022" s="4" t="str">
        <f>IFERROR(VLOOKUP(B1022,infoTable[],4,FALSE),"")</f>
        <v/>
      </c>
      <c r="H1022" s="4" t="str">
        <f>IFERROR(VLOOKUP(B1022,infoTable__6[],4,FALSE),"")</f>
        <v/>
      </c>
      <c r="I1022" s="4" t="str">
        <f>IFERROR(VLOOKUP(B1022,infoTable__28[],4,FALSE),"")</f>
        <v/>
      </c>
      <c r="J1022" s="4" t="str">
        <f>IFERROR(VLOOKUP(B1022,infoTable__10[],4,FALSE),"")</f>
        <v/>
      </c>
      <c r="K1022" s="4" t="str">
        <f>IFERROR(VLOOKUP(B1022,infoTable__11[],4,FALSE),"")</f>
        <v/>
      </c>
      <c r="L1022" s="4" t="str">
        <f>IFERROR(VLOOKUP(B1022,infoTable__12[],4,FALSE),"")</f>
        <v/>
      </c>
      <c r="M1022" s="4" t="str">
        <f>IFERROR(VLOOKUP(B1022,infoTable__13[],4,FALSE),"")</f>
        <v/>
      </c>
      <c r="N1022" s="4" t="str">
        <f>IFERROR(VLOOKUP(B1022,infoTable__14[],4,FALSE),"")</f>
        <v/>
      </c>
      <c r="O1022" s="4" t="str">
        <f>IFERROR(VLOOKUP(B1022,infoTable__15[],4,FALSE),"")</f>
        <v/>
      </c>
      <c r="P1022" s="4" t="str">
        <f>IFERROR(VLOOKUP(B1022,infoTable__16[],4,FALSE),"")</f>
        <v/>
      </c>
    </row>
    <row r="1023" spans="1:16" x14ac:dyDescent="0.55000000000000004">
      <c r="A1023" t="s">
        <v>1664</v>
      </c>
      <c r="B1023" s="6" t="s">
        <v>1665</v>
      </c>
      <c r="C1023" s="4" t="str">
        <f>IFERROR(VLOOKUP(B1023,infoTable10[],4,FALSE),"")</f>
        <v/>
      </c>
      <c r="D1023" s="4" t="str">
        <f>IFERROR(VLOOKUP(B1023,infoTable__2[],4,FALSE),"")</f>
        <v/>
      </c>
      <c r="E1023" s="4" t="str">
        <f>IFERROR(VLOOKUP(B1023,infoTable__3[],4,FALSE),"")</f>
        <v/>
      </c>
      <c r="F1023" s="4" t="str">
        <f>IFERROR(VLOOKUP(B1023,infoTable__4[],4,FALSE),"")</f>
        <v/>
      </c>
      <c r="G1023" s="4" t="str">
        <f>IFERROR(VLOOKUP(B1023,infoTable[],4,FALSE),"")</f>
        <v/>
      </c>
      <c r="H1023" s="4" t="str">
        <f>IFERROR(VLOOKUP(B1023,infoTable__6[],4,FALSE),"")</f>
        <v/>
      </c>
      <c r="I1023" s="4" t="str">
        <f>IFERROR(VLOOKUP(B1023,infoTable__28[],4,FALSE),"")</f>
        <v/>
      </c>
      <c r="J1023" s="4">
        <f>IFERROR(VLOOKUP(B1023,infoTable__10[],4,FALSE),"")</f>
        <v>548193</v>
      </c>
      <c r="K1023" s="4">
        <f>IFERROR(VLOOKUP(B1023,infoTable__11[],4,FALSE),"")</f>
        <v>1028900</v>
      </c>
      <c r="L1023" s="4">
        <f>IFERROR(VLOOKUP(B1023,infoTable__12[],4,FALSE),"")</f>
        <v>548807</v>
      </c>
      <c r="M1023" s="4" t="str">
        <f>IFERROR(VLOOKUP(B1023,infoTable__13[],4,FALSE),"")</f>
        <v/>
      </c>
      <c r="N1023" s="4" t="str">
        <f>IFERROR(VLOOKUP(B1023,infoTable__14[],4,FALSE),"")</f>
        <v/>
      </c>
      <c r="O1023" s="4" t="str">
        <f>IFERROR(VLOOKUP(B1023,infoTable__15[],4,FALSE),"")</f>
        <v/>
      </c>
      <c r="P1023" s="4" t="str">
        <f>IFERROR(VLOOKUP(B1023,infoTable__16[],4,FALSE),"")</f>
        <v/>
      </c>
    </row>
    <row r="1024" spans="1:16" x14ac:dyDescent="0.55000000000000004">
      <c r="A1024" t="s">
        <v>3339</v>
      </c>
      <c r="B1024" s="6" t="s">
        <v>3340</v>
      </c>
      <c r="C1024" s="4" t="str">
        <f>IFERROR(VLOOKUP(B1024,infoTable10[],4,FALSE),"")</f>
        <v/>
      </c>
      <c r="D1024" s="4" t="str">
        <f>IFERROR(VLOOKUP(B1024,infoTable__2[],4,FALSE),"")</f>
        <v/>
      </c>
      <c r="E1024" s="4" t="str">
        <f>IFERROR(VLOOKUP(B1024,infoTable__3[],4,FALSE),"")</f>
        <v/>
      </c>
      <c r="F1024" s="4" t="str">
        <f>IFERROR(VLOOKUP(B1024,infoTable__4[],4,FALSE),"")</f>
        <v/>
      </c>
      <c r="G1024" s="4" t="str">
        <f>IFERROR(VLOOKUP(B1024,infoTable[],4,FALSE),"")</f>
        <v/>
      </c>
      <c r="H1024" s="4" t="str">
        <f>IFERROR(VLOOKUP(B1024,infoTable__6[],4,FALSE),"")</f>
        <v/>
      </c>
      <c r="I1024" s="4" t="str">
        <f>IFERROR(VLOOKUP(B1024,infoTable__28[],4,FALSE),"")</f>
        <v/>
      </c>
      <c r="J1024" s="4" t="str">
        <f>IFERROR(VLOOKUP(B1024,infoTable__10[],4,FALSE),"")</f>
        <v/>
      </c>
      <c r="K1024" s="4" t="str">
        <f>IFERROR(VLOOKUP(B1024,infoTable__11[],4,FALSE),"")</f>
        <v/>
      </c>
      <c r="L1024" s="4" t="str">
        <f>IFERROR(VLOOKUP(B1024,infoTable__12[],4,FALSE),"")</f>
        <v/>
      </c>
      <c r="M1024" s="4" t="str">
        <f>IFERROR(VLOOKUP(B1024,infoTable__13[],4,FALSE),"")</f>
        <v/>
      </c>
      <c r="N1024" s="4" t="str">
        <f>IFERROR(VLOOKUP(B1024,infoTable__14[],4,FALSE),"")</f>
        <v/>
      </c>
      <c r="O1024" s="4" t="str">
        <f>IFERROR(VLOOKUP(B1024,infoTable__15[],4,FALSE),"")</f>
        <v/>
      </c>
      <c r="P1024" s="4">
        <f>IFERROR(VLOOKUP(B1024,infoTable__16[],4,FALSE),"")</f>
        <v>290504</v>
      </c>
    </row>
    <row r="1025" spans="1:16" x14ac:dyDescent="0.55000000000000004">
      <c r="A1025" t="s">
        <v>183</v>
      </c>
      <c r="B1025" s="6" t="s">
        <v>184</v>
      </c>
      <c r="C1025" s="4" t="str">
        <f>IFERROR(VLOOKUP(B1025,infoTable10[],4,FALSE),"")</f>
        <v/>
      </c>
      <c r="D1025" s="4" t="str">
        <f>IFERROR(VLOOKUP(B1025,infoTable__2[],4,FALSE),"")</f>
        <v/>
      </c>
      <c r="E1025" s="4" t="str">
        <f>IFERROR(VLOOKUP(B1025,infoTable__3[],4,FALSE),"")</f>
        <v/>
      </c>
      <c r="F1025" s="4">
        <f>IFERROR(VLOOKUP(B1025,infoTable__4[],4,FALSE),"")</f>
        <v>3770856</v>
      </c>
      <c r="G1025" s="4">
        <f>IFERROR(VLOOKUP(B1025,infoTable[],4,FALSE),"")</f>
        <v>603019</v>
      </c>
      <c r="H1025" s="4">
        <f>IFERROR(VLOOKUP(B1025,infoTable__6[],4,FALSE),"")</f>
        <v>354241</v>
      </c>
      <c r="I1025" s="4" t="str">
        <f>IFERROR(VLOOKUP(B1025,infoTable__28[],4,FALSE),"")</f>
        <v/>
      </c>
      <c r="J1025" s="4" t="str">
        <f>IFERROR(VLOOKUP(B1025,infoTable__10[],4,FALSE),"")</f>
        <v/>
      </c>
      <c r="K1025" s="4" t="str">
        <f>IFERROR(VLOOKUP(B1025,infoTable__11[],4,FALSE),"")</f>
        <v/>
      </c>
      <c r="L1025" s="4">
        <f>IFERROR(VLOOKUP(B1025,infoTable__12[],4,FALSE),"")</f>
        <v>274844</v>
      </c>
      <c r="M1025" s="4">
        <f>IFERROR(VLOOKUP(B1025,infoTable__13[],4,FALSE),"")</f>
        <v>358318</v>
      </c>
      <c r="N1025" s="4" t="str">
        <f>IFERROR(VLOOKUP(B1025,infoTable__14[],4,FALSE),"")</f>
        <v/>
      </c>
      <c r="O1025" s="4" t="str">
        <f>IFERROR(VLOOKUP(B1025,infoTable__15[],4,FALSE),"")</f>
        <v/>
      </c>
      <c r="P1025" s="4" t="str">
        <f>IFERROR(VLOOKUP(B1025,infoTable__16[],4,FALSE),"")</f>
        <v/>
      </c>
    </row>
    <row r="1026" spans="1:16" x14ac:dyDescent="0.55000000000000004">
      <c r="A1026" t="s">
        <v>2161</v>
      </c>
      <c r="B1026" s="6" t="s">
        <v>2162</v>
      </c>
      <c r="C1026" s="4" t="str">
        <f>IFERROR(VLOOKUP(B1026,infoTable10[],4,FALSE),"")</f>
        <v/>
      </c>
      <c r="D1026" s="4" t="str">
        <f>IFERROR(VLOOKUP(B1026,infoTable__2[],4,FALSE),"")</f>
        <v/>
      </c>
      <c r="E1026" s="4" t="str">
        <f>IFERROR(VLOOKUP(B1026,infoTable__3[],4,FALSE),"")</f>
        <v/>
      </c>
      <c r="F1026" s="4" t="str">
        <f>IFERROR(VLOOKUP(B1026,infoTable__4[],4,FALSE),"")</f>
        <v/>
      </c>
      <c r="G1026" s="4" t="str">
        <f>IFERROR(VLOOKUP(B1026,infoTable[],4,FALSE),"")</f>
        <v/>
      </c>
      <c r="H1026" s="4" t="str">
        <f>IFERROR(VLOOKUP(B1026,infoTable__6[],4,FALSE),"")</f>
        <v/>
      </c>
      <c r="I1026" s="4" t="str">
        <f>IFERROR(VLOOKUP(B1026,infoTable__28[],4,FALSE),"")</f>
        <v/>
      </c>
      <c r="J1026" s="4" t="str">
        <f>IFERROR(VLOOKUP(B1026,infoTable__10[],4,FALSE),"")</f>
        <v/>
      </c>
      <c r="K1026" s="4" t="str">
        <f>IFERROR(VLOOKUP(B1026,infoTable__11[],4,FALSE),"")</f>
        <v/>
      </c>
      <c r="L1026" s="4">
        <f>IFERROR(VLOOKUP(B1026,infoTable__12[],4,FALSE),"")</f>
        <v>862420</v>
      </c>
      <c r="M1026" s="4" t="str">
        <f>IFERROR(VLOOKUP(B1026,infoTable__13[],4,FALSE),"")</f>
        <v/>
      </c>
      <c r="N1026" s="4" t="str">
        <f>IFERROR(VLOOKUP(B1026,infoTable__14[],4,FALSE),"")</f>
        <v/>
      </c>
      <c r="O1026" s="4" t="str">
        <f>IFERROR(VLOOKUP(B1026,infoTable__15[],4,FALSE),"")</f>
        <v/>
      </c>
      <c r="P1026" s="4" t="str">
        <f>IFERROR(VLOOKUP(B1026,infoTable__16[],4,FALSE),"")</f>
        <v/>
      </c>
    </row>
    <row r="1027" spans="1:16" x14ac:dyDescent="0.55000000000000004">
      <c r="A1027" t="s">
        <v>560</v>
      </c>
      <c r="B1027" s="6" t="s">
        <v>561</v>
      </c>
      <c r="C1027" s="4" t="str">
        <f>IFERROR(VLOOKUP(B1027,infoTable10[],4,FALSE),"")</f>
        <v/>
      </c>
      <c r="D1027" s="4">
        <f>IFERROR(VLOOKUP(B1027,infoTable__2[],4,FALSE),"")</f>
        <v>2853155</v>
      </c>
      <c r="E1027" s="4">
        <f>IFERROR(VLOOKUP(B1027,infoTable__3[],4,FALSE),"")</f>
        <v>947011</v>
      </c>
      <c r="F1027" s="4" t="str">
        <f>IFERROR(VLOOKUP(B1027,infoTable__4[],4,FALSE),"")</f>
        <v/>
      </c>
      <c r="G1027" s="4" t="str">
        <f>IFERROR(VLOOKUP(B1027,infoTable[],4,FALSE),"")</f>
        <v/>
      </c>
      <c r="H1027" s="4" t="str">
        <f>IFERROR(VLOOKUP(B1027,infoTable__6[],4,FALSE),"")</f>
        <v/>
      </c>
      <c r="I1027" s="4" t="str">
        <f>IFERROR(VLOOKUP(B1027,infoTable__28[],4,FALSE),"")</f>
        <v/>
      </c>
      <c r="J1027" s="4" t="str">
        <f>IFERROR(VLOOKUP(B1027,infoTable__10[],4,FALSE),"")</f>
        <v/>
      </c>
      <c r="K1027" s="4" t="str">
        <f>IFERROR(VLOOKUP(B1027,infoTable__11[],4,FALSE),"")</f>
        <v/>
      </c>
      <c r="L1027" s="4" t="str">
        <f>IFERROR(VLOOKUP(B1027,infoTable__12[],4,FALSE),"")</f>
        <v/>
      </c>
      <c r="M1027" s="4" t="str">
        <f>IFERROR(VLOOKUP(B1027,infoTable__13[],4,FALSE),"")</f>
        <v/>
      </c>
      <c r="N1027" s="4" t="str">
        <f>IFERROR(VLOOKUP(B1027,infoTable__14[],4,FALSE),"")</f>
        <v/>
      </c>
      <c r="O1027" s="4" t="str">
        <f>IFERROR(VLOOKUP(B1027,infoTable__15[],4,FALSE),"")</f>
        <v/>
      </c>
      <c r="P1027" s="4" t="str">
        <f>IFERROR(VLOOKUP(B1027,infoTable__16[],4,FALSE),"")</f>
        <v/>
      </c>
    </row>
    <row r="1028" spans="1:16" x14ac:dyDescent="0.55000000000000004">
      <c r="A1028" t="s">
        <v>2464</v>
      </c>
      <c r="B1028" s="6" t="s">
        <v>2465</v>
      </c>
      <c r="C1028" s="4" t="str">
        <f>IFERROR(VLOOKUP(B1028,infoTable10[],4,FALSE),"")</f>
        <v/>
      </c>
      <c r="D1028" s="4" t="str">
        <f>IFERROR(VLOOKUP(B1028,infoTable__2[],4,FALSE),"")</f>
        <v/>
      </c>
      <c r="E1028" s="4" t="str">
        <f>IFERROR(VLOOKUP(B1028,infoTable__3[],4,FALSE),"")</f>
        <v/>
      </c>
      <c r="F1028" s="4" t="str">
        <f>IFERROR(VLOOKUP(B1028,infoTable__4[],4,FALSE),"")</f>
        <v/>
      </c>
      <c r="G1028" s="4" t="str">
        <f>IFERROR(VLOOKUP(B1028,infoTable[],4,FALSE),"")</f>
        <v/>
      </c>
      <c r="H1028" s="4" t="str">
        <f>IFERROR(VLOOKUP(B1028,infoTable__6[],4,FALSE),"")</f>
        <v/>
      </c>
      <c r="I1028" s="4" t="str">
        <f>IFERROR(VLOOKUP(B1028,infoTable__28[],4,FALSE),"")</f>
        <v/>
      </c>
      <c r="J1028" s="4" t="str">
        <f>IFERROR(VLOOKUP(B1028,infoTable__10[],4,FALSE),"")</f>
        <v/>
      </c>
      <c r="K1028" s="4" t="str">
        <f>IFERROR(VLOOKUP(B1028,infoTable__11[],4,FALSE),"")</f>
        <v/>
      </c>
      <c r="L1028" s="4" t="str">
        <f>IFERROR(VLOOKUP(B1028,infoTable__12[],4,FALSE),"")</f>
        <v/>
      </c>
      <c r="M1028" s="4">
        <f>IFERROR(VLOOKUP(B1028,infoTable__13[],4,FALSE),"")</f>
        <v>293048</v>
      </c>
      <c r="N1028" s="4" t="str">
        <f>IFERROR(VLOOKUP(B1028,infoTable__14[],4,FALSE),"")</f>
        <v/>
      </c>
      <c r="O1028" s="4" t="str">
        <f>IFERROR(VLOOKUP(B1028,infoTable__15[],4,FALSE),"")</f>
        <v/>
      </c>
      <c r="P1028" s="4" t="str">
        <f>IFERROR(VLOOKUP(B1028,infoTable__16[],4,FALSE),"")</f>
        <v/>
      </c>
    </row>
    <row r="1029" spans="1:16" x14ac:dyDescent="0.55000000000000004">
      <c r="A1029" t="s">
        <v>1881</v>
      </c>
      <c r="B1029" s="6" t="s">
        <v>1882</v>
      </c>
      <c r="C1029" s="4" t="str">
        <f>IFERROR(VLOOKUP(B1029,infoTable10[],4,FALSE),"")</f>
        <v/>
      </c>
      <c r="D1029" s="4" t="str">
        <f>IFERROR(VLOOKUP(B1029,infoTable__2[],4,FALSE),"")</f>
        <v/>
      </c>
      <c r="E1029" s="4" t="str">
        <f>IFERROR(VLOOKUP(B1029,infoTable__3[],4,FALSE),"")</f>
        <v/>
      </c>
      <c r="F1029" s="4" t="str">
        <f>IFERROR(VLOOKUP(B1029,infoTable__4[],4,FALSE),"")</f>
        <v/>
      </c>
      <c r="G1029" s="4" t="str">
        <f>IFERROR(VLOOKUP(B1029,infoTable[],4,FALSE),"")</f>
        <v/>
      </c>
      <c r="H1029" s="4" t="str">
        <f>IFERROR(VLOOKUP(B1029,infoTable__6[],4,FALSE),"")</f>
        <v/>
      </c>
      <c r="I1029" s="4" t="str">
        <f>IFERROR(VLOOKUP(B1029,infoTable__28[],4,FALSE),"")</f>
        <v/>
      </c>
      <c r="J1029" s="4" t="str">
        <f>IFERROR(VLOOKUP(B1029,infoTable__10[],4,FALSE),"")</f>
        <v/>
      </c>
      <c r="K1029" s="4">
        <f>IFERROR(VLOOKUP(B1029,infoTable__11[],4,FALSE),"")</f>
        <v>258903</v>
      </c>
      <c r="L1029" s="4">
        <f>IFERROR(VLOOKUP(B1029,infoTable__12[],4,FALSE),"")</f>
        <v>280025</v>
      </c>
      <c r="M1029" s="4" t="str">
        <f>IFERROR(VLOOKUP(B1029,infoTable__13[],4,FALSE),"")</f>
        <v/>
      </c>
      <c r="N1029" s="4" t="str">
        <f>IFERROR(VLOOKUP(B1029,infoTable__14[],4,FALSE),"")</f>
        <v/>
      </c>
      <c r="O1029" s="4">
        <f>IFERROR(VLOOKUP(B1029,infoTable__15[],4,FALSE),"")</f>
        <v>842713</v>
      </c>
      <c r="P1029" s="4" t="str">
        <f>IFERROR(VLOOKUP(B1029,infoTable__16[],4,FALSE),"")</f>
        <v/>
      </c>
    </row>
    <row r="1030" spans="1:16" x14ac:dyDescent="0.55000000000000004">
      <c r="A1030" t="s">
        <v>3046</v>
      </c>
      <c r="B1030" s="6" t="s">
        <v>3047</v>
      </c>
      <c r="C1030" s="4" t="str">
        <f>IFERROR(VLOOKUP(B1030,infoTable10[],4,FALSE),"")</f>
        <v/>
      </c>
      <c r="D1030" s="4" t="str">
        <f>IFERROR(VLOOKUP(B1030,infoTable__2[],4,FALSE),"")</f>
        <v/>
      </c>
      <c r="E1030" s="4" t="str">
        <f>IFERROR(VLOOKUP(B1030,infoTable__3[],4,FALSE),"")</f>
        <v/>
      </c>
      <c r="F1030" s="4" t="str">
        <f>IFERROR(VLOOKUP(B1030,infoTable__4[],4,FALSE),"")</f>
        <v/>
      </c>
      <c r="G1030" s="4" t="str">
        <f>IFERROR(VLOOKUP(B1030,infoTable[],4,FALSE),"")</f>
        <v/>
      </c>
      <c r="H1030" s="4" t="str">
        <f>IFERROR(VLOOKUP(B1030,infoTable__6[],4,FALSE),"")</f>
        <v/>
      </c>
      <c r="I1030" s="4" t="str">
        <f>IFERROR(VLOOKUP(B1030,infoTable__28[],4,FALSE),"")</f>
        <v/>
      </c>
      <c r="J1030" s="4" t="str">
        <f>IFERROR(VLOOKUP(B1030,infoTable__10[],4,FALSE),"")</f>
        <v/>
      </c>
      <c r="K1030" s="4" t="str">
        <f>IFERROR(VLOOKUP(B1030,infoTable__11[],4,FALSE),"")</f>
        <v/>
      </c>
      <c r="L1030" s="4" t="str">
        <f>IFERROR(VLOOKUP(B1030,infoTable__12[],4,FALSE),"")</f>
        <v/>
      </c>
      <c r="M1030" s="4" t="str">
        <f>IFERROR(VLOOKUP(B1030,infoTable__13[],4,FALSE),"")</f>
        <v/>
      </c>
      <c r="N1030" s="4" t="str">
        <f>IFERROR(VLOOKUP(B1030,infoTable__14[],4,FALSE),"")</f>
        <v/>
      </c>
      <c r="O1030" s="4">
        <f>IFERROR(VLOOKUP(B1030,infoTable__15[],4,FALSE),"")</f>
        <v>228809</v>
      </c>
      <c r="P1030" s="4">
        <f>IFERROR(VLOOKUP(B1030,infoTable__16[],4,FALSE),"")</f>
        <v>877112</v>
      </c>
    </row>
    <row r="1031" spans="1:16" x14ac:dyDescent="0.55000000000000004">
      <c r="A1031" t="s">
        <v>2818</v>
      </c>
      <c r="B1031" s="6" t="s">
        <v>2817</v>
      </c>
      <c r="C1031" s="4" t="str">
        <f>IFERROR(VLOOKUP(B1031,infoTable10[],4,FALSE),"")</f>
        <v/>
      </c>
      <c r="D1031" s="4" t="str">
        <f>IFERROR(VLOOKUP(B1031,infoTable__2[],4,FALSE),"")</f>
        <v/>
      </c>
      <c r="E1031" s="4" t="str">
        <f>IFERROR(VLOOKUP(B1031,infoTable__3[],4,FALSE),"")</f>
        <v/>
      </c>
      <c r="F1031" s="4" t="str">
        <f>IFERROR(VLOOKUP(B1031,infoTable__4[],4,FALSE),"")</f>
        <v/>
      </c>
      <c r="G1031" s="4" t="str">
        <f>IFERROR(VLOOKUP(B1031,infoTable[],4,FALSE),"")</f>
        <v/>
      </c>
      <c r="H1031" s="4" t="str">
        <f>IFERROR(VLOOKUP(B1031,infoTable__6[],4,FALSE),"")</f>
        <v/>
      </c>
      <c r="I1031" s="4" t="str">
        <f>IFERROR(VLOOKUP(B1031,infoTable__28[],4,FALSE),"")</f>
        <v/>
      </c>
      <c r="J1031" s="4" t="str">
        <f>IFERROR(VLOOKUP(B1031,infoTable__10[],4,FALSE),"")</f>
        <v/>
      </c>
      <c r="K1031" s="4" t="str">
        <f>IFERROR(VLOOKUP(B1031,infoTable__11[],4,FALSE),"")</f>
        <v/>
      </c>
      <c r="L1031" s="4" t="str">
        <f>IFERROR(VLOOKUP(B1031,infoTable__12[],4,FALSE),"")</f>
        <v/>
      </c>
      <c r="M1031" s="4" t="str">
        <f>IFERROR(VLOOKUP(B1031,infoTable__13[],4,FALSE),"")</f>
        <v/>
      </c>
      <c r="N1031" s="4">
        <f>IFERROR(VLOOKUP(B1031,infoTable__14[],4,FALSE),"")</f>
        <v>231594</v>
      </c>
      <c r="O1031" s="4" t="str">
        <f>IFERROR(VLOOKUP(B1031,infoTable__15[],4,FALSE),"")</f>
        <v/>
      </c>
      <c r="P1031" s="4" t="str">
        <f>IFERROR(VLOOKUP(B1031,infoTable__16[],4,FALSE),"")</f>
        <v/>
      </c>
    </row>
    <row r="1032" spans="1:16" x14ac:dyDescent="0.55000000000000004">
      <c r="A1032" t="s">
        <v>179</v>
      </c>
      <c r="B1032" s="6" t="s">
        <v>180</v>
      </c>
      <c r="C1032" s="4" t="str">
        <f>IFERROR(VLOOKUP(B1032,infoTable10[],4,FALSE),"")</f>
        <v/>
      </c>
      <c r="D1032" s="4" t="str">
        <f>IFERROR(VLOOKUP(B1032,infoTable__2[],4,FALSE),"")</f>
        <v/>
      </c>
      <c r="E1032" s="4" t="str">
        <f>IFERROR(VLOOKUP(B1032,infoTable__3[],4,FALSE),"")</f>
        <v/>
      </c>
      <c r="F1032" s="4" t="str">
        <f>IFERROR(VLOOKUP(B1032,infoTable__4[],4,FALSE),"")</f>
        <v/>
      </c>
      <c r="G1032" s="4">
        <f>IFERROR(VLOOKUP(B1032,infoTable[],4,FALSE),"")</f>
        <v>262025</v>
      </c>
      <c r="H1032" s="4">
        <f>IFERROR(VLOOKUP(B1032,infoTable__6[],4,FALSE),"")</f>
        <v>1108850</v>
      </c>
      <c r="I1032" s="4">
        <f>IFERROR(VLOOKUP(B1032,infoTable__28[],4,FALSE),"")</f>
        <v>722131</v>
      </c>
      <c r="J1032" s="4">
        <f>IFERROR(VLOOKUP(B1032,infoTable__10[],4,FALSE),"")</f>
        <v>50843</v>
      </c>
      <c r="K1032" s="4" t="str">
        <f>IFERROR(VLOOKUP(B1032,infoTable__11[],4,FALSE),"")</f>
        <v/>
      </c>
      <c r="L1032" s="4" t="str">
        <f>IFERROR(VLOOKUP(B1032,infoTable__12[],4,FALSE),"")</f>
        <v/>
      </c>
      <c r="M1032" s="4" t="str">
        <f>IFERROR(VLOOKUP(B1032,infoTable__13[],4,FALSE),"")</f>
        <v/>
      </c>
      <c r="N1032" s="4" t="str">
        <f>IFERROR(VLOOKUP(B1032,infoTable__14[],4,FALSE),"")</f>
        <v/>
      </c>
      <c r="O1032" s="4">
        <f>IFERROR(VLOOKUP(B1032,infoTable__15[],4,FALSE),"")</f>
        <v>37299</v>
      </c>
      <c r="P1032" s="4">
        <f>IFERROR(VLOOKUP(B1032,infoTable__16[],4,FALSE),"")</f>
        <v>530224</v>
      </c>
    </row>
    <row r="1033" spans="1:16" x14ac:dyDescent="0.55000000000000004">
      <c r="A1033" t="s">
        <v>3048</v>
      </c>
      <c r="B1033" s="6" t="s">
        <v>3049</v>
      </c>
      <c r="C1033" s="4" t="str">
        <f>IFERROR(VLOOKUP(B1033,infoTable10[],4,FALSE),"")</f>
        <v/>
      </c>
      <c r="D1033" s="4" t="str">
        <f>IFERROR(VLOOKUP(B1033,infoTable__2[],4,FALSE),"")</f>
        <v/>
      </c>
      <c r="E1033" s="4" t="str">
        <f>IFERROR(VLOOKUP(B1033,infoTable__3[],4,FALSE),"")</f>
        <v/>
      </c>
      <c r="F1033" s="4" t="str">
        <f>IFERROR(VLOOKUP(B1033,infoTable__4[],4,FALSE),"")</f>
        <v/>
      </c>
      <c r="G1033" s="4" t="str">
        <f>IFERROR(VLOOKUP(B1033,infoTable[],4,FALSE),"")</f>
        <v/>
      </c>
      <c r="H1033" s="4" t="str">
        <f>IFERROR(VLOOKUP(B1033,infoTable__6[],4,FALSE),"")</f>
        <v/>
      </c>
      <c r="I1033" s="4" t="str">
        <f>IFERROR(VLOOKUP(B1033,infoTable__28[],4,FALSE),"")</f>
        <v/>
      </c>
      <c r="J1033" s="4" t="str">
        <f>IFERROR(VLOOKUP(B1033,infoTable__10[],4,FALSE),"")</f>
        <v/>
      </c>
      <c r="K1033" s="4" t="str">
        <f>IFERROR(VLOOKUP(B1033,infoTable__11[],4,FALSE),"")</f>
        <v/>
      </c>
      <c r="L1033" s="4" t="str">
        <f>IFERROR(VLOOKUP(B1033,infoTable__12[],4,FALSE),"")</f>
        <v/>
      </c>
      <c r="M1033" s="4" t="str">
        <f>IFERROR(VLOOKUP(B1033,infoTable__13[],4,FALSE),"")</f>
        <v/>
      </c>
      <c r="N1033" s="4" t="str">
        <f>IFERROR(VLOOKUP(B1033,infoTable__14[],4,FALSE),"")</f>
        <v/>
      </c>
      <c r="O1033" s="4">
        <f>IFERROR(VLOOKUP(B1033,infoTable__15[],4,FALSE),"")</f>
        <v>1712144</v>
      </c>
      <c r="P1033" s="4">
        <f>IFERROR(VLOOKUP(B1033,infoTable__16[],4,FALSE),"")</f>
        <v>3417955</v>
      </c>
    </row>
    <row r="1034" spans="1:16" x14ac:dyDescent="0.55000000000000004">
      <c r="A1034" t="s">
        <v>2165</v>
      </c>
      <c r="B1034" s="6" t="s">
        <v>2166</v>
      </c>
      <c r="C1034" s="4" t="str">
        <f>IFERROR(VLOOKUP(B1034,infoTable10[],4,FALSE),"")</f>
        <v/>
      </c>
      <c r="D1034" s="4" t="str">
        <f>IFERROR(VLOOKUP(B1034,infoTable__2[],4,FALSE),"")</f>
        <v/>
      </c>
      <c r="E1034" s="4" t="str">
        <f>IFERROR(VLOOKUP(B1034,infoTable__3[],4,FALSE),"")</f>
        <v/>
      </c>
      <c r="F1034" s="4" t="str">
        <f>IFERROR(VLOOKUP(B1034,infoTable__4[],4,FALSE),"")</f>
        <v/>
      </c>
      <c r="G1034" s="4" t="str">
        <f>IFERROR(VLOOKUP(B1034,infoTable[],4,FALSE),"")</f>
        <v/>
      </c>
      <c r="H1034" s="4" t="str">
        <f>IFERROR(VLOOKUP(B1034,infoTable__6[],4,FALSE),"")</f>
        <v/>
      </c>
      <c r="I1034" s="4" t="str">
        <f>IFERROR(VLOOKUP(B1034,infoTable__28[],4,FALSE),"")</f>
        <v/>
      </c>
      <c r="J1034" s="4" t="str">
        <f>IFERROR(VLOOKUP(B1034,infoTable__10[],4,FALSE),"")</f>
        <v/>
      </c>
      <c r="K1034" s="4" t="str">
        <f>IFERROR(VLOOKUP(B1034,infoTable__11[],4,FALSE),"")</f>
        <v/>
      </c>
      <c r="L1034" s="4">
        <f>IFERROR(VLOOKUP(B1034,infoTable__12[],4,FALSE),"")</f>
        <v>1317084</v>
      </c>
      <c r="M1034" s="4" t="str">
        <f>IFERROR(VLOOKUP(B1034,infoTable__13[],4,FALSE),"")</f>
        <v/>
      </c>
      <c r="N1034" s="4" t="str">
        <f>IFERROR(VLOOKUP(B1034,infoTable__14[],4,FALSE),"")</f>
        <v/>
      </c>
      <c r="O1034" s="4">
        <f>IFERROR(VLOOKUP(B1034,infoTable__15[],4,FALSE),"")</f>
        <v>251787</v>
      </c>
      <c r="P1034" s="4">
        <f>IFERROR(VLOOKUP(B1034,infoTable__16[],4,FALSE),"")</f>
        <v>291939</v>
      </c>
    </row>
    <row r="1035" spans="1:16" x14ac:dyDescent="0.55000000000000004">
      <c r="A1035" t="s">
        <v>1002</v>
      </c>
      <c r="B1035" s="6" t="s">
        <v>1003</v>
      </c>
      <c r="C1035" s="4" t="str">
        <f>IFERROR(VLOOKUP(B1035,infoTable10[],4,FALSE),"")</f>
        <v/>
      </c>
      <c r="D1035" s="4" t="str">
        <f>IFERROR(VLOOKUP(B1035,infoTable__2[],4,FALSE),"")</f>
        <v/>
      </c>
      <c r="E1035" s="4" t="str">
        <f>IFERROR(VLOOKUP(B1035,infoTable__3[],4,FALSE),"")</f>
        <v/>
      </c>
      <c r="F1035" s="4" t="str">
        <f>IFERROR(VLOOKUP(B1035,infoTable__4[],4,FALSE),"")</f>
        <v/>
      </c>
      <c r="G1035" s="4" t="str">
        <f>IFERROR(VLOOKUP(B1035,infoTable[],4,FALSE),"")</f>
        <v/>
      </c>
      <c r="H1035" s="4">
        <f>IFERROR(VLOOKUP(B1035,infoTable__6[],4,FALSE),"")</f>
        <v>529549</v>
      </c>
      <c r="I1035" s="4">
        <f>IFERROR(VLOOKUP(B1035,infoTable__28[],4,FALSE),"")</f>
        <v>1305796</v>
      </c>
      <c r="J1035" s="4" t="str">
        <f>IFERROR(VLOOKUP(B1035,infoTable__10[],4,FALSE),"")</f>
        <v/>
      </c>
      <c r="K1035" s="4" t="str">
        <f>IFERROR(VLOOKUP(B1035,infoTable__11[],4,FALSE),"")</f>
        <v/>
      </c>
      <c r="L1035" s="4" t="str">
        <f>IFERROR(VLOOKUP(B1035,infoTable__12[],4,FALSE),"")</f>
        <v/>
      </c>
      <c r="M1035" s="4" t="str">
        <f>IFERROR(VLOOKUP(B1035,infoTable__13[],4,FALSE),"")</f>
        <v/>
      </c>
      <c r="N1035" s="4" t="str">
        <f>IFERROR(VLOOKUP(B1035,infoTable__14[],4,FALSE),"")</f>
        <v/>
      </c>
      <c r="O1035" s="4" t="str">
        <f>IFERROR(VLOOKUP(B1035,infoTable__15[],4,FALSE),"")</f>
        <v/>
      </c>
      <c r="P1035" s="4">
        <f>IFERROR(VLOOKUP(B1035,infoTable__16[],4,FALSE),"")</f>
        <v>308233</v>
      </c>
    </row>
    <row r="1036" spans="1:16" x14ac:dyDescent="0.55000000000000004">
      <c r="A1036" t="s">
        <v>181</v>
      </c>
      <c r="B1036" s="6" t="s">
        <v>182</v>
      </c>
      <c r="C1036" s="4">
        <f>IFERROR(VLOOKUP(B1036,infoTable10[],4,FALSE),"")</f>
        <v>4103436</v>
      </c>
      <c r="D1036" s="4" t="str">
        <f>IFERROR(VLOOKUP(B1036,infoTable__2[],4,FALSE),"")</f>
        <v/>
      </c>
      <c r="E1036" s="4" t="str">
        <f>IFERROR(VLOOKUP(B1036,infoTable__3[],4,FALSE),"")</f>
        <v/>
      </c>
      <c r="F1036" s="4">
        <f>IFERROR(VLOOKUP(B1036,infoTable__4[],4,FALSE),"")</f>
        <v>439028</v>
      </c>
      <c r="G1036" s="4">
        <f>IFERROR(VLOOKUP(B1036,infoTable[],4,FALSE),"")</f>
        <v>1708306</v>
      </c>
      <c r="H1036" s="4" t="str">
        <f>IFERROR(VLOOKUP(B1036,infoTable__6[],4,FALSE),"")</f>
        <v/>
      </c>
      <c r="I1036" s="4" t="str">
        <f>IFERROR(VLOOKUP(B1036,infoTable__28[],4,FALSE),"")</f>
        <v/>
      </c>
      <c r="J1036" s="4" t="str">
        <f>IFERROR(VLOOKUP(B1036,infoTable__10[],4,FALSE),"")</f>
        <v/>
      </c>
      <c r="K1036" s="4">
        <f>IFERROR(VLOOKUP(B1036,infoTable__11[],4,FALSE),"")</f>
        <v>1584928</v>
      </c>
      <c r="L1036" s="4">
        <f>IFERROR(VLOOKUP(B1036,infoTable__12[],4,FALSE),"")</f>
        <v>754838</v>
      </c>
      <c r="M1036" s="4">
        <f>IFERROR(VLOOKUP(B1036,infoTable__13[],4,FALSE),"")</f>
        <v>1996378</v>
      </c>
      <c r="N1036" s="4" t="str">
        <f>IFERROR(VLOOKUP(B1036,infoTable__14[],4,FALSE),"")</f>
        <v/>
      </c>
      <c r="O1036" s="4" t="str">
        <f>IFERROR(VLOOKUP(B1036,infoTable__15[],4,FALSE),"")</f>
        <v/>
      </c>
      <c r="P1036" s="4" t="str">
        <f>IFERROR(VLOOKUP(B1036,infoTable__16[],4,FALSE),"")</f>
        <v/>
      </c>
    </row>
    <row r="1037" spans="1:16" x14ac:dyDescent="0.55000000000000004">
      <c r="A1037" t="s">
        <v>2820</v>
      </c>
      <c r="B1037" s="6" t="s">
        <v>2819</v>
      </c>
      <c r="C1037" s="4" t="str">
        <f>IFERROR(VLOOKUP(B1037,infoTable10[],4,FALSE),"")</f>
        <v/>
      </c>
      <c r="D1037" s="4" t="str">
        <f>IFERROR(VLOOKUP(B1037,infoTable__2[],4,FALSE),"")</f>
        <v/>
      </c>
      <c r="E1037" s="4" t="str">
        <f>IFERROR(VLOOKUP(B1037,infoTable__3[],4,FALSE),"")</f>
        <v/>
      </c>
      <c r="F1037" s="4" t="str">
        <f>IFERROR(VLOOKUP(B1037,infoTable__4[],4,FALSE),"")</f>
        <v/>
      </c>
      <c r="G1037" s="4" t="str">
        <f>IFERROR(VLOOKUP(B1037,infoTable[],4,FALSE),"")</f>
        <v/>
      </c>
      <c r="H1037" s="4" t="str">
        <f>IFERROR(VLOOKUP(B1037,infoTable__6[],4,FALSE),"")</f>
        <v/>
      </c>
      <c r="I1037" s="4" t="str">
        <f>IFERROR(VLOOKUP(B1037,infoTable__28[],4,FALSE),"")</f>
        <v/>
      </c>
      <c r="J1037" s="4" t="str">
        <f>IFERROR(VLOOKUP(B1037,infoTable__10[],4,FALSE),"")</f>
        <v/>
      </c>
      <c r="K1037" s="4" t="str">
        <f>IFERROR(VLOOKUP(B1037,infoTable__11[],4,FALSE),"")</f>
        <v/>
      </c>
      <c r="L1037" s="4" t="str">
        <f>IFERROR(VLOOKUP(B1037,infoTable__12[],4,FALSE),"")</f>
        <v/>
      </c>
      <c r="M1037" s="4" t="str">
        <f>IFERROR(VLOOKUP(B1037,infoTable__13[],4,FALSE),"")</f>
        <v/>
      </c>
      <c r="N1037" s="4">
        <f>IFERROR(VLOOKUP(B1037,infoTable__14[],4,FALSE),"")</f>
        <v>270577</v>
      </c>
      <c r="O1037" s="4">
        <f>IFERROR(VLOOKUP(B1037,infoTable__15[],4,FALSE),"")</f>
        <v>529764</v>
      </c>
      <c r="P1037" s="4" t="str">
        <f>IFERROR(VLOOKUP(B1037,infoTable__16[],4,FALSE),"")</f>
        <v/>
      </c>
    </row>
    <row r="1038" spans="1:16" x14ac:dyDescent="0.55000000000000004">
      <c r="A1038" t="s">
        <v>2466</v>
      </c>
      <c r="B1038" s="6" t="s">
        <v>2467</v>
      </c>
      <c r="C1038" s="4" t="str">
        <f>IFERROR(VLOOKUP(B1038,infoTable10[],4,FALSE),"")</f>
        <v/>
      </c>
      <c r="D1038" s="4" t="str">
        <f>IFERROR(VLOOKUP(B1038,infoTable__2[],4,FALSE),"")</f>
        <v/>
      </c>
      <c r="E1038" s="4" t="str">
        <f>IFERROR(VLOOKUP(B1038,infoTable__3[],4,FALSE),"")</f>
        <v/>
      </c>
      <c r="F1038" s="4" t="str">
        <f>IFERROR(VLOOKUP(B1038,infoTable__4[],4,FALSE),"")</f>
        <v/>
      </c>
      <c r="G1038" s="4" t="str">
        <f>IFERROR(VLOOKUP(B1038,infoTable[],4,FALSE),"")</f>
        <v/>
      </c>
      <c r="H1038" s="4" t="str">
        <f>IFERROR(VLOOKUP(B1038,infoTable__6[],4,FALSE),"")</f>
        <v/>
      </c>
      <c r="I1038" s="4" t="str">
        <f>IFERROR(VLOOKUP(B1038,infoTable__28[],4,FALSE),"")</f>
        <v/>
      </c>
      <c r="J1038" s="4" t="str">
        <f>IFERROR(VLOOKUP(B1038,infoTable__10[],4,FALSE),"")</f>
        <v/>
      </c>
      <c r="K1038" s="4" t="str">
        <f>IFERROR(VLOOKUP(B1038,infoTable__11[],4,FALSE),"")</f>
        <v/>
      </c>
      <c r="L1038" s="4" t="str">
        <f>IFERROR(VLOOKUP(B1038,infoTable__12[],4,FALSE),"")</f>
        <v/>
      </c>
      <c r="M1038" s="4">
        <f>IFERROR(VLOOKUP(B1038,infoTable__13[],4,FALSE),"")</f>
        <v>934353</v>
      </c>
      <c r="N1038" s="4">
        <f>IFERROR(VLOOKUP(B1038,infoTable__14[],4,FALSE),"")</f>
        <v>1046468</v>
      </c>
      <c r="O1038" s="4">
        <f>IFERROR(VLOOKUP(B1038,infoTable__15[],4,FALSE),"")</f>
        <v>1499339</v>
      </c>
      <c r="P1038" s="4">
        <f>IFERROR(VLOOKUP(B1038,infoTable__16[],4,FALSE),"")</f>
        <v>1525556</v>
      </c>
    </row>
    <row r="1039" spans="1:16" x14ac:dyDescent="0.55000000000000004">
      <c r="A1039" t="s">
        <v>562</v>
      </c>
      <c r="B1039" s="6" t="s">
        <v>563</v>
      </c>
      <c r="C1039" s="4" t="str">
        <f>IFERROR(VLOOKUP(B1039,infoTable10[],4,FALSE),"")</f>
        <v/>
      </c>
      <c r="D1039" s="4">
        <f>IFERROR(VLOOKUP(B1039,infoTable__2[],4,FALSE),"")</f>
        <v>2162966</v>
      </c>
      <c r="E1039" s="4">
        <f>IFERROR(VLOOKUP(B1039,infoTable__3[],4,FALSE),"")</f>
        <v>8815369</v>
      </c>
      <c r="F1039" s="4" t="str">
        <f>IFERROR(VLOOKUP(B1039,infoTable__4[],4,FALSE),"")</f>
        <v/>
      </c>
      <c r="G1039" s="4" t="str">
        <f>IFERROR(VLOOKUP(B1039,infoTable[],4,FALSE),"")</f>
        <v/>
      </c>
      <c r="H1039" s="4" t="str">
        <f>IFERROR(VLOOKUP(B1039,infoTable__6[],4,FALSE),"")</f>
        <v/>
      </c>
      <c r="I1039" s="4">
        <f>IFERROR(VLOOKUP(B1039,infoTable__28[],4,FALSE),"")</f>
        <v>2232301</v>
      </c>
      <c r="J1039" s="4" t="str">
        <f>IFERROR(VLOOKUP(B1039,infoTable__10[],4,FALSE),"")</f>
        <v/>
      </c>
      <c r="K1039" s="4">
        <f>IFERROR(VLOOKUP(B1039,infoTable__11[],4,FALSE),"")</f>
        <v>804575</v>
      </c>
      <c r="L1039" s="4" t="str">
        <f>IFERROR(VLOOKUP(B1039,infoTable__12[],4,FALSE),"")</f>
        <v/>
      </c>
      <c r="M1039" s="4" t="str">
        <f>IFERROR(VLOOKUP(B1039,infoTable__13[],4,FALSE),"")</f>
        <v/>
      </c>
      <c r="N1039" s="4" t="str">
        <f>IFERROR(VLOOKUP(B1039,infoTable__14[],4,FALSE),"")</f>
        <v/>
      </c>
      <c r="O1039" s="4" t="str">
        <f>IFERROR(VLOOKUP(B1039,infoTable__15[],4,FALSE),"")</f>
        <v/>
      </c>
      <c r="P1039" s="4" t="str">
        <f>IFERROR(VLOOKUP(B1039,infoTable__16[],4,FALSE),"")</f>
        <v/>
      </c>
    </row>
    <row r="1040" spans="1:16" x14ac:dyDescent="0.55000000000000004">
      <c r="A1040" t="s">
        <v>2822</v>
      </c>
      <c r="B1040" s="6" t="s">
        <v>2821</v>
      </c>
      <c r="C1040" s="4" t="str">
        <f>IFERROR(VLOOKUP(B1040,infoTable10[],4,FALSE),"")</f>
        <v/>
      </c>
      <c r="D1040" s="4" t="str">
        <f>IFERROR(VLOOKUP(B1040,infoTable__2[],4,FALSE),"")</f>
        <v/>
      </c>
      <c r="E1040" s="4" t="str">
        <f>IFERROR(VLOOKUP(B1040,infoTable__3[],4,FALSE),"")</f>
        <v/>
      </c>
      <c r="F1040" s="4" t="str">
        <f>IFERROR(VLOOKUP(B1040,infoTable__4[],4,FALSE),"")</f>
        <v/>
      </c>
      <c r="G1040" s="4" t="str">
        <f>IFERROR(VLOOKUP(B1040,infoTable[],4,FALSE),"")</f>
        <v/>
      </c>
      <c r="H1040" s="4" t="str">
        <f>IFERROR(VLOOKUP(B1040,infoTable__6[],4,FALSE),"")</f>
        <v/>
      </c>
      <c r="I1040" s="4" t="str">
        <f>IFERROR(VLOOKUP(B1040,infoTable__28[],4,FALSE),"")</f>
        <v/>
      </c>
      <c r="J1040" s="4" t="str">
        <f>IFERROR(VLOOKUP(B1040,infoTable__10[],4,FALSE),"")</f>
        <v/>
      </c>
      <c r="K1040" s="4" t="str">
        <f>IFERROR(VLOOKUP(B1040,infoTable__11[],4,FALSE),"")</f>
        <v/>
      </c>
      <c r="L1040" s="4" t="str">
        <f>IFERROR(VLOOKUP(B1040,infoTable__12[],4,FALSE),"")</f>
        <v/>
      </c>
      <c r="M1040" s="4" t="str">
        <f>IFERROR(VLOOKUP(B1040,infoTable__13[],4,FALSE),"")</f>
        <v/>
      </c>
      <c r="N1040" s="4">
        <f>IFERROR(VLOOKUP(B1040,infoTable__14[],4,FALSE),"")</f>
        <v>316915</v>
      </c>
      <c r="O1040" s="4">
        <f>IFERROR(VLOOKUP(B1040,infoTable__15[],4,FALSE),"")</f>
        <v>335377</v>
      </c>
      <c r="P1040" s="4" t="str">
        <f>IFERROR(VLOOKUP(B1040,infoTable__16[],4,FALSE),"")</f>
        <v/>
      </c>
    </row>
    <row r="1041" spans="1:16" x14ac:dyDescent="0.55000000000000004">
      <c r="A1041" t="s">
        <v>1004</v>
      </c>
      <c r="B1041" s="6" t="s">
        <v>1005</v>
      </c>
      <c r="C1041" s="4" t="str">
        <f>IFERROR(VLOOKUP(B1041,infoTable10[],4,FALSE),"")</f>
        <v/>
      </c>
      <c r="D1041" s="4" t="str">
        <f>IFERROR(VLOOKUP(B1041,infoTable__2[],4,FALSE),"")</f>
        <v/>
      </c>
      <c r="E1041" s="4" t="str">
        <f>IFERROR(VLOOKUP(B1041,infoTable__3[],4,FALSE),"")</f>
        <v/>
      </c>
      <c r="F1041" s="4" t="str">
        <f>IFERROR(VLOOKUP(B1041,infoTable__4[],4,FALSE),"")</f>
        <v/>
      </c>
      <c r="G1041" s="4" t="str">
        <f>IFERROR(VLOOKUP(B1041,infoTable[],4,FALSE),"")</f>
        <v/>
      </c>
      <c r="H1041" s="4">
        <f>IFERROR(VLOOKUP(B1041,infoTable__6[],4,FALSE),"")</f>
        <v>2170433</v>
      </c>
      <c r="I1041" s="4">
        <f>IFERROR(VLOOKUP(B1041,infoTable__28[],4,FALSE),"")</f>
        <v>356131</v>
      </c>
      <c r="J1041" s="4" t="str">
        <f>IFERROR(VLOOKUP(B1041,infoTable__10[],4,FALSE),"")</f>
        <v/>
      </c>
      <c r="K1041" s="4" t="str">
        <f>IFERROR(VLOOKUP(B1041,infoTable__11[],4,FALSE),"")</f>
        <v/>
      </c>
      <c r="L1041" s="4" t="str">
        <f>IFERROR(VLOOKUP(B1041,infoTable__12[],4,FALSE),"")</f>
        <v/>
      </c>
      <c r="M1041" s="4">
        <f>IFERROR(VLOOKUP(B1041,infoTable__13[],4,FALSE),"")</f>
        <v>2056429</v>
      </c>
      <c r="N1041" s="4" t="str">
        <f>IFERROR(VLOOKUP(B1041,infoTable__14[],4,FALSE),"")</f>
        <v/>
      </c>
      <c r="O1041" s="4" t="str">
        <f>IFERROR(VLOOKUP(B1041,infoTable__15[],4,FALSE),"")</f>
        <v/>
      </c>
      <c r="P1041" s="4">
        <f>IFERROR(VLOOKUP(B1041,infoTable__16[],4,FALSE),"")</f>
        <v>409320</v>
      </c>
    </row>
    <row r="1042" spans="1:16" x14ac:dyDescent="0.55000000000000004">
      <c r="A1042" t="s">
        <v>1500</v>
      </c>
      <c r="B1042" s="6" t="s">
        <v>1501</v>
      </c>
      <c r="C1042" s="4">
        <f>IFERROR(VLOOKUP(B1042,infoTable10[],4,FALSE),"")</f>
        <v>123984</v>
      </c>
      <c r="D1042" s="4" t="str">
        <f>IFERROR(VLOOKUP(B1042,infoTable__2[],4,FALSE),"")</f>
        <v/>
      </c>
      <c r="E1042" s="4" t="str">
        <f>IFERROR(VLOOKUP(B1042,infoTable__3[],4,FALSE),"")</f>
        <v/>
      </c>
      <c r="F1042" s="4" t="str">
        <f>IFERROR(VLOOKUP(B1042,infoTable__4[],4,FALSE),"")</f>
        <v/>
      </c>
      <c r="G1042" s="4" t="str">
        <f>IFERROR(VLOOKUP(B1042,infoTable[],4,FALSE),"")</f>
        <v/>
      </c>
      <c r="H1042" s="4" t="str">
        <f>IFERROR(VLOOKUP(B1042,infoTable__6[],4,FALSE),"")</f>
        <v/>
      </c>
      <c r="I1042" s="4" t="str">
        <f>IFERROR(VLOOKUP(B1042,infoTable__28[],4,FALSE),"")</f>
        <v/>
      </c>
      <c r="J1042" s="4" t="str">
        <f>IFERROR(VLOOKUP(B1042,infoTable__10[],4,FALSE),"")</f>
        <v/>
      </c>
      <c r="K1042" s="4" t="str">
        <f>IFERROR(VLOOKUP(B1042,infoTable__11[],4,FALSE),"")</f>
        <v/>
      </c>
      <c r="L1042" s="4">
        <f>IFERROR(VLOOKUP(B1042,infoTable__12[],4,FALSE),"")</f>
        <v>173445</v>
      </c>
      <c r="M1042" s="4" t="str">
        <f>IFERROR(VLOOKUP(B1042,infoTable__13[],4,FALSE),"")</f>
        <v/>
      </c>
      <c r="N1042" s="4" t="str">
        <f>IFERROR(VLOOKUP(B1042,infoTable__14[],4,FALSE),"")</f>
        <v/>
      </c>
      <c r="O1042" s="4">
        <f>IFERROR(VLOOKUP(B1042,infoTable__15[],4,FALSE),"")</f>
        <v>164001</v>
      </c>
      <c r="P1042" s="4">
        <f>IFERROR(VLOOKUP(B1042,infoTable__16[],4,FALSE),"")</f>
        <v>776271</v>
      </c>
    </row>
    <row r="1043" spans="1:16" x14ac:dyDescent="0.55000000000000004">
      <c r="A1043" t="s">
        <v>2171</v>
      </c>
      <c r="B1043" s="6" t="s">
        <v>2172</v>
      </c>
      <c r="C1043" s="4" t="str">
        <f>IFERROR(VLOOKUP(B1043,infoTable10[],4,FALSE),"")</f>
        <v/>
      </c>
      <c r="D1043" s="4" t="str">
        <f>IFERROR(VLOOKUP(B1043,infoTable__2[],4,FALSE),"")</f>
        <v/>
      </c>
      <c r="E1043" s="4" t="str">
        <f>IFERROR(VLOOKUP(B1043,infoTable__3[],4,FALSE),"")</f>
        <v/>
      </c>
      <c r="F1043" s="4" t="str">
        <f>IFERROR(VLOOKUP(B1043,infoTable__4[],4,FALSE),"")</f>
        <v/>
      </c>
      <c r="G1043" s="4" t="str">
        <f>IFERROR(VLOOKUP(B1043,infoTable[],4,FALSE),"")</f>
        <v/>
      </c>
      <c r="H1043" s="4" t="str">
        <f>IFERROR(VLOOKUP(B1043,infoTable__6[],4,FALSE),"")</f>
        <v/>
      </c>
      <c r="I1043" s="4" t="str">
        <f>IFERROR(VLOOKUP(B1043,infoTable__28[],4,FALSE),"")</f>
        <v/>
      </c>
      <c r="J1043" s="4" t="str">
        <f>IFERROR(VLOOKUP(B1043,infoTable__10[],4,FALSE),"")</f>
        <v/>
      </c>
      <c r="K1043" s="4" t="str">
        <f>IFERROR(VLOOKUP(B1043,infoTable__11[],4,FALSE),"")</f>
        <v/>
      </c>
      <c r="L1043" s="4">
        <f>IFERROR(VLOOKUP(B1043,infoTable__12[],4,FALSE),"")</f>
        <v>2123896</v>
      </c>
      <c r="M1043" s="4">
        <f>IFERROR(VLOOKUP(B1043,infoTable__13[],4,FALSE),"")</f>
        <v>496903</v>
      </c>
      <c r="N1043" s="4" t="str">
        <f>IFERROR(VLOOKUP(B1043,infoTable__14[],4,FALSE),"")</f>
        <v/>
      </c>
      <c r="O1043" s="4" t="str">
        <f>IFERROR(VLOOKUP(B1043,infoTable__15[],4,FALSE),"")</f>
        <v/>
      </c>
      <c r="P1043" s="4" t="str">
        <f>IFERROR(VLOOKUP(B1043,infoTable__16[],4,FALSE),"")</f>
        <v/>
      </c>
    </row>
    <row r="1044" spans="1:16" x14ac:dyDescent="0.55000000000000004">
      <c r="A1044" t="s">
        <v>1670</v>
      </c>
      <c r="B1044" s="6" t="s">
        <v>1671</v>
      </c>
      <c r="C1044" s="4" t="str">
        <f>IFERROR(VLOOKUP(B1044,infoTable10[],4,FALSE),"")</f>
        <v/>
      </c>
      <c r="D1044" s="4" t="str">
        <f>IFERROR(VLOOKUP(B1044,infoTable__2[],4,FALSE),"")</f>
        <v/>
      </c>
      <c r="E1044" s="4" t="str">
        <f>IFERROR(VLOOKUP(B1044,infoTable__3[],4,FALSE),"")</f>
        <v/>
      </c>
      <c r="F1044" s="4" t="str">
        <f>IFERROR(VLOOKUP(B1044,infoTable__4[],4,FALSE),"")</f>
        <v/>
      </c>
      <c r="G1044" s="4" t="str">
        <f>IFERROR(VLOOKUP(B1044,infoTable[],4,FALSE),"")</f>
        <v/>
      </c>
      <c r="H1044" s="4" t="str">
        <f>IFERROR(VLOOKUP(B1044,infoTable__6[],4,FALSE),"")</f>
        <v/>
      </c>
      <c r="I1044" s="4" t="str">
        <f>IFERROR(VLOOKUP(B1044,infoTable__28[],4,FALSE),"")</f>
        <v/>
      </c>
      <c r="J1044" s="4">
        <f>IFERROR(VLOOKUP(B1044,infoTable__10[],4,FALSE),"")</f>
        <v>538765</v>
      </c>
      <c r="K1044" s="4">
        <f>IFERROR(VLOOKUP(B1044,infoTable__11[],4,FALSE),"")</f>
        <v>656829</v>
      </c>
      <c r="L1044" s="4">
        <f>IFERROR(VLOOKUP(B1044,infoTable__12[],4,FALSE),"")</f>
        <v>870111</v>
      </c>
      <c r="M1044" s="4">
        <f>IFERROR(VLOOKUP(B1044,infoTable__13[],4,FALSE),"")</f>
        <v>826760</v>
      </c>
      <c r="N1044" s="4">
        <f>IFERROR(VLOOKUP(B1044,infoTable__14[],4,FALSE),"")</f>
        <v>798274</v>
      </c>
      <c r="O1044" s="4">
        <f>IFERROR(VLOOKUP(B1044,infoTable__15[],4,FALSE),"")</f>
        <v>1016923</v>
      </c>
      <c r="P1044" s="4">
        <f>IFERROR(VLOOKUP(B1044,infoTable__16[],4,FALSE),"")</f>
        <v>3042788</v>
      </c>
    </row>
    <row r="1045" spans="1:16" x14ac:dyDescent="0.55000000000000004">
      <c r="A1045" t="s">
        <v>3346</v>
      </c>
      <c r="B1045" s="6" t="s">
        <v>3347</v>
      </c>
      <c r="C1045" s="4" t="str">
        <f>IFERROR(VLOOKUP(B1045,infoTable10[],4,FALSE),"")</f>
        <v/>
      </c>
      <c r="D1045" s="4" t="str">
        <f>IFERROR(VLOOKUP(B1045,infoTable__2[],4,FALSE),"")</f>
        <v/>
      </c>
      <c r="E1045" s="4" t="str">
        <f>IFERROR(VLOOKUP(B1045,infoTable__3[],4,FALSE),"")</f>
        <v/>
      </c>
      <c r="F1045" s="4" t="str">
        <f>IFERROR(VLOOKUP(B1045,infoTable__4[],4,FALSE),"")</f>
        <v/>
      </c>
      <c r="G1045" s="4" t="str">
        <f>IFERROR(VLOOKUP(B1045,infoTable[],4,FALSE),"")</f>
        <v/>
      </c>
      <c r="H1045" s="4" t="str">
        <f>IFERROR(VLOOKUP(B1045,infoTable__6[],4,FALSE),"")</f>
        <v/>
      </c>
      <c r="I1045" s="4" t="str">
        <f>IFERROR(VLOOKUP(B1045,infoTable__28[],4,FALSE),"")</f>
        <v/>
      </c>
      <c r="J1045" s="4" t="str">
        <f>IFERROR(VLOOKUP(B1045,infoTable__10[],4,FALSE),"")</f>
        <v/>
      </c>
      <c r="K1045" s="4" t="str">
        <f>IFERROR(VLOOKUP(B1045,infoTable__11[],4,FALSE),"")</f>
        <v/>
      </c>
      <c r="L1045" s="4" t="str">
        <f>IFERROR(VLOOKUP(B1045,infoTable__12[],4,FALSE),"")</f>
        <v/>
      </c>
      <c r="M1045" s="4" t="str">
        <f>IFERROR(VLOOKUP(B1045,infoTable__13[],4,FALSE),"")</f>
        <v/>
      </c>
      <c r="N1045" s="4" t="str">
        <f>IFERROR(VLOOKUP(B1045,infoTable__14[],4,FALSE),"")</f>
        <v/>
      </c>
      <c r="O1045" s="4" t="str">
        <f>IFERROR(VLOOKUP(B1045,infoTable__15[],4,FALSE),"")</f>
        <v/>
      </c>
      <c r="P1045" s="4">
        <f>IFERROR(VLOOKUP(B1045,infoTable__16[],4,FALSE),"")</f>
        <v>921946</v>
      </c>
    </row>
    <row r="1046" spans="1:16" x14ac:dyDescent="0.55000000000000004">
      <c r="A1046" t="s">
        <v>564</v>
      </c>
      <c r="B1046" s="6" t="s">
        <v>565</v>
      </c>
      <c r="C1046" s="4" t="str">
        <f>IFERROR(VLOOKUP(B1046,infoTable10[],4,FALSE),"")</f>
        <v/>
      </c>
      <c r="D1046" s="4">
        <f>IFERROR(VLOOKUP(B1046,infoTable__2[],4,FALSE),"")</f>
        <v>6947883</v>
      </c>
      <c r="E1046" s="4">
        <f>IFERROR(VLOOKUP(B1046,infoTable__3[],4,FALSE),"")</f>
        <v>5777678</v>
      </c>
      <c r="F1046" s="4" t="str">
        <f>IFERROR(VLOOKUP(B1046,infoTable__4[],4,FALSE),"")</f>
        <v/>
      </c>
      <c r="G1046" s="4" t="str">
        <f>IFERROR(VLOOKUP(B1046,infoTable[],4,FALSE),"")</f>
        <v/>
      </c>
      <c r="H1046" s="4" t="str">
        <f>IFERROR(VLOOKUP(B1046,infoTable__6[],4,FALSE),"")</f>
        <v/>
      </c>
      <c r="I1046" s="4" t="str">
        <f>IFERROR(VLOOKUP(B1046,infoTable__28[],4,FALSE),"")</f>
        <v/>
      </c>
      <c r="J1046" s="4" t="str">
        <f>IFERROR(VLOOKUP(B1046,infoTable__10[],4,FALSE),"")</f>
        <v/>
      </c>
      <c r="K1046" s="4" t="str">
        <f>IFERROR(VLOOKUP(B1046,infoTable__11[],4,FALSE),"")</f>
        <v/>
      </c>
      <c r="L1046" s="4">
        <f>IFERROR(VLOOKUP(B1046,infoTable__12[],4,FALSE),"")</f>
        <v>821640</v>
      </c>
      <c r="M1046" s="4">
        <f>IFERROR(VLOOKUP(B1046,infoTable__13[],4,FALSE),"")</f>
        <v>1198322</v>
      </c>
      <c r="N1046" s="4" t="str">
        <f>IFERROR(VLOOKUP(B1046,infoTable__14[],4,FALSE),"")</f>
        <v/>
      </c>
      <c r="O1046" s="4">
        <f>IFERROR(VLOOKUP(B1046,infoTable__15[],4,FALSE),"")</f>
        <v>319722</v>
      </c>
      <c r="P1046" s="4">
        <f>IFERROR(VLOOKUP(B1046,infoTable__16[],4,FALSE),"")</f>
        <v>637545</v>
      </c>
    </row>
    <row r="1047" spans="1:16" x14ac:dyDescent="0.55000000000000004">
      <c r="A1047" t="s">
        <v>2824</v>
      </c>
      <c r="B1047" s="6" t="s">
        <v>2823</v>
      </c>
      <c r="C1047" s="4" t="str">
        <f>IFERROR(VLOOKUP(B1047,infoTable10[],4,FALSE),"")</f>
        <v/>
      </c>
      <c r="D1047" s="4" t="str">
        <f>IFERROR(VLOOKUP(B1047,infoTable__2[],4,FALSE),"")</f>
        <v/>
      </c>
      <c r="E1047" s="4" t="str">
        <f>IFERROR(VLOOKUP(B1047,infoTable__3[],4,FALSE),"")</f>
        <v/>
      </c>
      <c r="F1047" s="4" t="str">
        <f>IFERROR(VLOOKUP(B1047,infoTable__4[],4,FALSE),"")</f>
        <v/>
      </c>
      <c r="G1047" s="4" t="str">
        <f>IFERROR(VLOOKUP(B1047,infoTable[],4,FALSE),"")</f>
        <v/>
      </c>
      <c r="H1047" s="4" t="str">
        <f>IFERROR(VLOOKUP(B1047,infoTable__6[],4,FALSE),"")</f>
        <v/>
      </c>
      <c r="I1047" s="4" t="str">
        <f>IFERROR(VLOOKUP(B1047,infoTable__28[],4,FALSE),"")</f>
        <v/>
      </c>
      <c r="J1047" s="4" t="str">
        <f>IFERROR(VLOOKUP(B1047,infoTable__10[],4,FALSE),"")</f>
        <v/>
      </c>
      <c r="K1047" s="4" t="str">
        <f>IFERROR(VLOOKUP(B1047,infoTable__11[],4,FALSE),"")</f>
        <v/>
      </c>
      <c r="L1047" s="4" t="str">
        <f>IFERROR(VLOOKUP(B1047,infoTable__12[],4,FALSE),"")</f>
        <v/>
      </c>
      <c r="M1047" s="4" t="str">
        <f>IFERROR(VLOOKUP(B1047,infoTable__13[],4,FALSE),"")</f>
        <v/>
      </c>
      <c r="N1047" s="4">
        <f>IFERROR(VLOOKUP(B1047,infoTable__14[],4,FALSE),"")</f>
        <v>263919</v>
      </c>
      <c r="O1047" s="4">
        <f>IFERROR(VLOOKUP(B1047,infoTable__15[],4,FALSE),"")</f>
        <v>355780</v>
      </c>
      <c r="P1047" s="4">
        <f>IFERROR(VLOOKUP(B1047,infoTable__16[],4,FALSE),"")</f>
        <v>163209</v>
      </c>
    </row>
    <row r="1048" spans="1:16" x14ac:dyDescent="0.55000000000000004">
      <c r="A1048" t="s">
        <v>844</v>
      </c>
      <c r="B1048" s="6" t="s">
        <v>845</v>
      </c>
      <c r="C1048" s="4" t="str">
        <f>IFERROR(VLOOKUP(B1048,infoTable10[],4,FALSE),"")</f>
        <v/>
      </c>
      <c r="D1048" s="4" t="str">
        <f>IFERROR(VLOOKUP(B1048,infoTable__2[],4,FALSE),"")</f>
        <v/>
      </c>
      <c r="E1048" s="4" t="str">
        <f>IFERROR(VLOOKUP(B1048,infoTable__3[],4,FALSE),"")</f>
        <v/>
      </c>
      <c r="F1048" s="4">
        <f>IFERROR(VLOOKUP(B1048,infoTable__4[],4,FALSE),"")</f>
        <v>1408800</v>
      </c>
      <c r="G1048" s="4" t="str">
        <f>IFERROR(VLOOKUP(B1048,infoTable[],4,FALSE),"")</f>
        <v/>
      </c>
      <c r="H1048" s="4" t="str">
        <f>IFERROR(VLOOKUP(B1048,infoTable__6[],4,FALSE),"")</f>
        <v/>
      </c>
      <c r="I1048" s="4" t="str">
        <f>IFERROR(VLOOKUP(B1048,infoTable__28[],4,FALSE),"")</f>
        <v/>
      </c>
      <c r="J1048" s="4" t="str">
        <f>IFERROR(VLOOKUP(B1048,infoTable__10[],4,FALSE),"")</f>
        <v/>
      </c>
      <c r="K1048" s="4" t="str">
        <f>IFERROR(VLOOKUP(B1048,infoTable__11[],4,FALSE),"")</f>
        <v/>
      </c>
      <c r="L1048" s="4" t="str">
        <f>IFERROR(VLOOKUP(B1048,infoTable__12[],4,FALSE),"")</f>
        <v/>
      </c>
      <c r="M1048" s="4" t="str">
        <f>IFERROR(VLOOKUP(B1048,infoTable__13[],4,FALSE),"")</f>
        <v/>
      </c>
      <c r="N1048" s="4" t="str">
        <f>IFERROR(VLOOKUP(B1048,infoTable__14[],4,FALSE),"")</f>
        <v/>
      </c>
      <c r="O1048" s="4" t="str">
        <f>IFERROR(VLOOKUP(B1048,infoTable__15[],4,FALSE),"")</f>
        <v/>
      </c>
      <c r="P1048" s="4" t="str">
        <f>IFERROR(VLOOKUP(B1048,infoTable__16[],4,FALSE),"")</f>
        <v/>
      </c>
    </row>
    <row r="1049" spans="1:16" x14ac:dyDescent="0.55000000000000004">
      <c r="A1049" t="s">
        <v>1241</v>
      </c>
      <c r="B1049" s="6" t="s">
        <v>1242</v>
      </c>
      <c r="C1049" s="4" t="str">
        <f>IFERROR(VLOOKUP(B1049,infoTable10[],4,FALSE),"")</f>
        <v/>
      </c>
      <c r="D1049" s="4" t="str">
        <f>IFERROR(VLOOKUP(B1049,infoTable__2[],4,FALSE),"")</f>
        <v/>
      </c>
      <c r="E1049" s="4" t="str">
        <f>IFERROR(VLOOKUP(B1049,infoTable__3[],4,FALSE),"")</f>
        <v/>
      </c>
      <c r="F1049" s="4" t="str">
        <f>IFERROR(VLOOKUP(B1049,infoTable__4[],4,FALSE),"")</f>
        <v/>
      </c>
      <c r="G1049" s="4" t="str">
        <f>IFERROR(VLOOKUP(B1049,infoTable[],4,FALSE),"")</f>
        <v/>
      </c>
      <c r="H1049" s="4" t="str">
        <f>IFERROR(VLOOKUP(B1049,infoTable__6[],4,FALSE),"")</f>
        <v/>
      </c>
      <c r="I1049" s="4">
        <f>IFERROR(VLOOKUP(B1049,infoTable__28[],4,FALSE),"")</f>
        <v>1036283</v>
      </c>
      <c r="J1049" s="4">
        <f>IFERROR(VLOOKUP(B1049,infoTable__10[],4,FALSE),"")</f>
        <v>1663326</v>
      </c>
      <c r="K1049" s="4" t="str">
        <f>IFERROR(VLOOKUP(B1049,infoTable__11[],4,FALSE),"")</f>
        <v/>
      </c>
      <c r="L1049" s="4" t="str">
        <f>IFERROR(VLOOKUP(B1049,infoTable__12[],4,FALSE),"")</f>
        <v/>
      </c>
      <c r="M1049" s="4" t="str">
        <f>IFERROR(VLOOKUP(B1049,infoTable__13[],4,FALSE),"")</f>
        <v/>
      </c>
      <c r="N1049" s="4" t="str">
        <f>IFERROR(VLOOKUP(B1049,infoTable__14[],4,FALSE),"")</f>
        <v/>
      </c>
      <c r="O1049" s="4" t="str">
        <f>IFERROR(VLOOKUP(B1049,infoTable__15[],4,FALSE),"")</f>
        <v/>
      </c>
      <c r="P1049" s="4" t="str">
        <f>IFERROR(VLOOKUP(B1049,infoTable__16[],4,FALSE),"")</f>
        <v/>
      </c>
    </row>
    <row r="1050" spans="1:16" x14ac:dyDescent="0.55000000000000004">
      <c r="A1050" t="s">
        <v>187</v>
      </c>
      <c r="B1050" s="6" t="s">
        <v>188</v>
      </c>
      <c r="C1050" s="4" t="str">
        <f>IFERROR(VLOOKUP(B1050,infoTable10[],4,FALSE),"")</f>
        <v/>
      </c>
      <c r="D1050" s="4" t="str">
        <f>IFERROR(VLOOKUP(B1050,infoTable__2[],4,FALSE),"")</f>
        <v/>
      </c>
      <c r="E1050" s="4">
        <f>IFERROR(VLOOKUP(B1050,infoTable__3[],4,FALSE),"")</f>
        <v>675684</v>
      </c>
      <c r="F1050" s="4">
        <f>IFERROR(VLOOKUP(B1050,infoTable__4[],4,FALSE),"")</f>
        <v>641865</v>
      </c>
      <c r="G1050" s="4">
        <f>IFERROR(VLOOKUP(B1050,infoTable[],4,FALSE),"")</f>
        <v>437926</v>
      </c>
      <c r="H1050" s="4" t="str">
        <f>IFERROR(VLOOKUP(B1050,infoTable__6[],4,FALSE),"")</f>
        <v/>
      </c>
      <c r="I1050" s="4" t="str">
        <f>IFERROR(VLOOKUP(B1050,infoTable__28[],4,FALSE),"")</f>
        <v/>
      </c>
      <c r="J1050" s="4" t="str">
        <f>IFERROR(VLOOKUP(B1050,infoTable__10[],4,FALSE),"")</f>
        <v/>
      </c>
      <c r="K1050" s="4" t="str">
        <f>IFERROR(VLOOKUP(B1050,infoTable__11[],4,FALSE),"")</f>
        <v/>
      </c>
      <c r="L1050" s="4" t="str">
        <f>IFERROR(VLOOKUP(B1050,infoTable__12[],4,FALSE),"")</f>
        <v/>
      </c>
      <c r="M1050" s="4" t="str">
        <f>IFERROR(VLOOKUP(B1050,infoTable__13[],4,FALSE),"")</f>
        <v/>
      </c>
      <c r="N1050" s="4">
        <f>IFERROR(VLOOKUP(B1050,infoTable__14[],4,FALSE),"")</f>
        <v>1189404</v>
      </c>
      <c r="O1050" s="4">
        <f>IFERROR(VLOOKUP(B1050,infoTable__15[],4,FALSE),"")</f>
        <v>811121</v>
      </c>
      <c r="P1050" s="4" t="str">
        <f>IFERROR(VLOOKUP(B1050,infoTable__16[],4,FALSE),"")</f>
        <v/>
      </c>
    </row>
    <row r="1051" spans="1:16" x14ac:dyDescent="0.55000000000000004">
      <c r="A1051" t="s">
        <v>1008</v>
      </c>
      <c r="B1051" s="6" t="s">
        <v>1009</v>
      </c>
      <c r="C1051" s="4" t="str">
        <f>IFERROR(VLOOKUP(B1051,infoTable10[],4,FALSE),"")</f>
        <v/>
      </c>
      <c r="D1051" s="4" t="str">
        <f>IFERROR(VLOOKUP(B1051,infoTable__2[],4,FALSE),"")</f>
        <v/>
      </c>
      <c r="E1051" s="4" t="str">
        <f>IFERROR(VLOOKUP(B1051,infoTable__3[],4,FALSE),"")</f>
        <v/>
      </c>
      <c r="F1051" s="4" t="str">
        <f>IFERROR(VLOOKUP(B1051,infoTable__4[],4,FALSE),"")</f>
        <v/>
      </c>
      <c r="G1051" s="4" t="str">
        <f>IFERROR(VLOOKUP(B1051,infoTable[],4,FALSE),"")</f>
        <v/>
      </c>
      <c r="H1051" s="4">
        <f>IFERROR(VLOOKUP(B1051,infoTable__6[],4,FALSE),"")</f>
        <v>182070</v>
      </c>
      <c r="I1051" s="4">
        <f>IFERROR(VLOOKUP(B1051,infoTable__28[],4,FALSE),"")</f>
        <v>553361</v>
      </c>
      <c r="J1051" s="4">
        <f>IFERROR(VLOOKUP(B1051,infoTable__10[],4,FALSE),"")</f>
        <v>707908</v>
      </c>
      <c r="K1051" s="4" t="str">
        <f>IFERROR(VLOOKUP(B1051,infoTable__11[],4,FALSE),"")</f>
        <v/>
      </c>
      <c r="L1051" s="4" t="str">
        <f>IFERROR(VLOOKUP(B1051,infoTable__12[],4,FALSE),"")</f>
        <v/>
      </c>
      <c r="M1051" s="4" t="str">
        <f>IFERROR(VLOOKUP(B1051,infoTable__13[],4,FALSE),"")</f>
        <v/>
      </c>
      <c r="N1051" s="4" t="str">
        <f>IFERROR(VLOOKUP(B1051,infoTable__14[],4,FALSE),"")</f>
        <v/>
      </c>
      <c r="O1051" s="4" t="str">
        <f>IFERROR(VLOOKUP(B1051,infoTable__15[],4,FALSE),"")</f>
        <v/>
      </c>
      <c r="P1051" s="4" t="str">
        <f>IFERROR(VLOOKUP(B1051,infoTable__16[],4,FALSE),"")</f>
        <v/>
      </c>
    </row>
    <row r="1052" spans="1:16" x14ac:dyDescent="0.55000000000000004">
      <c r="A1052" t="s">
        <v>3352</v>
      </c>
      <c r="B1052" s="6" t="s">
        <v>3353</v>
      </c>
      <c r="C1052" s="4" t="str">
        <f>IFERROR(VLOOKUP(B1052,infoTable10[],4,FALSE),"")</f>
        <v/>
      </c>
      <c r="D1052" s="4" t="str">
        <f>IFERROR(VLOOKUP(B1052,infoTable__2[],4,FALSE),"")</f>
        <v/>
      </c>
      <c r="E1052" s="4" t="str">
        <f>IFERROR(VLOOKUP(B1052,infoTable__3[],4,FALSE),"")</f>
        <v/>
      </c>
      <c r="F1052" s="4" t="str">
        <f>IFERROR(VLOOKUP(B1052,infoTable__4[],4,FALSE),"")</f>
        <v/>
      </c>
      <c r="G1052" s="4" t="str">
        <f>IFERROR(VLOOKUP(B1052,infoTable[],4,FALSE),"")</f>
        <v/>
      </c>
      <c r="H1052" s="4" t="str">
        <f>IFERROR(VLOOKUP(B1052,infoTable__6[],4,FALSE),"")</f>
        <v/>
      </c>
      <c r="I1052" s="4" t="str">
        <f>IFERROR(VLOOKUP(B1052,infoTable__28[],4,FALSE),"")</f>
        <v/>
      </c>
      <c r="J1052" s="4" t="str">
        <f>IFERROR(VLOOKUP(B1052,infoTable__10[],4,FALSE),"")</f>
        <v/>
      </c>
      <c r="K1052" s="4" t="str">
        <f>IFERROR(VLOOKUP(B1052,infoTable__11[],4,FALSE),"")</f>
        <v/>
      </c>
      <c r="L1052" s="4" t="str">
        <f>IFERROR(VLOOKUP(B1052,infoTable__12[],4,FALSE),"")</f>
        <v/>
      </c>
      <c r="M1052" s="4" t="str">
        <f>IFERROR(VLOOKUP(B1052,infoTable__13[],4,FALSE),"")</f>
        <v/>
      </c>
      <c r="N1052" s="4" t="str">
        <f>IFERROR(VLOOKUP(B1052,infoTable__14[],4,FALSE),"")</f>
        <v/>
      </c>
      <c r="O1052" s="4" t="str">
        <f>IFERROR(VLOOKUP(B1052,infoTable__15[],4,FALSE),"")</f>
        <v/>
      </c>
      <c r="P1052" s="4">
        <f>IFERROR(VLOOKUP(B1052,infoTable__16[],4,FALSE),"")</f>
        <v>754739</v>
      </c>
    </row>
    <row r="1053" spans="1:16" x14ac:dyDescent="0.55000000000000004">
      <c r="A1053" t="s">
        <v>1245</v>
      </c>
      <c r="B1053" s="6" t="s">
        <v>1246</v>
      </c>
      <c r="C1053" s="4" t="str">
        <f>IFERROR(VLOOKUP(B1053,infoTable10[],4,FALSE),"")</f>
        <v/>
      </c>
      <c r="D1053" s="4" t="str">
        <f>IFERROR(VLOOKUP(B1053,infoTable__2[],4,FALSE),"")</f>
        <v/>
      </c>
      <c r="E1053" s="4" t="str">
        <f>IFERROR(VLOOKUP(B1053,infoTable__3[],4,FALSE),"")</f>
        <v/>
      </c>
      <c r="F1053" s="4" t="str">
        <f>IFERROR(VLOOKUP(B1053,infoTable__4[],4,FALSE),"")</f>
        <v/>
      </c>
      <c r="G1053" s="4" t="str">
        <f>IFERROR(VLOOKUP(B1053,infoTable[],4,FALSE),"")</f>
        <v/>
      </c>
      <c r="H1053" s="4" t="str">
        <f>IFERROR(VLOOKUP(B1053,infoTable__6[],4,FALSE),"")</f>
        <v/>
      </c>
      <c r="I1053" s="4">
        <f>IFERROR(VLOOKUP(B1053,infoTable__28[],4,FALSE),"")</f>
        <v>225270</v>
      </c>
      <c r="J1053" s="4">
        <f>IFERROR(VLOOKUP(B1053,infoTable__10[],4,FALSE),"")</f>
        <v>297224</v>
      </c>
      <c r="K1053" s="4">
        <f>IFERROR(VLOOKUP(B1053,infoTable__11[],4,FALSE),"")</f>
        <v>728178</v>
      </c>
      <c r="L1053" s="4">
        <f>IFERROR(VLOOKUP(B1053,infoTable__12[],4,FALSE),"")</f>
        <v>2059393</v>
      </c>
      <c r="M1053" s="4">
        <f>IFERROR(VLOOKUP(B1053,infoTable__13[],4,FALSE),"")</f>
        <v>2529525</v>
      </c>
      <c r="N1053" s="4">
        <f>IFERROR(VLOOKUP(B1053,infoTable__14[],4,FALSE),"")</f>
        <v>4701645</v>
      </c>
      <c r="O1053" s="4">
        <f>IFERROR(VLOOKUP(B1053,infoTable__15[],4,FALSE),"")</f>
        <v>2019150</v>
      </c>
      <c r="P1053" s="4">
        <f>IFERROR(VLOOKUP(B1053,infoTable__16[],4,FALSE),"")</f>
        <v>2591048</v>
      </c>
    </row>
    <row r="1054" spans="1:16" x14ac:dyDescent="0.55000000000000004">
      <c r="A1054" t="s">
        <v>1243</v>
      </c>
      <c r="B1054" s="6" t="s">
        <v>1244</v>
      </c>
      <c r="C1054" s="4" t="str">
        <f>IFERROR(VLOOKUP(B1054,infoTable10[],4,FALSE),"")</f>
        <v/>
      </c>
      <c r="D1054" s="4" t="str">
        <f>IFERROR(VLOOKUP(B1054,infoTable__2[],4,FALSE),"")</f>
        <v/>
      </c>
      <c r="E1054" s="4" t="str">
        <f>IFERROR(VLOOKUP(B1054,infoTable__3[],4,FALSE),"")</f>
        <v/>
      </c>
      <c r="F1054" s="4" t="str">
        <f>IFERROR(VLOOKUP(B1054,infoTable__4[],4,FALSE),"")</f>
        <v/>
      </c>
      <c r="G1054" s="4" t="str">
        <f>IFERROR(VLOOKUP(B1054,infoTable[],4,FALSE),"")</f>
        <v/>
      </c>
      <c r="H1054" s="4" t="str">
        <f>IFERROR(VLOOKUP(B1054,infoTable__6[],4,FALSE),"")</f>
        <v/>
      </c>
      <c r="I1054" s="4">
        <f>IFERROR(VLOOKUP(B1054,infoTable__28[],4,FALSE),"")</f>
        <v>1073057</v>
      </c>
      <c r="J1054" s="4" t="str">
        <f>IFERROR(VLOOKUP(B1054,infoTable__10[],4,FALSE),"")</f>
        <v/>
      </c>
      <c r="K1054" s="4">
        <f>IFERROR(VLOOKUP(B1054,infoTable__11[],4,FALSE),"")</f>
        <v>337611</v>
      </c>
      <c r="L1054" s="4">
        <f>IFERROR(VLOOKUP(B1054,infoTable__12[],4,FALSE),"")</f>
        <v>1336603</v>
      </c>
      <c r="M1054" s="4">
        <f>IFERROR(VLOOKUP(B1054,infoTable__13[],4,FALSE),"")</f>
        <v>735972</v>
      </c>
      <c r="N1054" s="4">
        <f>IFERROR(VLOOKUP(B1054,infoTable__14[],4,FALSE),"")</f>
        <v>272992</v>
      </c>
      <c r="O1054" s="4" t="str">
        <f>IFERROR(VLOOKUP(B1054,infoTable__15[],4,FALSE),"")</f>
        <v/>
      </c>
      <c r="P1054" s="4" t="str">
        <f>IFERROR(VLOOKUP(B1054,infoTable__16[],4,FALSE),"")</f>
        <v/>
      </c>
    </row>
    <row r="1055" spans="1:16" x14ac:dyDescent="0.55000000000000004">
      <c r="A1055" t="s">
        <v>2177</v>
      </c>
      <c r="B1055" s="6" t="s">
        <v>2178</v>
      </c>
      <c r="C1055" s="4" t="str">
        <f>IFERROR(VLOOKUP(B1055,infoTable10[],4,FALSE),"")</f>
        <v/>
      </c>
      <c r="D1055" s="4" t="str">
        <f>IFERROR(VLOOKUP(B1055,infoTable__2[],4,FALSE),"")</f>
        <v/>
      </c>
      <c r="E1055" s="4" t="str">
        <f>IFERROR(VLOOKUP(B1055,infoTable__3[],4,FALSE),"")</f>
        <v/>
      </c>
      <c r="F1055" s="4" t="str">
        <f>IFERROR(VLOOKUP(B1055,infoTable__4[],4,FALSE),"")</f>
        <v/>
      </c>
      <c r="G1055" s="4" t="str">
        <f>IFERROR(VLOOKUP(B1055,infoTable[],4,FALSE),"")</f>
        <v/>
      </c>
      <c r="H1055" s="4" t="str">
        <f>IFERROR(VLOOKUP(B1055,infoTable__6[],4,FALSE),"")</f>
        <v/>
      </c>
      <c r="I1055" s="4" t="str">
        <f>IFERROR(VLOOKUP(B1055,infoTable__28[],4,FALSE),"")</f>
        <v/>
      </c>
      <c r="J1055" s="4" t="str">
        <f>IFERROR(VLOOKUP(B1055,infoTable__10[],4,FALSE),"")</f>
        <v/>
      </c>
      <c r="K1055" s="4" t="str">
        <f>IFERROR(VLOOKUP(B1055,infoTable__11[],4,FALSE),"")</f>
        <v/>
      </c>
      <c r="L1055" s="4">
        <f>IFERROR(VLOOKUP(B1055,infoTable__12[],4,FALSE),"")</f>
        <v>236776</v>
      </c>
      <c r="M1055" s="4">
        <f>IFERROR(VLOOKUP(B1055,infoTable__13[],4,FALSE),"")</f>
        <v>603956</v>
      </c>
      <c r="N1055" s="4">
        <f>IFERROR(VLOOKUP(B1055,infoTable__14[],4,FALSE),"")</f>
        <v>1629375</v>
      </c>
      <c r="O1055" s="4">
        <f>IFERROR(VLOOKUP(B1055,infoTable__15[],4,FALSE),"")</f>
        <v>524006</v>
      </c>
      <c r="P1055" s="4">
        <f>IFERROR(VLOOKUP(B1055,infoTable__16[],4,FALSE),"")</f>
        <v>2357026</v>
      </c>
    </row>
    <row r="1056" spans="1:16" x14ac:dyDescent="0.55000000000000004">
      <c r="A1056" t="s">
        <v>566</v>
      </c>
      <c r="B1056" s="6" t="s">
        <v>567</v>
      </c>
      <c r="C1056" s="4" t="str">
        <f>IFERROR(VLOOKUP(B1056,infoTable10[],4,FALSE),"")</f>
        <v/>
      </c>
      <c r="D1056" s="4">
        <f>IFERROR(VLOOKUP(B1056,infoTable__2[],4,FALSE),"")</f>
        <v>255654</v>
      </c>
      <c r="E1056" s="4">
        <f>IFERROR(VLOOKUP(B1056,infoTable__3[],4,FALSE),"")</f>
        <v>529649</v>
      </c>
      <c r="F1056" s="4" t="str">
        <f>IFERROR(VLOOKUP(B1056,infoTable__4[],4,FALSE),"")</f>
        <v/>
      </c>
      <c r="G1056" s="4" t="str">
        <f>IFERROR(VLOOKUP(B1056,infoTable[],4,FALSE),"")</f>
        <v/>
      </c>
      <c r="H1056" s="4" t="str">
        <f>IFERROR(VLOOKUP(B1056,infoTable__6[],4,FALSE),"")</f>
        <v/>
      </c>
      <c r="I1056" s="4" t="str">
        <f>IFERROR(VLOOKUP(B1056,infoTable__28[],4,FALSE),"")</f>
        <v/>
      </c>
      <c r="J1056" s="4" t="str">
        <f>IFERROR(VLOOKUP(B1056,infoTable__10[],4,FALSE),"")</f>
        <v/>
      </c>
      <c r="K1056" s="4" t="str">
        <f>IFERROR(VLOOKUP(B1056,infoTable__11[],4,FALSE),"")</f>
        <v/>
      </c>
      <c r="L1056" s="4" t="str">
        <f>IFERROR(VLOOKUP(B1056,infoTable__12[],4,FALSE),"")</f>
        <v/>
      </c>
      <c r="M1056" s="4" t="str">
        <f>IFERROR(VLOOKUP(B1056,infoTable__13[],4,FALSE),"")</f>
        <v/>
      </c>
      <c r="N1056" s="4" t="str">
        <f>IFERROR(VLOOKUP(B1056,infoTable__14[],4,FALSE),"")</f>
        <v/>
      </c>
      <c r="O1056" s="4" t="str">
        <f>IFERROR(VLOOKUP(B1056,infoTable__15[],4,FALSE),"")</f>
        <v/>
      </c>
      <c r="P1056" s="4" t="str">
        <f>IFERROR(VLOOKUP(B1056,infoTable__16[],4,FALSE),"")</f>
        <v/>
      </c>
    </row>
    <row r="1057" spans="1:16" x14ac:dyDescent="0.55000000000000004">
      <c r="A1057" t="s">
        <v>191</v>
      </c>
      <c r="B1057" s="6" t="s">
        <v>192</v>
      </c>
      <c r="C1057" s="4">
        <f>IFERROR(VLOOKUP(B1057,infoTable10[],4,FALSE),"")</f>
        <v>3327056</v>
      </c>
      <c r="D1057" s="4">
        <f>IFERROR(VLOOKUP(B1057,infoTable__2[],4,FALSE),"")</f>
        <v>89978</v>
      </c>
      <c r="E1057" s="4" t="str">
        <f>IFERROR(VLOOKUP(B1057,infoTable__3[],4,FALSE),"")</f>
        <v/>
      </c>
      <c r="F1057" s="4" t="str">
        <f>IFERROR(VLOOKUP(B1057,infoTable__4[],4,FALSE),"")</f>
        <v/>
      </c>
      <c r="G1057" s="4">
        <f>IFERROR(VLOOKUP(B1057,infoTable[],4,FALSE),"")</f>
        <v>281468</v>
      </c>
      <c r="H1057" s="4">
        <f>IFERROR(VLOOKUP(B1057,infoTable__6[],4,FALSE),"")</f>
        <v>80039</v>
      </c>
      <c r="I1057" s="4" t="str">
        <f>IFERROR(VLOOKUP(B1057,infoTable__28[],4,FALSE),"")</f>
        <v/>
      </c>
      <c r="J1057" s="4" t="str">
        <f>IFERROR(VLOOKUP(B1057,infoTable__10[],4,FALSE),"")</f>
        <v/>
      </c>
      <c r="K1057" s="4" t="str">
        <f>IFERROR(VLOOKUP(B1057,infoTable__11[],4,FALSE),"")</f>
        <v/>
      </c>
      <c r="L1057" s="4" t="str">
        <f>IFERROR(VLOOKUP(B1057,infoTable__12[],4,FALSE),"")</f>
        <v/>
      </c>
      <c r="M1057" s="4" t="str">
        <f>IFERROR(VLOOKUP(B1057,infoTable__13[],4,FALSE),"")</f>
        <v/>
      </c>
      <c r="N1057" s="4" t="str">
        <f>IFERROR(VLOOKUP(B1057,infoTable__14[],4,FALSE),"")</f>
        <v/>
      </c>
      <c r="O1057" s="4" t="str">
        <f>IFERROR(VLOOKUP(B1057,infoTable__15[],4,FALSE),"")</f>
        <v/>
      </c>
      <c r="P1057" s="4" t="str">
        <f>IFERROR(VLOOKUP(B1057,infoTable__16[],4,FALSE),"")</f>
        <v/>
      </c>
    </row>
    <row r="1058" spans="1:16" x14ac:dyDescent="0.55000000000000004">
      <c r="A1058" t="s">
        <v>871</v>
      </c>
      <c r="B1058" s="6" t="s">
        <v>872</v>
      </c>
      <c r="C1058" s="4" t="str">
        <f>IFERROR(VLOOKUP(B1058,infoTable10[],4,FALSE),"")</f>
        <v/>
      </c>
      <c r="D1058" s="4" t="str">
        <f>IFERROR(VLOOKUP(B1058,infoTable__2[],4,FALSE),"")</f>
        <v/>
      </c>
      <c r="E1058" s="4" t="str">
        <f>IFERROR(VLOOKUP(B1058,infoTable__3[],4,FALSE),"")</f>
        <v/>
      </c>
      <c r="F1058" s="4">
        <f>IFERROR(VLOOKUP(B1058,infoTable__4[],4,FALSE),"")</f>
        <v>3535873</v>
      </c>
      <c r="G1058" s="4" t="str">
        <f>IFERROR(VLOOKUP(B1058,infoTable[],4,FALSE),"")</f>
        <v/>
      </c>
      <c r="H1058" s="4" t="str">
        <f>IFERROR(VLOOKUP(B1058,infoTable__6[],4,FALSE),"")</f>
        <v/>
      </c>
      <c r="I1058" s="4" t="str">
        <f>IFERROR(VLOOKUP(B1058,infoTable__28[],4,FALSE),"")</f>
        <v/>
      </c>
      <c r="J1058" s="4" t="str">
        <f>IFERROR(VLOOKUP(B1058,infoTable__10[],4,FALSE),"")</f>
        <v/>
      </c>
      <c r="K1058" s="4" t="str">
        <f>IFERROR(VLOOKUP(B1058,infoTable__11[],4,FALSE),"")</f>
        <v/>
      </c>
      <c r="L1058" s="4" t="str">
        <f>IFERROR(VLOOKUP(B1058,infoTable__12[],4,FALSE),"")</f>
        <v/>
      </c>
      <c r="M1058" s="4" t="str">
        <f>IFERROR(VLOOKUP(B1058,infoTable__13[],4,FALSE),"")</f>
        <v/>
      </c>
      <c r="N1058" s="4" t="str">
        <f>IFERROR(VLOOKUP(B1058,infoTable__14[],4,FALSE),"")</f>
        <v/>
      </c>
      <c r="O1058" s="4" t="str">
        <f>IFERROR(VLOOKUP(B1058,infoTable__15[],4,FALSE),"")</f>
        <v/>
      </c>
      <c r="P1058" s="4" t="str">
        <f>IFERROR(VLOOKUP(B1058,infoTable__16[],4,FALSE),"")</f>
        <v/>
      </c>
    </row>
    <row r="1059" spans="1:16" x14ac:dyDescent="0.55000000000000004">
      <c r="A1059" t="s">
        <v>568</v>
      </c>
      <c r="B1059" s="6" t="s">
        <v>569</v>
      </c>
      <c r="C1059" s="4">
        <f>IFERROR(VLOOKUP(B1059,infoTable10[],4,FALSE),"")</f>
        <v>1104266</v>
      </c>
      <c r="D1059" s="4">
        <f>IFERROR(VLOOKUP(B1059,infoTable__2[],4,FALSE),"")</f>
        <v>1382243</v>
      </c>
      <c r="E1059" s="4" t="str">
        <f>IFERROR(VLOOKUP(B1059,infoTable__3[],4,FALSE),"")</f>
        <v/>
      </c>
      <c r="F1059" s="4" t="str">
        <f>IFERROR(VLOOKUP(B1059,infoTable__4[],4,FALSE),"")</f>
        <v/>
      </c>
      <c r="G1059" s="4" t="str">
        <f>IFERROR(VLOOKUP(B1059,infoTable[],4,FALSE),"")</f>
        <v/>
      </c>
      <c r="H1059" s="4" t="str">
        <f>IFERROR(VLOOKUP(B1059,infoTable__6[],4,FALSE),"")</f>
        <v/>
      </c>
      <c r="I1059" s="4">
        <f>IFERROR(VLOOKUP(B1059,infoTable__28[],4,FALSE),"")</f>
        <v>780151</v>
      </c>
      <c r="J1059" s="4" t="str">
        <f>IFERROR(VLOOKUP(B1059,infoTable__10[],4,FALSE),"")</f>
        <v/>
      </c>
      <c r="K1059" s="4" t="str">
        <f>IFERROR(VLOOKUP(B1059,infoTable__11[],4,FALSE),"")</f>
        <v/>
      </c>
      <c r="L1059" s="4" t="str">
        <f>IFERROR(VLOOKUP(B1059,infoTable__12[],4,FALSE),"")</f>
        <v/>
      </c>
      <c r="M1059" s="4">
        <f>IFERROR(VLOOKUP(B1059,infoTable__13[],4,FALSE),"")</f>
        <v>341344</v>
      </c>
      <c r="N1059" s="4">
        <f>IFERROR(VLOOKUP(B1059,infoTable__14[],4,FALSE),"")</f>
        <v>209808</v>
      </c>
      <c r="O1059" s="4" t="str">
        <f>IFERROR(VLOOKUP(B1059,infoTable__15[],4,FALSE),"")</f>
        <v/>
      </c>
      <c r="P1059" s="4" t="str">
        <f>IFERROR(VLOOKUP(B1059,infoTable__16[],4,FALSE),"")</f>
        <v/>
      </c>
    </row>
    <row r="1060" spans="1:16" x14ac:dyDescent="0.55000000000000004">
      <c r="A1060" t="s">
        <v>2179</v>
      </c>
      <c r="B1060" s="6" t="s">
        <v>2180</v>
      </c>
      <c r="C1060" s="4" t="str">
        <f>IFERROR(VLOOKUP(B1060,infoTable10[],4,FALSE),"")</f>
        <v/>
      </c>
      <c r="D1060" s="4" t="str">
        <f>IFERROR(VLOOKUP(B1060,infoTable__2[],4,FALSE),"")</f>
        <v/>
      </c>
      <c r="E1060" s="4" t="str">
        <f>IFERROR(VLOOKUP(B1060,infoTable__3[],4,FALSE),"")</f>
        <v/>
      </c>
      <c r="F1060" s="4" t="str">
        <f>IFERROR(VLOOKUP(B1060,infoTable__4[],4,FALSE),"")</f>
        <v/>
      </c>
      <c r="G1060" s="4" t="str">
        <f>IFERROR(VLOOKUP(B1060,infoTable[],4,FALSE),"")</f>
        <v/>
      </c>
      <c r="H1060" s="4" t="str">
        <f>IFERROR(VLOOKUP(B1060,infoTable__6[],4,FALSE),"")</f>
        <v/>
      </c>
      <c r="I1060" s="4" t="str">
        <f>IFERROR(VLOOKUP(B1060,infoTable__28[],4,FALSE),"")</f>
        <v/>
      </c>
      <c r="J1060" s="4" t="str">
        <f>IFERROR(VLOOKUP(B1060,infoTable__10[],4,FALSE),"")</f>
        <v/>
      </c>
      <c r="K1060" s="4" t="str">
        <f>IFERROR(VLOOKUP(B1060,infoTable__11[],4,FALSE),"")</f>
        <v/>
      </c>
      <c r="L1060" s="4">
        <f>IFERROR(VLOOKUP(B1060,infoTable__12[],4,FALSE),"")</f>
        <v>206482</v>
      </c>
      <c r="M1060" s="4">
        <f>IFERROR(VLOOKUP(B1060,infoTable__13[],4,FALSE),"")</f>
        <v>5912788</v>
      </c>
      <c r="N1060" s="4">
        <f>IFERROR(VLOOKUP(B1060,infoTable__14[],4,FALSE),"")</f>
        <v>3410048</v>
      </c>
      <c r="O1060" s="4" t="str">
        <f>IFERROR(VLOOKUP(B1060,infoTable__15[],4,FALSE),"")</f>
        <v/>
      </c>
      <c r="P1060" s="4" t="str">
        <f>IFERROR(VLOOKUP(B1060,infoTable__16[],4,FALSE),"")</f>
        <v/>
      </c>
    </row>
    <row r="1061" spans="1:16" x14ac:dyDescent="0.55000000000000004">
      <c r="A1061" t="s">
        <v>746</v>
      </c>
      <c r="B1061" s="6" t="s">
        <v>747</v>
      </c>
      <c r="C1061" s="4" t="str">
        <f>IFERROR(VLOOKUP(B1061,infoTable10[],4,FALSE),"")</f>
        <v/>
      </c>
      <c r="D1061" s="4" t="str">
        <f>IFERROR(VLOOKUP(B1061,infoTable__2[],4,FALSE),"")</f>
        <v/>
      </c>
      <c r="E1061" s="4">
        <f>IFERROR(VLOOKUP(B1061,infoTable__3[],4,FALSE),"")</f>
        <v>8639701</v>
      </c>
      <c r="F1061" s="4">
        <f>IFERROR(VLOOKUP(B1061,infoTable__4[],4,FALSE),"")</f>
        <v>2469243</v>
      </c>
      <c r="G1061" s="4" t="str">
        <f>IFERROR(VLOOKUP(B1061,infoTable[],4,FALSE),"")</f>
        <v/>
      </c>
      <c r="H1061" s="4" t="str">
        <f>IFERROR(VLOOKUP(B1061,infoTable__6[],4,FALSE),"")</f>
        <v/>
      </c>
      <c r="I1061" s="4" t="str">
        <f>IFERROR(VLOOKUP(B1061,infoTable__28[],4,FALSE),"")</f>
        <v/>
      </c>
      <c r="J1061" s="4" t="str">
        <f>IFERROR(VLOOKUP(B1061,infoTable__10[],4,FALSE),"")</f>
        <v/>
      </c>
      <c r="K1061" s="4" t="str">
        <f>IFERROR(VLOOKUP(B1061,infoTable__11[],4,FALSE),"")</f>
        <v/>
      </c>
      <c r="L1061" s="4" t="str">
        <f>IFERROR(VLOOKUP(B1061,infoTable__12[],4,FALSE),"")</f>
        <v/>
      </c>
      <c r="M1061" s="4" t="str">
        <f>IFERROR(VLOOKUP(B1061,infoTable__13[],4,FALSE),"")</f>
        <v/>
      </c>
      <c r="N1061" s="4" t="str">
        <f>IFERROR(VLOOKUP(B1061,infoTable__14[],4,FALSE),"")</f>
        <v/>
      </c>
      <c r="O1061" s="4" t="str">
        <f>IFERROR(VLOOKUP(B1061,infoTable__15[],4,FALSE),"")</f>
        <v/>
      </c>
      <c r="P1061" s="4" t="str">
        <f>IFERROR(VLOOKUP(B1061,infoTable__16[],4,FALSE),"")</f>
        <v/>
      </c>
    </row>
    <row r="1062" spans="1:16" x14ac:dyDescent="0.55000000000000004">
      <c r="A1062" t="s">
        <v>2474</v>
      </c>
      <c r="B1062" s="6" t="s">
        <v>2475</v>
      </c>
      <c r="C1062" s="4" t="str">
        <f>IFERROR(VLOOKUP(B1062,infoTable10[],4,FALSE),"")</f>
        <v/>
      </c>
      <c r="D1062" s="4" t="str">
        <f>IFERROR(VLOOKUP(B1062,infoTable__2[],4,FALSE),"")</f>
        <v/>
      </c>
      <c r="E1062" s="4" t="str">
        <f>IFERROR(VLOOKUP(B1062,infoTable__3[],4,FALSE),"")</f>
        <v/>
      </c>
      <c r="F1062" s="4" t="str">
        <f>IFERROR(VLOOKUP(B1062,infoTable__4[],4,FALSE),"")</f>
        <v/>
      </c>
      <c r="G1062" s="4" t="str">
        <f>IFERROR(VLOOKUP(B1062,infoTable[],4,FALSE),"")</f>
        <v/>
      </c>
      <c r="H1062" s="4" t="str">
        <f>IFERROR(VLOOKUP(B1062,infoTable__6[],4,FALSE),"")</f>
        <v/>
      </c>
      <c r="I1062" s="4" t="str">
        <f>IFERROR(VLOOKUP(B1062,infoTable__28[],4,FALSE),"")</f>
        <v/>
      </c>
      <c r="J1062" s="4" t="str">
        <f>IFERROR(VLOOKUP(B1062,infoTable__10[],4,FALSE),"")</f>
        <v/>
      </c>
      <c r="K1062" s="4" t="str">
        <f>IFERROR(VLOOKUP(B1062,infoTable__11[],4,FALSE),"")</f>
        <v/>
      </c>
      <c r="L1062" s="4" t="str">
        <f>IFERROR(VLOOKUP(B1062,infoTable__12[],4,FALSE),"")</f>
        <v/>
      </c>
      <c r="M1062" s="4">
        <f>IFERROR(VLOOKUP(B1062,infoTable__13[],4,FALSE),"")</f>
        <v>102536</v>
      </c>
      <c r="N1062" s="4" t="str">
        <f>IFERROR(VLOOKUP(B1062,infoTable__14[],4,FALSE),"")</f>
        <v/>
      </c>
      <c r="O1062" s="4" t="str">
        <f>IFERROR(VLOOKUP(B1062,infoTable__15[],4,FALSE),"")</f>
        <v/>
      </c>
      <c r="P1062" s="4" t="str">
        <f>IFERROR(VLOOKUP(B1062,infoTable__16[],4,FALSE),"")</f>
        <v/>
      </c>
    </row>
    <row r="1063" spans="1:16" x14ac:dyDescent="0.55000000000000004">
      <c r="A1063" t="s">
        <v>1010</v>
      </c>
      <c r="B1063" s="6" t="s">
        <v>1011</v>
      </c>
      <c r="C1063" s="4" t="str">
        <f>IFERROR(VLOOKUP(B1063,infoTable10[],4,FALSE),"")</f>
        <v/>
      </c>
      <c r="D1063" s="4" t="str">
        <f>IFERROR(VLOOKUP(B1063,infoTable__2[],4,FALSE),"")</f>
        <v/>
      </c>
      <c r="E1063" s="4" t="str">
        <f>IFERROR(VLOOKUP(B1063,infoTable__3[],4,FALSE),"")</f>
        <v/>
      </c>
      <c r="F1063" s="4" t="str">
        <f>IFERROR(VLOOKUP(B1063,infoTable__4[],4,FALSE),"")</f>
        <v/>
      </c>
      <c r="G1063" s="4" t="str">
        <f>IFERROR(VLOOKUP(B1063,infoTable[],4,FALSE),"")</f>
        <v/>
      </c>
      <c r="H1063" s="4">
        <f>IFERROR(VLOOKUP(B1063,infoTable__6[],4,FALSE),"")</f>
        <v>414102</v>
      </c>
      <c r="I1063" s="4" t="str">
        <f>IFERROR(VLOOKUP(B1063,infoTable__28[],4,FALSE),"")</f>
        <v/>
      </c>
      <c r="J1063" s="4" t="str">
        <f>IFERROR(VLOOKUP(B1063,infoTable__10[],4,FALSE),"")</f>
        <v/>
      </c>
      <c r="K1063" s="4" t="str">
        <f>IFERROR(VLOOKUP(B1063,infoTable__11[],4,FALSE),"")</f>
        <v/>
      </c>
      <c r="L1063" s="4" t="str">
        <f>IFERROR(VLOOKUP(B1063,infoTable__12[],4,FALSE),"")</f>
        <v/>
      </c>
      <c r="M1063" s="4" t="str">
        <f>IFERROR(VLOOKUP(B1063,infoTable__13[],4,FALSE),"")</f>
        <v/>
      </c>
      <c r="N1063" s="4" t="str">
        <f>IFERROR(VLOOKUP(B1063,infoTable__14[],4,FALSE),"")</f>
        <v/>
      </c>
      <c r="O1063" s="4" t="str">
        <f>IFERROR(VLOOKUP(B1063,infoTable__15[],4,FALSE),"")</f>
        <v/>
      </c>
      <c r="P1063" s="4" t="str">
        <f>IFERROR(VLOOKUP(B1063,infoTable__16[],4,FALSE),"")</f>
        <v/>
      </c>
    </row>
    <row r="1064" spans="1:16" x14ac:dyDescent="0.55000000000000004">
      <c r="A1064" t="s">
        <v>2826</v>
      </c>
      <c r="B1064" s="6" t="s">
        <v>2825</v>
      </c>
      <c r="C1064" s="4" t="str">
        <f>IFERROR(VLOOKUP(B1064,infoTable10[],4,FALSE),"")</f>
        <v/>
      </c>
      <c r="D1064" s="4" t="str">
        <f>IFERROR(VLOOKUP(B1064,infoTable__2[],4,FALSE),"")</f>
        <v/>
      </c>
      <c r="E1064" s="4" t="str">
        <f>IFERROR(VLOOKUP(B1064,infoTable__3[],4,FALSE),"")</f>
        <v/>
      </c>
      <c r="F1064" s="4" t="str">
        <f>IFERROR(VLOOKUP(B1064,infoTable__4[],4,FALSE),"")</f>
        <v/>
      </c>
      <c r="G1064" s="4" t="str">
        <f>IFERROR(VLOOKUP(B1064,infoTable[],4,FALSE),"")</f>
        <v/>
      </c>
      <c r="H1064" s="4" t="str">
        <f>IFERROR(VLOOKUP(B1064,infoTable__6[],4,FALSE),"")</f>
        <v/>
      </c>
      <c r="I1064" s="4" t="str">
        <f>IFERROR(VLOOKUP(B1064,infoTable__28[],4,FALSE),"")</f>
        <v/>
      </c>
      <c r="J1064" s="4" t="str">
        <f>IFERROR(VLOOKUP(B1064,infoTable__10[],4,FALSE),"")</f>
        <v/>
      </c>
      <c r="K1064" s="4" t="str">
        <f>IFERROR(VLOOKUP(B1064,infoTable__11[],4,FALSE),"")</f>
        <v/>
      </c>
      <c r="L1064" s="4" t="str">
        <f>IFERROR(VLOOKUP(B1064,infoTable__12[],4,FALSE),"")</f>
        <v/>
      </c>
      <c r="M1064" s="4" t="str">
        <f>IFERROR(VLOOKUP(B1064,infoTable__13[],4,FALSE),"")</f>
        <v/>
      </c>
      <c r="N1064" s="4">
        <f>IFERROR(VLOOKUP(B1064,infoTable__14[],4,FALSE),"")</f>
        <v>538537</v>
      </c>
      <c r="O1064" s="4" t="str">
        <f>IFERROR(VLOOKUP(B1064,infoTable__15[],4,FALSE),"")</f>
        <v/>
      </c>
      <c r="P1064" s="4">
        <f>IFERROR(VLOOKUP(B1064,infoTable__16[],4,FALSE),"")</f>
        <v>510743</v>
      </c>
    </row>
    <row r="1065" spans="1:16" x14ac:dyDescent="0.55000000000000004">
      <c r="A1065" t="s">
        <v>193</v>
      </c>
      <c r="B1065" s="6" t="s">
        <v>194</v>
      </c>
      <c r="C1065" s="4" t="str">
        <f>IFERROR(VLOOKUP(B1065,infoTable10[],4,FALSE),"")</f>
        <v/>
      </c>
      <c r="D1065" s="4" t="str">
        <f>IFERROR(VLOOKUP(B1065,infoTable__2[],4,FALSE),"")</f>
        <v/>
      </c>
      <c r="E1065" s="4" t="str">
        <f>IFERROR(VLOOKUP(B1065,infoTable__3[],4,FALSE),"")</f>
        <v/>
      </c>
      <c r="F1065" s="4">
        <f>IFERROR(VLOOKUP(B1065,infoTable__4[],4,FALSE),"")</f>
        <v>288553</v>
      </c>
      <c r="G1065" s="4">
        <f>IFERROR(VLOOKUP(B1065,infoTable[],4,FALSE),"")</f>
        <v>3430566</v>
      </c>
      <c r="H1065" s="4">
        <f>IFERROR(VLOOKUP(B1065,infoTable__6[],4,FALSE),"")</f>
        <v>351231</v>
      </c>
      <c r="I1065" s="4">
        <f>IFERROR(VLOOKUP(B1065,infoTable__28[],4,FALSE),"")</f>
        <v>579083</v>
      </c>
      <c r="J1065" s="4">
        <f>IFERROR(VLOOKUP(B1065,infoTable__10[],4,FALSE),"")</f>
        <v>655854</v>
      </c>
      <c r="K1065" s="4">
        <f>IFERROR(VLOOKUP(B1065,infoTable__11[],4,FALSE),"")</f>
        <v>650090</v>
      </c>
      <c r="L1065" s="4">
        <f>IFERROR(VLOOKUP(B1065,infoTable__12[],4,FALSE),"")</f>
        <v>854752</v>
      </c>
      <c r="M1065" s="4">
        <f>IFERROR(VLOOKUP(B1065,infoTable__13[],4,FALSE),"")</f>
        <v>599391</v>
      </c>
      <c r="N1065" s="4">
        <f>IFERROR(VLOOKUP(B1065,infoTable__14[],4,FALSE),"")</f>
        <v>1888707</v>
      </c>
      <c r="O1065" s="4">
        <f>IFERROR(VLOOKUP(B1065,infoTable__15[],4,FALSE),"")</f>
        <v>6637293</v>
      </c>
      <c r="P1065" s="4">
        <f>IFERROR(VLOOKUP(B1065,infoTable__16[],4,FALSE),"")</f>
        <v>3560593</v>
      </c>
    </row>
    <row r="1066" spans="1:16" x14ac:dyDescent="0.55000000000000004">
      <c r="A1066" t="s">
        <v>1891</v>
      </c>
      <c r="B1066" s="6" t="s">
        <v>1892</v>
      </c>
      <c r="C1066" s="4" t="str">
        <f>IFERROR(VLOOKUP(B1066,infoTable10[],4,FALSE),"")</f>
        <v/>
      </c>
      <c r="D1066" s="4" t="str">
        <f>IFERROR(VLOOKUP(B1066,infoTable__2[],4,FALSE),"")</f>
        <v/>
      </c>
      <c r="E1066" s="4" t="str">
        <f>IFERROR(VLOOKUP(B1066,infoTable__3[],4,FALSE),"")</f>
        <v/>
      </c>
      <c r="F1066" s="4" t="str">
        <f>IFERROR(VLOOKUP(B1066,infoTable__4[],4,FALSE),"")</f>
        <v/>
      </c>
      <c r="G1066" s="4" t="str">
        <f>IFERROR(VLOOKUP(B1066,infoTable[],4,FALSE),"")</f>
        <v/>
      </c>
      <c r="H1066" s="4" t="str">
        <f>IFERROR(VLOOKUP(B1066,infoTable__6[],4,FALSE),"")</f>
        <v/>
      </c>
      <c r="I1066" s="4" t="str">
        <f>IFERROR(VLOOKUP(B1066,infoTable__28[],4,FALSE),"")</f>
        <v/>
      </c>
      <c r="J1066" s="4" t="str">
        <f>IFERROR(VLOOKUP(B1066,infoTable__10[],4,FALSE),"")</f>
        <v/>
      </c>
      <c r="K1066" s="4">
        <f>IFERROR(VLOOKUP(B1066,infoTable__11[],4,FALSE),"")</f>
        <v>217114</v>
      </c>
      <c r="L1066" s="4" t="str">
        <f>IFERROR(VLOOKUP(B1066,infoTable__12[],4,FALSE),"")</f>
        <v/>
      </c>
      <c r="M1066" s="4" t="str">
        <f>IFERROR(VLOOKUP(B1066,infoTable__13[],4,FALSE),"")</f>
        <v/>
      </c>
      <c r="N1066" s="4">
        <f>IFERROR(VLOOKUP(B1066,infoTable__14[],4,FALSE),"")</f>
        <v>351807</v>
      </c>
      <c r="O1066" s="4" t="str">
        <f>IFERROR(VLOOKUP(B1066,infoTable__15[],4,FALSE),"")</f>
        <v/>
      </c>
      <c r="P1066" s="4" t="str">
        <f>IFERROR(VLOOKUP(B1066,infoTable__16[],4,FALSE),"")</f>
        <v/>
      </c>
    </row>
    <row r="1067" spans="1:16" x14ac:dyDescent="0.55000000000000004">
      <c r="A1067" t="s">
        <v>3052</v>
      </c>
      <c r="B1067" s="6" t="s">
        <v>3053</v>
      </c>
      <c r="C1067" s="4" t="str">
        <f>IFERROR(VLOOKUP(B1067,infoTable10[],4,FALSE),"")</f>
        <v/>
      </c>
      <c r="D1067" s="4" t="str">
        <f>IFERROR(VLOOKUP(B1067,infoTable__2[],4,FALSE),"")</f>
        <v/>
      </c>
      <c r="E1067" s="4" t="str">
        <f>IFERROR(VLOOKUP(B1067,infoTable__3[],4,FALSE),"")</f>
        <v/>
      </c>
      <c r="F1067" s="4" t="str">
        <f>IFERROR(VLOOKUP(B1067,infoTable__4[],4,FALSE),"")</f>
        <v/>
      </c>
      <c r="G1067" s="4" t="str">
        <f>IFERROR(VLOOKUP(B1067,infoTable[],4,FALSE),"")</f>
        <v/>
      </c>
      <c r="H1067" s="4" t="str">
        <f>IFERROR(VLOOKUP(B1067,infoTable__6[],4,FALSE),"")</f>
        <v/>
      </c>
      <c r="I1067" s="4" t="str">
        <f>IFERROR(VLOOKUP(B1067,infoTable__28[],4,FALSE),"")</f>
        <v/>
      </c>
      <c r="J1067" s="4" t="str">
        <f>IFERROR(VLOOKUP(B1067,infoTable__10[],4,FALSE),"")</f>
        <v/>
      </c>
      <c r="K1067" s="4" t="str">
        <f>IFERROR(VLOOKUP(B1067,infoTable__11[],4,FALSE),"")</f>
        <v/>
      </c>
      <c r="L1067" s="4" t="str">
        <f>IFERROR(VLOOKUP(B1067,infoTable__12[],4,FALSE),"")</f>
        <v/>
      </c>
      <c r="M1067" s="4" t="str">
        <f>IFERROR(VLOOKUP(B1067,infoTable__13[],4,FALSE),"")</f>
        <v/>
      </c>
      <c r="N1067" s="4" t="str">
        <f>IFERROR(VLOOKUP(B1067,infoTable__14[],4,FALSE),"")</f>
        <v/>
      </c>
      <c r="O1067" s="4">
        <f>IFERROR(VLOOKUP(B1067,infoTable__15[],4,FALSE),"")</f>
        <v>4290172</v>
      </c>
      <c r="P1067" s="4">
        <f>IFERROR(VLOOKUP(B1067,infoTable__16[],4,FALSE),"")</f>
        <v>6195383</v>
      </c>
    </row>
    <row r="1068" spans="1:16" x14ac:dyDescent="0.55000000000000004">
      <c r="A1068" t="s">
        <v>2828</v>
      </c>
      <c r="B1068" s="6" t="s">
        <v>2827</v>
      </c>
      <c r="C1068" s="4" t="str">
        <f>IFERROR(VLOOKUP(B1068,infoTable10[],4,FALSE),"")</f>
        <v/>
      </c>
      <c r="D1068" s="4" t="str">
        <f>IFERROR(VLOOKUP(B1068,infoTable__2[],4,FALSE),"")</f>
        <v/>
      </c>
      <c r="E1068" s="4" t="str">
        <f>IFERROR(VLOOKUP(B1068,infoTable__3[],4,FALSE),"")</f>
        <v/>
      </c>
      <c r="F1068" s="4" t="str">
        <f>IFERROR(VLOOKUP(B1068,infoTable__4[],4,FALSE),"")</f>
        <v/>
      </c>
      <c r="G1068" s="4" t="str">
        <f>IFERROR(VLOOKUP(B1068,infoTable[],4,FALSE),"")</f>
        <v/>
      </c>
      <c r="H1068" s="4" t="str">
        <f>IFERROR(VLOOKUP(B1068,infoTable__6[],4,FALSE),"")</f>
        <v/>
      </c>
      <c r="I1068" s="4" t="str">
        <f>IFERROR(VLOOKUP(B1068,infoTable__28[],4,FALSE),"")</f>
        <v/>
      </c>
      <c r="J1068" s="4" t="str">
        <f>IFERROR(VLOOKUP(B1068,infoTable__10[],4,FALSE),"")</f>
        <v/>
      </c>
      <c r="K1068" s="4" t="str">
        <f>IFERROR(VLOOKUP(B1068,infoTable__11[],4,FALSE),"")</f>
        <v/>
      </c>
      <c r="L1068" s="4" t="str">
        <f>IFERROR(VLOOKUP(B1068,infoTable__12[],4,FALSE),"")</f>
        <v/>
      </c>
      <c r="M1068" s="4" t="str">
        <f>IFERROR(VLOOKUP(B1068,infoTable__13[],4,FALSE),"")</f>
        <v/>
      </c>
      <c r="N1068" s="4">
        <f>IFERROR(VLOOKUP(B1068,infoTable__14[],4,FALSE),"")</f>
        <v>897714</v>
      </c>
      <c r="O1068" s="4">
        <f>IFERROR(VLOOKUP(B1068,infoTable__15[],4,FALSE),"")</f>
        <v>602767</v>
      </c>
      <c r="P1068" s="4">
        <f>IFERROR(VLOOKUP(B1068,infoTable__16[],4,FALSE),"")</f>
        <v>3848816</v>
      </c>
    </row>
    <row r="1069" spans="1:16" x14ac:dyDescent="0.55000000000000004">
      <c r="A1069" t="s">
        <v>570</v>
      </c>
      <c r="B1069" s="6" t="s">
        <v>571</v>
      </c>
      <c r="C1069" s="4" t="str">
        <f>IFERROR(VLOOKUP(B1069,infoTable10[],4,FALSE),"")</f>
        <v/>
      </c>
      <c r="D1069" s="4">
        <f>IFERROR(VLOOKUP(B1069,infoTable__2[],4,FALSE),"")</f>
        <v>646345</v>
      </c>
      <c r="E1069" s="4">
        <f>IFERROR(VLOOKUP(B1069,infoTable__3[],4,FALSE),"")</f>
        <v>216536</v>
      </c>
      <c r="F1069" s="4" t="str">
        <f>IFERROR(VLOOKUP(B1069,infoTable__4[],4,FALSE),"")</f>
        <v/>
      </c>
      <c r="G1069" s="4" t="str">
        <f>IFERROR(VLOOKUP(B1069,infoTable[],4,FALSE),"")</f>
        <v/>
      </c>
      <c r="H1069" s="4" t="str">
        <f>IFERROR(VLOOKUP(B1069,infoTable__6[],4,FALSE),"")</f>
        <v/>
      </c>
      <c r="I1069" s="4" t="str">
        <f>IFERROR(VLOOKUP(B1069,infoTable__28[],4,FALSE),"")</f>
        <v/>
      </c>
      <c r="J1069" s="4">
        <f>IFERROR(VLOOKUP(B1069,infoTable__10[],4,FALSE),"")</f>
        <v>145452</v>
      </c>
      <c r="K1069" s="4">
        <f>IFERROR(VLOOKUP(B1069,infoTable__11[],4,FALSE),"")</f>
        <v>152578</v>
      </c>
      <c r="L1069" s="4">
        <f>IFERROR(VLOOKUP(B1069,infoTable__12[],4,FALSE),"")</f>
        <v>508647</v>
      </c>
      <c r="M1069" s="4">
        <f>IFERROR(VLOOKUP(B1069,infoTable__13[],4,FALSE),"")</f>
        <v>787792</v>
      </c>
      <c r="N1069" s="4">
        <f>IFERROR(VLOOKUP(B1069,infoTable__14[],4,FALSE),"")</f>
        <v>820677</v>
      </c>
      <c r="O1069" s="4">
        <f>IFERROR(VLOOKUP(B1069,infoTable__15[],4,FALSE),"")</f>
        <v>968912</v>
      </c>
      <c r="P1069" s="4">
        <f>IFERROR(VLOOKUP(B1069,infoTable__16[],4,FALSE),"")</f>
        <v>548127</v>
      </c>
    </row>
    <row r="1070" spans="1:16" x14ac:dyDescent="0.55000000000000004">
      <c r="A1070" t="s">
        <v>3358</v>
      </c>
      <c r="B1070" s="6" t="s">
        <v>3359</v>
      </c>
      <c r="C1070" s="4" t="str">
        <f>IFERROR(VLOOKUP(B1070,infoTable10[],4,FALSE),"")</f>
        <v/>
      </c>
      <c r="D1070" s="4" t="str">
        <f>IFERROR(VLOOKUP(B1070,infoTable__2[],4,FALSE),"")</f>
        <v/>
      </c>
      <c r="E1070" s="4" t="str">
        <f>IFERROR(VLOOKUP(B1070,infoTable__3[],4,FALSE),"")</f>
        <v/>
      </c>
      <c r="F1070" s="4" t="str">
        <f>IFERROR(VLOOKUP(B1070,infoTable__4[],4,FALSE),"")</f>
        <v/>
      </c>
      <c r="G1070" s="4" t="str">
        <f>IFERROR(VLOOKUP(B1070,infoTable[],4,FALSE),"")</f>
        <v/>
      </c>
      <c r="H1070" s="4" t="str">
        <f>IFERROR(VLOOKUP(B1070,infoTable__6[],4,FALSE),"")</f>
        <v/>
      </c>
      <c r="I1070" s="4" t="str">
        <f>IFERROR(VLOOKUP(B1070,infoTable__28[],4,FALSE),"")</f>
        <v/>
      </c>
      <c r="J1070" s="4" t="str">
        <f>IFERROR(VLOOKUP(B1070,infoTable__10[],4,FALSE),"")</f>
        <v/>
      </c>
      <c r="K1070" s="4" t="str">
        <f>IFERROR(VLOOKUP(B1070,infoTable__11[],4,FALSE),"")</f>
        <v/>
      </c>
      <c r="L1070" s="4" t="str">
        <f>IFERROR(VLOOKUP(B1070,infoTable__12[],4,FALSE),"")</f>
        <v/>
      </c>
      <c r="M1070" s="4" t="str">
        <f>IFERROR(VLOOKUP(B1070,infoTable__13[],4,FALSE),"")</f>
        <v/>
      </c>
      <c r="N1070" s="4" t="str">
        <f>IFERROR(VLOOKUP(B1070,infoTable__14[],4,FALSE),"")</f>
        <v/>
      </c>
      <c r="O1070" s="4" t="str">
        <f>IFERROR(VLOOKUP(B1070,infoTable__15[],4,FALSE),"")</f>
        <v/>
      </c>
      <c r="P1070" s="4">
        <f>IFERROR(VLOOKUP(B1070,infoTable__16[],4,FALSE),"")</f>
        <v>426790</v>
      </c>
    </row>
    <row r="1071" spans="1:16" x14ac:dyDescent="0.55000000000000004">
      <c r="A1071" t="s">
        <v>3362</v>
      </c>
      <c r="B1071" s="6" t="s">
        <v>3363</v>
      </c>
      <c r="C1071" s="4" t="str">
        <f>IFERROR(VLOOKUP(B1071,infoTable10[],4,FALSE),"")</f>
        <v/>
      </c>
      <c r="D1071" s="4" t="str">
        <f>IFERROR(VLOOKUP(B1071,infoTable__2[],4,FALSE),"")</f>
        <v/>
      </c>
      <c r="E1071" s="4" t="str">
        <f>IFERROR(VLOOKUP(B1071,infoTable__3[],4,FALSE),"")</f>
        <v/>
      </c>
      <c r="F1071" s="4" t="str">
        <f>IFERROR(VLOOKUP(B1071,infoTable__4[],4,FALSE),"")</f>
        <v/>
      </c>
      <c r="G1071" s="4" t="str">
        <f>IFERROR(VLOOKUP(B1071,infoTable[],4,FALSE),"")</f>
        <v/>
      </c>
      <c r="H1071" s="4" t="str">
        <f>IFERROR(VLOOKUP(B1071,infoTable__6[],4,FALSE),"")</f>
        <v/>
      </c>
      <c r="I1071" s="4" t="str">
        <f>IFERROR(VLOOKUP(B1071,infoTable__28[],4,FALSE),"")</f>
        <v/>
      </c>
      <c r="J1071" s="4" t="str">
        <f>IFERROR(VLOOKUP(B1071,infoTable__10[],4,FALSE),"")</f>
        <v/>
      </c>
      <c r="K1071" s="4" t="str">
        <f>IFERROR(VLOOKUP(B1071,infoTable__11[],4,FALSE),"")</f>
        <v/>
      </c>
      <c r="L1071" s="4" t="str">
        <f>IFERROR(VLOOKUP(B1071,infoTable__12[],4,FALSE),"")</f>
        <v/>
      </c>
      <c r="M1071" s="4" t="str">
        <f>IFERROR(VLOOKUP(B1071,infoTable__13[],4,FALSE),"")</f>
        <v/>
      </c>
      <c r="N1071" s="4" t="str">
        <f>IFERROR(VLOOKUP(B1071,infoTable__14[],4,FALSE),"")</f>
        <v/>
      </c>
      <c r="O1071" s="4" t="str">
        <f>IFERROR(VLOOKUP(B1071,infoTable__15[],4,FALSE),"")</f>
        <v/>
      </c>
      <c r="P1071" s="4">
        <f>IFERROR(VLOOKUP(B1071,infoTable__16[],4,FALSE),"")</f>
        <v>987405</v>
      </c>
    </row>
    <row r="1072" spans="1:16" x14ac:dyDescent="0.55000000000000004">
      <c r="A1072" t="s">
        <v>3364</v>
      </c>
      <c r="B1072" s="6" t="s">
        <v>3365</v>
      </c>
      <c r="C1072" s="4" t="str">
        <f>IFERROR(VLOOKUP(B1072,infoTable10[],4,FALSE),"")</f>
        <v/>
      </c>
      <c r="D1072" s="4" t="str">
        <f>IFERROR(VLOOKUP(B1072,infoTable__2[],4,FALSE),"")</f>
        <v/>
      </c>
      <c r="E1072" s="4" t="str">
        <f>IFERROR(VLOOKUP(B1072,infoTable__3[],4,FALSE),"")</f>
        <v/>
      </c>
      <c r="F1072" s="4" t="str">
        <f>IFERROR(VLOOKUP(B1072,infoTable__4[],4,FALSE),"")</f>
        <v/>
      </c>
      <c r="G1072" s="4" t="str">
        <f>IFERROR(VLOOKUP(B1072,infoTable[],4,FALSE),"")</f>
        <v/>
      </c>
      <c r="H1072" s="4" t="str">
        <f>IFERROR(VLOOKUP(B1072,infoTable__6[],4,FALSE),"")</f>
        <v/>
      </c>
      <c r="I1072" s="4" t="str">
        <f>IFERROR(VLOOKUP(B1072,infoTable__28[],4,FALSE),"")</f>
        <v/>
      </c>
      <c r="J1072" s="4" t="str">
        <f>IFERROR(VLOOKUP(B1072,infoTable__10[],4,FALSE),"")</f>
        <v/>
      </c>
      <c r="K1072" s="4" t="str">
        <f>IFERROR(VLOOKUP(B1072,infoTable__11[],4,FALSE),"")</f>
        <v/>
      </c>
      <c r="L1072" s="4" t="str">
        <f>IFERROR(VLOOKUP(B1072,infoTable__12[],4,FALSE),"")</f>
        <v/>
      </c>
      <c r="M1072" s="4" t="str">
        <f>IFERROR(VLOOKUP(B1072,infoTable__13[],4,FALSE),"")</f>
        <v/>
      </c>
      <c r="N1072" s="4" t="str">
        <f>IFERROR(VLOOKUP(B1072,infoTable__14[],4,FALSE),"")</f>
        <v/>
      </c>
      <c r="O1072" s="4" t="str">
        <f>IFERROR(VLOOKUP(B1072,infoTable__15[],4,FALSE),"")</f>
        <v/>
      </c>
      <c r="P1072" s="4">
        <f>IFERROR(VLOOKUP(B1072,infoTable__16[],4,FALSE),"")</f>
        <v>412727</v>
      </c>
    </row>
    <row r="1073" spans="1:16" x14ac:dyDescent="0.55000000000000004">
      <c r="A1073" t="s">
        <v>1016</v>
      </c>
      <c r="B1073" s="6" t="s">
        <v>1017</v>
      </c>
      <c r="C1073" s="4" t="str">
        <f>IFERROR(VLOOKUP(B1073,infoTable10[],4,FALSE),"")</f>
        <v/>
      </c>
      <c r="D1073" s="4" t="str">
        <f>IFERROR(VLOOKUP(B1073,infoTable__2[],4,FALSE),"")</f>
        <v/>
      </c>
      <c r="E1073" s="4" t="str">
        <f>IFERROR(VLOOKUP(B1073,infoTable__3[],4,FALSE),"")</f>
        <v/>
      </c>
      <c r="F1073" s="4" t="str">
        <f>IFERROR(VLOOKUP(B1073,infoTable__4[],4,FALSE),"")</f>
        <v/>
      </c>
      <c r="G1073" s="4" t="str">
        <f>IFERROR(VLOOKUP(B1073,infoTable[],4,FALSE),"")</f>
        <v/>
      </c>
      <c r="H1073" s="4">
        <f>IFERROR(VLOOKUP(B1073,infoTable__6[],4,FALSE),"")</f>
        <v>1018534</v>
      </c>
      <c r="I1073" s="4" t="str">
        <f>IFERROR(VLOOKUP(B1073,infoTable__28[],4,FALSE),"")</f>
        <v/>
      </c>
      <c r="J1073" s="4" t="str">
        <f>IFERROR(VLOOKUP(B1073,infoTable__10[],4,FALSE),"")</f>
        <v/>
      </c>
      <c r="K1073" s="4" t="str">
        <f>IFERROR(VLOOKUP(B1073,infoTable__11[],4,FALSE),"")</f>
        <v/>
      </c>
      <c r="L1073" s="4">
        <f>IFERROR(VLOOKUP(B1073,infoTable__12[],4,FALSE),"")</f>
        <v>209236</v>
      </c>
      <c r="M1073" s="4" t="str">
        <f>IFERROR(VLOOKUP(B1073,infoTable__13[],4,FALSE),"")</f>
        <v/>
      </c>
      <c r="N1073" s="4">
        <f>IFERROR(VLOOKUP(B1073,infoTable__14[],4,FALSE),"")</f>
        <v>229551</v>
      </c>
      <c r="O1073" s="4">
        <f>IFERROR(VLOOKUP(B1073,infoTable__15[],4,FALSE),"")</f>
        <v>281943</v>
      </c>
      <c r="P1073" s="4">
        <f>IFERROR(VLOOKUP(B1073,infoTable__16[],4,FALSE),"")</f>
        <v>1489712</v>
      </c>
    </row>
    <row r="1074" spans="1:16" x14ac:dyDescent="0.55000000000000004">
      <c r="A1074" t="s">
        <v>3056</v>
      </c>
      <c r="B1074" s="6" t="s">
        <v>3057</v>
      </c>
      <c r="C1074" s="4" t="str">
        <f>IFERROR(VLOOKUP(B1074,infoTable10[],4,FALSE),"")</f>
        <v/>
      </c>
      <c r="D1074" s="4" t="str">
        <f>IFERROR(VLOOKUP(B1074,infoTable__2[],4,FALSE),"")</f>
        <v/>
      </c>
      <c r="E1074" s="4" t="str">
        <f>IFERROR(VLOOKUP(B1074,infoTable__3[],4,FALSE),"")</f>
        <v/>
      </c>
      <c r="F1074" s="4" t="str">
        <f>IFERROR(VLOOKUP(B1074,infoTable__4[],4,FALSE),"")</f>
        <v/>
      </c>
      <c r="G1074" s="4" t="str">
        <f>IFERROR(VLOOKUP(B1074,infoTable[],4,FALSE),"")</f>
        <v/>
      </c>
      <c r="H1074" s="4" t="str">
        <f>IFERROR(VLOOKUP(B1074,infoTable__6[],4,FALSE),"")</f>
        <v/>
      </c>
      <c r="I1074" s="4" t="str">
        <f>IFERROR(VLOOKUP(B1074,infoTable__28[],4,FALSE),"")</f>
        <v/>
      </c>
      <c r="J1074" s="4" t="str">
        <f>IFERROR(VLOOKUP(B1074,infoTable__10[],4,FALSE),"")</f>
        <v/>
      </c>
      <c r="K1074" s="4" t="str">
        <f>IFERROR(VLOOKUP(B1074,infoTable__11[],4,FALSE),"")</f>
        <v/>
      </c>
      <c r="L1074" s="4" t="str">
        <f>IFERROR(VLOOKUP(B1074,infoTable__12[],4,FALSE),"")</f>
        <v/>
      </c>
      <c r="M1074" s="4" t="str">
        <f>IFERROR(VLOOKUP(B1074,infoTable__13[],4,FALSE),"")</f>
        <v/>
      </c>
      <c r="N1074" s="4" t="str">
        <f>IFERROR(VLOOKUP(B1074,infoTable__14[],4,FALSE),"")</f>
        <v/>
      </c>
      <c r="O1074" s="4">
        <f>IFERROR(VLOOKUP(B1074,infoTable__15[],4,FALSE),"")</f>
        <v>468662</v>
      </c>
      <c r="P1074" s="4">
        <f>IFERROR(VLOOKUP(B1074,infoTable__16[],4,FALSE),"")</f>
        <v>6284370</v>
      </c>
    </row>
    <row r="1075" spans="1:16" x14ac:dyDescent="0.55000000000000004">
      <c r="A1075" t="s">
        <v>3058</v>
      </c>
      <c r="B1075" s="6" t="s">
        <v>3059</v>
      </c>
      <c r="C1075" s="4" t="str">
        <f>IFERROR(VLOOKUP(B1075,infoTable10[],4,FALSE),"")</f>
        <v/>
      </c>
      <c r="D1075" s="4" t="str">
        <f>IFERROR(VLOOKUP(B1075,infoTable__2[],4,FALSE),"")</f>
        <v/>
      </c>
      <c r="E1075" s="4" t="str">
        <f>IFERROR(VLOOKUP(B1075,infoTable__3[],4,FALSE),"")</f>
        <v/>
      </c>
      <c r="F1075" s="4" t="str">
        <f>IFERROR(VLOOKUP(B1075,infoTable__4[],4,FALSE),"")</f>
        <v/>
      </c>
      <c r="G1075" s="4" t="str">
        <f>IFERROR(VLOOKUP(B1075,infoTable[],4,FALSE),"")</f>
        <v/>
      </c>
      <c r="H1075" s="4" t="str">
        <f>IFERROR(VLOOKUP(B1075,infoTable__6[],4,FALSE),"")</f>
        <v/>
      </c>
      <c r="I1075" s="4" t="str">
        <f>IFERROR(VLOOKUP(B1075,infoTable__28[],4,FALSE),"")</f>
        <v/>
      </c>
      <c r="J1075" s="4" t="str">
        <f>IFERROR(VLOOKUP(B1075,infoTable__10[],4,FALSE),"")</f>
        <v/>
      </c>
      <c r="K1075" s="4" t="str">
        <f>IFERROR(VLOOKUP(B1075,infoTable__11[],4,FALSE),"")</f>
        <v/>
      </c>
      <c r="L1075" s="4" t="str">
        <f>IFERROR(VLOOKUP(B1075,infoTable__12[],4,FALSE),"")</f>
        <v/>
      </c>
      <c r="M1075" s="4" t="str">
        <f>IFERROR(VLOOKUP(B1075,infoTable__13[],4,FALSE),"")</f>
        <v/>
      </c>
      <c r="N1075" s="4" t="str">
        <f>IFERROR(VLOOKUP(B1075,infoTable__14[],4,FALSE),"")</f>
        <v/>
      </c>
      <c r="O1075" s="4">
        <f>IFERROR(VLOOKUP(B1075,infoTable__15[],4,FALSE),"")</f>
        <v>2143104</v>
      </c>
      <c r="P1075" s="4">
        <f>IFERROR(VLOOKUP(B1075,infoTable__16[],4,FALSE),"")</f>
        <v>785902</v>
      </c>
    </row>
    <row r="1076" spans="1:16" x14ac:dyDescent="0.55000000000000004">
      <c r="A1076" t="s">
        <v>1251</v>
      </c>
      <c r="B1076" s="6" t="s">
        <v>1252</v>
      </c>
      <c r="C1076" s="4" t="str">
        <f>IFERROR(VLOOKUP(B1076,infoTable10[],4,FALSE),"")</f>
        <v/>
      </c>
      <c r="D1076" s="4" t="str">
        <f>IFERROR(VLOOKUP(B1076,infoTable__2[],4,FALSE),"")</f>
        <v/>
      </c>
      <c r="E1076" s="4" t="str">
        <f>IFERROR(VLOOKUP(B1076,infoTable__3[],4,FALSE),"")</f>
        <v/>
      </c>
      <c r="F1076" s="4" t="str">
        <f>IFERROR(VLOOKUP(B1076,infoTable__4[],4,FALSE),"")</f>
        <v/>
      </c>
      <c r="G1076" s="4" t="str">
        <f>IFERROR(VLOOKUP(B1076,infoTable[],4,FALSE),"")</f>
        <v/>
      </c>
      <c r="H1076" s="4" t="str">
        <f>IFERROR(VLOOKUP(B1076,infoTable__6[],4,FALSE),"")</f>
        <v/>
      </c>
      <c r="I1076" s="4">
        <f>IFERROR(VLOOKUP(B1076,infoTable__28[],4,FALSE),"")</f>
        <v>601247</v>
      </c>
      <c r="J1076" s="4">
        <f>IFERROR(VLOOKUP(B1076,infoTable__10[],4,FALSE),"")</f>
        <v>3107001</v>
      </c>
      <c r="K1076" s="4">
        <f>IFERROR(VLOOKUP(B1076,infoTable__11[],4,FALSE),"")</f>
        <v>2943150</v>
      </c>
      <c r="L1076" s="4">
        <f>IFERROR(VLOOKUP(B1076,infoTable__12[],4,FALSE),"")</f>
        <v>2714539</v>
      </c>
      <c r="M1076" s="4">
        <f>IFERROR(VLOOKUP(B1076,infoTable__13[],4,FALSE),"")</f>
        <v>2552910</v>
      </c>
      <c r="N1076" s="4">
        <f>IFERROR(VLOOKUP(B1076,infoTable__14[],4,FALSE),"")</f>
        <v>2252462</v>
      </c>
      <c r="O1076" s="4" t="str">
        <f>IFERROR(VLOOKUP(B1076,infoTable__15[],4,FALSE),"")</f>
        <v/>
      </c>
      <c r="P1076" s="4" t="str">
        <f>IFERROR(VLOOKUP(B1076,infoTable__16[],4,FALSE),"")</f>
        <v/>
      </c>
    </row>
    <row r="1077" spans="1:16" x14ac:dyDescent="0.55000000000000004">
      <c r="A1077" t="s">
        <v>199</v>
      </c>
      <c r="B1077" s="6" t="s">
        <v>200</v>
      </c>
      <c r="C1077" s="4" t="str">
        <f>IFERROR(VLOOKUP(B1077,infoTable10[],4,FALSE),"")</f>
        <v/>
      </c>
      <c r="D1077" s="4" t="str">
        <f>IFERROR(VLOOKUP(B1077,infoTable__2[],4,FALSE),"")</f>
        <v/>
      </c>
      <c r="E1077" s="4" t="str">
        <f>IFERROR(VLOOKUP(B1077,infoTable__3[],4,FALSE),"")</f>
        <v/>
      </c>
      <c r="F1077" s="4" t="str">
        <f>IFERROR(VLOOKUP(B1077,infoTable__4[],4,FALSE),"")</f>
        <v/>
      </c>
      <c r="G1077" s="4">
        <f>IFERROR(VLOOKUP(B1077,infoTable[],4,FALSE),"")</f>
        <v>397755</v>
      </c>
      <c r="H1077" s="4" t="str">
        <f>IFERROR(VLOOKUP(B1077,infoTable__6[],4,FALSE),"")</f>
        <v/>
      </c>
      <c r="I1077" s="4">
        <f>IFERROR(VLOOKUP(B1077,infoTable__28[],4,FALSE),"")</f>
        <v>669986</v>
      </c>
      <c r="J1077" s="4" t="str">
        <f>IFERROR(VLOOKUP(B1077,infoTable__10[],4,FALSE),"")</f>
        <v/>
      </c>
      <c r="K1077" s="4" t="str">
        <f>IFERROR(VLOOKUP(B1077,infoTable__11[],4,FALSE),"")</f>
        <v/>
      </c>
      <c r="L1077" s="4" t="str">
        <f>IFERROR(VLOOKUP(B1077,infoTable__12[],4,FALSE),"")</f>
        <v/>
      </c>
      <c r="M1077" s="4" t="str">
        <f>IFERROR(VLOOKUP(B1077,infoTable__13[],4,FALSE),"")</f>
        <v/>
      </c>
      <c r="N1077" s="4" t="str">
        <f>IFERROR(VLOOKUP(B1077,infoTable__14[],4,FALSE),"")</f>
        <v/>
      </c>
      <c r="O1077" s="4" t="str">
        <f>IFERROR(VLOOKUP(B1077,infoTable__15[],4,FALSE),"")</f>
        <v/>
      </c>
      <c r="P1077" s="4" t="str">
        <f>IFERROR(VLOOKUP(B1077,infoTable__16[],4,FALSE),"")</f>
        <v/>
      </c>
    </row>
    <row r="1078" spans="1:16" x14ac:dyDescent="0.55000000000000004">
      <c r="A1078" t="s">
        <v>3371</v>
      </c>
      <c r="B1078" s="6" t="s">
        <v>3372</v>
      </c>
      <c r="C1078" s="4" t="str">
        <f>IFERROR(VLOOKUP(B1078,infoTable10[],4,FALSE),"")</f>
        <v/>
      </c>
      <c r="D1078" s="4" t="str">
        <f>IFERROR(VLOOKUP(B1078,infoTable__2[],4,FALSE),"")</f>
        <v/>
      </c>
      <c r="E1078" s="4" t="str">
        <f>IFERROR(VLOOKUP(B1078,infoTable__3[],4,FALSE),"")</f>
        <v/>
      </c>
      <c r="F1078" s="4" t="str">
        <f>IFERROR(VLOOKUP(B1078,infoTable__4[],4,FALSE),"")</f>
        <v/>
      </c>
      <c r="G1078" s="4" t="str">
        <f>IFERROR(VLOOKUP(B1078,infoTable[],4,FALSE),"")</f>
        <v/>
      </c>
      <c r="H1078" s="4" t="str">
        <f>IFERROR(VLOOKUP(B1078,infoTable__6[],4,FALSE),"")</f>
        <v/>
      </c>
      <c r="I1078" s="4" t="str">
        <f>IFERROR(VLOOKUP(B1078,infoTable__28[],4,FALSE),"")</f>
        <v/>
      </c>
      <c r="J1078" s="4" t="str">
        <f>IFERROR(VLOOKUP(B1078,infoTable__10[],4,FALSE),"")</f>
        <v/>
      </c>
      <c r="K1078" s="4" t="str">
        <f>IFERROR(VLOOKUP(B1078,infoTable__11[],4,FALSE),"")</f>
        <v/>
      </c>
      <c r="L1078" s="4" t="str">
        <f>IFERROR(VLOOKUP(B1078,infoTable__12[],4,FALSE),"")</f>
        <v/>
      </c>
      <c r="M1078" s="4" t="str">
        <f>IFERROR(VLOOKUP(B1078,infoTable__13[],4,FALSE),"")</f>
        <v/>
      </c>
      <c r="N1078" s="4" t="str">
        <f>IFERROR(VLOOKUP(B1078,infoTable__14[],4,FALSE),"")</f>
        <v/>
      </c>
      <c r="O1078" s="4" t="str">
        <f>IFERROR(VLOOKUP(B1078,infoTable__15[],4,FALSE),"")</f>
        <v/>
      </c>
      <c r="P1078" s="4">
        <f>IFERROR(VLOOKUP(B1078,infoTable__16[],4,FALSE),"")</f>
        <v>136270</v>
      </c>
    </row>
    <row r="1079" spans="1:16" x14ac:dyDescent="0.55000000000000004">
      <c r="A1079" t="s">
        <v>3373</v>
      </c>
      <c r="B1079" s="6" t="s">
        <v>3374</v>
      </c>
      <c r="C1079" s="4" t="str">
        <f>IFERROR(VLOOKUP(B1079,infoTable10[],4,FALSE),"")</f>
        <v/>
      </c>
      <c r="D1079" s="4" t="str">
        <f>IFERROR(VLOOKUP(B1079,infoTable__2[],4,FALSE),"")</f>
        <v/>
      </c>
      <c r="E1079" s="4" t="str">
        <f>IFERROR(VLOOKUP(B1079,infoTable__3[],4,FALSE),"")</f>
        <v/>
      </c>
      <c r="F1079" s="4" t="str">
        <f>IFERROR(VLOOKUP(B1079,infoTable__4[],4,FALSE),"")</f>
        <v/>
      </c>
      <c r="G1079" s="4" t="str">
        <f>IFERROR(VLOOKUP(B1079,infoTable[],4,FALSE),"")</f>
        <v/>
      </c>
      <c r="H1079" s="4" t="str">
        <f>IFERROR(VLOOKUP(B1079,infoTable__6[],4,FALSE),"")</f>
        <v/>
      </c>
      <c r="I1079" s="4" t="str">
        <f>IFERROR(VLOOKUP(B1079,infoTable__28[],4,FALSE),"")</f>
        <v/>
      </c>
      <c r="J1079" s="4" t="str">
        <f>IFERROR(VLOOKUP(B1079,infoTable__10[],4,FALSE),"")</f>
        <v/>
      </c>
      <c r="K1079" s="4" t="str">
        <f>IFERROR(VLOOKUP(B1079,infoTable__11[],4,FALSE),"")</f>
        <v/>
      </c>
      <c r="L1079" s="4" t="str">
        <f>IFERROR(VLOOKUP(B1079,infoTable__12[],4,FALSE),"")</f>
        <v/>
      </c>
      <c r="M1079" s="4" t="str">
        <f>IFERROR(VLOOKUP(B1079,infoTable__13[],4,FALSE),"")</f>
        <v/>
      </c>
      <c r="N1079" s="4" t="str">
        <f>IFERROR(VLOOKUP(B1079,infoTable__14[],4,FALSE),"")</f>
        <v/>
      </c>
      <c r="O1079" s="4" t="str">
        <f>IFERROR(VLOOKUP(B1079,infoTable__15[],4,FALSE),"")</f>
        <v/>
      </c>
      <c r="P1079" s="4">
        <f>IFERROR(VLOOKUP(B1079,infoTable__16[],4,FALSE),"")</f>
        <v>325270</v>
      </c>
    </row>
    <row r="1080" spans="1:16" x14ac:dyDescent="0.55000000000000004">
      <c r="A1080" t="s">
        <v>2830</v>
      </c>
      <c r="B1080" s="6" t="s">
        <v>2829</v>
      </c>
      <c r="C1080" s="4" t="str">
        <f>IFERROR(VLOOKUP(B1080,infoTable10[],4,FALSE),"")</f>
        <v/>
      </c>
      <c r="D1080" s="4" t="str">
        <f>IFERROR(VLOOKUP(B1080,infoTable__2[],4,FALSE),"")</f>
        <v/>
      </c>
      <c r="E1080" s="4" t="str">
        <f>IFERROR(VLOOKUP(B1080,infoTable__3[],4,FALSE),"")</f>
        <v/>
      </c>
      <c r="F1080" s="4" t="str">
        <f>IFERROR(VLOOKUP(B1080,infoTable__4[],4,FALSE),"")</f>
        <v/>
      </c>
      <c r="G1080" s="4" t="str">
        <f>IFERROR(VLOOKUP(B1080,infoTable[],4,FALSE),"")</f>
        <v/>
      </c>
      <c r="H1080" s="4" t="str">
        <f>IFERROR(VLOOKUP(B1080,infoTable__6[],4,FALSE),"")</f>
        <v/>
      </c>
      <c r="I1080" s="4" t="str">
        <f>IFERROR(VLOOKUP(B1080,infoTable__28[],4,FALSE),"")</f>
        <v/>
      </c>
      <c r="J1080" s="4" t="str">
        <f>IFERROR(VLOOKUP(B1080,infoTable__10[],4,FALSE),"")</f>
        <v/>
      </c>
      <c r="K1080" s="4" t="str">
        <f>IFERROR(VLOOKUP(B1080,infoTable__11[],4,FALSE),"")</f>
        <v/>
      </c>
      <c r="L1080" s="4" t="str">
        <f>IFERROR(VLOOKUP(B1080,infoTable__12[],4,FALSE),"")</f>
        <v/>
      </c>
      <c r="M1080" s="4" t="str">
        <f>IFERROR(VLOOKUP(B1080,infoTable__13[],4,FALSE),"")</f>
        <v/>
      </c>
      <c r="N1080" s="4">
        <f>IFERROR(VLOOKUP(B1080,infoTable__14[],4,FALSE),"")</f>
        <v>262014</v>
      </c>
      <c r="O1080" s="4">
        <f>IFERROR(VLOOKUP(B1080,infoTable__15[],4,FALSE),"")</f>
        <v>477951</v>
      </c>
      <c r="P1080" s="4">
        <f>IFERROR(VLOOKUP(B1080,infoTable__16[],4,FALSE),"")</f>
        <v>912792</v>
      </c>
    </row>
    <row r="1081" spans="1:16" x14ac:dyDescent="0.55000000000000004">
      <c r="A1081" t="s">
        <v>2832</v>
      </c>
      <c r="B1081" s="6" t="s">
        <v>2831</v>
      </c>
      <c r="C1081" s="4" t="str">
        <f>IFERROR(VLOOKUP(B1081,infoTable10[],4,FALSE),"")</f>
        <v/>
      </c>
      <c r="D1081" s="4" t="str">
        <f>IFERROR(VLOOKUP(B1081,infoTable__2[],4,FALSE),"")</f>
        <v/>
      </c>
      <c r="E1081" s="4" t="str">
        <f>IFERROR(VLOOKUP(B1081,infoTable__3[],4,FALSE),"")</f>
        <v/>
      </c>
      <c r="F1081" s="4" t="str">
        <f>IFERROR(VLOOKUP(B1081,infoTable__4[],4,FALSE),"")</f>
        <v/>
      </c>
      <c r="G1081" s="4" t="str">
        <f>IFERROR(VLOOKUP(B1081,infoTable[],4,FALSE),"")</f>
        <v/>
      </c>
      <c r="H1081" s="4" t="str">
        <f>IFERROR(VLOOKUP(B1081,infoTable__6[],4,FALSE),"")</f>
        <v/>
      </c>
      <c r="I1081" s="4" t="str">
        <f>IFERROR(VLOOKUP(B1081,infoTable__28[],4,FALSE),"")</f>
        <v/>
      </c>
      <c r="J1081" s="4" t="str">
        <f>IFERROR(VLOOKUP(B1081,infoTable__10[],4,FALSE),"")</f>
        <v/>
      </c>
      <c r="K1081" s="4" t="str">
        <f>IFERROR(VLOOKUP(B1081,infoTable__11[],4,FALSE),"")</f>
        <v/>
      </c>
      <c r="L1081" s="4" t="str">
        <f>IFERROR(VLOOKUP(B1081,infoTable__12[],4,FALSE),"")</f>
        <v/>
      </c>
      <c r="M1081" s="4" t="str">
        <f>IFERROR(VLOOKUP(B1081,infoTable__13[],4,FALSE),"")</f>
        <v/>
      </c>
      <c r="N1081" s="4">
        <f>IFERROR(VLOOKUP(B1081,infoTable__14[],4,FALSE),"")</f>
        <v>362650</v>
      </c>
      <c r="O1081" s="4" t="str">
        <f>IFERROR(VLOOKUP(B1081,infoTable__15[],4,FALSE),"")</f>
        <v/>
      </c>
      <c r="P1081" s="4" t="str">
        <f>IFERROR(VLOOKUP(B1081,infoTable__16[],4,FALSE),"")</f>
        <v/>
      </c>
    </row>
    <row r="1082" spans="1:16" x14ac:dyDescent="0.55000000000000004">
      <c r="A1082" t="s">
        <v>1020</v>
      </c>
      <c r="B1082" s="6" t="s">
        <v>1021</v>
      </c>
      <c r="C1082" s="4" t="str">
        <f>IFERROR(VLOOKUP(B1082,infoTable10[],4,FALSE),"")</f>
        <v/>
      </c>
      <c r="D1082" s="4" t="str">
        <f>IFERROR(VLOOKUP(B1082,infoTable__2[],4,FALSE),"")</f>
        <v/>
      </c>
      <c r="E1082" s="4" t="str">
        <f>IFERROR(VLOOKUP(B1082,infoTable__3[],4,FALSE),"")</f>
        <v/>
      </c>
      <c r="F1082" s="4" t="str">
        <f>IFERROR(VLOOKUP(B1082,infoTable__4[],4,FALSE),"")</f>
        <v/>
      </c>
      <c r="G1082" s="4" t="str">
        <f>IFERROR(VLOOKUP(B1082,infoTable[],4,FALSE),"")</f>
        <v/>
      </c>
      <c r="H1082" s="4">
        <f>IFERROR(VLOOKUP(B1082,infoTable__6[],4,FALSE),"")</f>
        <v>1531394</v>
      </c>
      <c r="I1082" s="4" t="str">
        <f>IFERROR(VLOOKUP(B1082,infoTable__28[],4,FALSE),"")</f>
        <v/>
      </c>
      <c r="J1082" s="4" t="str">
        <f>IFERROR(VLOOKUP(B1082,infoTable__10[],4,FALSE),"")</f>
        <v/>
      </c>
      <c r="K1082" s="4">
        <f>IFERROR(VLOOKUP(B1082,infoTable__11[],4,FALSE),"")</f>
        <v>255593</v>
      </c>
      <c r="L1082" s="4" t="str">
        <f>IFERROR(VLOOKUP(B1082,infoTable__12[],4,FALSE),"")</f>
        <v/>
      </c>
      <c r="M1082" s="4" t="str">
        <f>IFERROR(VLOOKUP(B1082,infoTable__13[],4,FALSE),"")</f>
        <v/>
      </c>
      <c r="N1082" s="4" t="str">
        <f>IFERROR(VLOOKUP(B1082,infoTable__14[],4,FALSE),"")</f>
        <v/>
      </c>
      <c r="O1082" s="4">
        <f>IFERROR(VLOOKUP(B1082,infoTable__15[],4,FALSE),"")</f>
        <v>3213585</v>
      </c>
      <c r="P1082" s="4" t="str">
        <f>IFERROR(VLOOKUP(B1082,infoTable__16[],4,FALSE),"")</f>
        <v/>
      </c>
    </row>
    <row r="1083" spans="1:16" x14ac:dyDescent="0.55000000000000004">
      <c r="A1083" t="s">
        <v>3527</v>
      </c>
      <c r="B1083" s="6" t="s">
        <v>3528</v>
      </c>
      <c r="C1083" s="4" t="str">
        <f>IFERROR(VLOOKUP(B1083,infoTable10[],4,FALSE),"")</f>
        <v/>
      </c>
      <c r="D1083" s="4" t="str">
        <f>IFERROR(VLOOKUP(B1083,infoTable__2[],4,FALSE),"")</f>
        <v/>
      </c>
      <c r="E1083" s="4" t="str">
        <f>IFERROR(VLOOKUP(B1083,infoTable__3[],4,FALSE),"")</f>
        <v/>
      </c>
      <c r="F1083" s="4" t="str">
        <f>IFERROR(VLOOKUP(B1083,infoTable__4[],4,FALSE),"")</f>
        <v/>
      </c>
      <c r="G1083" s="4" t="str">
        <f>IFERROR(VLOOKUP(B1083,infoTable[],4,FALSE),"")</f>
        <v/>
      </c>
      <c r="H1083" s="4" t="str">
        <f>IFERROR(VLOOKUP(B1083,infoTable__6[],4,FALSE),"")</f>
        <v/>
      </c>
      <c r="I1083" s="4" t="str">
        <f>IFERROR(VLOOKUP(B1083,infoTable__28[],4,FALSE),"")</f>
        <v/>
      </c>
      <c r="J1083" s="4" t="str">
        <f>IFERROR(VLOOKUP(B1083,infoTable__10[],4,FALSE),"")</f>
        <v/>
      </c>
      <c r="K1083" s="4" t="str">
        <f>IFERROR(VLOOKUP(B1083,infoTable__11[],4,FALSE),"")</f>
        <v/>
      </c>
      <c r="L1083" s="4" t="str">
        <f>IFERROR(VLOOKUP(B1083,infoTable__12[],4,FALSE),"")</f>
        <v/>
      </c>
      <c r="M1083" s="4" t="str">
        <f>IFERROR(VLOOKUP(B1083,infoTable__13[],4,FALSE),"")</f>
        <v/>
      </c>
      <c r="N1083" s="4" t="str">
        <f>IFERROR(VLOOKUP(B1083,infoTable__14[],4,FALSE),"")</f>
        <v/>
      </c>
      <c r="O1083" s="4" t="str">
        <f>IFERROR(VLOOKUP(B1083,infoTable__15[],4,FALSE),"")</f>
        <v/>
      </c>
      <c r="P1083" s="4">
        <f>IFERROR(VLOOKUP(B1083,infoTable__16[],4,FALSE),"")</f>
        <v>690670</v>
      </c>
    </row>
    <row r="1084" spans="1:16" x14ac:dyDescent="0.55000000000000004">
      <c r="A1084" t="s">
        <v>2194</v>
      </c>
      <c r="B1084" s="6" t="s">
        <v>2195</v>
      </c>
      <c r="C1084" s="4" t="str">
        <f>IFERROR(VLOOKUP(B1084,infoTable10[],4,FALSE),"")</f>
        <v/>
      </c>
      <c r="D1084" s="4" t="str">
        <f>IFERROR(VLOOKUP(B1084,infoTable__2[],4,FALSE),"")</f>
        <v/>
      </c>
      <c r="E1084" s="4" t="str">
        <f>IFERROR(VLOOKUP(B1084,infoTable__3[],4,FALSE),"")</f>
        <v/>
      </c>
      <c r="F1084" s="4" t="str">
        <f>IFERROR(VLOOKUP(B1084,infoTable__4[],4,FALSE),"")</f>
        <v/>
      </c>
      <c r="G1084" s="4" t="str">
        <f>IFERROR(VLOOKUP(B1084,infoTable[],4,FALSE),"")</f>
        <v/>
      </c>
      <c r="H1084" s="4" t="str">
        <f>IFERROR(VLOOKUP(B1084,infoTable__6[],4,FALSE),"")</f>
        <v/>
      </c>
      <c r="I1084" s="4" t="str">
        <f>IFERROR(VLOOKUP(B1084,infoTable__28[],4,FALSE),"")</f>
        <v/>
      </c>
      <c r="J1084" s="4" t="str">
        <f>IFERROR(VLOOKUP(B1084,infoTable__10[],4,FALSE),"")</f>
        <v/>
      </c>
      <c r="K1084" s="4" t="str">
        <f>IFERROR(VLOOKUP(B1084,infoTable__11[],4,FALSE),"")</f>
        <v/>
      </c>
      <c r="L1084" s="4">
        <f>IFERROR(VLOOKUP(B1084,infoTable__12[],4,FALSE),"")</f>
        <v>116568</v>
      </c>
      <c r="M1084" s="4" t="str">
        <f>IFERROR(VLOOKUP(B1084,infoTable__13[],4,FALSE),"")</f>
        <v/>
      </c>
      <c r="N1084" s="4">
        <f>IFERROR(VLOOKUP(B1084,infoTable__14[],4,FALSE),"")</f>
        <v>60596</v>
      </c>
      <c r="O1084" s="4">
        <f>IFERROR(VLOOKUP(B1084,infoTable__15[],4,FALSE),"")</f>
        <v>407622</v>
      </c>
      <c r="P1084" s="4">
        <f>IFERROR(VLOOKUP(B1084,infoTable__16[],4,FALSE),"")</f>
        <v>577632</v>
      </c>
    </row>
    <row r="1085" spans="1:16" x14ac:dyDescent="0.55000000000000004">
      <c r="A1085" t="s">
        <v>1893</v>
      </c>
      <c r="B1085" s="6" t="s">
        <v>1894</v>
      </c>
      <c r="C1085" s="4" t="str">
        <f>IFERROR(VLOOKUP(B1085,infoTable10[],4,FALSE),"")</f>
        <v/>
      </c>
      <c r="D1085" s="4" t="str">
        <f>IFERROR(VLOOKUP(B1085,infoTable__2[],4,FALSE),"")</f>
        <v/>
      </c>
      <c r="E1085" s="4" t="str">
        <f>IFERROR(VLOOKUP(B1085,infoTable__3[],4,FALSE),"")</f>
        <v/>
      </c>
      <c r="F1085" s="4" t="str">
        <f>IFERROR(VLOOKUP(B1085,infoTable__4[],4,FALSE),"")</f>
        <v/>
      </c>
      <c r="G1085" s="4" t="str">
        <f>IFERROR(VLOOKUP(B1085,infoTable[],4,FALSE),"")</f>
        <v/>
      </c>
      <c r="H1085" s="4" t="str">
        <f>IFERROR(VLOOKUP(B1085,infoTable__6[],4,FALSE),"")</f>
        <v/>
      </c>
      <c r="I1085" s="4" t="str">
        <f>IFERROR(VLOOKUP(B1085,infoTable__28[],4,FALSE),"")</f>
        <v/>
      </c>
      <c r="J1085" s="4" t="str">
        <f>IFERROR(VLOOKUP(B1085,infoTable__10[],4,FALSE),"")</f>
        <v/>
      </c>
      <c r="K1085" s="4">
        <f>IFERROR(VLOOKUP(B1085,infoTable__11[],4,FALSE),"")</f>
        <v>1856020</v>
      </c>
      <c r="L1085" s="4">
        <f>IFERROR(VLOOKUP(B1085,infoTable__12[],4,FALSE),"")</f>
        <v>901741</v>
      </c>
      <c r="M1085" s="4" t="str">
        <f>IFERROR(VLOOKUP(B1085,infoTable__13[],4,FALSE),"")</f>
        <v/>
      </c>
      <c r="N1085" s="4" t="str">
        <f>IFERROR(VLOOKUP(B1085,infoTable__14[],4,FALSE),"")</f>
        <v/>
      </c>
      <c r="O1085" s="4" t="str">
        <f>IFERROR(VLOOKUP(B1085,infoTable__15[],4,FALSE),"")</f>
        <v/>
      </c>
      <c r="P1085" s="4" t="str">
        <f>IFERROR(VLOOKUP(B1085,infoTable__16[],4,FALSE),"")</f>
        <v/>
      </c>
    </row>
    <row r="1086" spans="1:16" x14ac:dyDescent="0.55000000000000004">
      <c r="A1086" t="s">
        <v>2198</v>
      </c>
      <c r="B1086" s="6" t="s">
        <v>2200</v>
      </c>
      <c r="C1086" s="4" t="str">
        <f>IFERROR(VLOOKUP(B1086,infoTable10[],4,FALSE),"")</f>
        <v/>
      </c>
      <c r="D1086" s="4" t="str">
        <f>IFERROR(VLOOKUP(B1086,infoTable__2[],4,FALSE),"")</f>
        <v/>
      </c>
      <c r="E1086" s="4" t="str">
        <f>IFERROR(VLOOKUP(B1086,infoTable__3[],4,FALSE),"")</f>
        <v/>
      </c>
      <c r="F1086" s="4" t="str">
        <f>IFERROR(VLOOKUP(B1086,infoTable__4[],4,FALSE),"")</f>
        <v/>
      </c>
      <c r="G1086" s="4" t="str">
        <f>IFERROR(VLOOKUP(B1086,infoTable[],4,FALSE),"")</f>
        <v/>
      </c>
      <c r="H1086" s="4" t="str">
        <f>IFERROR(VLOOKUP(B1086,infoTable__6[],4,FALSE),"")</f>
        <v/>
      </c>
      <c r="I1086" s="4" t="str">
        <f>IFERROR(VLOOKUP(B1086,infoTable__28[],4,FALSE),"")</f>
        <v/>
      </c>
      <c r="J1086" s="4" t="str">
        <f>IFERROR(VLOOKUP(B1086,infoTable__10[],4,FALSE),"")</f>
        <v/>
      </c>
      <c r="K1086" s="4" t="str">
        <f>IFERROR(VLOOKUP(B1086,infoTable__11[],4,FALSE),"")</f>
        <v/>
      </c>
      <c r="L1086" s="4">
        <f>IFERROR(VLOOKUP(B1086,infoTable__12[],4,FALSE),"")</f>
        <v>661693</v>
      </c>
      <c r="M1086" s="4">
        <f>IFERROR(VLOOKUP(B1086,infoTable__13[],4,FALSE),"")</f>
        <v>893432</v>
      </c>
      <c r="N1086" s="4">
        <f>IFERROR(VLOOKUP(B1086,infoTable__14[],4,FALSE),"")</f>
        <v>694423</v>
      </c>
      <c r="O1086" s="4" t="str">
        <f>IFERROR(VLOOKUP(B1086,infoTable__15[],4,FALSE),"")</f>
        <v/>
      </c>
      <c r="P1086" s="4" t="str">
        <f>IFERROR(VLOOKUP(B1086,infoTable__16[],4,FALSE),"")</f>
        <v/>
      </c>
    </row>
    <row r="1087" spans="1:16" x14ac:dyDescent="0.55000000000000004">
      <c r="A1087" t="s">
        <v>1589</v>
      </c>
      <c r="B1087" s="6" t="s">
        <v>1505</v>
      </c>
      <c r="C1087" s="4">
        <f>IFERROR(VLOOKUP(B1087,infoTable10[],4,FALSE),"")</f>
        <v>413286</v>
      </c>
      <c r="D1087" s="4" t="str">
        <f>IFERROR(VLOOKUP(B1087,infoTable__2[],4,FALSE),"")</f>
        <v/>
      </c>
      <c r="E1087" s="4" t="str">
        <f>IFERROR(VLOOKUP(B1087,infoTable__3[],4,FALSE),"")</f>
        <v/>
      </c>
      <c r="F1087" s="4" t="str">
        <f>IFERROR(VLOOKUP(B1087,infoTable__4[],4,FALSE),"")</f>
        <v/>
      </c>
      <c r="G1087" s="4" t="str">
        <f>IFERROR(VLOOKUP(B1087,infoTable[],4,FALSE),"")</f>
        <v/>
      </c>
      <c r="H1087" s="4" t="str">
        <f>IFERROR(VLOOKUP(B1087,infoTable__6[],4,FALSE),"")</f>
        <v/>
      </c>
      <c r="I1087" s="4" t="str">
        <f>IFERROR(VLOOKUP(B1087,infoTable__28[],4,FALSE),"")</f>
        <v/>
      </c>
      <c r="J1087" s="4" t="str">
        <f>IFERROR(VLOOKUP(B1087,infoTable__10[],4,FALSE),"")</f>
        <v/>
      </c>
      <c r="K1087" s="4" t="str">
        <f>IFERROR(VLOOKUP(B1087,infoTable__11[],4,FALSE),"")</f>
        <v/>
      </c>
      <c r="L1087" s="4" t="str">
        <f>IFERROR(VLOOKUP(B1087,infoTable__12[],4,FALSE),"")</f>
        <v/>
      </c>
      <c r="M1087" s="4" t="str">
        <f>IFERROR(VLOOKUP(B1087,infoTable__13[],4,FALSE),"")</f>
        <v/>
      </c>
      <c r="N1087" s="4" t="str">
        <f>IFERROR(VLOOKUP(B1087,infoTable__14[],4,FALSE),"")</f>
        <v/>
      </c>
      <c r="O1087" s="4">
        <f>IFERROR(VLOOKUP(B1087,infoTable__15[],4,FALSE),"")</f>
        <v>772648</v>
      </c>
      <c r="P1087" s="4">
        <f>IFERROR(VLOOKUP(B1087,infoTable__16[],4,FALSE),"")</f>
        <v>720914</v>
      </c>
    </row>
    <row r="1088" spans="1:16" x14ac:dyDescent="0.55000000000000004">
      <c r="A1088" t="s">
        <v>3375</v>
      </c>
      <c r="B1088" s="6" t="s">
        <v>3376</v>
      </c>
      <c r="C1088" s="4" t="str">
        <f>IFERROR(VLOOKUP(B1088,infoTable10[],4,FALSE),"")</f>
        <v/>
      </c>
      <c r="D1088" s="4" t="str">
        <f>IFERROR(VLOOKUP(B1088,infoTable__2[],4,FALSE),"")</f>
        <v/>
      </c>
      <c r="E1088" s="4" t="str">
        <f>IFERROR(VLOOKUP(B1088,infoTable__3[],4,FALSE),"")</f>
        <v/>
      </c>
      <c r="F1088" s="4" t="str">
        <f>IFERROR(VLOOKUP(B1088,infoTable__4[],4,FALSE),"")</f>
        <v/>
      </c>
      <c r="G1088" s="4" t="str">
        <f>IFERROR(VLOOKUP(B1088,infoTable[],4,FALSE),"")</f>
        <v/>
      </c>
      <c r="H1088" s="4" t="str">
        <f>IFERROR(VLOOKUP(B1088,infoTable__6[],4,FALSE),"")</f>
        <v/>
      </c>
      <c r="I1088" s="4" t="str">
        <f>IFERROR(VLOOKUP(B1088,infoTable__28[],4,FALSE),"")</f>
        <v/>
      </c>
      <c r="J1088" s="4" t="str">
        <f>IFERROR(VLOOKUP(B1088,infoTable__10[],4,FALSE),"")</f>
        <v/>
      </c>
      <c r="K1088" s="4" t="str">
        <f>IFERROR(VLOOKUP(B1088,infoTable__11[],4,FALSE),"")</f>
        <v/>
      </c>
      <c r="L1088" s="4" t="str">
        <f>IFERROR(VLOOKUP(B1088,infoTable__12[],4,FALSE),"")</f>
        <v/>
      </c>
      <c r="M1088" s="4" t="str">
        <f>IFERROR(VLOOKUP(B1088,infoTable__13[],4,FALSE),"")</f>
        <v/>
      </c>
      <c r="N1088" s="4" t="str">
        <f>IFERROR(VLOOKUP(B1088,infoTable__14[],4,FALSE),"")</f>
        <v/>
      </c>
      <c r="O1088" s="4" t="str">
        <f>IFERROR(VLOOKUP(B1088,infoTable__15[],4,FALSE),"")</f>
        <v/>
      </c>
      <c r="P1088" s="4">
        <f>IFERROR(VLOOKUP(B1088,infoTable__16[],4,FALSE),"")</f>
        <v>783560</v>
      </c>
    </row>
    <row r="1089" spans="1:16" x14ac:dyDescent="0.55000000000000004">
      <c r="A1089" t="s">
        <v>210</v>
      </c>
      <c r="B1089" s="6" t="s">
        <v>211</v>
      </c>
      <c r="C1089" s="4" t="str">
        <f>IFERROR(VLOOKUP(B1089,infoTable10[],4,FALSE),"")</f>
        <v/>
      </c>
      <c r="D1089" s="4">
        <f>IFERROR(VLOOKUP(B1089,infoTable__2[],4,FALSE),"")</f>
        <v>1174367</v>
      </c>
      <c r="E1089" s="4">
        <f>IFERROR(VLOOKUP(B1089,infoTable__3[],4,FALSE),"")</f>
        <v>506396</v>
      </c>
      <c r="F1089" s="4">
        <f>IFERROR(VLOOKUP(B1089,infoTable__4[],4,FALSE),"")</f>
        <v>1921656</v>
      </c>
      <c r="G1089" s="4">
        <f>IFERROR(VLOOKUP(B1089,infoTable[],4,FALSE),"")</f>
        <v>5090374</v>
      </c>
      <c r="H1089" s="4" t="str">
        <f>IFERROR(VLOOKUP(B1089,infoTable__6[],4,FALSE),"")</f>
        <v/>
      </c>
      <c r="I1089" s="4" t="str">
        <f>IFERROR(VLOOKUP(B1089,infoTable__28[],4,FALSE),"")</f>
        <v/>
      </c>
      <c r="J1089" s="4" t="str">
        <f>IFERROR(VLOOKUP(B1089,infoTable__10[],4,FALSE),"")</f>
        <v/>
      </c>
      <c r="K1089" s="4" t="str">
        <f>IFERROR(VLOOKUP(B1089,infoTable__11[],4,FALSE),"")</f>
        <v/>
      </c>
      <c r="L1089" s="4" t="str">
        <f>IFERROR(VLOOKUP(B1089,infoTable__12[],4,FALSE),"")</f>
        <v/>
      </c>
      <c r="M1089" s="4" t="str">
        <f>IFERROR(VLOOKUP(B1089,infoTable__13[],4,FALSE),"")</f>
        <v/>
      </c>
      <c r="N1089" s="4" t="str">
        <f>IFERROR(VLOOKUP(B1089,infoTable__14[],4,FALSE),"")</f>
        <v/>
      </c>
      <c r="O1089" s="4" t="str">
        <f>IFERROR(VLOOKUP(B1089,infoTable__15[],4,FALSE),"")</f>
        <v/>
      </c>
      <c r="P1089" s="4" t="str">
        <f>IFERROR(VLOOKUP(B1089,infoTable__16[],4,FALSE),"")</f>
        <v/>
      </c>
    </row>
    <row r="1090" spans="1:16" x14ac:dyDescent="0.55000000000000004">
      <c r="A1090" t="s">
        <v>580</v>
      </c>
      <c r="B1090" s="6" t="s">
        <v>581</v>
      </c>
      <c r="C1090" s="4" t="str">
        <f>IFERROR(VLOOKUP(B1090,infoTable10[],4,FALSE),"")</f>
        <v/>
      </c>
      <c r="D1090" s="4">
        <f>IFERROR(VLOOKUP(B1090,infoTable__2[],4,FALSE),"")</f>
        <v>288697</v>
      </c>
      <c r="E1090" s="4" t="str">
        <f>IFERROR(VLOOKUP(B1090,infoTable__3[],4,FALSE),"")</f>
        <v/>
      </c>
      <c r="F1090" s="4" t="str">
        <f>IFERROR(VLOOKUP(B1090,infoTable__4[],4,FALSE),"")</f>
        <v/>
      </c>
      <c r="G1090" s="4" t="str">
        <f>IFERROR(VLOOKUP(B1090,infoTable[],4,FALSE),"")</f>
        <v/>
      </c>
      <c r="H1090" s="4" t="str">
        <f>IFERROR(VLOOKUP(B1090,infoTable__6[],4,FALSE),"")</f>
        <v/>
      </c>
      <c r="I1090" s="4" t="str">
        <f>IFERROR(VLOOKUP(B1090,infoTable__28[],4,FALSE),"")</f>
        <v/>
      </c>
      <c r="J1090" s="4" t="str">
        <f>IFERROR(VLOOKUP(B1090,infoTable__10[],4,FALSE),"")</f>
        <v/>
      </c>
      <c r="K1090" s="4" t="str">
        <f>IFERROR(VLOOKUP(B1090,infoTable__11[],4,FALSE),"")</f>
        <v/>
      </c>
      <c r="L1090" s="4" t="str">
        <f>IFERROR(VLOOKUP(B1090,infoTable__12[],4,FALSE),"")</f>
        <v/>
      </c>
      <c r="M1090" s="4" t="str">
        <f>IFERROR(VLOOKUP(B1090,infoTable__13[],4,FALSE),"")</f>
        <v/>
      </c>
      <c r="N1090" s="4" t="str">
        <f>IFERROR(VLOOKUP(B1090,infoTable__14[],4,FALSE),"")</f>
        <v/>
      </c>
      <c r="O1090" s="4" t="str">
        <f>IFERROR(VLOOKUP(B1090,infoTable__15[],4,FALSE),"")</f>
        <v/>
      </c>
      <c r="P1090" s="4" t="str">
        <f>IFERROR(VLOOKUP(B1090,infoTable__16[],4,FALSE),"")</f>
        <v/>
      </c>
    </row>
    <row r="1091" spans="1:16" x14ac:dyDescent="0.55000000000000004">
      <c r="A1091" t="s">
        <v>2484</v>
      </c>
      <c r="B1091" s="6" t="s">
        <v>2485</v>
      </c>
      <c r="C1091" s="4" t="str">
        <f>IFERROR(VLOOKUP(B1091,infoTable10[],4,FALSE),"")</f>
        <v/>
      </c>
      <c r="D1091" s="4" t="str">
        <f>IFERROR(VLOOKUP(B1091,infoTable__2[],4,FALSE),"")</f>
        <v/>
      </c>
      <c r="E1091" s="4" t="str">
        <f>IFERROR(VLOOKUP(B1091,infoTable__3[],4,FALSE),"")</f>
        <v/>
      </c>
      <c r="F1091" s="4" t="str">
        <f>IFERROR(VLOOKUP(B1091,infoTable__4[],4,FALSE),"")</f>
        <v/>
      </c>
      <c r="G1091" s="4" t="str">
        <f>IFERROR(VLOOKUP(B1091,infoTable[],4,FALSE),"")</f>
        <v/>
      </c>
      <c r="H1091" s="4" t="str">
        <f>IFERROR(VLOOKUP(B1091,infoTable__6[],4,FALSE),"")</f>
        <v/>
      </c>
      <c r="I1091" s="4" t="str">
        <f>IFERROR(VLOOKUP(B1091,infoTable__28[],4,FALSE),"")</f>
        <v/>
      </c>
      <c r="J1091" s="4" t="str">
        <f>IFERROR(VLOOKUP(B1091,infoTable__10[],4,FALSE),"")</f>
        <v/>
      </c>
      <c r="K1091" s="4" t="str">
        <f>IFERROR(VLOOKUP(B1091,infoTable__11[],4,FALSE),"")</f>
        <v/>
      </c>
      <c r="L1091" s="4" t="str">
        <f>IFERROR(VLOOKUP(B1091,infoTable__12[],4,FALSE),"")</f>
        <v/>
      </c>
      <c r="M1091" s="4">
        <f>IFERROR(VLOOKUP(B1091,infoTable__13[],4,FALSE),"")</f>
        <v>963462</v>
      </c>
      <c r="N1091" s="4">
        <f>IFERROR(VLOOKUP(B1091,infoTable__14[],4,FALSE),"")</f>
        <v>140897</v>
      </c>
      <c r="O1091" s="4" t="str">
        <f>IFERROR(VLOOKUP(B1091,infoTable__15[],4,FALSE),"")</f>
        <v/>
      </c>
      <c r="P1091" s="4" t="str">
        <f>IFERROR(VLOOKUP(B1091,infoTable__16[],4,FALSE),"")</f>
        <v/>
      </c>
    </row>
    <row r="1092" spans="1:16" x14ac:dyDescent="0.55000000000000004">
      <c r="A1092" t="s">
        <v>848</v>
      </c>
      <c r="B1092" s="6" t="s">
        <v>849</v>
      </c>
      <c r="C1092" s="4" t="str">
        <f>IFERROR(VLOOKUP(B1092,infoTable10[],4,FALSE),"")</f>
        <v/>
      </c>
      <c r="D1092" s="4" t="str">
        <f>IFERROR(VLOOKUP(B1092,infoTable__2[],4,FALSE),"")</f>
        <v/>
      </c>
      <c r="E1092" s="4" t="str">
        <f>IFERROR(VLOOKUP(B1092,infoTable__3[],4,FALSE),"")</f>
        <v/>
      </c>
      <c r="F1092" s="4">
        <f>IFERROR(VLOOKUP(B1092,infoTable__4[],4,FALSE),"")</f>
        <v>77077</v>
      </c>
      <c r="G1092" s="4" t="str">
        <f>IFERROR(VLOOKUP(B1092,infoTable[],4,FALSE),"")</f>
        <v/>
      </c>
      <c r="H1092" s="4" t="str">
        <f>IFERROR(VLOOKUP(B1092,infoTable__6[],4,FALSE),"")</f>
        <v/>
      </c>
      <c r="I1092" s="4" t="str">
        <f>IFERROR(VLOOKUP(B1092,infoTable__28[],4,FALSE),"")</f>
        <v/>
      </c>
      <c r="J1092" s="4" t="str">
        <f>IFERROR(VLOOKUP(B1092,infoTable__10[],4,FALSE),"")</f>
        <v/>
      </c>
      <c r="K1092" s="4">
        <f>IFERROR(VLOOKUP(B1092,infoTable__11[],4,FALSE),"")</f>
        <v>196454</v>
      </c>
      <c r="L1092" s="4" t="str">
        <f>IFERROR(VLOOKUP(B1092,infoTable__12[],4,FALSE),"")</f>
        <v/>
      </c>
      <c r="M1092" s="4" t="str">
        <f>IFERROR(VLOOKUP(B1092,infoTable__13[],4,FALSE),"")</f>
        <v/>
      </c>
      <c r="N1092" s="4" t="str">
        <f>IFERROR(VLOOKUP(B1092,infoTable__14[],4,FALSE),"")</f>
        <v/>
      </c>
      <c r="O1092" s="4" t="str">
        <f>IFERROR(VLOOKUP(B1092,infoTable__15[],4,FALSE),"")</f>
        <v/>
      </c>
      <c r="P1092" s="4" t="str">
        <f>IFERROR(VLOOKUP(B1092,infoTable__16[],4,FALSE),"")</f>
        <v/>
      </c>
    </row>
    <row r="1093" spans="1:16" x14ac:dyDescent="0.55000000000000004">
      <c r="A1093" t="s">
        <v>2205</v>
      </c>
      <c r="B1093" s="6" t="s">
        <v>2206</v>
      </c>
      <c r="C1093" s="4" t="str">
        <f>IFERROR(VLOOKUP(B1093,infoTable10[],4,FALSE),"")</f>
        <v/>
      </c>
      <c r="D1093" s="4" t="str">
        <f>IFERROR(VLOOKUP(B1093,infoTable__2[],4,FALSE),"")</f>
        <v/>
      </c>
      <c r="E1093" s="4" t="str">
        <f>IFERROR(VLOOKUP(B1093,infoTable__3[],4,FALSE),"")</f>
        <v/>
      </c>
      <c r="F1093" s="4" t="str">
        <f>IFERROR(VLOOKUP(B1093,infoTable__4[],4,FALSE),"")</f>
        <v/>
      </c>
      <c r="G1093" s="4" t="str">
        <f>IFERROR(VLOOKUP(B1093,infoTable[],4,FALSE),"")</f>
        <v/>
      </c>
      <c r="H1093" s="4" t="str">
        <f>IFERROR(VLOOKUP(B1093,infoTable__6[],4,FALSE),"")</f>
        <v/>
      </c>
      <c r="I1093" s="4" t="str">
        <f>IFERROR(VLOOKUP(B1093,infoTable__28[],4,FALSE),"")</f>
        <v/>
      </c>
      <c r="J1093" s="4" t="str">
        <f>IFERROR(VLOOKUP(B1093,infoTable__10[],4,FALSE),"")</f>
        <v/>
      </c>
      <c r="K1093" s="4" t="str">
        <f>IFERROR(VLOOKUP(B1093,infoTable__11[],4,FALSE),"")</f>
        <v/>
      </c>
      <c r="L1093" s="4">
        <f>IFERROR(VLOOKUP(B1093,infoTable__12[],4,FALSE),"")</f>
        <v>390453</v>
      </c>
      <c r="M1093" s="4">
        <f>IFERROR(VLOOKUP(B1093,infoTable__13[],4,FALSE),"")</f>
        <v>3401376</v>
      </c>
      <c r="N1093" s="4">
        <f>IFERROR(VLOOKUP(B1093,infoTable__14[],4,FALSE),"")</f>
        <v>2530928</v>
      </c>
      <c r="O1093" s="4">
        <f>IFERROR(VLOOKUP(B1093,infoTable__15[],4,FALSE),"")</f>
        <v>517627</v>
      </c>
      <c r="P1093" s="4">
        <f>IFERROR(VLOOKUP(B1093,infoTable__16[],4,FALSE),"")</f>
        <v>1549398</v>
      </c>
    </row>
    <row r="1094" spans="1:16" x14ac:dyDescent="0.55000000000000004">
      <c r="A1094" t="s">
        <v>1022</v>
      </c>
      <c r="B1094" s="6" t="s">
        <v>1023</v>
      </c>
      <c r="C1094" s="4" t="str">
        <f>IFERROR(VLOOKUP(B1094,infoTable10[],4,FALSE),"")</f>
        <v/>
      </c>
      <c r="D1094" s="4" t="str">
        <f>IFERROR(VLOOKUP(B1094,infoTable__2[],4,FALSE),"")</f>
        <v/>
      </c>
      <c r="E1094" s="4" t="str">
        <f>IFERROR(VLOOKUP(B1094,infoTable__3[],4,FALSE),"")</f>
        <v/>
      </c>
      <c r="F1094" s="4" t="str">
        <f>IFERROR(VLOOKUP(B1094,infoTable__4[],4,FALSE),"")</f>
        <v/>
      </c>
      <c r="G1094" s="4" t="str">
        <f>IFERROR(VLOOKUP(B1094,infoTable[],4,FALSE),"")</f>
        <v/>
      </c>
      <c r="H1094" s="4">
        <f>IFERROR(VLOOKUP(B1094,infoTable__6[],4,FALSE),"")</f>
        <v>464157</v>
      </c>
      <c r="I1094" s="4">
        <f>IFERROR(VLOOKUP(B1094,infoTable__28[],4,FALSE),"")</f>
        <v>522303</v>
      </c>
      <c r="J1094" s="4">
        <f>IFERROR(VLOOKUP(B1094,infoTable__10[],4,FALSE),"")</f>
        <v>284599</v>
      </c>
      <c r="K1094" s="4" t="str">
        <f>IFERROR(VLOOKUP(B1094,infoTable__11[],4,FALSE),"")</f>
        <v/>
      </c>
      <c r="L1094" s="4" t="str">
        <f>IFERROR(VLOOKUP(B1094,infoTable__12[],4,FALSE),"")</f>
        <v/>
      </c>
      <c r="M1094" s="4" t="str">
        <f>IFERROR(VLOOKUP(B1094,infoTable__13[],4,FALSE),"")</f>
        <v/>
      </c>
      <c r="N1094" s="4" t="str">
        <f>IFERROR(VLOOKUP(B1094,infoTable__14[],4,FALSE),"")</f>
        <v/>
      </c>
      <c r="O1094" s="4">
        <f>IFERROR(VLOOKUP(B1094,infoTable__15[],4,FALSE),"")</f>
        <v>2108709</v>
      </c>
      <c r="P1094" s="4">
        <f>IFERROR(VLOOKUP(B1094,infoTable__16[],4,FALSE),"")</f>
        <v>2556840</v>
      </c>
    </row>
    <row r="1095" spans="1:16" x14ac:dyDescent="0.55000000000000004">
      <c r="A1095" t="s">
        <v>1901</v>
      </c>
      <c r="B1095" s="6" t="s">
        <v>1902</v>
      </c>
      <c r="C1095" s="4" t="str">
        <f>IFERROR(VLOOKUP(B1095,infoTable10[],4,FALSE),"")</f>
        <v/>
      </c>
      <c r="D1095" s="4" t="str">
        <f>IFERROR(VLOOKUP(B1095,infoTable__2[],4,FALSE),"")</f>
        <v/>
      </c>
      <c r="E1095" s="4" t="str">
        <f>IFERROR(VLOOKUP(B1095,infoTable__3[],4,FALSE),"")</f>
        <v/>
      </c>
      <c r="F1095" s="4" t="str">
        <f>IFERROR(VLOOKUP(B1095,infoTable__4[],4,FALSE),"")</f>
        <v/>
      </c>
      <c r="G1095" s="4" t="str">
        <f>IFERROR(VLOOKUP(B1095,infoTable[],4,FALSE),"")</f>
        <v/>
      </c>
      <c r="H1095" s="4" t="str">
        <f>IFERROR(VLOOKUP(B1095,infoTable__6[],4,FALSE),"")</f>
        <v/>
      </c>
      <c r="I1095" s="4" t="str">
        <f>IFERROR(VLOOKUP(B1095,infoTable__28[],4,FALSE),"")</f>
        <v/>
      </c>
      <c r="J1095" s="4" t="str">
        <f>IFERROR(VLOOKUP(B1095,infoTable__10[],4,FALSE),"")</f>
        <v/>
      </c>
      <c r="K1095" s="4">
        <f>IFERROR(VLOOKUP(B1095,infoTable__11[],4,FALSE),"")</f>
        <v>1470710</v>
      </c>
      <c r="L1095" s="4">
        <f>IFERROR(VLOOKUP(B1095,infoTable__12[],4,FALSE),"")</f>
        <v>5265353</v>
      </c>
      <c r="M1095" s="4">
        <f>IFERROR(VLOOKUP(B1095,infoTable__13[],4,FALSE),"")</f>
        <v>2472126</v>
      </c>
      <c r="N1095" s="4">
        <f>IFERROR(VLOOKUP(B1095,infoTable__14[],4,FALSE),"")</f>
        <v>169322</v>
      </c>
      <c r="O1095" s="4" t="str">
        <f>IFERROR(VLOOKUP(B1095,infoTable__15[],4,FALSE),"")</f>
        <v/>
      </c>
      <c r="P1095" s="4" t="str">
        <f>IFERROR(VLOOKUP(B1095,infoTable__16[],4,FALSE),"")</f>
        <v/>
      </c>
    </row>
    <row r="1096" spans="1:16" x14ac:dyDescent="0.55000000000000004">
      <c r="A1096" t="s">
        <v>1268</v>
      </c>
      <c r="B1096" s="6" t="s">
        <v>1270</v>
      </c>
      <c r="C1096" s="4" t="str">
        <f>IFERROR(VLOOKUP(B1096,infoTable10[],4,FALSE),"")</f>
        <v/>
      </c>
      <c r="D1096" s="4" t="str">
        <f>IFERROR(VLOOKUP(B1096,infoTable__2[],4,FALSE),"")</f>
        <v/>
      </c>
      <c r="E1096" s="4" t="str">
        <f>IFERROR(VLOOKUP(B1096,infoTable__3[],4,FALSE),"")</f>
        <v/>
      </c>
      <c r="F1096" s="4" t="str">
        <f>IFERROR(VLOOKUP(B1096,infoTable__4[],4,FALSE),"")</f>
        <v/>
      </c>
      <c r="G1096" s="4" t="str">
        <f>IFERROR(VLOOKUP(B1096,infoTable[],4,FALSE),"")</f>
        <v/>
      </c>
      <c r="H1096" s="4" t="str">
        <f>IFERROR(VLOOKUP(B1096,infoTable__6[],4,FALSE),"")</f>
        <v/>
      </c>
      <c r="I1096" s="4">
        <f>IFERROR(VLOOKUP(B1096,infoTable__28[],4,FALSE),"")</f>
        <v>84091</v>
      </c>
      <c r="J1096" s="4" t="str">
        <f>IFERROR(VLOOKUP(B1096,infoTable__10[],4,FALSE),"")</f>
        <v/>
      </c>
      <c r="K1096" s="4" t="str">
        <f>IFERROR(VLOOKUP(B1096,infoTable__11[],4,FALSE),"")</f>
        <v/>
      </c>
      <c r="L1096" s="4" t="str">
        <f>IFERROR(VLOOKUP(B1096,infoTable__12[],4,FALSE),"")</f>
        <v/>
      </c>
      <c r="M1096" s="4" t="str">
        <f>IFERROR(VLOOKUP(B1096,infoTable__13[],4,FALSE),"")</f>
        <v/>
      </c>
      <c r="N1096" s="4" t="str">
        <f>IFERROR(VLOOKUP(B1096,infoTable__14[],4,FALSE),"")</f>
        <v/>
      </c>
      <c r="O1096" s="4" t="str">
        <f>IFERROR(VLOOKUP(B1096,infoTable__15[],4,FALSE),"")</f>
        <v/>
      </c>
      <c r="P1096" s="4" t="str">
        <f>IFERROR(VLOOKUP(B1096,infoTable__16[],4,FALSE),"")</f>
        <v/>
      </c>
    </row>
    <row r="1097" spans="1:16" x14ac:dyDescent="0.55000000000000004">
      <c r="A1097" t="s">
        <v>1268</v>
      </c>
      <c r="B1097" s="6" t="s">
        <v>2833</v>
      </c>
      <c r="C1097" s="4" t="str">
        <f>IFERROR(VLOOKUP(B1097,infoTable10[],4,FALSE),"")</f>
        <v/>
      </c>
      <c r="D1097" s="4" t="str">
        <f>IFERROR(VLOOKUP(B1097,infoTable__2[],4,FALSE),"")</f>
        <v/>
      </c>
      <c r="E1097" s="4" t="str">
        <f>IFERROR(VLOOKUP(B1097,infoTable__3[],4,FALSE),"")</f>
        <v/>
      </c>
      <c r="F1097" s="4" t="str">
        <f>IFERROR(VLOOKUP(B1097,infoTable__4[],4,FALSE),"")</f>
        <v/>
      </c>
      <c r="G1097" s="4" t="str">
        <f>IFERROR(VLOOKUP(B1097,infoTable[],4,FALSE),"")</f>
        <v/>
      </c>
      <c r="H1097" s="4" t="str">
        <f>IFERROR(VLOOKUP(B1097,infoTable__6[],4,FALSE),"")</f>
        <v/>
      </c>
      <c r="I1097" s="4" t="str">
        <f>IFERROR(VLOOKUP(B1097,infoTable__28[],4,FALSE),"")</f>
        <v/>
      </c>
      <c r="J1097" s="4" t="str">
        <f>IFERROR(VLOOKUP(B1097,infoTable__10[],4,FALSE),"")</f>
        <v/>
      </c>
      <c r="K1097" s="4" t="str">
        <f>IFERROR(VLOOKUP(B1097,infoTable__11[],4,FALSE),"")</f>
        <v/>
      </c>
      <c r="L1097" s="4" t="str">
        <f>IFERROR(VLOOKUP(B1097,infoTable__12[],4,FALSE),"")</f>
        <v/>
      </c>
      <c r="M1097" s="4" t="str">
        <f>IFERROR(VLOOKUP(B1097,infoTable__13[],4,FALSE),"")</f>
        <v/>
      </c>
      <c r="N1097" s="4">
        <f>IFERROR(VLOOKUP(B1097,infoTable__14[],4,FALSE),"")</f>
        <v>192514</v>
      </c>
      <c r="O1097" s="4">
        <f>IFERROR(VLOOKUP(B1097,infoTable__15[],4,FALSE),"")</f>
        <v>212944</v>
      </c>
      <c r="P1097" s="4">
        <f>IFERROR(VLOOKUP(B1097,infoTable__16[],4,FALSE),"")</f>
        <v>1076857</v>
      </c>
    </row>
    <row r="1098" spans="1:16" x14ac:dyDescent="0.55000000000000004">
      <c r="A1098" t="s">
        <v>850</v>
      </c>
      <c r="B1098" s="6" t="s">
        <v>851</v>
      </c>
      <c r="C1098" s="4" t="str">
        <f>IFERROR(VLOOKUP(B1098,infoTable10[],4,FALSE),"")</f>
        <v/>
      </c>
      <c r="D1098" s="4" t="str">
        <f>IFERROR(VLOOKUP(B1098,infoTable__2[],4,FALSE),"")</f>
        <v/>
      </c>
      <c r="E1098" s="4" t="str">
        <f>IFERROR(VLOOKUP(B1098,infoTable__3[],4,FALSE),"")</f>
        <v/>
      </c>
      <c r="F1098" s="4">
        <f>IFERROR(VLOOKUP(B1098,infoTable__4[],4,FALSE),"")</f>
        <v>664644</v>
      </c>
      <c r="G1098" s="4" t="str">
        <f>IFERROR(VLOOKUP(B1098,infoTable[],4,FALSE),"")</f>
        <v/>
      </c>
      <c r="H1098" s="4">
        <f>IFERROR(VLOOKUP(B1098,infoTable__6[],4,FALSE),"")</f>
        <v>547100</v>
      </c>
      <c r="I1098" s="4">
        <f>IFERROR(VLOOKUP(B1098,infoTable__28[],4,FALSE),"")</f>
        <v>2153224</v>
      </c>
      <c r="J1098" s="4">
        <f>IFERROR(VLOOKUP(B1098,infoTable__10[],4,FALSE),"")</f>
        <v>552560</v>
      </c>
      <c r="K1098" s="4" t="str">
        <f>IFERROR(VLOOKUP(B1098,infoTable__11[],4,FALSE),"")</f>
        <v/>
      </c>
      <c r="L1098" s="4" t="str">
        <f>IFERROR(VLOOKUP(B1098,infoTable__12[],4,FALSE),"")</f>
        <v/>
      </c>
      <c r="M1098" s="4" t="str">
        <f>IFERROR(VLOOKUP(B1098,infoTable__13[],4,FALSE),"")</f>
        <v/>
      </c>
      <c r="N1098" s="4" t="str">
        <f>IFERROR(VLOOKUP(B1098,infoTable__14[],4,FALSE),"")</f>
        <v/>
      </c>
      <c r="O1098" s="4" t="str">
        <f>IFERROR(VLOOKUP(B1098,infoTable__15[],4,FALSE),"")</f>
        <v/>
      </c>
      <c r="P1098" s="4" t="str">
        <f>IFERROR(VLOOKUP(B1098,infoTable__16[],4,FALSE),"")</f>
        <v/>
      </c>
    </row>
    <row r="1099" spans="1:16" x14ac:dyDescent="0.55000000000000004">
      <c r="A1099" t="s">
        <v>2486</v>
      </c>
      <c r="B1099" s="6" t="s">
        <v>2487</v>
      </c>
      <c r="C1099" s="4" t="str">
        <f>IFERROR(VLOOKUP(B1099,infoTable10[],4,FALSE),"")</f>
        <v/>
      </c>
      <c r="D1099" s="4" t="str">
        <f>IFERROR(VLOOKUP(B1099,infoTable__2[],4,FALSE),"")</f>
        <v/>
      </c>
      <c r="E1099" s="4" t="str">
        <f>IFERROR(VLOOKUP(B1099,infoTable__3[],4,FALSE),"")</f>
        <v/>
      </c>
      <c r="F1099" s="4" t="str">
        <f>IFERROR(VLOOKUP(B1099,infoTable__4[],4,FALSE),"")</f>
        <v/>
      </c>
      <c r="G1099" s="4" t="str">
        <f>IFERROR(VLOOKUP(B1099,infoTable[],4,FALSE),"")</f>
        <v/>
      </c>
      <c r="H1099" s="4" t="str">
        <f>IFERROR(VLOOKUP(B1099,infoTable__6[],4,FALSE),"")</f>
        <v/>
      </c>
      <c r="I1099" s="4" t="str">
        <f>IFERROR(VLOOKUP(B1099,infoTable__28[],4,FALSE),"")</f>
        <v/>
      </c>
      <c r="J1099" s="4" t="str">
        <f>IFERROR(VLOOKUP(B1099,infoTable__10[],4,FALSE),"")</f>
        <v/>
      </c>
      <c r="K1099" s="4" t="str">
        <f>IFERROR(VLOOKUP(B1099,infoTable__11[],4,FALSE),"")</f>
        <v/>
      </c>
      <c r="L1099" s="4" t="str">
        <f>IFERROR(VLOOKUP(B1099,infoTable__12[],4,FALSE),"")</f>
        <v/>
      </c>
      <c r="M1099" s="4">
        <f>IFERROR(VLOOKUP(B1099,infoTable__13[],4,FALSE),"")</f>
        <v>381258</v>
      </c>
      <c r="N1099" s="4" t="str">
        <f>IFERROR(VLOOKUP(B1099,infoTable__14[],4,FALSE),"")</f>
        <v/>
      </c>
      <c r="O1099" s="4">
        <f>IFERROR(VLOOKUP(B1099,infoTable__15[],4,FALSE),"")</f>
        <v>2848053</v>
      </c>
      <c r="P1099" s="4">
        <f>IFERROR(VLOOKUP(B1099,infoTable__16[],4,FALSE),"")</f>
        <v>1748026</v>
      </c>
    </row>
    <row r="1100" spans="1:16" x14ac:dyDescent="0.55000000000000004">
      <c r="A1100" t="s">
        <v>2214</v>
      </c>
      <c r="B1100" s="6" t="s">
        <v>2215</v>
      </c>
      <c r="C1100" s="4" t="str">
        <f>IFERROR(VLOOKUP(B1100,infoTable10[],4,FALSE),"")</f>
        <v/>
      </c>
      <c r="D1100" s="4" t="str">
        <f>IFERROR(VLOOKUP(B1100,infoTable__2[],4,FALSE),"")</f>
        <v/>
      </c>
      <c r="E1100" s="4" t="str">
        <f>IFERROR(VLOOKUP(B1100,infoTable__3[],4,FALSE),"")</f>
        <v/>
      </c>
      <c r="F1100" s="4" t="str">
        <f>IFERROR(VLOOKUP(B1100,infoTable__4[],4,FALSE),"")</f>
        <v/>
      </c>
      <c r="G1100" s="4" t="str">
        <f>IFERROR(VLOOKUP(B1100,infoTable[],4,FALSE),"")</f>
        <v/>
      </c>
      <c r="H1100" s="4" t="str">
        <f>IFERROR(VLOOKUP(B1100,infoTable__6[],4,FALSE),"")</f>
        <v/>
      </c>
      <c r="I1100" s="4" t="str">
        <f>IFERROR(VLOOKUP(B1100,infoTable__28[],4,FALSE),"")</f>
        <v/>
      </c>
      <c r="J1100" s="4" t="str">
        <f>IFERROR(VLOOKUP(B1100,infoTable__10[],4,FALSE),"")</f>
        <v/>
      </c>
      <c r="K1100" s="4" t="str">
        <f>IFERROR(VLOOKUP(B1100,infoTable__11[],4,FALSE),"")</f>
        <v/>
      </c>
      <c r="L1100" s="4">
        <f>IFERROR(VLOOKUP(B1100,infoTable__12[],4,FALSE),"")</f>
        <v>561401</v>
      </c>
      <c r="M1100" s="4" t="str">
        <f>IFERROR(VLOOKUP(B1100,infoTable__13[],4,FALSE),"")</f>
        <v/>
      </c>
      <c r="N1100" s="4" t="str">
        <f>IFERROR(VLOOKUP(B1100,infoTable__14[],4,FALSE),"")</f>
        <v/>
      </c>
      <c r="O1100" s="4" t="str">
        <f>IFERROR(VLOOKUP(B1100,infoTable__15[],4,FALSE),"")</f>
        <v/>
      </c>
      <c r="P1100" s="4" t="str">
        <f>IFERROR(VLOOKUP(B1100,infoTable__16[],4,FALSE),"")</f>
        <v/>
      </c>
    </row>
    <row r="1101" spans="1:16" x14ac:dyDescent="0.55000000000000004">
      <c r="A1101" t="s">
        <v>1279</v>
      </c>
      <c r="B1101" s="6" t="s">
        <v>1280</v>
      </c>
      <c r="C1101" s="4" t="str">
        <f>IFERROR(VLOOKUP(B1101,infoTable10[],4,FALSE),"")</f>
        <v/>
      </c>
      <c r="D1101" s="4" t="str">
        <f>IFERROR(VLOOKUP(B1101,infoTable__2[],4,FALSE),"")</f>
        <v/>
      </c>
      <c r="E1101" s="4" t="str">
        <f>IFERROR(VLOOKUP(B1101,infoTable__3[],4,FALSE),"")</f>
        <v/>
      </c>
      <c r="F1101" s="4" t="str">
        <f>IFERROR(VLOOKUP(B1101,infoTable__4[],4,FALSE),"")</f>
        <v/>
      </c>
      <c r="G1101" s="4" t="str">
        <f>IFERROR(VLOOKUP(B1101,infoTable[],4,FALSE),"")</f>
        <v/>
      </c>
      <c r="H1101" s="4" t="str">
        <f>IFERROR(VLOOKUP(B1101,infoTable__6[],4,FALSE),"")</f>
        <v/>
      </c>
      <c r="I1101" s="4">
        <f>IFERROR(VLOOKUP(B1101,infoTable__28[],4,FALSE),"")</f>
        <v>424627</v>
      </c>
      <c r="J1101" s="4">
        <f>IFERROR(VLOOKUP(B1101,infoTable__10[],4,FALSE),"")</f>
        <v>315604</v>
      </c>
      <c r="K1101" s="4">
        <f>IFERROR(VLOOKUP(B1101,infoTable__11[],4,FALSE),"")</f>
        <v>943820</v>
      </c>
      <c r="L1101" s="4">
        <f>IFERROR(VLOOKUP(B1101,infoTable__12[],4,FALSE),"")</f>
        <v>291632</v>
      </c>
      <c r="M1101" s="4">
        <f>IFERROR(VLOOKUP(B1101,infoTable__13[],4,FALSE),"")</f>
        <v>1175310</v>
      </c>
      <c r="N1101" s="4">
        <f>IFERROR(VLOOKUP(B1101,infoTable__14[],4,FALSE),"")</f>
        <v>243028</v>
      </c>
      <c r="O1101" s="4" t="str">
        <f>IFERROR(VLOOKUP(B1101,infoTable__15[],4,FALSE),"")</f>
        <v/>
      </c>
      <c r="P1101" s="4">
        <f>IFERROR(VLOOKUP(B1101,infoTable__16[],4,FALSE),"")</f>
        <v>468217</v>
      </c>
    </row>
    <row r="1102" spans="1:16" x14ac:dyDescent="0.55000000000000004">
      <c r="A1102" t="s">
        <v>1909</v>
      </c>
      <c r="B1102" s="6" t="s">
        <v>1910</v>
      </c>
      <c r="C1102" s="4" t="str">
        <f>IFERROR(VLOOKUP(B1102,infoTable10[],4,FALSE),"")</f>
        <v/>
      </c>
      <c r="D1102" s="4" t="str">
        <f>IFERROR(VLOOKUP(B1102,infoTable__2[],4,FALSE),"")</f>
        <v/>
      </c>
      <c r="E1102" s="4" t="str">
        <f>IFERROR(VLOOKUP(B1102,infoTable__3[],4,FALSE),"")</f>
        <v/>
      </c>
      <c r="F1102" s="4" t="str">
        <f>IFERROR(VLOOKUP(B1102,infoTable__4[],4,FALSE),"")</f>
        <v/>
      </c>
      <c r="G1102" s="4" t="str">
        <f>IFERROR(VLOOKUP(B1102,infoTable[],4,FALSE),"")</f>
        <v/>
      </c>
      <c r="H1102" s="4" t="str">
        <f>IFERROR(VLOOKUP(B1102,infoTable__6[],4,FALSE),"")</f>
        <v/>
      </c>
      <c r="I1102" s="4" t="str">
        <f>IFERROR(VLOOKUP(B1102,infoTable__28[],4,FALSE),"")</f>
        <v/>
      </c>
      <c r="J1102" s="4" t="str">
        <f>IFERROR(VLOOKUP(B1102,infoTable__10[],4,FALSE),"")</f>
        <v/>
      </c>
      <c r="K1102" s="4">
        <f>IFERROR(VLOOKUP(B1102,infoTable__11[],4,FALSE),"")</f>
        <v>259397</v>
      </c>
      <c r="L1102" s="4" t="str">
        <f>IFERROR(VLOOKUP(B1102,infoTable__12[],4,FALSE),"")</f>
        <v/>
      </c>
      <c r="M1102" s="4" t="str">
        <f>IFERROR(VLOOKUP(B1102,infoTable__13[],4,FALSE),"")</f>
        <v/>
      </c>
      <c r="N1102" s="4" t="str">
        <f>IFERROR(VLOOKUP(B1102,infoTable__14[],4,FALSE),"")</f>
        <v/>
      </c>
      <c r="O1102" s="4" t="str">
        <f>IFERROR(VLOOKUP(B1102,infoTable__15[],4,FALSE),"")</f>
        <v/>
      </c>
      <c r="P1102" s="4">
        <f>IFERROR(VLOOKUP(B1102,infoTable__16[],4,FALSE),"")</f>
        <v>3484633</v>
      </c>
    </row>
    <row r="1103" spans="1:16" x14ac:dyDescent="0.55000000000000004">
      <c r="A1103" t="s">
        <v>2216</v>
      </c>
      <c r="B1103" s="6" t="s">
        <v>2217</v>
      </c>
      <c r="C1103" s="4" t="str">
        <f>IFERROR(VLOOKUP(B1103,infoTable10[],4,FALSE),"")</f>
        <v/>
      </c>
      <c r="D1103" s="4" t="str">
        <f>IFERROR(VLOOKUP(B1103,infoTable__2[],4,FALSE),"")</f>
        <v/>
      </c>
      <c r="E1103" s="4" t="str">
        <f>IFERROR(VLOOKUP(B1103,infoTable__3[],4,FALSE),"")</f>
        <v/>
      </c>
      <c r="F1103" s="4" t="str">
        <f>IFERROR(VLOOKUP(B1103,infoTable__4[],4,FALSE),"")</f>
        <v/>
      </c>
      <c r="G1103" s="4" t="str">
        <f>IFERROR(VLOOKUP(B1103,infoTable[],4,FALSE),"")</f>
        <v/>
      </c>
      <c r="H1103" s="4" t="str">
        <f>IFERROR(VLOOKUP(B1103,infoTable__6[],4,FALSE),"")</f>
        <v/>
      </c>
      <c r="I1103" s="4" t="str">
        <f>IFERROR(VLOOKUP(B1103,infoTable__28[],4,FALSE),"")</f>
        <v/>
      </c>
      <c r="J1103" s="4" t="str">
        <f>IFERROR(VLOOKUP(B1103,infoTable__10[],4,FALSE),"")</f>
        <v/>
      </c>
      <c r="K1103" s="4" t="str">
        <f>IFERROR(VLOOKUP(B1103,infoTable__11[],4,FALSE),"")</f>
        <v/>
      </c>
      <c r="L1103" s="4">
        <f>IFERROR(VLOOKUP(B1103,infoTable__12[],4,FALSE),"")</f>
        <v>225731</v>
      </c>
      <c r="M1103" s="4" t="str">
        <f>IFERROR(VLOOKUP(B1103,infoTable__13[],4,FALSE),"")</f>
        <v/>
      </c>
      <c r="N1103" s="4" t="str">
        <f>IFERROR(VLOOKUP(B1103,infoTable__14[],4,FALSE),"")</f>
        <v/>
      </c>
      <c r="O1103" s="4" t="str">
        <f>IFERROR(VLOOKUP(B1103,infoTable__15[],4,FALSE),"")</f>
        <v/>
      </c>
      <c r="P1103" s="4">
        <f>IFERROR(VLOOKUP(B1103,infoTable__16[],4,FALSE),"")</f>
        <v>317860</v>
      </c>
    </row>
    <row r="1104" spans="1:16" x14ac:dyDescent="0.55000000000000004">
      <c r="A1104" t="s">
        <v>219</v>
      </c>
      <c r="B1104" s="6" t="s">
        <v>220</v>
      </c>
      <c r="C1104" s="4" t="str">
        <f>IFERROR(VLOOKUP(B1104,infoTable10[],4,FALSE),"")</f>
        <v/>
      </c>
      <c r="D1104" s="4" t="str">
        <f>IFERROR(VLOOKUP(B1104,infoTable__2[],4,FALSE),"")</f>
        <v/>
      </c>
      <c r="E1104" s="4">
        <f>IFERROR(VLOOKUP(B1104,infoTable__3[],4,FALSE),"")</f>
        <v>502960</v>
      </c>
      <c r="F1104" s="4">
        <f>IFERROR(VLOOKUP(B1104,infoTable__4[],4,FALSE),"")</f>
        <v>463185</v>
      </c>
      <c r="G1104" s="4">
        <f>IFERROR(VLOOKUP(B1104,infoTable[],4,FALSE),"")</f>
        <v>470081</v>
      </c>
      <c r="H1104" s="4" t="str">
        <f>IFERROR(VLOOKUP(B1104,infoTable__6[],4,FALSE),"")</f>
        <v/>
      </c>
      <c r="I1104" s="4" t="str">
        <f>IFERROR(VLOOKUP(B1104,infoTable__28[],4,FALSE),"")</f>
        <v/>
      </c>
      <c r="J1104" s="4" t="str">
        <f>IFERROR(VLOOKUP(B1104,infoTable__10[],4,FALSE),"")</f>
        <v/>
      </c>
      <c r="K1104" s="4" t="str">
        <f>IFERROR(VLOOKUP(B1104,infoTable__11[],4,FALSE),"")</f>
        <v/>
      </c>
      <c r="L1104" s="4" t="str">
        <f>IFERROR(VLOOKUP(B1104,infoTable__12[],4,FALSE),"")</f>
        <v/>
      </c>
      <c r="M1104" s="4" t="str">
        <f>IFERROR(VLOOKUP(B1104,infoTable__13[],4,FALSE),"")</f>
        <v/>
      </c>
      <c r="N1104" s="4" t="str">
        <f>IFERROR(VLOOKUP(B1104,infoTable__14[],4,FALSE),"")</f>
        <v/>
      </c>
      <c r="O1104" s="4" t="str">
        <f>IFERROR(VLOOKUP(B1104,infoTable__15[],4,FALSE),"")</f>
        <v/>
      </c>
      <c r="P1104" s="4" t="str">
        <f>IFERROR(VLOOKUP(B1104,infoTable__16[],4,FALSE),"")</f>
        <v/>
      </c>
    </row>
    <row r="1105" spans="1:16" x14ac:dyDescent="0.55000000000000004">
      <c r="A1105" t="s">
        <v>2835</v>
      </c>
      <c r="B1105" s="6" t="s">
        <v>2834</v>
      </c>
      <c r="C1105" s="4" t="str">
        <f>IFERROR(VLOOKUP(B1105,infoTable10[],4,FALSE),"")</f>
        <v/>
      </c>
      <c r="D1105" s="4" t="str">
        <f>IFERROR(VLOOKUP(B1105,infoTable__2[],4,FALSE),"")</f>
        <v/>
      </c>
      <c r="E1105" s="4" t="str">
        <f>IFERROR(VLOOKUP(B1105,infoTable__3[],4,FALSE),"")</f>
        <v/>
      </c>
      <c r="F1105" s="4" t="str">
        <f>IFERROR(VLOOKUP(B1105,infoTable__4[],4,FALSE),"")</f>
        <v/>
      </c>
      <c r="G1105" s="4" t="str">
        <f>IFERROR(VLOOKUP(B1105,infoTable[],4,FALSE),"")</f>
        <v/>
      </c>
      <c r="H1105" s="4" t="str">
        <f>IFERROR(VLOOKUP(B1105,infoTable__6[],4,FALSE),"")</f>
        <v/>
      </c>
      <c r="I1105" s="4" t="str">
        <f>IFERROR(VLOOKUP(B1105,infoTable__28[],4,FALSE),"")</f>
        <v/>
      </c>
      <c r="J1105" s="4" t="str">
        <f>IFERROR(VLOOKUP(B1105,infoTable__10[],4,FALSE),"")</f>
        <v/>
      </c>
      <c r="K1105" s="4" t="str">
        <f>IFERROR(VLOOKUP(B1105,infoTable__11[],4,FALSE),"")</f>
        <v/>
      </c>
      <c r="L1105" s="4" t="str">
        <f>IFERROR(VLOOKUP(B1105,infoTable__12[],4,FALSE),"")</f>
        <v/>
      </c>
      <c r="M1105" s="4" t="str">
        <f>IFERROR(VLOOKUP(B1105,infoTable__13[],4,FALSE),"")</f>
        <v/>
      </c>
      <c r="N1105" s="4">
        <f>IFERROR(VLOOKUP(B1105,infoTable__14[],4,FALSE),"")</f>
        <v>905740</v>
      </c>
      <c r="O1105" s="4" t="str">
        <f>IFERROR(VLOOKUP(B1105,infoTable__15[],4,FALSE),"")</f>
        <v/>
      </c>
      <c r="P1105" s="4" t="str">
        <f>IFERROR(VLOOKUP(B1105,infoTable__16[],4,FALSE),"")</f>
        <v/>
      </c>
    </row>
    <row r="1106" spans="1:16" x14ac:dyDescent="0.55000000000000004">
      <c r="A1106" t="s">
        <v>1676</v>
      </c>
      <c r="B1106" s="6" t="s">
        <v>1677</v>
      </c>
      <c r="C1106" s="4" t="str">
        <f>IFERROR(VLOOKUP(B1106,infoTable10[],4,FALSE),"")</f>
        <v/>
      </c>
      <c r="D1106" s="4" t="str">
        <f>IFERROR(VLOOKUP(B1106,infoTable__2[],4,FALSE),"")</f>
        <v/>
      </c>
      <c r="E1106" s="4" t="str">
        <f>IFERROR(VLOOKUP(B1106,infoTable__3[],4,FALSE),"")</f>
        <v/>
      </c>
      <c r="F1106" s="4" t="str">
        <f>IFERROR(VLOOKUP(B1106,infoTable__4[],4,FALSE),"")</f>
        <v/>
      </c>
      <c r="G1106" s="4" t="str">
        <f>IFERROR(VLOOKUP(B1106,infoTable[],4,FALSE),"")</f>
        <v/>
      </c>
      <c r="H1106" s="4" t="str">
        <f>IFERROR(VLOOKUP(B1106,infoTable__6[],4,FALSE),"")</f>
        <v/>
      </c>
      <c r="I1106" s="4" t="str">
        <f>IFERROR(VLOOKUP(B1106,infoTable__28[],4,FALSE),"")</f>
        <v/>
      </c>
      <c r="J1106" s="4">
        <f>IFERROR(VLOOKUP(B1106,infoTable__10[],4,FALSE),"")</f>
        <v>121327</v>
      </c>
      <c r="K1106" s="4" t="str">
        <f>IFERROR(VLOOKUP(B1106,infoTable__11[],4,FALSE),"")</f>
        <v/>
      </c>
      <c r="L1106" s="4" t="str">
        <f>IFERROR(VLOOKUP(B1106,infoTable__12[],4,FALSE),"")</f>
        <v/>
      </c>
      <c r="M1106" s="4" t="str">
        <f>IFERROR(VLOOKUP(B1106,infoTable__13[],4,FALSE),"")</f>
        <v/>
      </c>
      <c r="N1106" s="4" t="str">
        <f>IFERROR(VLOOKUP(B1106,infoTable__14[],4,FALSE),"")</f>
        <v/>
      </c>
      <c r="O1106" s="4" t="str">
        <f>IFERROR(VLOOKUP(B1106,infoTable__15[],4,FALSE),"")</f>
        <v/>
      </c>
      <c r="P1106" s="4" t="str">
        <f>IFERROR(VLOOKUP(B1106,infoTable__16[],4,FALSE),"")</f>
        <v/>
      </c>
    </row>
    <row r="1107" spans="1:16" x14ac:dyDescent="0.55000000000000004">
      <c r="A1107" t="s">
        <v>2837</v>
      </c>
      <c r="B1107" s="6" t="s">
        <v>2836</v>
      </c>
      <c r="C1107" s="4" t="str">
        <f>IFERROR(VLOOKUP(B1107,infoTable10[],4,FALSE),"")</f>
        <v/>
      </c>
      <c r="D1107" s="4" t="str">
        <f>IFERROR(VLOOKUP(B1107,infoTable__2[],4,FALSE),"")</f>
        <v/>
      </c>
      <c r="E1107" s="4" t="str">
        <f>IFERROR(VLOOKUP(B1107,infoTable__3[],4,FALSE),"")</f>
        <v/>
      </c>
      <c r="F1107" s="4" t="str">
        <f>IFERROR(VLOOKUP(B1107,infoTable__4[],4,FALSE),"")</f>
        <v/>
      </c>
      <c r="G1107" s="4" t="str">
        <f>IFERROR(VLOOKUP(B1107,infoTable[],4,FALSE),"")</f>
        <v/>
      </c>
      <c r="H1107" s="4" t="str">
        <f>IFERROR(VLOOKUP(B1107,infoTable__6[],4,FALSE),"")</f>
        <v/>
      </c>
      <c r="I1107" s="4" t="str">
        <f>IFERROR(VLOOKUP(B1107,infoTable__28[],4,FALSE),"")</f>
        <v/>
      </c>
      <c r="J1107" s="4" t="str">
        <f>IFERROR(VLOOKUP(B1107,infoTable__10[],4,FALSE),"")</f>
        <v/>
      </c>
      <c r="K1107" s="4" t="str">
        <f>IFERROR(VLOOKUP(B1107,infoTable__11[],4,FALSE),"")</f>
        <v/>
      </c>
      <c r="L1107" s="4" t="str">
        <f>IFERROR(VLOOKUP(B1107,infoTable__12[],4,FALSE),"")</f>
        <v/>
      </c>
      <c r="M1107" s="4" t="str">
        <f>IFERROR(VLOOKUP(B1107,infoTable__13[],4,FALSE),"")</f>
        <v/>
      </c>
      <c r="N1107" s="4">
        <f>IFERROR(VLOOKUP(B1107,infoTable__14[],4,FALSE),"")</f>
        <v>1506179</v>
      </c>
      <c r="O1107" s="4" t="str">
        <f>IFERROR(VLOOKUP(B1107,infoTable__15[],4,FALSE),"")</f>
        <v/>
      </c>
      <c r="P1107" s="4">
        <f>IFERROR(VLOOKUP(B1107,infoTable__16[],4,FALSE),"")</f>
        <v>302613</v>
      </c>
    </row>
    <row r="1108" spans="1:16" x14ac:dyDescent="0.55000000000000004">
      <c r="A1108" t="s">
        <v>1284</v>
      </c>
      <c r="B1108" s="6" t="s">
        <v>1285</v>
      </c>
      <c r="C1108" s="4" t="str">
        <f>IFERROR(VLOOKUP(B1108,infoTable10[],4,FALSE),"")</f>
        <v/>
      </c>
      <c r="D1108" s="4" t="str">
        <f>IFERROR(VLOOKUP(B1108,infoTable__2[],4,FALSE),"")</f>
        <v/>
      </c>
      <c r="E1108" s="4" t="str">
        <f>IFERROR(VLOOKUP(B1108,infoTable__3[],4,FALSE),"")</f>
        <v/>
      </c>
      <c r="F1108" s="4" t="str">
        <f>IFERROR(VLOOKUP(B1108,infoTable__4[],4,FALSE),"")</f>
        <v/>
      </c>
      <c r="G1108" s="4" t="str">
        <f>IFERROR(VLOOKUP(B1108,infoTable[],4,FALSE),"")</f>
        <v/>
      </c>
      <c r="H1108" s="4" t="str">
        <f>IFERROR(VLOOKUP(B1108,infoTable__6[],4,FALSE),"")</f>
        <v/>
      </c>
      <c r="I1108" s="4">
        <f>IFERROR(VLOOKUP(B1108,infoTable__28[],4,FALSE),"")</f>
        <v>720385</v>
      </c>
      <c r="J1108" s="4">
        <f>IFERROR(VLOOKUP(B1108,infoTable__10[],4,FALSE),"")</f>
        <v>4145651</v>
      </c>
      <c r="K1108" s="4">
        <f>IFERROR(VLOOKUP(B1108,infoTable__11[],4,FALSE),"")</f>
        <v>4169386</v>
      </c>
      <c r="L1108" s="4">
        <f>IFERROR(VLOOKUP(B1108,infoTable__12[],4,FALSE),"")</f>
        <v>2383385</v>
      </c>
      <c r="M1108" s="4">
        <f>IFERROR(VLOOKUP(B1108,infoTable__13[],4,FALSE),"")</f>
        <v>235966</v>
      </c>
      <c r="N1108" s="4" t="str">
        <f>IFERROR(VLOOKUP(B1108,infoTable__14[],4,FALSE),"")</f>
        <v/>
      </c>
      <c r="O1108" s="4" t="str">
        <f>IFERROR(VLOOKUP(B1108,infoTable__15[],4,FALSE),"")</f>
        <v/>
      </c>
      <c r="P1108" s="4" t="str">
        <f>IFERROR(VLOOKUP(B1108,infoTable__16[],4,FALSE),"")</f>
        <v/>
      </c>
    </row>
    <row r="1109" spans="1:16" x14ac:dyDescent="0.55000000000000004">
      <c r="A1109" t="s">
        <v>586</v>
      </c>
      <c r="B1109" s="6" t="s">
        <v>587</v>
      </c>
      <c r="C1109" s="4" t="str">
        <f>IFERROR(VLOOKUP(B1109,infoTable10[],4,FALSE),"")</f>
        <v/>
      </c>
      <c r="D1109" s="4">
        <f>IFERROR(VLOOKUP(B1109,infoTable__2[],4,FALSE),"")</f>
        <v>672729</v>
      </c>
      <c r="E1109" s="4" t="str">
        <f>IFERROR(VLOOKUP(B1109,infoTable__3[],4,FALSE),"")</f>
        <v/>
      </c>
      <c r="F1109" s="4">
        <f>IFERROR(VLOOKUP(B1109,infoTable__4[],4,FALSE),"")</f>
        <v>235531</v>
      </c>
      <c r="G1109" s="4" t="str">
        <f>IFERROR(VLOOKUP(B1109,infoTable[],4,FALSE),"")</f>
        <v/>
      </c>
      <c r="H1109" s="4" t="str">
        <f>IFERROR(VLOOKUP(B1109,infoTable__6[],4,FALSE),"")</f>
        <v/>
      </c>
      <c r="I1109" s="4" t="str">
        <f>IFERROR(VLOOKUP(B1109,infoTable__28[],4,FALSE),"")</f>
        <v/>
      </c>
      <c r="J1109" s="4">
        <f>IFERROR(VLOOKUP(B1109,infoTable__10[],4,FALSE),"")</f>
        <v>1183186</v>
      </c>
      <c r="K1109" s="4">
        <f>IFERROR(VLOOKUP(B1109,infoTable__11[],4,FALSE),"")</f>
        <v>298869</v>
      </c>
      <c r="L1109" s="4">
        <f>IFERROR(VLOOKUP(B1109,infoTable__12[],4,FALSE),"")</f>
        <v>959951</v>
      </c>
      <c r="M1109" s="4">
        <f>IFERROR(VLOOKUP(B1109,infoTable__13[],4,FALSE),"")</f>
        <v>468023</v>
      </c>
      <c r="N1109" s="4" t="str">
        <f>IFERROR(VLOOKUP(B1109,infoTable__14[],4,FALSE),"")</f>
        <v/>
      </c>
      <c r="O1109" s="4" t="str">
        <f>IFERROR(VLOOKUP(B1109,infoTable__15[],4,FALSE),"")</f>
        <v/>
      </c>
      <c r="P1109" s="4">
        <f>IFERROR(VLOOKUP(B1109,infoTable__16[],4,FALSE),"")</f>
        <v>811610</v>
      </c>
    </row>
    <row r="1110" spans="1:16" x14ac:dyDescent="0.55000000000000004">
      <c r="A1110" t="s">
        <v>2222</v>
      </c>
      <c r="B1110" s="6" t="s">
        <v>2223</v>
      </c>
      <c r="C1110" s="4" t="str">
        <f>IFERROR(VLOOKUP(B1110,infoTable10[],4,FALSE),"")</f>
        <v/>
      </c>
      <c r="D1110" s="4" t="str">
        <f>IFERROR(VLOOKUP(B1110,infoTable__2[],4,FALSE),"")</f>
        <v/>
      </c>
      <c r="E1110" s="4" t="str">
        <f>IFERROR(VLOOKUP(B1110,infoTable__3[],4,FALSE),"")</f>
        <v/>
      </c>
      <c r="F1110" s="4" t="str">
        <f>IFERROR(VLOOKUP(B1110,infoTable__4[],4,FALSE),"")</f>
        <v/>
      </c>
      <c r="G1110" s="4" t="str">
        <f>IFERROR(VLOOKUP(B1110,infoTable[],4,FALSE),"")</f>
        <v/>
      </c>
      <c r="H1110" s="4" t="str">
        <f>IFERROR(VLOOKUP(B1110,infoTable__6[],4,FALSE),"")</f>
        <v/>
      </c>
      <c r="I1110" s="4" t="str">
        <f>IFERROR(VLOOKUP(B1110,infoTable__28[],4,FALSE),"")</f>
        <v/>
      </c>
      <c r="J1110" s="4" t="str">
        <f>IFERROR(VLOOKUP(B1110,infoTable__10[],4,FALSE),"")</f>
        <v/>
      </c>
      <c r="K1110" s="4" t="str">
        <f>IFERROR(VLOOKUP(B1110,infoTable__11[],4,FALSE),"")</f>
        <v/>
      </c>
      <c r="L1110" s="4">
        <f>IFERROR(VLOOKUP(B1110,infoTable__12[],4,FALSE),"")</f>
        <v>328403</v>
      </c>
      <c r="M1110" s="4" t="str">
        <f>IFERROR(VLOOKUP(B1110,infoTable__13[],4,FALSE),"")</f>
        <v/>
      </c>
      <c r="N1110" s="4" t="str">
        <f>IFERROR(VLOOKUP(B1110,infoTable__14[],4,FALSE),"")</f>
        <v/>
      </c>
      <c r="O1110" s="4">
        <f>IFERROR(VLOOKUP(B1110,infoTable__15[],4,FALSE),"")</f>
        <v>1417295</v>
      </c>
      <c r="P1110" s="4">
        <f>IFERROR(VLOOKUP(B1110,infoTable__16[],4,FALSE),"")</f>
        <v>1431458</v>
      </c>
    </row>
    <row r="1111" spans="1:16" x14ac:dyDescent="0.55000000000000004">
      <c r="A1111" t="s">
        <v>2839</v>
      </c>
      <c r="B1111" s="6" t="s">
        <v>2838</v>
      </c>
      <c r="C1111" s="4" t="str">
        <f>IFERROR(VLOOKUP(B1111,infoTable10[],4,FALSE),"")</f>
        <v/>
      </c>
      <c r="D1111" s="4" t="str">
        <f>IFERROR(VLOOKUP(B1111,infoTable__2[],4,FALSE),"")</f>
        <v/>
      </c>
      <c r="E1111" s="4" t="str">
        <f>IFERROR(VLOOKUP(B1111,infoTable__3[],4,FALSE),"")</f>
        <v/>
      </c>
      <c r="F1111" s="4" t="str">
        <f>IFERROR(VLOOKUP(B1111,infoTable__4[],4,FALSE),"")</f>
        <v/>
      </c>
      <c r="G1111" s="4" t="str">
        <f>IFERROR(VLOOKUP(B1111,infoTable[],4,FALSE),"")</f>
        <v/>
      </c>
      <c r="H1111" s="4" t="str">
        <f>IFERROR(VLOOKUP(B1111,infoTable__6[],4,FALSE),"")</f>
        <v/>
      </c>
      <c r="I1111" s="4" t="str">
        <f>IFERROR(VLOOKUP(B1111,infoTable__28[],4,FALSE),"")</f>
        <v/>
      </c>
      <c r="J1111" s="4" t="str">
        <f>IFERROR(VLOOKUP(B1111,infoTable__10[],4,FALSE),"")</f>
        <v/>
      </c>
      <c r="K1111" s="4" t="str">
        <f>IFERROR(VLOOKUP(B1111,infoTable__11[],4,FALSE),"")</f>
        <v/>
      </c>
      <c r="L1111" s="4" t="str">
        <f>IFERROR(VLOOKUP(B1111,infoTable__12[],4,FALSE),"")</f>
        <v/>
      </c>
      <c r="M1111" s="4" t="str">
        <f>IFERROR(VLOOKUP(B1111,infoTable__13[],4,FALSE),"")</f>
        <v/>
      </c>
      <c r="N1111" s="4">
        <f>IFERROR(VLOOKUP(B1111,infoTable__14[],4,FALSE),"")</f>
        <v>234917</v>
      </c>
      <c r="O1111" s="4" t="str">
        <f>IFERROR(VLOOKUP(B1111,infoTable__15[],4,FALSE),"")</f>
        <v/>
      </c>
      <c r="P1111" s="4" t="str">
        <f>IFERROR(VLOOKUP(B1111,infoTable__16[],4,FALSE),"")</f>
        <v/>
      </c>
    </row>
    <row r="1112" spans="1:16" x14ac:dyDescent="0.55000000000000004">
      <c r="A1112" t="s">
        <v>1914</v>
      </c>
      <c r="B1112" s="6" t="s">
        <v>1915</v>
      </c>
      <c r="C1112" s="4" t="str">
        <f>IFERROR(VLOOKUP(B1112,infoTable10[],4,FALSE),"")</f>
        <v/>
      </c>
      <c r="D1112" s="4" t="str">
        <f>IFERROR(VLOOKUP(B1112,infoTable__2[],4,FALSE),"")</f>
        <v/>
      </c>
      <c r="E1112" s="4" t="str">
        <f>IFERROR(VLOOKUP(B1112,infoTable__3[],4,FALSE),"")</f>
        <v/>
      </c>
      <c r="F1112" s="4" t="str">
        <f>IFERROR(VLOOKUP(B1112,infoTable__4[],4,FALSE),"")</f>
        <v/>
      </c>
      <c r="G1112" s="4" t="str">
        <f>IFERROR(VLOOKUP(B1112,infoTable[],4,FALSE),"")</f>
        <v/>
      </c>
      <c r="H1112" s="4" t="str">
        <f>IFERROR(VLOOKUP(B1112,infoTable__6[],4,FALSE),"")</f>
        <v/>
      </c>
      <c r="I1112" s="4" t="str">
        <f>IFERROR(VLOOKUP(B1112,infoTable__28[],4,FALSE),"")</f>
        <v/>
      </c>
      <c r="J1112" s="4" t="str">
        <f>IFERROR(VLOOKUP(B1112,infoTable__10[],4,FALSE),"")</f>
        <v/>
      </c>
      <c r="K1112" s="4">
        <f>IFERROR(VLOOKUP(B1112,infoTable__11[],4,FALSE),"")</f>
        <v>1026213</v>
      </c>
      <c r="L1112" s="4">
        <f>IFERROR(VLOOKUP(B1112,infoTable__12[],4,FALSE),"")</f>
        <v>614733</v>
      </c>
      <c r="M1112" s="4">
        <f>IFERROR(VLOOKUP(B1112,infoTable__13[],4,FALSE),"")</f>
        <v>656250</v>
      </c>
      <c r="N1112" s="4">
        <f>IFERROR(VLOOKUP(B1112,infoTable__14[],4,FALSE),"")</f>
        <v>711754</v>
      </c>
      <c r="O1112" s="4">
        <f>IFERROR(VLOOKUP(B1112,infoTable__15[],4,FALSE),"")</f>
        <v>2069124</v>
      </c>
      <c r="P1112" s="4">
        <f>IFERROR(VLOOKUP(B1112,infoTable__16[],4,FALSE),"")</f>
        <v>973455</v>
      </c>
    </row>
    <row r="1113" spans="1:16" x14ac:dyDescent="0.55000000000000004">
      <c r="A1113" t="s">
        <v>258</v>
      </c>
      <c r="B1113" s="6" t="s">
        <v>259</v>
      </c>
      <c r="C1113" s="4" t="str">
        <f>IFERROR(VLOOKUP(B1113,infoTable10[],4,FALSE),"")</f>
        <v/>
      </c>
      <c r="D1113" s="4" t="str">
        <f>IFERROR(VLOOKUP(B1113,infoTable__2[],4,FALSE),"")</f>
        <v/>
      </c>
      <c r="E1113" s="4" t="str">
        <f>IFERROR(VLOOKUP(B1113,infoTable__3[],4,FALSE),"")</f>
        <v/>
      </c>
      <c r="F1113" s="4" t="str">
        <f>IFERROR(VLOOKUP(B1113,infoTable__4[],4,FALSE),"")</f>
        <v/>
      </c>
      <c r="G1113" s="4">
        <f>IFERROR(VLOOKUP(B1113,infoTable[],4,FALSE),"")</f>
        <v>559915</v>
      </c>
      <c r="H1113" s="4">
        <f>IFERROR(VLOOKUP(B1113,infoTable__6[],4,FALSE),"")</f>
        <v>476237</v>
      </c>
      <c r="I1113" s="4">
        <f>IFERROR(VLOOKUP(B1113,infoTable__28[],4,FALSE),"")</f>
        <v>446505</v>
      </c>
      <c r="J1113" s="4" t="str">
        <f>IFERROR(VLOOKUP(B1113,infoTable__10[],4,FALSE),"")</f>
        <v/>
      </c>
      <c r="K1113" s="4" t="str">
        <f>IFERROR(VLOOKUP(B1113,infoTable__11[],4,FALSE),"")</f>
        <v/>
      </c>
      <c r="L1113" s="4" t="str">
        <f>IFERROR(VLOOKUP(B1113,infoTable__12[],4,FALSE),"")</f>
        <v/>
      </c>
      <c r="M1113" s="4" t="str">
        <f>IFERROR(VLOOKUP(B1113,infoTable__13[],4,FALSE),"")</f>
        <v/>
      </c>
      <c r="N1113" s="4" t="str">
        <f>IFERROR(VLOOKUP(B1113,infoTable__14[],4,FALSE),"")</f>
        <v/>
      </c>
      <c r="O1113" s="4" t="str">
        <f>IFERROR(VLOOKUP(B1113,infoTable__15[],4,FALSE),"")</f>
        <v/>
      </c>
      <c r="P1113" s="4" t="str">
        <f>IFERROR(VLOOKUP(B1113,infoTable__16[],4,FALSE),"")</f>
        <v/>
      </c>
    </row>
    <row r="1114" spans="1:16" x14ac:dyDescent="0.55000000000000004">
      <c r="A1114" t="s">
        <v>2841</v>
      </c>
      <c r="B1114" s="6" t="s">
        <v>2840</v>
      </c>
      <c r="C1114" s="4" t="str">
        <f>IFERROR(VLOOKUP(B1114,infoTable10[],4,FALSE),"")</f>
        <v/>
      </c>
      <c r="D1114" s="4" t="str">
        <f>IFERROR(VLOOKUP(B1114,infoTable__2[],4,FALSE),"")</f>
        <v/>
      </c>
      <c r="E1114" s="4" t="str">
        <f>IFERROR(VLOOKUP(B1114,infoTable__3[],4,FALSE),"")</f>
        <v/>
      </c>
      <c r="F1114" s="4" t="str">
        <f>IFERROR(VLOOKUP(B1114,infoTable__4[],4,FALSE),"")</f>
        <v/>
      </c>
      <c r="G1114" s="4" t="str">
        <f>IFERROR(VLOOKUP(B1114,infoTable[],4,FALSE),"")</f>
        <v/>
      </c>
      <c r="H1114" s="4" t="str">
        <f>IFERROR(VLOOKUP(B1114,infoTable__6[],4,FALSE),"")</f>
        <v/>
      </c>
      <c r="I1114" s="4" t="str">
        <f>IFERROR(VLOOKUP(B1114,infoTable__28[],4,FALSE),"")</f>
        <v/>
      </c>
      <c r="J1114" s="4" t="str">
        <f>IFERROR(VLOOKUP(B1114,infoTable__10[],4,FALSE),"")</f>
        <v/>
      </c>
      <c r="K1114" s="4" t="str">
        <f>IFERROR(VLOOKUP(B1114,infoTable__11[],4,FALSE),"")</f>
        <v/>
      </c>
      <c r="L1114" s="4" t="str">
        <f>IFERROR(VLOOKUP(B1114,infoTable__12[],4,FALSE),"")</f>
        <v/>
      </c>
      <c r="M1114" s="4" t="str">
        <f>IFERROR(VLOOKUP(B1114,infoTable__13[],4,FALSE),"")</f>
        <v/>
      </c>
      <c r="N1114" s="4">
        <f>IFERROR(VLOOKUP(B1114,infoTable__14[],4,FALSE),"")</f>
        <v>1911481</v>
      </c>
      <c r="O1114" s="4">
        <f>IFERROR(VLOOKUP(B1114,infoTable__15[],4,FALSE),"")</f>
        <v>1776990</v>
      </c>
      <c r="P1114" s="4">
        <f>IFERROR(VLOOKUP(B1114,infoTable__16[],4,FALSE),"")</f>
        <v>2560315</v>
      </c>
    </row>
    <row r="1115" spans="1:16" x14ac:dyDescent="0.55000000000000004">
      <c r="A1115" t="s">
        <v>592</v>
      </c>
      <c r="B1115" s="6" t="s">
        <v>593</v>
      </c>
      <c r="C1115" s="4">
        <f>IFERROR(VLOOKUP(B1115,infoTable10[],4,FALSE),"")</f>
        <v>3432491</v>
      </c>
      <c r="D1115" s="4">
        <f>IFERROR(VLOOKUP(B1115,infoTable__2[],4,FALSE),"")</f>
        <v>611181</v>
      </c>
      <c r="E1115" s="4" t="str">
        <f>IFERROR(VLOOKUP(B1115,infoTable__3[],4,FALSE),"")</f>
        <v/>
      </c>
      <c r="F1115" s="4" t="str">
        <f>IFERROR(VLOOKUP(B1115,infoTable__4[],4,FALSE),"")</f>
        <v/>
      </c>
      <c r="G1115" s="4" t="str">
        <f>IFERROR(VLOOKUP(B1115,infoTable[],4,FALSE),"")</f>
        <v/>
      </c>
      <c r="H1115" s="4" t="str">
        <f>IFERROR(VLOOKUP(B1115,infoTable__6[],4,FALSE),"")</f>
        <v/>
      </c>
      <c r="I1115" s="4" t="str">
        <f>IFERROR(VLOOKUP(B1115,infoTable__28[],4,FALSE),"")</f>
        <v/>
      </c>
      <c r="J1115" s="4" t="str">
        <f>IFERROR(VLOOKUP(B1115,infoTable__10[],4,FALSE),"")</f>
        <v/>
      </c>
      <c r="K1115" s="4" t="str">
        <f>IFERROR(VLOOKUP(B1115,infoTable__11[],4,FALSE),"")</f>
        <v/>
      </c>
      <c r="L1115" s="4" t="str">
        <f>IFERROR(VLOOKUP(B1115,infoTable__12[],4,FALSE),"")</f>
        <v/>
      </c>
      <c r="M1115" s="4" t="str">
        <f>IFERROR(VLOOKUP(B1115,infoTable__13[],4,FALSE),"")</f>
        <v/>
      </c>
      <c r="N1115" s="4">
        <f>IFERROR(VLOOKUP(B1115,infoTable__14[],4,FALSE),"")</f>
        <v>351237</v>
      </c>
      <c r="O1115" s="4" t="str">
        <f>IFERROR(VLOOKUP(B1115,infoTable__15[],4,FALSE),"")</f>
        <v/>
      </c>
      <c r="P1115" s="4" t="str">
        <f>IFERROR(VLOOKUP(B1115,infoTable__16[],4,FALSE),"")</f>
        <v/>
      </c>
    </row>
    <row r="1116" spans="1:16" x14ac:dyDescent="0.55000000000000004">
      <c r="A1116" t="s">
        <v>3389</v>
      </c>
      <c r="B1116" s="6" t="s">
        <v>3390</v>
      </c>
      <c r="C1116" s="4" t="str">
        <f>IFERROR(VLOOKUP(B1116,infoTable10[],4,FALSE),"")</f>
        <v/>
      </c>
      <c r="D1116" s="4" t="str">
        <f>IFERROR(VLOOKUP(B1116,infoTable__2[],4,FALSE),"")</f>
        <v/>
      </c>
      <c r="E1116" s="4" t="str">
        <f>IFERROR(VLOOKUP(B1116,infoTable__3[],4,FALSE),"")</f>
        <v/>
      </c>
      <c r="F1116" s="4" t="str">
        <f>IFERROR(VLOOKUP(B1116,infoTable__4[],4,FALSE),"")</f>
        <v/>
      </c>
      <c r="G1116" s="4" t="str">
        <f>IFERROR(VLOOKUP(B1116,infoTable[],4,FALSE),"")</f>
        <v/>
      </c>
      <c r="H1116" s="4" t="str">
        <f>IFERROR(VLOOKUP(B1116,infoTable__6[],4,FALSE),"")</f>
        <v/>
      </c>
      <c r="I1116" s="4" t="str">
        <f>IFERROR(VLOOKUP(B1116,infoTable__28[],4,FALSE),"")</f>
        <v/>
      </c>
      <c r="J1116" s="4" t="str">
        <f>IFERROR(VLOOKUP(B1116,infoTable__10[],4,FALSE),"")</f>
        <v/>
      </c>
      <c r="K1116" s="4" t="str">
        <f>IFERROR(VLOOKUP(B1116,infoTable__11[],4,FALSE),"")</f>
        <v/>
      </c>
      <c r="L1116" s="4" t="str">
        <f>IFERROR(VLOOKUP(B1116,infoTable__12[],4,FALSE),"")</f>
        <v/>
      </c>
      <c r="M1116" s="4" t="str">
        <f>IFERROR(VLOOKUP(B1116,infoTable__13[],4,FALSE),"")</f>
        <v/>
      </c>
      <c r="N1116" s="4" t="str">
        <f>IFERROR(VLOOKUP(B1116,infoTable__14[],4,FALSE),"")</f>
        <v/>
      </c>
      <c r="O1116" s="4" t="str">
        <f>IFERROR(VLOOKUP(B1116,infoTable__15[],4,FALSE),"")</f>
        <v/>
      </c>
      <c r="P1116" s="4">
        <f>IFERROR(VLOOKUP(B1116,infoTable__16[],4,FALSE),"")</f>
        <v>639979</v>
      </c>
    </row>
    <row r="1117" spans="1:16" x14ac:dyDescent="0.55000000000000004">
      <c r="A1117" t="s">
        <v>244</v>
      </c>
      <c r="B1117" s="6" t="s">
        <v>245</v>
      </c>
      <c r="C1117" s="4" t="str">
        <f>IFERROR(VLOOKUP(B1117,infoTable10[],4,FALSE),"")</f>
        <v/>
      </c>
      <c r="D1117" s="4" t="str">
        <f>IFERROR(VLOOKUP(B1117,infoTable__2[],4,FALSE),"")</f>
        <v/>
      </c>
      <c r="E1117" s="4">
        <f>IFERROR(VLOOKUP(B1117,infoTable__3[],4,FALSE),"")</f>
        <v>2605984</v>
      </c>
      <c r="F1117" s="4">
        <f>IFERROR(VLOOKUP(B1117,infoTable__4[],4,FALSE),"")</f>
        <v>3732313</v>
      </c>
      <c r="G1117" s="4">
        <f>IFERROR(VLOOKUP(B1117,infoTable[],4,FALSE),"")</f>
        <v>2760724</v>
      </c>
      <c r="H1117" s="4" t="str">
        <f>IFERROR(VLOOKUP(B1117,infoTable__6[],4,FALSE),"")</f>
        <v/>
      </c>
      <c r="I1117" s="4" t="str">
        <f>IFERROR(VLOOKUP(B1117,infoTable__28[],4,FALSE),"")</f>
        <v/>
      </c>
      <c r="J1117" s="4" t="str">
        <f>IFERROR(VLOOKUP(B1117,infoTable__10[],4,FALSE),"")</f>
        <v/>
      </c>
      <c r="K1117" s="4" t="str">
        <f>IFERROR(VLOOKUP(B1117,infoTable__11[],4,FALSE),"")</f>
        <v/>
      </c>
      <c r="L1117" s="4" t="str">
        <f>IFERROR(VLOOKUP(B1117,infoTable__12[],4,FALSE),"")</f>
        <v/>
      </c>
      <c r="M1117" s="4" t="str">
        <f>IFERROR(VLOOKUP(B1117,infoTable__13[],4,FALSE),"")</f>
        <v/>
      </c>
      <c r="N1117" s="4" t="str">
        <f>IFERROR(VLOOKUP(B1117,infoTable__14[],4,FALSE),"")</f>
        <v/>
      </c>
      <c r="O1117" s="4" t="str">
        <f>IFERROR(VLOOKUP(B1117,infoTable__15[],4,FALSE),"")</f>
        <v/>
      </c>
      <c r="P1117" s="4" t="str">
        <f>IFERROR(VLOOKUP(B1117,infoTable__16[],4,FALSE),"")</f>
        <v/>
      </c>
    </row>
    <row r="1118" spans="1:16" x14ac:dyDescent="0.55000000000000004">
      <c r="A1118" t="s">
        <v>248</v>
      </c>
      <c r="B1118" s="6" t="s">
        <v>249</v>
      </c>
      <c r="C1118" s="4">
        <f>IFERROR(VLOOKUP(B1118,infoTable10[],4,FALSE),"")</f>
        <v>343897</v>
      </c>
      <c r="D1118" s="4" t="str">
        <f>IFERROR(VLOOKUP(B1118,infoTable__2[],4,FALSE),"")</f>
        <v/>
      </c>
      <c r="E1118" s="4" t="str">
        <f>IFERROR(VLOOKUP(B1118,infoTable__3[],4,FALSE),"")</f>
        <v/>
      </c>
      <c r="F1118" s="4" t="str">
        <f>IFERROR(VLOOKUP(B1118,infoTable__4[],4,FALSE),"")</f>
        <v/>
      </c>
      <c r="G1118" s="4">
        <f>IFERROR(VLOOKUP(B1118,infoTable[],4,FALSE),"")</f>
        <v>216183</v>
      </c>
      <c r="H1118" s="4">
        <f>IFERROR(VLOOKUP(B1118,infoTable__6[],4,FALSE),"")</f>
        <v>1295742</v>
      </c>
      <c r="I1118" s="4">
        <f>IFERROR(VLOOKUP(B1118,infoTable__28[],4,FALSE),"")</f>
        <v>649543</v>
      </c>
      <c r="J1118" s="4">
        <f>IFERROR(VLOOKUP(B1118,infoTable__10[],4,FALSE),"")</f>
        <v>1656526</v>
      </c>
      <c r="K1118" s="4">
        <f>IFERROR(VLOOKUP(B1118,infoTable__11[],4,FALSE),"")</f>
        <v>354308</v>
      </c>
      <c r="L1118" s="4" t="str">
        <f>IFERROR(VLOOKUP(B1118,infoTable__12[],4,FALSE),"")</f>
        <v/>
      </c>
      <c r="M1118" s="4" t="str">
        <f>IFERROR(VLOOKUP(B1118,infoTable__13[],4,FALSE),"")</f>
        <v/>
      </c>
      <c r="N1118" s="4" t="str">
        <f>IFERROR(VLOOKUP(B1118,infoTable__14[],4,FALSE),"")</f>
        <v/>
      </c>
      <c r="O1118" s="4" t="str">
        <f>IFERROR(VLOOKUP(B1118,infoTable__15[],4,FALSE),"")</f>
        <v/>
      </c>
      <c r="P1118" s="4" t="str">
        <f>IFERROR(VLOOKUP(B1118,infoTable__16[],4,FALSE),"")</f>
        <v/>
      </c>
    </row>
    <row r="1119" spans="1:16" x14ac:dyDescent="0.55000000000000004">
      <c r="A1119" t="s">
        <v>2843</v>
      </c>
      <c r="B1119" s="6" t="s">
        <v>2842</v>
      </c>
      <c r="C1119" s="4" t="str">
        <f>IFERROR(VLOOKUP(B1119,infoTable10[],4,FALSE),"")</f>
        <v/>
      </c>
      <c r="D1119" s="4" t="str">
        <f>IFERROR(VLOOKUP(B1119,infoTable__2[],4,FALSE),"")</f>
        <v/>
      </c>
      <c r="E1119" s="4" t="str">
        <f>IFERROR(VLOOKUP(B1119,infoTable__3[],4,FALSE),"")</f>
        <v/>
      </c>
      <c r="F1119" s="4" t="str">
        <f>IFERROR(VLOOKUP(B1119,infoTable__4[],4,FALSE),"")</f>
        <v/>
      </c>
      <c r="G1119" s="4" t="str">
        <f>IFERROR(VLOOKUP(B1119,infoTable[],4,FALSE),"")</f>
        <v/>
      </c>
      <c r="H1119" s="4" t="str">
        <f>IFERROR(VLOOKUP(B1119,infoTable__6[],4,FALSE),"")</f>
        <v/>
      </c>
      <c r="I1119" s="4" t="str">
        <f>IFERROR(VLOOKUP(B1119,infoTable__28[],4,FALSE),"")</f>
        <v/>
      </c>
      <c r="J1119" s="4" t="str">
        <f>IFERROR(VLOOKUP(B1119,infoTable__10[],4,FALSE),"")</f>
        <v/>
      </c>
      <c r="K1119" s="4" t="str">
        <f>IFERROR(VLOOKUP(B1119,infoTable__11[],4,FALSE),"")</f>
        <v/>
      </c>
      <c r="L1119" s="4" t="str">
        <f>IFERROR(VLOOKUP(B1119,infoTable__12[],4,FALSE),"")</f>
        <v/>
      </c>
      <c r="M1119" s="4" t="str">
        <f>IFERROR(VLOOKUP(B1119,infoTable__13[],4,FALSE),"")</f>
        <v/>
      </c>
      <c r="N1119" s="4">
        <f>IFERROR(VLOOKUP(B1119,infoTable__14[],4,FALSE),"")</f>
        <v>173847</v>
      </c>
      <c r="O1119" s="4">
        <f>IFERROR(VLOOKUP(B1119,infoTable__15[],4,FALSE),"")</f>
        <v>538073</v>
      </c>
      <c r="P1119" s="4">
        <f>IFERROR(VLOOKUP(B1119,infoTable__16[],4,FALSE),"")</f>
        <v>1035117</v>
      </c>
    </row>
    <row r="1120" spans="1:16" x14ac:dyDescent="0.55000000000000004">
      <c r="A1120" t="s">
        <v>754</v>
      </c>
      <c r="B1120" s="6" t="s">
        <v>755</v>
      </c>
      <c r="C1120" s="4" t="str">
        <f>IFERROR(VLOOKUP(B1120,infoTable10[],4,FALSE),"")</f>
        <v/>
      </c>
      <c r="D1120" s="4" t="str">
        <f>IFERROR(VLOOKUP(B1120,infoTable__2[],4,FALSE),"")</f>
        <v/>
      </c>
      <c r="E1120" s="4">
        <f>IFERROR(VLOOKUP(B1120,infoTable__3[],4,FALSE),"")</f>
        <v>808031</v>
      </c>
      <c r="F1120" s="4" t="str">
        <f>IFERROR(VLOOKUP(B1120,infoTable__4[],4,FALSE),"")</f>
        <v/>
      </c>
      <c r="G1120" s="4" t="str">
        <f>IFERROR(VLOOKUP(B1120,infoTable[],4,FALSE),"")</f>
        <v/>
      </c>
      <c r="H1120" s="4" t="str">
        <f>IFERROR(VLOOKUP(B1120,infoTable__6[],4,FALSE),"")</f>
        <v/>
      </c>
      <c r="I1120" s="4">
        <f>IFERROR(VLOOKUP(B1120,infoTable__28[],4,FALSE),"")</f>
        <v>508771</v>
      </c>
      <c r="J1120" s="4" t="str">
        <f>IFERROR(VLOOKUP(B1120,infoTable__10[],4,FALSE),"")</f>
        <v/>
      </c>
      <c r="K1120" s="4" t="str">
        <f>IFERROR(VLOOKUP(B1120,infoTable__11[],4,FALSE),"")</f>
        <v/>
      </c>
      <c r="L1120" s="4" t="str">
        <f>IFERROR(VLOOKUP(B1120,infoTable__12[],4,FALSE),"")</f>
        <v/>
      </c>
      <c r="M1120" s="4" t="str">
        <f>IFERROR(VLOOKUP(B1120,infoTable__13[],4,FALSE),"")</f>
        <v/>
      </c>
      <c r="N1120" s="4" t="str">
        <f>IFERROR(VLOOKUP(B1120,infoTable__14[],4,FALSE),"")</f>
        <v/>
      </c>
      <c r="O1120" s="4" t="str">
        <f>IFERROR(VLOOKUP(B1120,infoTable__15[],4,FALSE),"")</f>
        <v/>
      </c>
      <c r="P1120" s="4" t="str">
        <f>IFERROR(VLOOKUP(B1120,infoTable__16[],4,FALSE),"")</f>
        <v/>
      </c>
    </row>
    <row r="1121" spans="1:16" x14ac:dyDescent="0.55000000000000004">
      <c r="A1121" t="s">
        <v>1510</v>
      </c>
      <c r="B1121" s="6" t="s">
        <v>1512</v>
      </c>
      <c r="C1121" s="4">
        <f>IFERROR(VLOOKUP(B1121,infoTable10[],4,FALSE),"")</f>
        <v>550054</v>
      </c>
      <c r="D1121" s="4" t="str">
        <f>IFERROR(VLOOKUP(B1121,infoTable__2[],4,FALSE),"")</f>
        <v/>
      </c>
      <c r="E1121" s="4" t="str">
        <f>IFERROR(VLOOKUP(B1121,infoTable__3[],4,FALSE),"")</f>
        <v/>
      </c>
      <c r="F1121" s="4" t="str">
        <f>IFERROR(VLOOKUP(B1121,infoTable__4[],4,FALSE),"")</f>
        <v/>
      </c>
      <c r="G1121" s="4" t="str">
        <f>IFERROR(VLOOKUP(B1121,infoTable[],4,FALSE),"")</f>
        <v/>
      </c>
      <c r="H1121" s="4" t="str">
        <f>IFERROR(VLOOKUP(B1121,infoTable__6[],4,FALSE),"")</f>
        <v/>
      </c>
      <c r="I1121" s="4" t="str">
        <f>IFERROR(VLOOKUP(B1121,infoTable__28[],4,FALSE),"")</f>
        <v/>
      </c>
      <c r="J1121" s="4" t="str">
        <f>IFERROR(VLOOKUP(B1121,infoTable__10[],4,FALSE),"")</f>
        <v/>
      </c>
      <c r="K1121" s="4" t="str">
        <f>IFERROR(VLOOKUP(B1121,infoTable__11[],4,FALSE),"")</f>
        <v/>
      </c>
      <c r="L1121" s="4" t="str">
        <f>IFERROR(VLOOKUP(B1121,infoTable__12[],4,FALSE),"")</f>
        <v/>
      </c>
      <c r="M1121" s="4" t="str">
        <f>IFERROR(VLOOKUP(B1121,infoTable__13[],4,FALSE),"")</f>
        <v/>
      </c>
      <c r="N1121" s="4" t="str">
        <f>IFERROR(VLOOKUP(B1121,infoTable__14[],4,FALSE),"")</f>
        <v/>
      </c>
      <c r="O1121" s="4" t="str">
        <f>IFERROR(VLOOKUP(B1121,infoTable__15[],4,FALSE),"")</f>
        <v/>
      </c>
      <c r="P1121" s="4" t="str">
        <f>IFERROR(VLOOKUP(B1121,infoTable__16[],4,FALSE),"")</f>
        <v/>
      </c>
    </row>
    <row r="1122" spans="1:16" x14ac:dyDescent="0.55000000000000004">
      <c r="A1122" t="s">
        <v>1916</v>
      </c>
      <c r="B1122" s="6" t="s">
        <v>1917</v>
      </c>
      <c r="C1122" s="4" t="str">
        <f>IFERROR(VLOOKUP(B1122,infoTable10[],4,FALSE),"")</f>
        <v/>
      </c>
      <c r="D1122" s="4" t="str">
        <f>IFERROR(VLOOKUP(B1122,infoTable__2[],4,FALSE),"")</f>
        <v/>
      </c>
      <c r="E1122" s="4" t="str">
        <f>IFERROR(VLOOKUP(B1122,infoTable__3[],4,FALSE),"")</f>
        <v/>
      </c>
      <c r="F1122" s="4" t="str">
        <f>IFERROR(VLOOKUP(B1122,infoTable__4[],4,FALSE),"")</f>
        <v/>
      </c>
      <c r="G1122" s="4" t="str">
        <f>IFERROR(VLOOKUP(B1122,infoTable[],4,FALSE),"")</f>
        <v/>
      </c>
      <c r="H1122" s="4" t="str">
        <f>IFERROR(VLOOKUP(B1122,infoTable__6[],4,FALSE),"")</f>
        <v/>
      </c>
      <c r="I1122" s="4" t="str">
        <f>IFERROR(VLOOKUP(B1122,infoTable__28[],4,FALSE),"")</f>
        <v/>
      </c>
      <c r="J1122" s="4" t="str">
        <f>IFERROR(VLOOKUP(B1122,infoTable__10[],4,FALSE),"")</f>
        <v/>
      </c>
      <c r="K1122" s="4">
        <f>IFERROR(VLOOKUP(B1122,infoTable__11[],4,FALSE),"")</f>
        <v>44330</v>
      </c>
      <c r="L1122" s="4" t="str">
        <f>IFERROR(VLOOKUP(B1122,infoTable__12[],4,FALSE),"")</f>
        <v/>
      </c>
      <c r="M1122" s="4" t="str">
        <f>IFERROR(VLOOKUP(B1122,infoTable__13[],4,FALSE),"")</f>
        <v/>
      </c>
      <c r="N1122" s="4" t="str">
        <f>IFERROR(VLOOKUP(B1122,infoTable__14[],4,FALSE),"")</f>
        <v/>
      </c>
      <c r="O1122" s="4" t="str">
        <f>IFERROR(VLOOKUP(B1122,infoTable__15[],4,FALSE),"")</f>
        <v/>
      </c>
      <c r="P1122" s="4" t="str">
        <f>IFERROR(VLOOKUP(B1122,infoTable__16[],4,FALSE),"")</f>
        <v/>
      </c>
    </row>
    <row r="1123" spans="1:16" x14ac:dyDescent="0.55000000000000004">
      <c r="A1123" t="s">
        <v>1920</v>
      </c>
      <c r="B1123" s="6" t="s">
        <v>1921</v>
      </c>
      <c r="C1123" s="4" t="str">
        <f>IFERROR(VLOOKUP(B1123,infoTable10[],4,FALSE),"")</f>
        <v/>
      </c>
      <c r="D1123" s="4" t="str">
        <f>IFERROR(VLOOKUP(B1123,infoTable__2[],4,FALSE),"")</f>
        <v/>
      </c>
      <c r="E1123" s="4" t="str">
        <f>IFERROR(VLOOKUP(B1123,infoTable__3[],4,FALSE),"")</f>
        <v/>
      </c>
      <c r="F1123" s="4" t="str">
        <f>IFERROR(VLOOKUP(B1123,infoTable__4[],4,FALSE),"")</f>
        <v/>
      </c>
      <c r="G1123" s="4" t="str">
        <f>IFERROR(VLOOKUP(B1123,infoTable[],4,FALSE),"")</f>
        <v/>
      </c>
      <c r="H1123" s="4" t="str">
        <f>IFERROR(VLOOKUP(B1123,infoTable__6[],4,FALSE),"")</f>
        <v/>
      </c>
      <c r="I1123" s="4" t="str">
        <f>IFERROR(VLOOKUP(B1123,infoTable__28[],4,FALSE),"")</f>
        <v/>
      </c>
      <c r="J1123" s="4" t="str">
        <f>IFERROR(VLOOKUP(B1123,infoTable__10[],4,FALSE),"")</f>
        <v/>
      </c>
      <c r="K1123" s="4">
        <f>IFERROR(VLOOKUP(B1123,infoTable__11[],4,FALSE),"")</f>
        <v>226246</v>
      </c>
      <c r="L1123" s="4" t="str">
        <f>IFERROR(VLOOKUP(B1123,infoTable__12[],4,FALSE),"")</f>
        <v/>
      </c>
      <c r="M1123" s="4" t="str">
        <f>IFERROR(VLOOKUP(B1123,infoTable__13[],4,FALSE),"")</f>
        <v/>
      </c>
      <c r="N1123" s="4" t="str">
        <f>IFERROR(VLOOKUP(B1123,infoTable__14[],4,FALSE),"")</f>
        <v/>
      </c>
      <c r="O1123" s="4">
        <f>IFERROR(VLOOKUP(B1123,infoTable__15[],4,FALSE),"")</f>
        <v>2116522</v>
      </c>
      <c r="P1123" s="4">
        <f>IFERROR(VLOOKUP(B1123,infoTable__16[],4,FALSE),"")</f>
        <v>3579286</v>
      </c>
    </row>
    <row r="1124" spans="1:16" x14ac:dyDescent="0.55000000000000004">
      <c r="A1124" t="s">
        <v>1682</v>
      </c>
      <c r="B1124" s="6" t="s">
        <v>1683</v>
      </c>
      <c r="C1124" s="4" t="str">
        <f>IFERROR(VLOOKUP(B1124,infoTable10[],4,FALSE),"")</f>
        <v/>
      </c>
      <c r="D1124" s="4" t="str">
        <f>IFERROR(VLOOKUP(B1124,infoTable__2[],4,FALSE),"")</f>
        <v/>
      </c>
      <c r="E1124" s="4" t="str">
        <f>IFERROR(VLOOKUP(B1124,infoTable__3[],4,FALSE),"")</f>
        <v/>
      </c>
      <c r="F1124" s="4" t="str">
        <f>IFERROR(VLOOKUP(B1124,infoTable__4[],4,FALSE),"")</f>
        <v/>
      </c>
      <c r="G1124" s="4" t="str">
        <f>IFERROR(VLOOKUP(B1124,infoTable[],4,FALSE),"")</f>
        <v/>
      </c>
      <c r="H1124" s="4" t="str">
        <f>IFERROR(VLOOKUP(B1124,infoTable__6[],4,FALSE),"")</f>
        <v/>
      </c>
      <c r="I1124" s="4" t="str">
        <f>IFERROR(VLOOKUP(B1124,infoTable__28[],4,FALSE),"")</f>
        <v/>
      </c>
      <c r="J1124" s="4">
        <f>IFERROR(VLOOKUP(B1124,infoTable__10[],4,FALSE),"")</f>
        <v>561488</v>
      </c>
      <c r="K1124" s="4">
        <f>IFERROR(VLOOKUP(B1124,infoTable__11[],4,FALSE),"")</f>
        <v>811043</v>
      </c>
      <c r="L1124" s="4" t="str">
        <f>IFERROR(VLOOKUP(B1124,infoTable__12[],4,FALSE),"")</f>
        <v/>
      </c>
      <c r="M1124" s="4" t="str">
        <f>IFERROR(VLOOKUP(B1124,infoTable__13[],4,FALSE),"")</f>
        <v/>
      </c>
      <c r="N1124" s="4" t="str">
        <f>IFERROR(VLOOKUP(B1124,infoTable__14[],4,FALSE),"")</f>
        <v/>
      </c>
      <c r="O1124" s="4" t="str">
        <f>IFERROR(VLOOKUP(B1124,infoTable__15[],4,FALSE),"")</f>
        <v/>
      </c>
      <c r="P1124" s="4" t="str">
        <f>IFERROR(VLOOKUP(B1124,infoTable__16[],4,FALSE),"")</f>
        <v/>
      </c>
    </row>
    <row r="1125" spans="1:16" x14ac:dyDescent="0.55000000000000004">
      <c r="A1125" t="s">
        <v>2845</v>
      </c>
      <c r="B1125" s="6" t="s">
        <v>2844</v>
      </c>
      <c r="C1125" s="4" t="str">
        <f>IFERROR(VLOOKUP(B1125,infoTable10[],4,FALSE),"")</f>
        <v/>
      </c>
      <c r="D1125" s="4" t="str">
        <f>IFERROR(VLOOKUP(B1125,infoTable__2[],4,FALSE),"")</f>
        <v/>
      </c>
      <c r="E1125" s="4" t="str">
        <f>IFERROR(VLOOKUP(B1125,infoTable__3[],4,FALSE),"")</f>
        <v/>
      </c>
      <c r="F1125" s="4" t="str">
        <f>IFERROR(VLOOKUP(B1125,infoTable__4[],4,FALSE),"")</f>
        <v/>
      </c>
      <c r="G1125" s="4" t="str">
        <f>IFERROR(VLOOKUP(B1125,infoTable[],4,FALSE),"")</f>
        <v/>
      </c>
      <c r="H1125" s="4" t="str">
        <f>IFERROR(VLOOKUP(B1125,infoTable__6[],4,FALSE),"")</f>
        <v/>
      </c>
      <c r="I1125" s="4" t="str">
        <f>IFERROR(VLOOKUP(B1125,infoTable__28[],4,FALSE),"")</f>
        <v/>
      </c>
      <c r="J1125" s="4" t="str">
        <f>IFERROR(VLOOKUP(B1125,infoTable__10[],4,FALSE),"")</f>
        <v/>
      </c>
      <c r="K1125" s="4" t="str">
        <f>IFERROR(VLOOKUP(B1125,infoTable__11[],4,FALSE),"")</f>
        <v/>
      </c>
      <c r="L1125" s="4" t="str">
        <f>IFERROR(VLOOKUP(B1125,infoTable__12[],4,FALSE),"")</f>
        <v/>
      </c>
      <c r="M1125" s="4" t="str">
        <f>IFERROR(VLOOKUP(B1125,infoTable__13[],4,FALSE),"")</f>
        <v/>
      </c>
      <c r="N1125" s="4">
        <f>IFERROR(VLOOKUP(B1125,infoTable__14[],4,FALSE),"")</f>
        <v>342101</v>
      </c>
      <c r="O1125" s="4">
        <f>IFERROR(VLOOKUP(B1125,infoTable__15[],4,FALSE),"")</f>
        <v>104947</v>
      </c>
      <c r="P1125" s="4" t="str">
        <f>IFERROR(VLOOKUP(B1125,infoTable__16[],4,FALSE),"")</f>
        <v/>
      </c>
    </row>
    <row r="1126" spans="1:16" x14ac:dyDescent="0.55000000000000004">
      <c r="A1126" t="s">
        <v>2224</v>
      </c>
      <c r="B1126" s="6" t="s">
        <v>2225</v>
      </c>
      <c r="C1126" s="4" t="str">
        <f>IFERROR(VLOOKUP(B1126,infoTable10[],4,FALSE),"")</f>
        <v/>
      </c>
      <c r="D1126" s="4" t="str">
        <f>IFERROR(VLOOKUP(B1126,infoTable__2[],4,FALSE),"")</f>
        <v/>
      </c>
      <c r="E1126" s="4" t="str">
        <f>IFERROR(VLOOKUP(B1126,infoTable__3[],4,FALSE),"")</f>
        <v/>
      </c>
      <c r="F1126" s="4" t="str">
        <f>IFERROR(VLOOKUP(B1126,infoTable__4[],4,FALSE),"")</f>
        <v/>
      </c>
      <c r="G1126" s="4" t="str">
        <f>IFERROR(VLOOKUP(B1126,infoTable[],4,FALSE),"")</f>
        <v/>
      </c>
      <c r="H1126" s="4" t="str">
        <f>IFERROR(VLOOKUP(B1126,infoTable__6[],4,FALSE),"")</f>
        <v/>
      </c>
      <c r="I1126" s="4" t="str">
        <f>IFERROR(VLOOKUP(B1126,infoTable__28[],4,FALSE),"")</f>
        <v/>
      </c>
      <c r="J1126" s="4" t="str">
        <f>IFERROR(VLOOKUP(B1126,infoTable__10[],4,FALSE),"")</f>
        <v/>
      </c>
      <c r="K1126" s="4" t="str">
        <f>IFERROR(VLOOKUP(B1126,infoTable__11[],4,FALSE),"")</f>
        <v/>
      </c>
      <c r="L1126" s="4">
        <f>IFERROR(VLOOKUP(B1126,infoTable__12[],4,FALSE),"")</f>
        <v>210484</v>
      </c>
      <c r="M1126" s="4">
        <f>IFERROR(VLOOKUP(B1126,infoTable__13[],4,FALSE),"")</f>
        <v>6786077</v>
      </c>
      <c r="N1126" s="4">
        <f>IFERROR(VLOOKUP(B1126,infoTable__14[],4,FALSE),"")</f>
        <v>5618952</v>
      </c>
      <c r="O1126" s="4">
        <f>IFERROR(VLOOKUP(B1126,infoTable__15[],4,FALSE),"")</f>
        <v>4232916</v>
      </c>
      <c r="P1126" s="4">
        <f>IFERROR(VLOOKUP(B1126,infoTable__16[],4,FALSE),"")</f>
        <v>3312952</v>
      </c>
    </row>
    <row r="1127" spans="1:16" x14ac:dyDescent="0.55000000000000004">
      <c r="A1127" t="s">
        <v>254</v>
      </c>
      <c r="B1127" s="6" t="s">
        <v>255</v>
      </c>
      <c r="C1127" s="4" t="str">
        <f>IFERROR(VLOOKUP(B1127,infoTable10[],4,FALSE),"")</f>
        <v/>
      </c>
      <c r="D1127" s="4" t="str">
        <f>IFERROR(VLOOKUP(B1127,infoTable__2[],4,FALSE),"")</f>
        <v/>
      </c>
      <c r="E1127" s="4" t="str">
        <f>IFERROR(VLOOKUP(B1127,infoTable__3[],4,FALSE),"")</f>
        <v/>
      </c>
      <c r="F1127" s="4">
        <f>IFERROR(VLOOKUP(B1127,infoTable__4[],4,FALSE),"")</f>
        <v>98373</v>
      </c>
      <c r="G1127" s="4">
        <f>IFERROR(VLOOKUP(B1127,infoTable[],4,FALSE),"")</f>
        <v>50151</v>
      </c>
      <c r="H1127" s="4" t="str">
        <f>IFERROR(VLOOKUP(B1127,infoTable__6[],4,FALSE),"")</f>
        <v/>
      </c>
      <c r="I1127" s="4" t="str">
        <f>IFERROR(VLOOKUP(B1127,infoTable__28[],4,FALSE),"")</f>
        <v/>
      </c>
      <c r="J1127" s="4" t="str">
        <f>IFERROR(VLOOKUP(B1127,infoTable__10[],4,FALSE),"")</f>
        <v/>
      </c>
      <c r="K1127" s="4" t="str">
        <f>IFERROR(VLOOKUP(B1127,infoTable__11[],4,FALSE),"")</f>
        <v/>
      </c>
      <c r="L1127" s="4" t="str">
        <f>IFERROR(VLOOKUP(B1127,infoTable__12[],4,FALSE),"")</f>
        <v/>
      </c>
      <c r="M1127" s="4" t="str">
        <f>IFERROR(VLOOKUP(B1127,infoTable__13[],4,FALSE),"")</f>
        <v/>
      </c>
      <c r="N1127" s="4" t="str">
        <f>IFERROR(VLOOKUP(B1127,infoTable__14[],4,FALSE),"")</f>
        <v/>
      </c>
      <c r="O1127" s="4" t="str">
        <f>IFERROR(VLOOKUP(B1127,infoTable__15[],4,FALSE),"")</f>
        <v/>
      </c>
      <c r="P1127" s="4" t="str">
        <f>IFERROR(VLOOKUP(B1127,infoTable__16[],4,FALSE),"")</f>
        <v/>
      </c>
    </row>
    <row r="1128" spans="1:16" x14ac:dyDescent="0.55000000000000004">
      <c r="A1128" t="s">
        <v>3441</v>
      </c>
      <c r="B1128" s="6" t="s">
        <v>3442</v>
      </c>
      <c r="C1128" s="4" t="str">
        <f>IFERROR(VLOOKUP(B1128,infoTable10[],4,FALSE),"")</f>
        <v/>
      </c>
      <c r="D1128" s="4" t="str">
        <f>IFERROR(VLOOKUP(B1128,infoTable__2[],4,FALSE),"")</f>
        <v/>
      </c>
      <c r="E1128" s="4" t="str">
        <f>IFERROR(VLOOKUP(B1128,infoTable__3[],4,FALSE),"")</f>
        <v/>
      </c>
      <c r="F1128" s="4" t="str">
        <f>IFERROR(VLOOKUP(B1128,infoTable__4[],4,FALSE),"")</f>
        <v/>
      </c>
      <c r="G1128" s="4" t="str">
        <f>IFERROR(VLOOKUP(B1128,infoTable[],4,FALSE),"")</f>
        <v/>
      </c>
      <c r="H1128" s="4" t="str">
        <f>IFERROR(VLOOKUP(B1128,infoTable__6[],4,FALSE),"")</f>
        <v/>
      </c>
      <c r="I1128" s="4" t="str">
        <f>IFERROR(VLOOKUP(B1128,infoTable__28[],4,FALSE),"")</f>
        <v/>
      </c>
      <c r="J1128" s="4" t="str">
        <f>IFERROR(VLOOKUP(B1128,infoTable__10[],4,FALSE),"")</f>
        <v/>
      </c>
      <c r="K1128" s="4" t="str">
        <f>IFERROR(VLOOKUP(B1128,infoTable__11[],4,FALSE),"")</f>
        <v/>
      </c>
      <c r="L1128" s="4" t="str">
        <f>IFERROR(VLOOKUP(B1128,infoTable__12[],4,FALSE),"")</f>
        <v/>
      </c>
      <c r="M1128" s="4" t="str">
        <f>IFERROR(VLOOKUP(B1128,infoTable__13[],4,FALSE),"")</f>
        <v/>
      </c>
      <c r="N1128" s="4" t="str">
        <f>IFERROR(VLOOKUP(B1128,infoTable__14[],4,FALSE),"")</f>
        <v/>
      </c>
      <c r="O1128" s="4" t="str">
        <f>IFERROR(VLOOKUP(B1128,infoTable__15[],4,FALSE),"")</f>
        <v/>
      </c>
      <c r="P1128" s="4">
        <f>IFERROR(VLOOKUP(B1128,infoTable__16[],4,FALSE),"")</f>
        <v>531310</v>
      </c>
    </row>
    <row r="1129" spans="1:16" x14ac:dyDescent="0.55000000000000004">
      <c r="A1129" t="s">
        <v>2492</v>
      </c>
      <c r="B1129" s="6" t="s">
        <v>2493</v>
      </c>
      <c r="C1129" s="4" t="str">
        <f>IFERROR(VLOOKUP(B1129,infoTable10[],4,FALSE),"")</f>
        <v/>
      </c>
      <c r="D1129" s="4" t="str">
        <f>IFERROR(VLOOKUP(B1129,infoTable__2[],4,FALSE),"")</f>
        <v/>
      </c>
      <c r="E1129" s="4" t="str">
        <f>IFERROR(VLOOKUP(B1129,infoTable__3[],4,FALSE),"")</f>
        <v/>
      </c>
      <c r="F1129" s="4" t="str">
        <f>IFERROR(VLOOKUP(B1129,infoTable__4[],4,FALSE),"")</f>
        <v/>
      </c>
      <c r="G1129" s="4" t="str">
        <f>IFERROR(VLOOKUP(B1129,infoTable[],4,FALSE),"")</f>
        <v/>
      </c>
      <c r="H1129" s="4" t="str">
        <f>IFERROR(VLOOKUP(B1129,infoTable__6[],4,FALSE),"")</f>
        <v/>
      </c>
      <c r="I1129" s="4" t="str">
        <f>IFERROR(VLOOKUP(B1129,infoTable__28[],4,FALSE),"")</f>
        <v/>
      </c>
      <c r="J1129" s="4" t="str">
        <f>IFERROR(VLOOKUP(B1129,infoTable__10[],4,FALSE),"")</f>
        <v/>
      </c>
      <c r="K1129" s="4" t="str">
        <f>IFERROR(VLOOKUP(B1129,infoTable__11[],4,FALSE),"")</f>
        <v/>
      </c>
      <c r="L1129" s="4" t="str">
        <f>IFERROR(VLOOKUP(B1129,infoTable__12[],4,FALSE),"")</f>
        <v/>
      </c>
      <c r="M1129" s="4">
        <f>IFERROR(VLOOKUP(B1129,infoTable__13[],4,FALSE),"")</f>
        <v>1065178</v>
      </c>
      <c r="N1129" s="4">
        <f>IFERROR(VLOOKUP(B1129,infoTable__14[],4,FALSE),"")</f>
        <v>1286617</v>
      </c>
      <c r="O1129" s="4">
        <f>IFERROR(VLOOKUP(B1129,infoTable__15[],4,FALSE),"")</f>
        <v>283831</v>
      </c>
      <c r="P1129" s="4" t="str">
        <f>IFERROR(VLOOKUP(B1129,infoTable__16[],4,FALSE),"")</f>
        <v/>
      </c>
    </row>
    <row r="1130" spans="1:16" x14ac:dyDescent="0.55000000000000004">
      <c r="A1130" t="s">
        <v>3396</v>
      </c>
      <c r="B1130" s="6" t="s">
        <v>3397</v>
      </c>
      <c r="C1130" s="4" t="str">
        <f>IFERROR(VLOOKUP(B1130,infoTable10[],4,FALSE),"")</f>
        <v/>
      </c>
      <c r="D1130" s="4" t="str">
        <f>IFERROR(VLOOKUP(B1130,infoTable__2[],4,FALSE),"")</f>
        <v/>
      </c>
      <c r="E1130" s="4" t="str">
        <f>IFERROR(VLOOKUP(B1130,infoTable__3[],4,FALSE),"")</f>
        <v/>
      </c>
      <c r="F1130" s="4" t="str">
        <f>IFERROR(VLOOKUP(B1130,infoTable__4[],4,FALSE),"")</f>
        <v/>
      </c>
      <c r="G1130" s="4" t="str">
        <f>IFERROR(VLOOKUP(B1130,infoTable[],4,FALSE),"")</f>
        <v/>
      </c>
      <c r="H1130" s="4" t="str">
        <f>IFERROR(VLOOKUP(B1130,infoTable__6[],4,FALSE),"")</f>
        <v/>
      </c>
      <c r="I1130" s="4" t="str">
        <f>IFERROR(VLOOKUP(B1130,infoTable__28[],4,FALSE),"")</f>
        <v/>
      </c>
      <c r="J1130" s="4" t="str">
        <f>IFERROR(VLOOKUP(B1130,infoTable__10[],4,FALSE),"")</f>
        <v/>
      </c>
      <c r="K1130" s="4" t="str">
        <f>IFERROR(VLOOKUP(B1130,infoTable__11[],4,FALSE),"")</f>
        <v/>
      </c>
      <c r="L1130" s="4" t="str">
        <f>IFERROR(VLOOKUP(B1130,infoTable__12[],4,FALSE),"")</f>
        <v/>
      </c>
      <c r="M1130" s="4" t="str">
        <f>IFERROR(VLOOKUP(B1130,infoTable__13[],4,FALSE),"")</f>
        <v/>
      </c>
      <c r="N1130" s="4" t="str">
        <f>IFERROR(VLOOKUP(B1130,infoTable__14[],4,FALSE),"")</f>
        <v/>
      </c>
      <c r="O1130" s="4" t="str">
        <f>IFERROR(VLOOKUP(B1130,infoTable__15[],4,FALSE),"")</f>
        <v/>
      </c>
      <c r="P1130" s="4">
        <f>IFERROR(VLOOKUP(B1130,infoTable__16[],4,FALSE),"")</f>
        <v>2051280</v>
      </c>
    </row>
    <row r="1131" spans="1:16" x14ac:dyDescent="0.55000000000000004">
      <c r="A1131" t="s">
        <v>600</v>
      </c>
      <c r="B1131" s="6" t="s">
        <v>601</v>
      </c>
      <c r="C1131" s="4" t="str">
        <f>IFERROR(VLOOKUP(B1131,infoTable10[],4,FALSE),"")</f>
        <v/>
      </c>
      <c r="D1131" s="4">
        <f>IFERROR(VLOOKUP(B1131,infoTable__2[],4,FALSE),"")</f>
        <v>2550536</v>
      </c>
      <c r="E1131" s="4" t="str">
        <f>IFERROR(VLOOKUP(B1131,infoTable__3[],4,FALSE),"")</f>
        <v/>
      </c>
      <c r="F1131" s="4" t="str">
        <f>IFERROR(VLOOKUP(B1131,infoTable__4[],4,FALSE),"")</f>
        <v/>
      </c>
      <c r="G1131" s="4" t="str">
        <f>IFERROR(VLOOKUP(B1131,infoTable[],4,FALSE),"")</f>
        <v/>
      </c>
      <c r="H1131" s="4" t="str">
        <f>IFERROR(VLOOKUP(B1131,infoTable__6[],4,FALSE),"")</f>
        <v/>
      </c>
      <c r="I1131" s="4" t="str">
        <f>IFERROR(VLOOKUP(B1131,infoTable__28[],4,FALSE),"")</f>
        <v/>
      </c>
      <c r="J1131" s="4" t="str">
        <f>IFERROR(VLOOKUP(B1131,infoTable__10[],4,FALSE),"")</f>
        <v/>
      </c>
      <c r="K1131" s="4" t="str">
        <f>IFERROR(VLOOKUP(B1131,infoTable__11[],4,FALSE),"")</f>
        <v/>
      </c>
      <c r="L1131" s="4" t="str">
        <f>IFERROR(VLOOKUP(B1131,infoTable__12[],4,FALSE),"")</f>
        <v/>
      </c>
      <c r="M1131" s="4" t="str">
        <f>IFERROR(VLOOKUP(B1131,infoTable__13[],4,FALSE),"")</f>
        <v/>
      </c>
      <c r="N1131" s="4">
        <f>IFERROR(VLOOKUP(B1131,infoTable__14[],4,FALSE),"")</f>
        <v>226668</v>
      </c>
      <c r="O1131" s="4">
        <f>IFERROR(VLOOKUP(B1131,infoTable__15[],4,FALSE),"")</f>
        <v>228500</v>
      </c>
      <c r="P1131" s="4" t="str">
        <f>IFERROR(VLOOKUP(B1131,infoTable__16[],4,FALSE),"")</f>
        <v/>
      </c>
    </row>
    <row r="1132" spans="1:16" x14ac:dyDescent="0.55000000000000004">
      <c r="A1132" t="s">
        <v>2230</v>
      </c>
      <c r="B1132" s="6" t="s">
        <v>2231</v>
      </c>
      <c r="C1132" s="4" t="str">
        <f>IFERROR(VLOOKUP(B1132,infoTable10[],4,FALSE),"")</f>
        <v/>
      </c>
      <c r="D1132" s="4" t="str">
        <f>IFERROR(VLOOKUP(B1132,infoTable__2[],4,FALSE),"")</f>
        <v/>
      </c>
      <c r="E1132" s="4" t="str">
        <f>IFERROR(VLOOKUP(B1132,infoTable__3[],4,FALSE),"")</f>
        <v/>
      </c>
      <c r="F1132" s="4" t="str">
        <f>IFERROR(VLOOKUP(B1132,infoTable__4[],4,FALSE),"")</f>
        <v/>
      </c>
      <c r="G1132" s="4" t="str">
        <f>IFERROR(VLOOKUP(B1132,infoTable[],4,FALSE),"")</f>
        <v/>
      </c>
      <c r="H1132" s="4" t="str">
        <f>IFERROR(VLOOKUP(B1132,infoTable__6[],4,FALSE),"")</f>
        <v/>
      </c>
      <c r="I1132" s="4" t="str">
        <f>IFERROR(VLOOKUP(B1132,infoTable__28[],4,FALSE),"")</f>
        <v/>
      </c>
      <c r="J1132" s="4" t="str">
        <f>IFERROR(VLOOKUP(B1132,infoTable__10[],4,FALSE),"")</f>
        <v/>
      </c>
      <c r="K1132" s="4" t="str">
        <f>IFERROR(VLOOKUP(B1132,infoTable__11[],4,FALSE),"")</f>
        <v/>
      </c>
      <c r="L1132" s="4">
        <f>IFERROR(VLOOKUP(B1132,infoTable__12[],4,FALSE),"")</f>
        <v>3639180</v>
      </c>
      <c r="M1132" s="4">
        <f>IFERROR(VLOOKUP(B1132,infoTable__13[],4,FALSE),"")</f>
        <v>3393483</v>
      </c>
      <c r="N1132" s="4" t="str">
        <f>IFERROR(VLOOKUP(B1132,infoTable__14[],4,FALSE),"")</f>
        <v/>
      </c>
      <c r="O1132" s="4" t="str">
        <f>IFERROR(VLOOKUP(B1132,infoTable__15[],4,FALSE),"")</f>
        <v/>
      </c>
      <c r="P1132" s="4" t="str">
        <f>IFERROR(VLOOKUP(B1132,infoTable__16[],4,FALSE),"")</f>
        <v/>
      </c>
    </row>
    <row r="1133" spans="1:16" x14ac:dyDescent="0.55000000000000004">
      <c r="A1133" t="s">
        <v>2847</v>
      </c>
      <c r="B1133" s="6" t="s">
        <v>2846</v>
      </c>
      <c r="C1133" s="4" t="str">
        <f>IFERROR(VLOOKUP(B1133,infoTable10[],4,FALSE),"")</f>
        <v/>
      </c>
      <c r="D1133" s="4" t="str">
        <f>IFERROR(VLOOKUP(B1133,infoTable__2[],4,FALSE),"")</f>
        <v/>
      </c>
      <c r="E1133" s="4" t="str">
        <f>IFERROR(VLOOKUP(B1133,infoTable__3[],4,FALSE),"")</f>
        <v/>
      </c>
      <c r="F1133" s="4" t="str">
        <f>IFERROR(VLOOKUP(B1133,infoTable__4[],4,FALSE),"")</f>
        <v/>
      </c>
      <c r="G1133" s="4" t="str">
        <f>IFERROR(VLOOKUP(B1133,infoTable[],4,FALSE),"")</f>
        <v/>
      </c>
      <c r="H1133" s="4" t="str">
        <f>IFERROR(VLOOKUP(B1133,infoTable__6[],4,FALSE),"")</f>
        <v/>
      </c>
      <c r="I1133" s="4" t="str">
        <f>IFERROR(VLOOKUP(B1133,infoTable__28[],4,FALSE),"")</f>
        <v/>
      </c>
      <c r="J1133" s="4" t="str">
        <f>IFERROR(VLOOKUP(B1133,infoTable__10[],4,FALSE),"")</f>
        <v/>
      </c>
      <c r="K1133" s="4" t="str">
        <f>IFERROR(VLOOKUP(B1133,infoTable__11[],4,FALSE),"")</f>
        <v/>
      </c>
      <c r="L1133" s="4" t="str">
        <f>IFERROR(VLOOKUP(B1133,infoTable__12[],4,FALSE),"")</f>
        <v/>
      </c>
      <c r="M1133" s="4" t="str">
        <f>IFERROR(VLOOKUP(B1133,infoTable__13[],4,FALSE),"")</f>
        <v/>
      </c>
      <c r="N1133" s="4">
        <f>IFERROR(VLOOKUP(B1133,infoTable__14[],4,FALSE),"")</f>
        <v>731278</v>
      </c>
      <c r="O1133" s="4">
        <f>IFERROR(VLOOKUP(B1133,infoTable__15[],4,FALSE),"")</f>
        <v>1054244</v>
      </c>
      <c r="P1133" s="4">
        <f>IFERROR(VLOOKUP(B1133,infoTable__16[],4,FALSE),"")</f>
        <v>2245127</v>
      </c>
    </row>
    <row r="1134" spans="1:16" x14ac:dyDescent="0.55000000000000004">
      <c r="A1134" t="s">
        <v>140</v>
      </c>
      <c r="B1134" s="6" t="s">
        <v>142</v>
      </c>
      <c r="C1134" s="4" t="str">
        <f>IFERROR(VLOOKUP(B1134,infoTable10[],4,FALSE),"")</f>
        <v/>
      </c>
      <c r="D1134" s="4" t="str">
        <f>IFERROR(VLOOKUP(B1134,infoTable__2[],4,FALSE),"")</f>
        <v/>
      </c>
      <c r="E1134" s="4" t="str">
        <f>IFERROR(VLOOKUP(B1134,infoTable__3[],4,FALSE),"")</f>
        <v/>
      </c>
      <c r="F1134" s="4" t="str">
        <f>IFERROR(VLOOKUP(B1134,infoTable__4[],4,FALSE),"")</f>
        <v/>
      </c>
      <c r="G1134" s="4">
        <f>IFERROR(VLOOKUP(B1134,infoTable[],4,FALSE),"")</f>
        <v>419312</v>
      </c>
      <c r="H1134" s="4" t="str">
        <f>IFERROR(VLOOKUP(B1134,infoTable__6[],4,FALSE),"")</f>
        <v/>
      </c>
      <c r="I1134" s="4">
        <f>IFERROR(VLOOKUP(B1134,infoTable__28[],4,FALSE),"")</f>
        <v>405780</v>
      </c>
      <c r="J1134" s="4" t="str">
        <f>IFERROR(VLOOKUP(B1134,infoTable__10[],4,FALSE),"")</f>
        <v/>
      </c>
      <c r="K1134" s="4" t="str">
        <f>IFERROR(VLOOKUP(B1134,infoTable__11[],4,FALSE),"")</f>
        <v/>
      </c>
      <c r="L1134" s="4">
        <f>IFERROR(VLOOKUP(B1134,infoTable__12[],4,FALSE),"")</f>
        <v>1546152</v>
      </c>
      <c r="M1134" s="4">
        <f>IFERROR(VLOOKUP(B1134,infoTable__13[],4,FALSE),"")</f>
        <v>529201</v>
      </c>
      <c r="N1134" s="4">
        <f>IFERROR(VLOOKUP(B1134,infoTable__14[],4,FALSE),"")</f>
        <v>902097</v>
      </c>
      <c r="O1134" s="4">
        <f>IFERROR(VLOOKUP(B1134,infoTable__15[],4,FALSE),"")</f>
        <v>1957580</v>
      </c>
      <c r="P1134" s="4">
        <f>IFERROR(VLOOKUP(B1134,infoTable__16[],4,FALSE),"")</f>
        <v>3040551</v>
      </c>
    </row>
    <row r="1135" spans="1:16" x14ac:dyDescent="0.55000000000000004">
      <c r="A1135" t="s">
        <v>3398</v>
      </c>
      <c r="B1135" s="6" t="s">
        <v>3399</v>
      </c>
      <c r="C1135" s="4" t="str">
        <f>IFERROR(VLOOKUP(B1135,infoTable10[],4,FALSE),"")</f>
        <v/>
      </c>
      <c r="D1135" s="4" t="str">
        <f>IFERROR(VLOOKUP(B1135,infoTable__2[],4,FALSE),"")</f>
        <v/>
      </c>
      <c r="E1135" s="4" t="str">
        <f>IFERROR(VLOOKUP(B1135,infoTable__3[],4,FALSE),"")</f>
        <v/>
      </c>
      <c r="F1135" s="4" t="str">
        <f>IFERROR(VLOOKUP(B1135,infoTable__4[],4,FALSE),"")</f>
        <v/>
      </c>
      <c r="G1135" s="4" t="str">
        <f>IFERROR(VLOOKUP(B1135,infoTable[],4,FALSE),"")</f>
        <v/>
      </c>
      <c r="H1135" s="4" t="str">
        <f>IFERROR(VLOOKUP(B1135,infoTable__6[],4,FALSE),"")</f>
        <v/>
      </c>
      <c r="I1135" s="4" t="str">
        <f>IFERROR(VLOOKUP(B1135,infoTable__28[],4,FALSE),"")</f>
        <v/>
      </c>
      <c r="J1135" s="4" t="str">
        <f>IFERROR(VLOOKUP(B1135,infoTable__10[],4,FALSE),"")</f>
        <v/>
      </c>
      <c r="K1135" s="4" t="str">
        <f>IFERROR(VLOOKUP(B1135,infoTable__11[],4,FALSE),"")</f>
        <v/>
      </c>
      <c r="L1135" s="4" t="str">
        <f>IFERROR(VLOOKUP(B1135,infoTable__12[],4,FALSE),"")</f>
        <v/>
      </c>
      <c r="M1135" s="4" t="str">
        <f>IFERROR(VLOOKUP(B1135,infoTable__13[],4,FALSE),"")</f>
        <v/>
      </c>
      <c r="N1135" s="4" t="str">
        <f>IFERROR(VLOOKUP(B1135,infoTable__14[],4,FALSE),"")</f>
        <v/>
      </c>
      <c r="O1135" s="4" t="str">
        <f>IFERROR(VLOOKUP(B1135,infoTable__15[],4,FALSE),"")</f>
        <v/>
      </c>
      <c r="P1135" s="4">
        <f>IFERROR(VLOOKUP(B1135,infoTable__16[],4,FALSE),"")</f>
        <v>29880</v>
      </c>
    </row>
    <row r="1136" spans="1:16" x14ac:dyDescent="0.55000000000000004">
      <c r="A1136" t="s">
        <v>270</v>
      </c>
      <c r="B1136" s="6" t="s">
        <v>271</v>
      </c>
      <c r="C1136" s="4">
        <f>IFERROR(VLOOKUP(B1136,infoTable10[],4,FALSE),"")</f>
        <v>1043074</v>
      </c>
      <c r="D1136" s="4" t="str">
        <f>IFERROR(VLOOKUP(B1136,infoTable__2[],4,FALSE),"")</f>
        <v/>
      </c>
      <c r="E1136" s="4" t="str">
        <f>IFERROR(VLOOKUP(B1136,infoTable__3[],4,FALSE),"")</f>
        <v/>
      </c>
      <c r="F1136" s="4" t="str">
        <f>IFERROR(VLOOKUP(B1136,infoTable__4[],4,FALSE),"")</f>
        <v/>
      </c>
      <c r="G1136" s="4">
        <f>IFERROR(VLOOKUP(B1136,infoTable[],4,FALSE),"")</f>
        <v>467482</v>
      </c>
      <c r="H1136" s="4">
        <f>IFERROR(VLOOKUP(B1136,infoTable__6[],4,FALSE),"")</f>
        <v>2681522</v>
      </c>
      <c r="I1136" s="4">
        <f>IFERROR(VLOOKUP(B1136,infoTable__28[],4,FALSE),"")</f>
        <v>2729932</v>
      </c>
      <c r="J1136" s="4">
        <f>IFERROR(VLOOKUP(B1136,infoTable__10[],4,FALSE),"")</f>
        <v>3182531</v>
      </c>
      <c r="K1136" s="4" t="str">
        <f>IFERROR(VLOOKUP(B1136,infoTable__11[],4,FALSE),"")</f>
        <v/>
      </c>
      <c r="L1136" s="4" t="str">
        <f>IFERROR(VLOOKUP(B1136,infoTable__12[],4,FALSE),"")</f>
        <v/>
      </c>
      <c r="M1136" s="4" t="str">
        <f>IFERROR(VLOOKUP(B1136,infoTable__13[],4,FALSE),"")</f>
        <v/>
      </c>
      <c r="N1136" s="4" t="str">
        <f>IFERROR(VLOOKUP(B1136,infoTable__14[],4,FALSE),"")</f>
        <v/>
      </c>
      <c r="O1136" s="4" t="str">
        <f>IFERROR(VLOOKUP(B1136,infoTable__15[],4,FALSE),"")</f>
        <v/>
      </c>
      <c r="P1136" s="4" t="str">
        <f>IFERROR(VLOOKUP(B1136,infoTable__16[],4,FALSE),"")</f>
        <v/>
      </c>
    </row>
    <row r="1137" spans="1:16" x14ac:dyDescent="0.55000000000000004">
      <c r="A1137" t="s">
        <v>2240</v>
      </c>
      <c r="B1137" s="6" t="s">
        <v>2241</v>
      </c>
      <c r="C1137" s="4" t="str">
        <f>IFERROR(VLOOKUP(B1137,infoTable10[],4,FALSE),"")</f>
        <v/>
      </c>
      <c r="D1137" s="4" t="str">
        <f>IFERROR(VLOOKUP(B1137,infoTable__2[],4,FALSE),"")</f>
        <v/>
      </c>
      <c r="E1137" s="4" t="str">
        <f>IFERROR(VLOOKUP(B1137,infoTable__3[],4,FALSE),"")</f>
        <v/>
      </c>
      <c r="F1137" s="4" t="str">
        <f>IFERROR(VLOOKUP(B1137,infoTable__4[],4,FALSE),"")</f>
        <v/>
      </c>
      <c r="G1137" s="4" t="str">
        <f>IFERROR(VLOOKUP(B1137,infoTable[],4,FALSE),"")</f>
        <v/>
      </c>
      <c r="H1137" s="4" t="str">
        <f>IFERROR(VLOOKUP(B1137,infoTable__6[],4,FALSE),"")</f>
        <v/>
      </c>
      <c r="I1137" s="4" t="str">
        <f>IFERROR(VLOOKUP(B1137,infoTable__28[],4,FALSE),"")</f>
        <v/>
      </c>
      <c r="J1137" s="4" t="str">
        <f>IFERROR(VLOOKUP(B1137,infoTable__10[],4,FALSE),"")</f>
        <v/>
      </c>
      <c r="K1137" s="4" t="str">
        <f>IFERROR(VLOOKUP(B1137,infoTable__11[],4,FALSE),"")</f>
        <v/>
      </c>
      <c r="L1137" s="4">
        <f>IFERROR(VLOOKUP(B1137,infoTable__12[],4,FALSE),"")</f>
        <v>575924</v>
      </c>
      <c r="M1137" s="4">
        <f>IFERROR(VLOOKUP(B1137,infoTable__13[],4,FALSE),"")</f>
        <v>1090596</v>
      </c>
      <c r="N1137" s="4">
        <f>IFERROR(VLOOKUP(B1137,infoTable__14[],4,FALSE),"")</f>
        <v>882896</v>
      </c>
      <c r="O1137" s="4">
        <f>IFERROR(VLOOKUP(B1137,infoTable__15[],4,FALSE),"")</f>
        <v>1504158</v>
      </c>
      <c r="P1137" s="4">
        <f>IFERROR(VLOOKUP(B1137,infoTable__16[],4,FALSE),"")</f>
        <v>1901870</v>
      </c>
    </row>
    <row r="1138" spans="1:16" x14ac:dyDescent="0.55000000000000004">
      <c r="A1138" t="s">
        <v>262</v>
      </c>
      <c r="B1138" s="6" t="s">
        <v>263</v>
      </c>
      <c r="C1138" s="4" t="str">
        <f>IFERROR(VLOOKUP(B1138,infoTable10[],4,FALSE),"")</f>
        <v/>
      </c>
      <c r="D1138" s="4" t="str">
        <f>IFERROR(VLOOKUP(B1138,infoTable__2[],4,FALSE),"")</f>
        <v/>
      </c>
      <c r="E1138" s="4" t="str">
        <f>IFERROR(VLOOKUP(B1138,infoTable__3[],4,FALSE),"")</f>
        <v/>
      </c>
      <c r="F1138" s="4" t="str">
        <f>IFERROR(VLOOKUP(B1138,infoTable__4[],4,FALSE),"")</f>
        <v/>
      </c>
      <c r="G1138" s="4">
        <f>IFERROR(VLOOKUP(B1138,infoTable[],4,FALSE),"")</f>
        <v>341514</v>
      </c>
      <c r="H1138" s="4">
        <f>IFERROR(VLOOKUP(B1138,infoTable__6[],4,FALSE),"")</f>
        <v>1513412</v>
      </c>
      <c r="I1138" s="4">
        <f>IFERROR(VLOOKUP(B1138,infoTable__28[],4,FALSE),"")</f>
        <v>4009312</v>
      </c>
      <c r="J1138" s="4">
        <f>IFERROR(VLOOKUP(B1138,infoTable__10[],4,FALSE),"")</f>
        <v>4148859</v>
      </c>
      <c r="K1138" s="4" t="str">
        <f>IFERROR(VLOOKUP(B1138,infoTable__11[],4,FALSE),"")</f>
        <v/>
      </c>
      <c r="L1138" s="4">
        <f>IFERROR(VLOOKUP(B1138,infoTable__12[],4,FALSE),"")</f>
        <v>4469597</v>
      </c>
      <c r="M1138" s="4">
        <f>IFERROR(VLOOKUP(B1138,infoTable__13[],4,FALSE),"")</f>
        <v>9164578</v>
      </c>
      <c r="N1138" s="4">
        <f>IFERROR(VLOOKUP(B1138,infoTable__14[],4,FALSE),"")</f>
        <v>10142064</v>
      </c>
      <c r="O1138" s="4">
        <f>IFERROR(VLOOKUP(B1138,infoTable__15[],4,FALSE),"")</f>
        <v>279900</v>
      </c>
      <c r="P1138" s="4" t="str">
        <f>IFERROR(VLOOKUP(B1138,infoTable__16[],4,FALSE),"")</f>
        <v/>
      </c>
    </row>
    <row r="1139" spans="1:16" x14ac:dyDescent="0.55000000000000004">
      <c r="A1139" t="s">
        <v>1922</v>
      </c>
      <c r="B1139" s="6" t="s">
        <v>1923</v>
      </c>
      <c r="C1139" s="4" t="str">
        <f>IFERROR(VLOOKUP(B1139,infoTable10[],4,FALSE),"")</f>
        <v/>
      </c>
      <c r="D1139" s="4" t="str">
        <f>IFERROR(VLOOKUP(B1139,infoTable__2[],4,FALSE),"")</f>
        <v/>
      </c>
      <c r="E1139" s="4" t="str">
        <f>IFERROR(VLOOKUP(B1139,infoTable__3[],4,FALSE),"")</f>
        <v/>
      </c>
      <c r="F1139" s="4" t="str">
        <f>IFERROR(VLOOKUP(B1139,infoTable__4[],4,FALSE),"")</f>
        <v/>
      </c>
      <c r="G1139" s="4" t="str">
        <f>IFERROR(VLOOKUP(B1139,infoTable[],4,FALSE),"")</f>
        <v/>
      </c>
      <c r="H1139" s="4" t="str">
        <f>IFERROR(VLOOKUP(B1139,infoTable__6[],4,FALSE),"")</f>
        <v/>
      </c>
      <c r="I1139" s="4" t="str">
        <f>IFERROR(VLOOKUP(B1139,infoTable__28[],4,FALSE),"")</f>
        <v/>
      </c>
      <c r="J1139" s="4" t="str">
        <f>IFERROR(VLOOKUP(B1139,infoTable__10[],4,FALSE),"")</f>
        <v/>
      </c>
      <c r="K1139" s="4">
        <f>IFERROR(VLOOKUP(B1139,infoTable__11[],4,FALSE),"")</f>
        <v>2820074</v>
      </c>
      <c r="L1139" s="4">
        <f>IFERROR(VLOOKUP(B1139,infoTable__12[],4,FALSE),"")</f>
        <v>222993</v>
      </c>
      <c r="M1139" s="4" t="str">
        <f>IFERROR(VLOOKUP(B1139,infoTable__13[],4,FALSE),"")</f>
        <v/>
      </c>
      <c r="N1139" s="4" t="str">
        <f>IFERROR(VLOOKUP(B1139,infoTable__14[],4,FALSE),"")</f>
        <v/>
      </c>
      <c r="O1139" s="4" t="str">
        <f>IFERROR(VLOOKUP(B1139,infoTable__15[],4,FALSE),"")</f>
        <v/>
      </c>
      <c r="P1139" s="4" t="str">
        <f>IFERROR(VLOOKUP(B1139,infoTable__16[],4,FALSE),"")</f>
        <v/>
      </c>
    </row>
    <row r="1140" spans="1:16" x14ac:dyDescent="0.55000000000000004">
      <c r="A1140" t="s">
        <v>604</v>
      </c>
      <c r="B1140" s="6" t="s">
        <v>605</v>
      </c>
      <c r="C1140" s="4" t="str">
        <f>IFERROR(VLOOKUP(B1140,infoTable10[],4,FALSE),"")</f>
        <v/>
      </c>
      <c r="D1140" s="4">
        <f>IFERROR(VLOOKUP(B1140,infoTable__2[],4,FALSE),"")</f>
        <v>101189</v>
      </c>
      <c r="E1140" s="4" t="str">
        <f>IFERROR(VLOOKUP(B1140,infoTable__3[],4,FALSE),"")</f>
        <v/>
      </c>
      <c r="F1140" s="4" t="str">
        <f>IFERROR(VLOOKUP(B1140,infoTable__4[],4,FALSE),"")</f>
        <v/>
      </c>
      <c r="G1140" s="4" t="str">
        <f>IFERROR(VLOOKUP(B1140,infoTable[],4,FALSE),"")</f>
        <v/>
      </c>
      <c r="H1140" s="4" t="str">
        <f>IFERROR(VLOOKUP(B1140,infoTable__6[],4,FALSE),"")</f>
        <v/>
      </c>
      <c r="I1140" s="4" t="str">
        <f>IFERROR(VLOOKUP(B1140,infoTable__28[],4,FALSE),"")</f>
        <v/>
      </c>
      <c r="J1140" s="4" t="str">
        <f>IFERROR(VLOOKUP(B1140,infoTable__10[],4,FALSE),"")</f>
        <v/>
      </c>
      <c r="K1140" s="4" t="str">
        <f>IFERROR(VLOOKUP(B1140,infoTable__11[],4,FALSE),"")</f>
        <v/>
      </c>
      <c r="L1140" s="4" t="str">
        <f>IFERROR(VLOOKUP(B1140,infoTable__12[],4,FALSE),"")</f>
        <v/>
      </c>
      <c r="M1140" s="4" t="str">
        <f>IFERROR(VLOOKUP(B1140,infoTable__13[],4,FALSE),"")</f>
        <v/>
      </c>
      <c r="N1140" s="4" t="str">
        <f>IFERROR(VLOOKUP(B1140,infoTable__14[],4,FALSE),"")</f>
        <v/>
      </c>
      <c r="O1140" s="4" t="str">
        <f>IFERROR(VLOOKUP(B1140,infoTable__15[],4,FALSE),"")</f>
        <v/>
      </c>
      <c r="P1140" s="4" t="str">
        <f>IFERROR(VLOOKUP(B1140,infoTable__16[],4,FALSE),"")</f>
        <v/>
      </c>
    </row>
    <row r="1141" spans="1:16" x14ac:dyDescent="0.55000000000000004">
      <c r="A1141" t="s">
        <v>608</v>
      </c>
      <c r="B1141" s="6" t="s">
        <v>609</v>
      </c>
      <c r="C1141" s="4" t="str">
        <f>IFERROR(VLOOKUP(B1141,infoTable10[],4,FALSE),"")</f>
        <v/>
      </c>
      <c r="D1141" s="4">
        <f>IFERROR(VLOOKUP(B1141,infoTable__2[],4,FALSE),"")</f>
        <v>3082678</v>
      </c>
      <c r="E1141" s="4">
        <f>IFERROR(VLOOKUP(B1141,infoTable__3[],4,FALSE),"")</f>
        <v>6050514</v>
      </c>
      <c r="F1141" s="4">
        <f>IFERROR(VLOOKUP(B1141,infoTable__4[],4,FALSE),"")</f>
        <v>1018932</v>
      </c>
      <c r="G1141" s="4" t="str">
        <f>IFERROR(VLOOKUP(B1141,infoTable[],4,FALSE),"")</f>
        <v/>
      </c>
      <c r="H1141" s="4" t="str">
        <f>IFERROR(VLOOKUP(B1141,infoTable__6[],4,FALSE),"")</f>
        <v/>
      </c>
      <c r="I1141" s="4" t="str">
        <f>IFERROR(VLOOKUP(B1141,infoTable__28[],4,FALSE),"")</f>
        <v/>
      </c>
      <c r="J1141" s="4" t="str">
        <f>IFERROR(VLOOKUP(B1141,infoTable__10[],4,FALSE),"")</f>
        <v/>
      </c>
      <c r="K1141" s="4" t="str">
        <f>IFERROR(VLOOKUP(B1141,infoTable__11[],4,FALSE),"")</f>
        <v/>
      </c>
      <c r="L1141" s="4" t="str">
        <f>IFERROR(VLOOKUP(B1141,infoTable__12[],4,FALSE),"")</f>
        <v/>
      </c>
      <c r="M1141" s="4" t="str">
        <f>IFERROR(VLOOKUP(B1141,infoTable__13[],4,FALSE),"")</f>
        <v/>
      </c>
      <c r="N1141" s="4" t="str">
        <f>IFERROR(VLOOKUP(B1141,infoTable__14[],4,FALSE),"")</f>
        <v/>
      </c>
      <c r="O1141" s="4" t="str">
        <f>IFERROR(VLOOKUP(B1141,infoTable__15[],4,FALSE),"")</f>
        <v/>
      </c>
      <c r="P1141" s="4" t="str">
        <f>IFERROR(VLOOKUP(B1141,infoTable__16[],4,FALSE),"")</f>
        <v/>
      </c>
    </row>
    <row r="1142" spans="1:16" x14ac:dyDescent="0.55000000000000004">
      <c r="A1142" t="s">
        <v>610</v>
      </c>
      <c r="B1142" s="6" t="s">
        <v>611</v>
      </c>
      <c r="C1142" s="4" t="str">
        <f>IFERROR(VLOOKUP(B1142,infoTable10[],4,FALSE),"")</f>
        <v/>
      </c>
      <c r="D1142" s="4">
        <f>IFERROR(VLOOKUP(B1142,infoTable__2[],4,FALSE),"")</f>
        <v>747208</v>
      </c>
      <c r="E1142" s="4">
        <f>IFERROR(VLOOKUP(B1142,infoTable__3[],4,FALSE),"")</f>
        <v>1191147</v>
      </c>
      <c r="F1142" s="4" t="str">
        <f>IFERROR(VLOOKUP(B1142,infoTable__4[],4,FALSE),"")</f>
        <v/>
      </c>
      <c r="G1142" s="4" t="str">
        <f>IFERROR(VLOOKUP(B1142,infoTable[],4,FALSE),"")</f>
        <v/>
      </c>
      <c r="H1142" s="4" t="str">
        <f>IFERROR(VLOOKUP(B1142,infoTable__6[],4,FALSE),"")</f>
        <v/>
      </c>
      <c r="I1142" s="4" t="str">
        <f>IFERROR(VLOOKUP(B1142,infoTable__28[],4,FALSE),"")</f>
        <v/>
      </c>
      <c r="J1142" s="4" t="str">
        <f>IFERROR(VLOOKUP(B1142,infoTable__10[],4,FALSE),"")</f>
        <v/>
      </c>
      <c r="K1142" s="4" t="str">
        <f>IFERROR(VLOOKUP(B1142,infoTable__11[],4,FALSE),"")</f>
        <v/>
      </c>
      <c r="L1142" s="4" t="str">
        <f>IFERROR(VLOOKUP(B1142,infoTable__12[],4,FALSE),"")</f>
        <v/>
      </c>
      <c r="M1142" s="4" t="str">
        <f>IFERROR(VLOOKUP(B1142,infoTable__13[],4,FALSE),"")</f>
        <v/>
      </c>
      <c r="N1142" s="4" t="str">
        <f>IFERROR(VLOOKUP(B1142,infoTable__14[],4,FALSE),"")</f>
        <v/>
      </c>
      <c r="O1142" s="4" t="str">
        <f>IFERROR(VLOOKUP(B1142,infoTable__15[],4,FALSE),"")</f>
        <v/>
      </c>
      <c r="P1142" s="4" t="str">
        <f>IFERROR(VLOOKUP(B1142,infoTable__16[],4,FALSE),"")</f>
        <v/>
      </c>
    </row>
    <row r="1143" spans="1:16" x14ac:dyDescent="0.55000000000000004">
      <c r="A1143" t="s">
        <v>612</v>
      </c>
      <c r="B1143" s="6" t="s">
        <v>613</v>
      </c>
      <c r="C1143" s="4" t="str">
        <f>IFERROR(VLOOKUP(B1143,infoTable10[],4,FALSE),"")</f>
        <v/>
      </c>
      <c r="D1143" s="4">
        <f>IFERROR(VLOOKUP(B1143,infoTable__2[],4,FALSE),"")</f>
        <v>2439255</v>
      </c>
      <c r="E1143" s="4">
        <f>IFERROR(VLOOKUP(B1143,infoTable__3[],4,FALSE),"")</f>
        <v>2753185</v>
      </c>
      <c r="F1143" s="4" t="str">
        <f>IFERROR(VLOOKUP(B1143,infoTable__4[],4,FALSE),"")</f>
        <v/>
      </c>
      <c r="G1143" s="4" t="str">
        <f>IFERROR(VLOOKUP(B1143,infoTable[],4,FALSE),"")</f>
        <v/>
      </c>
      <c r="H1143" s="4" t="str">
        <f>IFERROR(VLOOKUP(B1143,infoTable__6[],4,FALSE),"")</f>
        <v/>
      </c>
      <c r="I1143" s="4" t="str">
        <f>IFERROR(VLOOKUP(B1143,infoTable__28[],4,FALSE),"")</f>
        <v/>
      </c>
      <c r="J1143" s="4" t="str">
        <f>IFERROR(VLOOKUP(B1143,infoTable__10[],4,FALSE),"")</f>
        <v/>
      </c>
      <c r="K1143" s="4" t="str">
        <f>IFERROR(VLOOKUP(B1143,infoTable__11[],4,FALSE),"")</f>
        <v/>
      </c>
      <c r="L1143" s="4" t="str">
        <f>IFERROR(VLOOKUP(B1143,infoTable__12[],4,FALSE),"")</f>
        <v/>
      </c>
      <c r="M1143" s="4" t="str">
        <f>IFERROR(VLOOKUP(B1143,infoTable__13[],4,FALSE),"")</f>
        <v/>
      </c>
      <c r="N1143" s="4" t="str">
        <f>IFERROR(VLOOKUP(B1143,infoTable__14[],4,FALSE),"")</f>
        <v/>
      </c>
      <c r="O1143" s="4" t="str">
        <f>IFERROR(VLOOKUP(B1143,infoTable__15[],4,FALSE),"")</f>
        <v/>
      </c>
      <c r="P1143" s="4" t="str">
        <f>IFERROR(VLOOKUP(B1143,infoTable__16[],4,FALSE),"")</f>
        <v/>
      </c>
    </row>
    <row r="1144" spans="1:16" x14ac:dyDescent="0.55000000000000004">
      <c r="A1144" t="s">
        <v>2234</v>
      </c>
      <c r="B1144" t="s">
        <v>2235</v>
      </c>
      <c r="C1144" s="4" t="str">
        <f>IFERROR(VLOOKUP(B1144,infoTable10[],4,FALSE),"")</f>
        <v/>
      </c>
      <c r="D1144" s="4" t="str">
        <f>IFERROR(VLOOKUP(B1144,infoTable__2[],4,FALSE),"")</f>
        <v/>
      </c>
      <c r="E1144" s="4" t="str">
        <f>IFERROR(VLOOKUP(B1144,infoTable__3[],4,FALSE),"")</f>
        <v/>
      </c>
      <c r="F1144" s="4" t="str">
        <f>IFERROR(VLOOKUP(B1144,infoTable__4[],4,FALSE),"")</f>
        <v/>
      </c>
      <c r="G1144" s="4" t="str">
        <f>IFERROR(VLOOKUP(B1144,infoTable[],4,FALSE),"")</f>
        <v/>
      </c>
      <c r="H1144" s="4" t="str">
        <f>IFERROR(VLOOKUP(B1144,infoTable__6[],4,FALSE),"")</f>
        <v/>
      </c>
      <c r="I1144" s="4" t="str">
        <f>IFERROR(VLOOKUP(B1144,infoTable__28[],4,FALSE),"")</f>
        <v/>
      </c>
      <c r="J1144" s="4" t="str">
        <f>IFERROR(VLOOKUP(B1144,infoTable__10[],4,FALSE),"")</f>
        <v/>
      </c>
      <c r="K1144" s="4" t="str">
        <f>IFERROR(VLOOKUP(B1144,infoTable__11[],4,FALSE),"")</f>
        <v/>
      </c>
      <c r="L1144" s="4">
        <f>IFERROR(VLOOKUP(B1144,infoTable__12[],4,FALSE),"")</f>
        <v>208388</v>
      </c>
      <c r="M1144" s="4" t="str">
        <f>IFERROR(VLOOKUP(B1144,infoTable__13[],4,FALSE),"")</f>
        <v/>
      </c>
      <c r="N1144" s="4" t="str">
        <f>IFERROR(VLOOKUP(B1144,infoTable__14[],4,FALSE),"")</f>
        <v/>
      </c>
      <c r="O1144" s="4" t="str">
        <f>IFERROR(VLOOKUP(B1144,infoTable__15[],4,FALSE),"")</f>
        <v/>
      </c>
      <c r="P1144" s="4" t="str">
        <f>IFERROR(VLOOKUP(B1144,infoTable__16[],4,FALSE),"")</f>
        <v/>
      </c>
    </row>
    <row r="1145" spans="1:16" x14ac:dyDescent="0.55000000000000004">
      <c r="A1145" t="s">
        <v>858</v>
      </c>
      <c r="B1145" t="s">
        <v>859</v>
      </c>
      <c r="C1145" s="4" t="str">
        <f>IFERROR(VLOOKUP(B1145,infoTable10[],4,FALSE),"")</f>
        <v/>
      </c>
      <c r="D1145" s="4" t="str">
        <f>IFERROR(VLOOKUP(B1145,infoTable__2[],4,FALSE),"")</f>
        <v/>
      </c>
      <c r="E1145" s="4" t="str">
        <f>IFERROR(VLOOKUP(B1145,infoTable__3[],4,FALSE),"")</f>
        <v/>
      </c>
      <c r="F1145" s="4">
        <f>IFERROR(VLOOKUP(B1145,infoTable__4[],4,FALSE),"")</f>
        <v>468979</v>
      </c>
      <c r="G1145" s="4" t="str">
        <f>IFERROR(VLOOKUP(B1145,infoTable[],4,FALSE),"")</f>
        <v/>
      </c>
      <c r="H1145" s="4" t="str">
        <f>IFERROR(VLOOKUP(B1145,infoTable__6[],4,FALSE),"")</f>
        <v/>
      </c>
      <c r="I1145" s="4" t="str">
        <f>IFERROR(VLOOKUP(B1145,infoTable__28[],4,FALSE),"")</f>
        <v/>
      </c>
      <c r="J1145" s="4" t="str">
        <f>IFERROR(VLOOKUP(B1145,infoTable__10[],4,FALSE),"")</f>
        <v/>
      </c>
      <c r="K1145" s="4" t="str">
        <f>IFERROR(VLOOKUP(B1145,infoTable__11[],4,FALSE),"")</f>
        <v/>
      </c>
      <c r="L1145" s="4">
        <f>IFERROR(VLOOKUP(B1145,infoTable__12[],4,FALSE),"")</f>
        <v>233928</v>
      </c>
      <c r="M1145" s="4" t="str">
        <f>IFERROR(VLOOKUP(B1145,infoTable__13[],4,FALSE),"")</f>
        <v/>
      </c>
      <c r="N1145" s="4" t="str">
        <f>IFERROR(VLOOKUP(B1145,infoTable__14[],4,FALSE),"")</f>
        <v/>
      </c>
      <c r="O1145" s="4" t="str">
        <f>IFERROR(VLOOKUP(B1145,infoTable__15[],4,FALSE),"")</f>
        <v/>
      </c>
      <c r="P1145" s="4" t="str">
        <f>IFERROR(VLOOKUP(B1145,infoTable__16[],4,FALSE),"")</f>
        <v/>
      </c>
    </row>
    <row r="1146" spans="1:16" x14ac:dyDescent="0.55000000000000004">
      <c r="A1146" t="s">
        <v>266</v>
      </c>
      <c r="B1146" t="s">
        <v>267</v>
      </c>
      <c r="C1146" s="4" t="str">
        <f>IFERROR(VLOOKUP(B1146,infoTable10[],4,FALSE),"")</f>
        <v/>
      </c>
      <c r="D1146" s="4" t="str">
        <f>IFERROR(VLOOKUP(B1146,infoTable__2[],4,FALSE),"")</f>
        <v/>
      </c>
      <c r="E1146" s="4" t="str">
        <f>IFERROR(VLOOKUP(B1146,infoTable__3[],4,FALSE),"")</f>
        <v/>
      </c>
      <c r="F1146" s="4" t="str">
        <f>IFERROR(VLOOKUP(B1146,infoTable__4[],4,FALSE),"")</f>
        <v/>
      </c>
      <c r="G1146" s="4">
        <f>IFERROR(VLOOKUP(B1146,infoTable[],4,FALSE),"")</f>
        <v>496991</v>
      </c>
      <c r="H1146" s="4" t="str">
        <f>IFERROR(VLOOKUP(B1146,infoTable__6[],4,FALSE),"")</f>
        <v/>
      </c>
      <c r="I1146" s="4" t="str">
        <f>IFERROR(VLOOKUP(B1146,infoTable__28[],4,FALSE),"")</f>
        <v/>
      </c>
      <c r="J1146" s="4" t="str">
        <f>IFERROR(VLOOKUP(B1146,infoTable__10[],4,FALSE),"")</f>
        <v/>
      </c>
      <c r="K1146" s="4" t="str">
        <f>IFERROR(VLOOKUP(B1146,infoTable__11[],4,FALSE),"")</f>
        <v/>
      </c>
      <c r="L1146" s="4">
        <f>IFERROR(VLOOKUP(B1146,infoTable__12[],4,FALSE),"")</f>
        <v>441112</v>
      </c>
      <c r="M1146" s="4">
        <f>IFERROR(VLOOKUP(B1146,infoTable__13[],4,FALSE),"")</f>
        <v>419912</v>
      </c>
      <c r="N1146" s="4">
        <f>IFERROR(VLOOKUP(B1146,infoTable__14[],4,FALSE),"")</f>
        <v>777241</v>
      </c>
      <c r="O1146" s="4" t="str">
        <f>IFERROR(VLOOKUP(B1146,infoTable__15[],4,FALSE),"")</f>
        <v/>
      </c>
      <c r="P1146" s="4" t="str">
        <f>IFERROR(VLOOKUP(B1146,infoTable__16[],4,FALSE),"")</f>
        <v/>
      </c>
    </row>
    <row r="1147" spans="1:16" x14ac:dyDescent="0.55000000000000004">
      <c r="A1147" t="s">
        <v>2849</v>
      </c>
      <c r="B1147" t="s">
        <v>2848</v>
      </c>
      <c r="C1147" s="4" t="str">
        <f>IFERROR(VLOOKUP(B1147,infoTable10[],4,FALSE),"")</f>
        <v/>
      </c>
      <c r="D1147" s="4" t="str">
        <f>IFERROR(VLOOKUP(B1147,infoTable__2[],4,FALSE),"")</f>
        <v/>
      </c>
      <c r="E1147" s="4" t="str">
        <f>IFERROR(VLOOKUP(B1147,infoTable__3[],4,FALSE),"")</f>
        <v/>
      </c>
      <c r="F1147" s="4" t="str">
        <f>IFERROR(VLOOKUP(B1147,infoTable__4[],4,FALSE),"")</f>
        <v/>
      </c>
      <c r="G1147" s="4" t="str">
        <f>IFERROR(VLOOKUP(B1147,infoTable[],4,FALSE),"")</f>
        <v/>
      </c>
      <c r="H1147" s="4" t="str">
        <f>IFERROR(VLOOKUP(B1147,infoTable__6[],4,FALSE),"")</f>
        <v/>
      </c>
      <c r="I1147" s="4" t="str">
        <f>IFERROR(VLOOKUP(B1147,infoTable__28[],4,FALSE),"")</f>
        <v/>
      </c>
      <c r="J1147" s="4" t="str">
        <f>IFERROR(VLOOKUP(B1147,infoTable__10[],4,FALSE),"")</f>
        <v/>
      </c>
      <c r="K1147" s="4" t="str">
        <f>IFERROR(VLOOKUP(B1147,infoTable__11[],4,FALSE),"")</f>
        <v/>
      </c>
      <c r="L1147" s="4" t="str">
        <f>IFERROR(VLOOKUP(B1147,infoTable__12[],4,FALSE),"")</f>
        <v/>
      </c>
      <c r="M1147" s="4" t="str">
        <f>IFERROR(VLOOKUP(B1147,infoTable__13[],4,FALSE),"")</f>
        <v/>
      </c>
      <c r="N1147" s="4">
        <f>IFERROR(VLOOKUP(B1147,infoTable__14[],4,FALSE),"")</f>
        <v>620693</v>
      </c>
      <c r="O1147" s="4">
        <f>IFERROR(VLOOKUP(B1147,infoTable__15[],4,FALSE),"")</f>
        <v>284004</v>
      </c>
      <c r="P1147" s="4" t="str">
        <f>IFERROR(VLOOKUP(B1147,infoTable__16[],4,FALSE),"")</f>
        <v/>
      </c>
    </row>
    <row r="1148" spans="1:16" x14ac:dyDescent="0.55000000000000004">
      <c r="A1148" t="s">
        <v>2500</v>
      </c>
      <c r="B1148" t="s">
        <v>2501</v>
      </c>
      <c r="C1148" s="4" t="str">
        <f>IFERROR(VLOOKUP(B1148,infoTable10[],4,FALSE),"")</f>
        <v/>
      </c>
      <c r="D1148" s="4" t="str">
        <f>IFERROR(VLOOKUP(B1148,infoTable__2[],4,FALSE),"")</f>
        <v/>
      </c>
      <c r="E1148" s="4" t="str">
        <f>IFERROR(VLOOKUP(B1148,infoTable__3[],4,FALSE),"")</f>
        <v/>
      </c>
      <c r="F1148" s="4" t="str">
        <f>IFERROR(VLOOKUP(B1148,infoTable__4[],4,FALSE),"")</f>
        <v/>
      </c>
      <c r="G1148" s="4" t="str">
        <f>IFERROR(VLOOKUP(B1148,infoTable[],4,FALSE),"")</f>
        <v/>
      </c>
      <c r="H1148" s="4" t="str">
        <f>IFERROR(VLOOKUP(B1148,infoTable__6[],4,FALSE),"")</f>
        <v/>
      </c>
      <c r="I1148" s="4" t="str">
        <f>IFERROR(VLOOKUP(B1148,infoTable__28[],4,FALSE),"")</f>
        <v/>
      </c>
      <c r="J1148" s="4" t="str">
        <f>IFERROR(VLOOKUP(B1148,infoTable__10[],4,FALSE),"")</f>
        <v/>
      </c>
      <c r="K1148" s="4" t="str">
        <f>IFERROR(VLOOKUP(B1148,infoTable__11[],4,FALSE),"")</f>
        <v/>
      </c>
      <c r="L1148" s="4" t="str">
        <f>IFERROR(VLOOKUP(B1148,infoTable__12[],4,FALSE),"")</f>
        <v/>
      </c>
      <c r="M1148" s="4">
        <f>IFERROR(VLOOKUP(B1148,infoTable__13[],4,FALSE),"")</f>
        <v>5288588</v>
      </c>
      <c r="N1148" s="4">
        <f>IFERROR(VLOOKUP(B1148,infoTable__14[],4,FALSE),"")</f>
        <v>6291704</v>
      </c>
      <c r="O1148" s="4">
        <f>IFERROR(VLOOKUP(B1148,infoTable__15[],4,FALSE),"")</f>
        <v>7521509</v>
      </c>
      <c r="P1148" s="4">
        <f>IFERROR(VLOOKUP(B1148,infoTable__16[],4,FALSE),"")</f>
        <v>5594500</v>
      </c>
    </row>
    <row r="1149" spans="1:16" x14ac:dyDescent="0.55000000000000004">
      <c r="A1149" t="s">
        <v>1513</v>
      </c>
      <c r="B1149" t="s">
        <v>1514</v>
      </c>
      <c r="C1149" s="4">
        <f>IFERROR(VLOOKUP(B1149,infoTable10[],4,FALSE),"")</f>
        <v>501029</v>
      </c>
      <c r="D1149" s="4" t="str">
        <f>IFERROR(VLOOKUP(B1149,infoTable__2[],4,FALSE),"")</f>
        <v/>
      </c>
      <c r="E1149" s="4" t="str">
        <f>IFERROR(VLOOKUP(B1149,infoTable__3[],4,FALSE),"")</f>
        <v/>
      </c>
      <c r="F1149" s="4" t="str">
        <f>IFERROR(VLOOKUP(B1149,infoTable__4[],4,FALSE),"")</f>
        <v/>
      </c>
      <c r="G1149" s="4" t="str">
        <f>IFERROR(VLOOKUP(B1149,infoTable[],4,FALSE),"")</f>
        <v/>
      </c>
      <c r="H1149" s="4" t="str">
        <f>IFERROR(VLOOKUP(B1149,infoTable__6[],4,FALSE),"")</f>
        <v/>
      </c>
      <c r="I1149" s="4" t="str">
        <f>IFERROR(VLOOKUP(B1149,infoTable__28[],4,FALSE),"")</f>
        <v/>
      </c>
      <c r="J1149" s="4" t="str">
        <f>IFERROR(VLOOKUP(B1149,infoTable__10[],4,FALSE),"")</f>
        <v/>
      </c>
      <c r="K1149" s="4" t="str">
        <f>IFERROR(VLOOKUP(B1149,infoTable__11[],4,FALSE),"")</f>
        <v/>
      </c>
      <c r="L1149" s="4" t="str">
        <f>IFERROR(VLOOKUP(B1149,infoTable__12[],4,FALSE),"")</f>
        <v/>
      </c>
      <c r="M1149" s="4" t="str">
        <f>IFERROR(VLOOKUP(B1149,infoTable__13[],4,FALSE),"")</f>
        <v/>
      </c>
      <c r="N1149" s="4" t="str">
        <f>IFERROR(VLOOKUP(B1149,infoTable__14[],4,FALSE),"")</f>
        <v/>
      </c>
      <c r="O1149" s="4">
        <f>IFERROR(VLOOKUP(B1149,infoTable__15[],4,FALSE),"")</f>
        <v>356826</v>
      </c>
      <c r="P1149" s="4">
        <f>IFERROR(VLOOKUP(B1149,infoTable__16[],4,FALSE),"")</f>
        <v>264007</v>
      </c>
    </row>
    <row r="1150" spans="1:16" x14ac:dyDescent="0.55000000000000004">
      <c r="A1150" t="s">
        <v>2851</v>
      </c>
      <c r="B1150" t="s">
        <v>2850</v>
      </c>
      <c r="C1150" s="4" t="str">
        <f>IFERROR(VLOOKUP(B1150,infoTable10[],4,FALSE),"")</f>
        <v/>
      </c>
      <c r="D1150" s="4" t="str">
        <f>IFERROR(VLOOKUP(B1150,infoTable__2[],4,FALSE),"")</f>
        <v/>
      </c>
      <c r="E1150" s="4" t="str">
        <f>IFERROR(VLOOKUP(B1150,infoTable__3[],4,FALSE),"")</f>
        <v/>
      </c>
      <c r="F1150" s="4" t="str">
        <f>IFERROR(VLOOKUP(B1150,infoTable__4[],4,FALSE),"")</f>
        <v/>
      </c>
      <c r="G1150" s="4" t="str">
        <f>IFERROR(VLOOKUP(B1150,infoTable[],4,FALSE),"")</f>
        <v/>
      </c>
      <c r="H1150" s="4" t="str">
        <f>IFERROR(VLOOKUP(B1150,infoTable__6[],4,FALSE),"")</f>
        <v/>
      </c>
      <c r="I1150" s="4" t="str">
        <f>IFERROR(VLOOKUP(B1150,infoTable__28[],4,FALSE),"")</f>
        <v/>
      </c>
      <c r="J1150" s="4" t="str">
        <f>IFERROR(VLOOKUP(B1150,infoTable__10[],4,FALSE),"")</f>
        <v/>
      </c>
      <c r="K1150" s="4" t="str">
        <f>IFERROR(VLOOKUP(B1150,infoTable__11[],4,FALSE),"")</f>
        <v/>
      </c>
      <c r="L1150" s="4" t="str">
        <f>IFERROR(VLOOKUP(B1150,infoTable__12[],4,FALSE),"")</f>
        <v/>
      </c>
      <c r="M1150" s="4" t="str">
        <f>IFERROR(VLOOKUP(B1150,infoTable__13[],4,FALSE),"")</f>
        <v/>
      </c>
      <c r="N1150" s="4">
        <f>IFERROR(VLOOKUP(B1150,infoTable__14[],4,FALSE),"")</f>
        <v>585382</v>
      </c>
      <c r="O1150" s="4">
        <f>IFERROR(VLOOKUP(B1150,infoTable__15[],4,FALSE),"")</f>
        <v>264109</v>
      </c>
      <c r="P1150" s="4">
        <f>IFERROR(VLOOKUP(B1150,infoTable__16[],4,FALSE),"")</f>
        <v>1374227</v>
      </c>
    </row>
    <row r="1151" spans="1:16" x14ac:dyDescent="0.55000000000000004">
      <c r="A1151" t="s">
        <v>758</v>
      </c>
      <c r="B1151" t="s">
        <v>759</v>
      </c>
      <c r="C1151" s="4" t="str">
        <f>IFERROR(VLOOKUP(B1151,infoTable10[],4,FALSE),"")</f>
        <v/>
      </c>
      <c r="D1151" s="4" t="str">
        <f>IFERROR(VLOOKUP(B1151,infoTable__2[],4,FALSE),"")</f>
        <v/>
      </c>
      <c r="E1151" s="4">
        <f>IFERROR(VLOOKUP(B1151,infoTable__3[],4,FALSE),"")</f>
        <v>8683647</v>
      </c>
      <c r="F1151" s="4">
        <f>IFERROR(VLOOKUP(B1151,infoTable__4[],4,FALSE),"")</f>
        <v>3055190</v>
      </c>
      <c r="G1151" s="4" t="str">
        <f>IFERROR(VLOOKUP(B1151,infoTable[],4,FALSE),"")</f>
        <v/>
      </c>
      <c r="H1151" s="4" t="str">
        <f>IFERROR(VLOOKUP(B1151,infoTable__6[],4,FALSE),"")</f>
        <v/>
      </c>
      <c r="I1151" s="4" t="str">
        <f>IFERROR(VLOOKUP(B1151,infoTable__28[],4,FALSE),"")</f>
        <v/>
      </c>
      <c r="J1151" s="4" t="str">
        <f>IFERROR(VLOOKUP(B1151,infoTable__10[],4,FALSE),"")</f>
        <v/>
      </c>
      <c r="K1151" s="4" t="str">
        <f>IFERROR(VLOOKUP(B1151,infoTable__11[],4,FALSE),"")</f>
        <v/>
      </c>
      <c r="L1151" s="4" t="str">
        <f>IFERROR(VLOOKUP(B1151,infoTable__12[],4,FALSE),"")</f>
        <v/>
      </c>
      <c r="M1151" s="4">
        <f>IFERROR(VLOOKUP(B1151,infoTable__13[],4,FALSE),"")</f>
        <v>1119738</v>
      </c>
      <c r="N1151" s="4">
        <f>IFERROR(VLOOKUP(B1151,infoTable__14[],4,FALSE),"")</f>
        <v>1334640</v>
      </c>
      <c r="O1151" s="4" t="str">
        <f>IFERROR(VLOOKUP(B1151,infoTable__15[],4,FALSE),"")</f>
        <v/>
      </c>
      <c r="P1151" s="4" t="str">
        <f>IFERROR(VLOOKUP(B1151,infoTable__16[],4,FALSE),"")</f>
        <v/>
      </c>
    </row>
    <row r="1152" spans="1:16" x14ac:dyDescent="0.55000000000000004">
      <c r="A1152" t="s">
        <v>614</v>
      </c>
      <c r="B1152" t="s">
        <v>615</v>
      </c>
      <c r="C1152" s="4" t="str">
        <f>IFERROR(VLOOKUP(B1152,infoTable10[],4,FALSE),"")</f>
        <v/>
      </c>
      <c r="D1152" s="4">
        <f>IFERROR(VLOOKUP(B1152,infoTable__2[],4,FALSE),"")</f>
        <v>2950337</v>
      </c>
      <c r="E1152" s="4">
        <f>IFERROR(VLOOKUP(B1152,infoTable__3[],4,FALSE),"")</f>
        <v>6644998</v>
      </c>
      <c r="F1152" s="4">
        <f>IFERROR(VLOOKUP(B1152,infoTable__4[],4,FALSE),"")</f>
        <v>2843066</v>
      </c>
      <c r="G1152" s="4" t="str">
        <f>IFERROR(VLOOKUP(B1152,infoTable[],4,FALSE),"")</f>
        <v/>
      </c>
      <c r="H1152" s="4" t="str">
        <f>IFERROR(VLOOKUP(B1152,infoTable__6[],4,FALSE),"")</f>
        <v/>
      </c>
      <c r="I1152" s="4" t="str">
        <f>IFERROR(VLOOKUP(B1152,infoTable__28[],4,FALSE),"")</f>
        <v/>
      </c>
      <c r="J1152" s="4" t="str">
        <f>IFERROR(VLOOKUP(B1152,infoTable__10[],4,FALSE),"")</f>
        <v/>
      </c>
      <c r="K1152" s="4" t="str">
        <f>IFERROR(VLOOKUP(B1152,infoTable__11[],4,FALSE),"")</f>
        <v/>
      </c>
      <c r="L1152" s="4" t="str">
        <f>IFERROR(VLOOKUP(B1152,infoTable__12[],4,FALSE),"")</f>
        <v/>
      </c>
      <c r="M1152" s="4" t="str">
        <f>IFERROR(VLOOKUP(B1152,infoTable__13[],4,FALSE),"")</f>
        <v/>
      </c>
      <c r="N1152" s="4" t="str">
        <f>IFERROR(VLOOKUP(B1152,infoTable__14[],4,FALSE),"")</f>
        <v/>
      </c>
      <c r="O1152" s="4" t="str">
        <f>IFERROR(VLOOKUP(B1152,infoTable__15[],4,FALSE),"")</f>
        <v/>
      </c>
      <c r="P1152" s="4" t="str">
        <f>IFERROR(VLOOKUP(B1152,infoTable__16[],4,FALSE),"")</f>
        <v/>
      </c>
    </row>
    <row r="1153" spans="1:16" x14ac:dyDescent="0.55000000000000004">
      <c r="A1153" t="s">
        <v>3081</v>
      </c>
      <c r="B1153" t="s">
        <v>3082</v>
      </c>
      <c r="C1153" s="4" t="str">
        <f>IFERROR(VLOOKUP(B1153,infoTable10[],4,FALSE),"")</f>
        <v/>
      </c>
      <c r="D1153" s="4" t="str">
        <f>IFERROR(VLOOKUP(B1153,infoTable__2[],4,FALSE),"")</f>
        <v/>
      </c>
      <c r="E1153" s="4" t="str">
        <f>IFERROR(VLOOKUP(B1153,infoTable__3[],4,FALSE),"")</f>
        <v/>
      </c>
      <c r="F1153" s="4" t="str">
        <f>IFERROR(VLOOKUP(B1153,infoTable__4[],4,FALSE),"")</f>
        <v/>
      </c>
      <c r="G1153" s="4" t="str">
        <f>IFERROR(VLOOKUP(B1153,infoTable[],4,FALSE),"")</f>
        <v/>
      </c>
      <c r="H1153" s="4" t="str">
        <f>IFERROR(VLOOKUP(B1153,infoTable__6[],4,FALSE),"")</f>
        <v/>
      </c>
      <c r="I1153" s="4" t="str">
        <f>IFERROR(VLOOKUP(B1153,infoTable__28[],4,FALSE),"")</f>
        <v/>
      </c>
      <c r="J1153" s="4" t="str">
        <f>IFERROR(VLOOKUP(B1153,infoTable__10[],4,FALSE),"")</f>
        <v/>
      </c>
      <c r="K1153" s="4" t="str">
        <f>IFERROR(VLOOKUP(B1153,infoTable__11[],4,FALSE),"")</f>
        <v/>
      </c>
      <c r="L1153" s="4" t="str">
        <f>IFERROR(VLOOKUP(B1153,infoTable__12[],4,FALSE),"")</f>
        <v/>
      </c>
      <c r="M1153" s="4" t="str">
        <f>IFERROR(VLOOKUP(B1153,infoTable__13[],4,FALSE),"")</f>
        <v/>
      </c>
      <c r="N1153" s="4" t="str">
        <f>IFERROR(VLOOKUP(B1153,infoTable__14[],4,FALSE),"")</f>
        <v/>
      </c>
      <c r="O1153" s="4">
        <f>IFERROR(VLOOKUP(B1153,infoTable__15[],4,FALSE),"")</f>
        <v>996291</v>
      </c>
      <c r="P1153" s="4">
        <f>IFERROR(VLOOKUP(B1153,infoTable__16[],4,FALSE),"")</f>
        <v>4054113</v>
      </c>
    </row>
    <row r="1154" spans="1:16" x14ac:dyDescent="0.55000000000000004">
      <c r="A1154" t="s">
        <v>1924</v>
      </c>
      <c r="B1154" t="s">
        <v>1925</v>
      </c>
      <c r="C1154" s="4" t="str">
        <f>IFERROR(VLOOKUP(B1154,infoTable10[],4,FALSE),"")</f>
        <v/>
      </c>
      <c r="D1154" s="4" t="str">
        <f>IFERROR(VLOOKUP(B1154,infoTable__2[],4,FALSE),"")</f>
        <v/>
      </c>
      <c r="E1154" s="4" t="str">
        <f>IFERROR(VLOOKUP(B1154,infoTable__3[],4,FALSE),"")</f>
        <v/>
      </c>
      <c r="F1154" s="4" t="str">
        <f>IFERROR(VLOOKUP(B1154,infoTable__4[],4,FALSE),"")</f>
        <v/>
      </c>
      <c r="G1154" s="4" t="str">
        <f>IFERROR(VLOOKUP(B1154,infoTable[],4,FALSE),"")</f>
        <v/>
      </c>
      <c r="H1154" s="4" t="str">
        <f>IFERROR(VLOOKUP(B1154,infoTable__6[],4,FALSE),"")</f>
        <v/>
      </c>
      <c r="I1154" s="4" t="str">
        <f>IFERROR(VLOOKUP(B1154,infoTable__28[],4,FALSE),"")</f>
        <v/>
      </c>
      <c r="J1154" s="4" t="str">
        <f>IFERROR(VLOOKUP(B1154,infoTable__10[],4,FALSE),"")</f>
        <v/>
      </c>
      <c r="K1154" s="4">
        <f>IFERROR(VLOOKUP(B1154,infoTable__11[],4,FALSE),"")</f>
        <v>3033397</v>
      </c>
      <c r="L1154" s="4">
        <f>IFERROR(VLOOKUP(B1154,infoTable__12[],4,FALSE),"")</f>
        <v>2130892</v>
      </c>
      <c r="M1154" s="4" t="str">
        <f>IFERROR(VLOOKUP(B1154,infoTable__13[],4,FALSE),"")</f>
        <v/>
      </c>
      <c r="N1154" s="4" t="str">
        <f>IFERROR(VLOOKUP(B1154,infoTable__14[],4,FALSE),"")</f>
        <v/>
      </c>
      <c r="O1154" s="4">
        <f>IFERROR(VLOOKUP(B1154,infoTable__15[],4,FALSE),"")</f>
        <v>1291145</v>
      </c>
      <c r="P1154" s="4" t="str">
        <f>IFERROR(VLOOKUP(B1154,infoTable__16[],4,FALSE),"")</f>
        <v/>
      </c>
    </row>
    <row r="1155" spans="1:16" x14ac:dyDescent="0.55000000000000004">
      <c r="A1155" t="s">
        <v>2238</v>
      </c>
      <c r="B1155" t="s">
        <v>2239</v>
      </c>
      <c r="C1155" s="4" t="str">
        <f>IFERROR(VLOOKUP(B1155,infoTable10[],4,FALSE),"")</f>
        <v/>
      </c>
      <c r="D1155" s="4" t="str">
        <f>IFERROR(VLOOKUP(B1155,infoTable__2[],4,FALSE),"")</f>
        <v/>
      </c>
      <c r="E1155" s="4" t="str">
        <f>IFERROR(VLOOKUP(B1155,infoTable__3[],4,FALSE),"")</f>
        <v/>
      </c>
      <c r="F1155" s="4" t="str">
        <f>IFERROR(VLOOKUP(B1155,infoTable__4[],4,FALSE),"")</f>
        <v/>
      </c>
      <c r="G1155" s="4" t="str">
        <f>IFERROR(VLOOKUP(B1155,infoTable[],4,FALSE),"")</f>
        <v/>
      </c>
      <c r="H1155" s="4" t="str">
        <f>IFERROR(VLOOKUP(B1155,infoTable__6[],4,FALSE),"")</f>
        <v/>
      </c>
      <c r="I1155" s="4" t="str">
        <f>IFERROR(VLOOKUP(B1155,infoTable__28[],4,FALSE),"")</f>
        <v/>
      </c>
      <c r="J1155" s="4" t="str">
        <f>IFERROR(VLOOKUP(B1155,infoTable__10[],4,FALSE),"")</f>
        <v/>
      </c>
      <c r="K1155" s="4" t="str">
        <f>IFERROR(VLOOKUP(B1155,infoTable__11[],4,FALSE),"")</f>
        <v/>
      </c>
      <c r="L1155" s="4">
        <f>IFERROR(VLOOKUP(B1155,infoTable__12[],4,FALSE),"")</f>
        <v>2896339</v>
      </c>
      <c r="M1155" s="4">
        <f>IFERROR(VLOOKUP(B1155,infoTable__13[],4,FALSE),"")</f>
        <v>2493708</v>
      </c>
      <c r="N1155" s="4">
        <f>IFERROR(VLOOKUP(B1155,infoTable__14[],4,FALSE),"")</f>
        <v>1566647</v>
      </c>
      <c r="O1155" s="4">
        <f>IFERROR(VLOOKUP(B1155,infoTable__15[],4,FALSE),"")</f>
        <v>217482</v>
      </c>
      <c r="P1155" s="4" t="str">
        <f>IFERROR(VLOOKUP(B1155,infoTable__16[],4,FALSE),"")</f>
        <v/>
      </c>
    </row>
    <row r="1156" spans="1:16" x14ac:dyDescent="0.55000000000000004">
      <c r="A1156" t="s">
        <v>616</v>
      </c>
      <c r="B1156" t="s">
        <v>617</v>
      </c>
      <c r="C1156" s="4" t="str">
        <f>IFERROR(VLOOKUP(B1156,infoTable10[],4,FALSE),"")</f>
        <v/>
      </c>
      <c r="D1156" s="4">
        <f>IFERROR(VLOOKUP(B1156,infoTable__2[],4,FALSE),"")</f>
        <v>1571351</v>
      </c>
      <c r="E1156" s="4">
        <f>IFERROR(VLOOKUP(B1156,infoTable__3[],4,FALSE),"")</f>
        <v>934646</v>
      </c>
      <c r="F1156" s="4" t="str">
        <f>IFERROR(VLOOKUP(B1156,infoTable__4[],4,FALSE),"")</f>
        <v/>
      </c>
      <c r="G1156" s="4" t="str">
        <f>IFERROR(VLOOKUP(B1156,infoTable[],4,FALSE),"")</f>
        <v/>
      </c>
      <c r="H1156" s="4" t="str">
        <f>IFERROR(VLOOKUP(B1156,infoTable__6[],4,FALSE),"")</f>
        <v/>
      </c>
      <c r="I1156" s="4" t="str">
        <f>IFERROR(VLOOKUP(B1156,infoTable__28[],4,FALSE),"")</f>
        <v/>
      </c>
      <c r="J1156" s="4" t="str">
        <f>IFERROR(VLOOKUP(B1156,infoTable__10[],4,FALSE),"")</f>
        <v/>
      </c>
      <c r="K1156" s="4" t="str">
        <f>IFERROR(VLOOKUP(B1156,infoTable__11[],4,FALSE),"")</f>
        <v/>
      </c>
      <c r="L1156" s="4" t="str">
        <f>IFERROR(VLOOKUP(B1156,infoTable__12[],4,FALSE),"")</f>
        <v/>
      </c>
      <c r="M1156" s="4" t="str">
        <f>IFERROR(VLOOKUP(B1156,infoTable__13[],4,FALSE),"")</f>
        <v/>
      </c>
      <c r="N1156" s="4" t="str">
        <f>IFERROR(VLOOKUP(B1156,infoTable__14[],4,FALSE),"")</f>
        <v/>
      </c>
      <c r="O1156" s="4" t="str">
        <f>IFERROR(VLOOKUP(B1156,infoTable__15[],4,FALSE),"")</f>
        <v/>
      </c>
      <c r="P1156" s="4">
        <f>IFERROR(VLOOKUP(B1156,infoTable__16[],4,FALSE),"")</f>
        <v>254439</v>
      </c>
    </row>
    <row r="1157" spans="1:16" x14ac:dyDescent="0.55000000000000004">
      <c r="A1157" t="s">
        <v>1927</v>
      </c>
      <c r="B1157" t="s">
        <v>1928</v>
      </c>
      <c r="C1157" s="4" t="str">
        <f>IFERROR(VLOOKUP(B1157,infoTable10[],4,FALSE),"")</f>
        <v/>
      </c>
      <c r="D1157" s="4" t="str">
        <f>IFERROR(VLOOKUP(B1157,infoTable__2[],4,FALSE),"")</f>
        <v/>
      </c>
      <c r="E1157" s="4" t="str">
        <f>IFERROR(VLOOKUP(B1157,infoTable__3[],4,FALSE),"")</f>
        <v/>
      </c>
      <c r="F1157" s="4" t="str">
        <f>IFERROR(VLOOKUP(B1157,infoTable__4[],4,FALSE),"")</f>
        <v/>
      </c>
      <c r="G1157" s="4" t="str">
        <f>IFERROR(VLOOKUP(B1157,infoTable[],4,FALSE),"")</f>
        <v/>
      </c>
      <c r="H1157" s="4" t="str">
        <f>IFERROR(VLOOKUP(B1157,infoTable__6[],4,FALSE),"")</f>
        <v/>
      </c>
      <c r="I1157" s="4" t="str">
        <f>IFERROR(VLOOKUP(B1157,infoTable__28[],4,FALSE),"")</f>
        <v/>
      </c>
      <c r="J1157" s="4" t="str">
        <f>IFERROR(VLOOKUP(B1157,infoTable__10[],4,FALSE),"")</f>
        <v/>
      </c>
      <c r="K1157" s="4">
        <f>IFERROR(VLOOKUP(B1157,infoTable__11[],4,FALSE),"")</f>
        <v>338793</v>
      </c>
      <c r="L1157" s="4" t="str">
        <f>IFERROR(VLOOKUP(B1157,infoTable__12[],4,FALSE),"")</f>
        <v/>
      </c>
      <c r="M1157" s="4" t="str">
        <f>IFERROR(VLOOKUP(B1157,infoTable__13[],4,FALSE),"")</f>
        <v/>
      </c>
      <c r="N1157" s="4" t="str">
        <f>IFERROR(VLOOKUP(B1157,infoTable__14[],4,FALSE),"")</f>
        <v/>
      </c>
      <c r="O1157" s="4" t="str">
        <f>IFERROR(VLOOKUP(B1157,infoTable__15[],4,FALSE),"")</f>
        <v/>
      </c>
      <c r="P1157" s="4" t="str">
        <f>IFERROR(VLOOKUP(B1157,infoTable__16[],4,FALSE),"")</f>
        <v/>
      </c>
    </row>
    <row r="1158" spans="1:16" x14ac:dyDescent="0.55000000000000004">
      <c r="A1158" t="s">
        <v>3407</v>
      </c>
      <c r="B1158" t="s">
        <v>3408</v>
      </c>
      <c r="C1158" s="4" t="str">
        <f>IFERROR(VLOOKUP(B1158,infoTable10[],4,FALSE),"")</f>
        <v/>
      </c>
      <c r="D1158" s="4" t="str">
        <f>IFERROR(VLOOKUP(B1158,infoTable__2[],4,FALSE),"")</f>
        <v/>
      </c>
      <c r="E1158" s="4" t="str">
        <f>IFERROR(VLOOKUP(B1158,infoTable__3[],4,FALSE),"")</f>
        <v/>
      </c>
      <c r="F1158" s="4" t="str">
        <f>IFERROR(VLOOKUP(B1158,infoTable__4[],4,FALSE),"")</f>
        <v/>
      </c>
      <c r="G1158" s="4" t="str">
        <f>IFERROR(VLOOKUP(B1158,infoTable[],4,FALSE),"")</f>
        <v/>
      </c>
      <c r="H1158" s="4" t="str">
        <f>IFERROR(VLOOKUP(B1158,infoTable__6[],4,FALSE),"")</f>
        <v/>
      </c>
      <c r="I1158" s="4" t="str">
        <f>IFERROR(VLOOKUP(B1158,infoTable__28[],4,FALSE),"")</f>
        <v/>
      </c>
      <c r="J1158" s="4" t="str">
        <f>IFERROR(VLOOKUP(B1158,infoTable__10[],4,FALSE),"")</f>
        <v/>
      </c>
      <c r="K1158" s="4" t="str">
        <f>IFERROR(VLOOKUP(B1158,infoTable__11[],4,FALSE),"")</f>
        <v/>
      </c>
      <c r="L1158" s="4" t="str">
        <f>IFERROR(VLOOKUP(B1158,infoTable__12[],4,FALSE),"")</f>
        <v/>
      </c>
      <c r="M1158" s="4" t="str">
        <f>IFERROR(VLOOKUP(B1158,infoTable__13[],4,FALSE),"")</f>
        <v/>
      </c>
      <c r="N1158" s="4" t="str">
        <f>IFERROR(VLOOKUP(B1158,infoTable__14[],4,FALSE),"")</f>
        <v/>
      </c>
      <c r="O1158" s="4" t="str">
        <f>IFERROR(VLOOKUP(B1158,infoTable__15[],4,FALSE),"")</f>
        <v/>
      </c>
      <c r="P1158" s="4">
        <f>IFERROR(VLOOKUP(B1158,infoTable__16[],4,FALSE),"")</f>
        <v>1174164</v>
      </c>
    </row>
    <row r="1159" spans="1:16" x14ac:dyDescent="0.55000000000000004">
      <c r="A1159" t="s">
        <v>1308</v>
      </c>
      <c r="B1159" t="s">
        <v>1309</v>
      </c>
      <c r="C1159" s="4" t="str">
        <f>IFERROR(VLOOKUP(B1159,infoTable10[],4,FALSE),"")</f>
        <v/>
      </c>
      <c r="D1159" s="4" t="str">
        <f>IFERROR(VLOOKUP(B1159,infoTable__2[],4,FALSE),"")</f>
        <v/>
      </c>
      <c r="E1159" s="4" t="str">
        <f>IFERROR(VLOOKUP(B1159,infoTable__3[],4,FALSE),"")</f>
        <v/>
      </c>
      <c r="F1159" s="4" t="str">
        <f>IFERROR(VLOOKUP(B1159,infoTable__4[],4,FALSE),"")</f>
        <v/>
      </c>
      <c r="G1159" s="4" t="str">
        <f>IFERROR(VLOOKUP(B1159,infoTable[],4,FALSE),"")</f>
        <v/>
      </c>
      <c r="H1159" s="4" t="str">
        <f>IFERROR(VLOOKUP(B1159,infoTable__6[],4,FALSE),"")</f>
        <v/>
      </c>
      <c r="I1159" s="4">
        <f>IFERROR(VLOOKUP(B1159,infoTable__28[],4,FALSE),"")</f>
        <v>679196</v>
      </c>
      <c r="J1159" s="4" t="str">
        <f>IFERROR(VLOOKUP(B1159,infoTable__10[],4,FALSE),"")</f>
        <v/>
      </c>
      <c r="K1159" s="4" t="str">
        <f>IFERROR(VLOOKUP(B1159,infoTable__11[],4,FALSE),"")</f>
        <v/>
      </c>
      <c r="L1159" s="4" t="str">
        <f>IFERROR(VLOOKUP(B1159,infoTable__12[],4,FALSE),"")</f>
        <v/>
      </c>
      <c r="M1159" s="4" t="str">
        <f>IFERROR(VLOOKUP(B1159,infoTable__13[],4,FALSE),"")</f>
        <v/>
      </c>
      <c r="N1159" s="4" t="str">
        <f>IFERROR(VLOOKUP(B1159,infoTable__14[],4,FALSE),"")</f>
        <v/>
      </c>
      <c r="O1159" s="4" t="str">
        <f>IFERROR(VLOOKUP(B1159,infoTable__15[],4,FALSE),"")</f>
        <v/>
      </c>
      <c r="P1159" s="4" t="str">
        <f>IFERROR(VLOOKUP(B1159,infoTable__16[],4,FALSE),"")</f>
        <v/>
      </c>
    </row>
    <row r="1160" spans="1:16" x14ac:dyDescent="0.55000000000000004">
      <c r="A1160" t="s">
        <v>1038</v>
      </c>
      <c r="B1160" t="s">
        <v>1039</v>
      </c>
      <c r="C1160" s="4" t="str">
        <f>IFERROR(VLOOKUP(B1160,infoTable10[],4,FALSE),"")</f>
        <v/>
      </c>
      <c r="D1160" s="4" t="str">
        <f>IFERROR(VLOOKUP(B1160,infoTable__2[],4,FALSE),"")</f>
        <v/>
      </c>
      <c r="E1160" s="4" t="str">
        <f>IFERROR(VLOOKUP(B1160,infoTable__3[],4,FALSE),"")</f>
        <v/>
      </c>
      <c r="F1160" s="4" t="str">
        <f>IFERROR(VLOOKUP(B1160,infoTable__4[],4,FALSE),"")</f>
        <v/>
      </c>
      <c r="G1160" s="4" t="str">
        <f>IFERROR(VLOOKUP(B1160,infoTable[],4,FALSE),"")</f>
        <v/>
      </c>
      <c r="H1160" s="4">
        <f>IFERROR(VLOOKUP(B1160,infoTable__6[],4,FALSE),"")</f>
        <v>368461</v>
      </c>
      <c r="I1160" s="4" t="str">
        <f>IFERROR(VLOOKUP(B1160,infoTable__28[],4,FALSE),"")</f>
        <v/>
      </c>
      <c r="J1160" s="4" t="str">
        <f>IFERROR(VLOOKUP(B1160,infoTable__10[],4,FALSE),"")</f>
        <v/>
      </c>
      <c r="K1160" s="4" t="str">
        <f>IFERROR(VLOOKUP(B1160,infoTable__11[],4,FALSE),"")</f>
        <v/>
      </c>
      <c r="L1160" s="4">
        <f>IFERROR(VLOOKUP(B1160,infoTable__12[],4,FALSE),"")</f>
        <v>2241831</v>
      </c>
      <c r="M1160" s="4">
        <f>IFERROR(VLOOKUP(B1160,infoTable__13[],4,FALSE),"")</f>
        <v>4556557</v>
      </c>
      <c r="N1160" s="4">
        <f>IFERROR(VLOOKUP(B1160,infoTable__14[],4,FALSE),"")</f>
        <v>1246956</v>
      </c>
      <c r="O1160" s="4">
        <f>IFERROR(VLOOKUP(B1160,infoTable__15[],4,FALSE),"")</f>
        <v>759406</v>
      </c>
      <c r="P1160" s="4">
        <f>IFERROR(VLOOKUP(B1160,infoTable__16[],4,FALSE),"")</f>
        <v>1151657</v>
      </c>
    </row>
    <row r="1161" spans="1:16" x14ac:dyDescent="0.55000000000000004">
      <c r="A1161" t="s">
        <v>272</v>
      </c>
      <c r="B1161" t="s">
        <v>273</v>
      </c>
      <c r="C1161" s="4" t="str">
        <f>IFERROR(VLOOKUP(B1161,infoTable10[],4,FALSE),"")</f>
        <v/>
      </c>
      <c r="D1161" s="4" t="str">
        <f>IFERROR(VLOOKUP(B1161,infoTable__2[],4,FALSE),"")</f>
        <v/>
      </c>
      <c r="E1161" s="4" t="str">
        <f>IFERROR(VLOOKUP(B1161,infoTable__3[],4,FALSE),"")</f>
        <v/>
      </c>
      <c r="F1161" s="4" t="str">
        <f>IFERROR(VLOOKUP(B1161,infoTable__4[],4,FALSE),"")</f>
        <v/>
      </c>
      <c r="G1161" s="4">
        <f>IFERROR(VLOOKUP(B1161,infoTable[],4,FALSE),"")</f>
        <v>252805</v>
      </c>
      <c r="H1161" s="4" t="str">
        <f>IFERROR(VLOOKUP(B1161,infoTable__6[],4,FALSE),"")</f>
        <v/>
      </c>
      <c r="I1161" s="4">
        <f>IFERROR(VLOOKUP(B1161,infoTable__28[],4,FALSE),"")</f>
        <v>757179</v>
      </c>
      <c r="J1161" s="4">
        <f>IFERROR(VLOOKUP(B1161,infoTable__10[],4,FALSE),"")</f>
        <v>2060826</v>
      </c>
      <c r="K1161" s="4" t="str">
        <f>IFERROR(VLOOKUP(B1161,infoTable__11[],4,FALSE),"")</f>
        <v/>
      </c>
      <c r="L1161" s="4" t="str">
        <f>IFERROR(VLOOKUP(B1161,infoTable__12[],4,FALSE),"")</f>
        <v/>
      </c>
      <c r="M1161" s="4" t="str">
        <f>IFERROR(VLOOKUP(B1161,infoTable__13[],4,FALSE),"")</f>
        <v/>
      </c>
      <c r="N1161" s="4">
        <f>IFERROR(VLOOKUP(B1161,infoTable__14[],4,FALSE),"")</f>
        <v>598215</v>
      </c>
      <c r="O1161" s="4">
        <f>IFERROR(VLOOKUP(B1161,infoTable__15[],4,FALSE),"")</f>
        <v>848874</v>
      </c>
      <c r="P1161" s="4">
        <f>IFERROR(VLOOKUP(B1161,infoTable__16[],4,FALSE),"")</f>
        <v>424283</v>
      </c>
    </row>
    <row r="1162" spans="1:16" x14ac:dyDescent="0.55000000000000004">
      <c r="A1162" t="s">
        <v>2506</v>
      </c>
      <c r="B1162" t="s">
        <v>2508</v>
      </c>
      <c r="C1162" s="4" t="str">
        <f>IFERROR(VLOOKUP(B1162,infoTable10[],4,FALSE),"")</f>
        <v/>
      </c>
      <c r="D1162" s="4" t="str">
        <f>IFERROR(VLOOKUP(B1162,infoTable__2[],4,FALSE),"")</f>
        <v/>
      </c>
      <c r="E1162" s="4" t="str">
        <f>IFERROR(VLOOKUP(B1162,infoTable__3[],4,FALSE),"")</f>
        <v/>
      </c>
      <c r="F1162" s="4" t="str">
        <f>IFERROR(VLOOKUP(B1162,infoTable__4[],4,FALSE),"")</f>
        <v/>
      </c>
      <c r="G1162" s="4" t="str">
        <f>IFERROR(VLOOKUP(B1162,infoTable[],4,FALSE),"")</f>
        <v/>
      </c>
      <c r="H1162" s="4" t="str">
        <f>IFERROR(VLOOKUP(B1162,infoTable__6[],4,FALSE),"")</f>
        <v/>
      </c>
      <c r="I1162" s="4" t="str">
        <f>IFERROR(VLOOKUP(B1162,infoTable__28[],4,FALSE),"")</f>
        <v/>
      </c>
      <c r="J1162" s="4" t="str">
        <f>IFERROR(VLOOKUP(B1162,infoTable__10[],4,FALSE),"")</f>
        <v/>
      </c>
      <c r="K1162" s="4" t="str">
        <f>IFERROR(VLOOKUP(B1162,infoTable__11[],4,FALSE),"")</f>
        <v/>
      </c>
      <c r="L1162" s="4" t="str">
        <f>IFERROR(VLOOKUP(B1162,infoTable__12[],4,FALSE),"")</f>
        <v/>
      </c>
      <c r="M1162" s="4">
        <f>IFERROR(VLOOKUP(B1162,infoTable__13[],4,FALSE),"")</f>
        <v>1352577</v>
      </c>
      <c r="N1162" s="4">
        <f>IFERROR(VLOOKUP(B1162,infoTable__14[],4,FALSE),"")</f>
        <v>704023</v>
      </c>
      <c r="O1162" s="4" t="str">
        <f>IFERROR(VLOOKUP(B1162,infoTable__15[],4,FALSE),"")</f>
        <v/>
      </c>
      <c r="P1162" s="4" t="str">
        <f>IFERROR(VLOOKUP(B1162,infoTable__16[],4,FALSE),"")</f>
        <v/>
      </c>
    </row>
    <row r="1163" spans="1:16" x14ac:dyDescent="0.55000000000000004">
      <c r="A1163" t="s">
        <v>3413</v>
      </c>
      <c r="B1163" t="s">
        <v>3414</v>
      </c>
      <c r="C1163" s="4" t="str">
        <f>IFERROR(VLOOKUP(B1163,infoTable10[],4,FALSE),"")</f>
        <v/>
      </c>
      <c r="D1163" s="4" t="str">
        <f>IFERROR(VLOOKUP(B1163,infoTable__2[],4,FALSE),"")</f>
        <v/>
      </c>
      <c r="E1163" s="4" t="str">
        <f>IFERROR(VLOOKUP(B1163,infoTable__3[],4,FALSE),"")</f>
        <v/>
      </c>
      <c r="F1163" s="4" t="str">
        <f>IFERROR(VLOOKUP(B1163,infoTable__4[],4,FALSE),"")</f>
        <v/>
      </c>
      <c r="G1163" s="4" t="str">
        <f>IFERROR(VLOOKUP(B1163,infoTable[],4,FALSE),"")</f>
        <v/>
      </c>
      <c r="H1163" s="4" t="str">
        <f>IFERROR(VLOOKUP(B1163,infoTable__6[],4,FALSE),"")</f>
        <v/>
      </c>
      <c r="I1163" s="4" t="str">
        <f>IFERROR(VLOOKUP(B1163,infoTable__28[],4,FALSE),"")</f>
        <v/>
      </c>
      <c r="J1163" s="4" t="str">
        <f>IFERROR(VLOOKUP(B1163,infoTable__10[],4,FALSE),"")</f>
        <v/>
      </c>
      <c r="K1163" s="4" t="str">
        <f>IFERROR(VLOOKUP(B1163,infoTable__11[],4,FALSE),"")</f>
        <v/>
      </c>
      <c r="L1163" s="4" t="str">
        <f>IFERROR(VLOOKUP(B1163,infoTable__12[],4,FALSE),"")</f>
        <v/>
      </c>
      <c r="M1163" s="4" t="str">
        <f>IFERROR(VLOOKUP(B1163,infoTable__13[],4,FALSE),"")</f>
        <v/>
      </c>
      <c r="N1163" s="4" t="str">
        <f>IFERROR(VLOOKUP(B1163,infoTable__14[],4,FALSE),"")</f>
        <v/>
      </c>
      <c r="O1163" s="4" t="str">
        <f>IFERROR(VLOOKUP(B1163,infoTable__15[],4,FALSE),"")</f>
        <v/>
      </c>
      <c r="P1163" s="4">
        <f>IFERROR(VLOOKUP(B1163,infoTable__16[],4,FALSE),"")</f>
        <v>253566</v>
      </c>
    </row>
    <row r="1164" spans="1:16" x14ac:dyDescent="0.55000000000000004">
      <c r="A1164" t="s">
        <v>1515</v>
      </c>
      <c r="B1164" t="s">
        <v>1516</v>
      </c>
      <c r="C1164" s="4">
        <f>IFERROR(VLOOKUP(B1164,infoTable10[],4,FALSE),"")</f>
        <v>1271888</v>
      </c>
      <c r="D1164" s="4" t="str">
        <f>IFERROR(VLOOKUP(B1164,infoTable__2[],4,FALSE),"")</f>
        <v/>
      </c>
      <c r="E1164" s="4" t="str">
        <f>IFERROR(VLOOKUP(B1164,infoTable__3[],4,FALSE),"")</f>
        <v/>
      </c>
      <c r="F1164" s="4" t="str">
        <f>IFERROR(VLOOKUP(B1164,infoTable__4[],4,FALSE),"")</f>
        <v/>
      </c>
      <c r="G1164" s="4" t="str">
        <f>IFERROR(VLOOKUP(B1164,infoTable[],4,FALSE),"")</f>
        <v/>
      </c>
      <c r="H1164" s="4" t="str">
        <f>IFERROR(VLOOKUP(B1164,infoTable__6[],4,FALSE),"")</f>
        <v/>
      </c>
      <c r="I1164" s="4" t="str">
        <f>IFERROR(VLOOKUP(B1164,infoTable__28[],4,FALSE),"")</f>
        <v/>
      </c>
      <c r="J1164" s="4" t="str">
        <f>IFERROR(VLOOKUP(B1164,infoTable__10[],4,FALSE),"")</f>
        <v/>
      </c>
      <c r="K1164" s="4" t="str">
        <f>IFERROR(VLOOKUP(B1164,infoTable__11[],4,FALSE),"")</f>
        <v/>
      </c>
      <c r="L1164" s="4" t="str">
        <f>IFERROR(VLOOKUP(B1164,infoTable__12[],4,FALSE),"")</f>
        <v/>
      </c>
      <c r="M1164" s="4">
        <f>IFERROR(VLOOKUP(B1164,infoTable__13[],4,FALSE),"")</f>
        <v>495715</v>
      </c>
      <c r="N1164" s="4">
        <f>IFERROR(VLOOKUP(B1164,infoTable__14[],4,FALSE),"")</f>
        <v>1103812</v>
      </c>
      <c r="O1164" s="4">
        <f>IFERROR(VLOOKUP(B1164,infoTable__15[],4,FALSE),"")</f>
        <v>347786</v>
      </c>
      <c r="P1164" s="4" t="str">
        <f>IFERROR(VLOOKUP(B1164,infoTable__16[],4,FALSE),"")</f>
        <v/>
      </c>
    </row>
    <row r="1165" spans="1:16" x14ac:dyDescent="0.55000000000000004">
      <c r="A1165" t="s">
        <v>618</v>
      </c>
      <c r="B1165" t="s">
        <v>619</v>
      </c>
      <c r="C1165" s="4">
        <f>IFERROR(VLOOKUP(B1165,infoTable10[],4,FALSE),"")</f>
        <v>905442</v>
      </c>
      <c r="D1165" s="4">
        <f>IFERROR(VLOOKUP(B1165,infoTable__2[],4,FALSE),"")</f>
        <v>1559290</v>
      </c>
      <c r="E1165" s="4">
        <f>IFERROR(VLOOKUP(B1165,infoTable__3[],4,FALSE),"")</f>
        <v>2002069</v>
      </c>
      <c r="F1165" s="4" t="str">
        <f>IFERROR(VLOOKUP(B1165,infoTable__4[],4,FALSE),"")</f>
        <v/>
      </c>
      <c r="G1165" s="4" t="str">
        <f>IFERROR(VLOOKUP(B1165,infoTable[],4,FALSE),"")</f>
        <v/>
      </c>
      <c r="H1165" s="4" t="str">
        <f>IFERROR(VLOOKUP(B1165,infoTable__6[],4,FALSE),"")</f>
        <v/>
      </c>
      <c r="I1165" s="4" t="str">
        <f>IFERROR(VLOOKUP(B1165,infoTable__28[],4,FALSE),"")</f>
        <v/>
      </c>
      <c r="J1165" s="4" t="str">
        <f>IFERROR(VLOOKUP(B1165,infoTable__10[],4,FALSE),"")</f>
        <v/>
      </c>
      <c r="K1165" s="4" t="str">
        <f>IFERROR(VLOOKUP(B1165,infoTable__11[],4,FALSE),"")</f>
        <v/>
      </c>
      <c r="L1165" s="4" t="str">
        <f>IFERROR(VLOOKUP(B1165,infoTable__12[],4,FALSE),"")</f>
        <v/>
      </c>
      <c r="M1165" s="4" t="str">
        <f>IFERROR(VLOOKUP(B1165,infoTable__13[],4,FALSE),"")</f>
        <v/>
      </c>
      <c r="N1165" s="4" t="str">
        <f>IFERROR(VLOOKUP(B1165,infoTable__14[],4,FALSE),"")</f>
        <v/>
      </c>
      <c r="O1165" s="4" t="str">
        <f>IFERROR(VLOOKUP(B1165,infoTable__15[],4,FALSE),"")</f>
        <v/>
      </c>
      <c r="P1165" s="4" t="str">
        <f>IFERROR(VLOOKUP(B1165,infoTable__16[],4,FALSE),"")</f>
        <v/>
      </c>
    </row>
    <row r="1166" spans="1:16" x14ac:dyDescent="0.55000000000000004">
      <c r="A1166" t="s">
        <v>274</v>
      </c>
      <c r="B1166" t="s">
        <v>275</v>
      </c>
      <c r="C1166" s="4" t="str">
        <f>IFERROR(VLOOKUP(B1166,infoTable10[],4,FALSE),"")</f>
        <v/>
      </c>
      <c r="D1166" s="4" t="str">
        <f>IFERROR(VLOOKUP(B1166,infoTable__2[],4,FALSE),"")</f>
        <v/>
      </c>
      <c r="E1166" s="4">
        <f>IFERROR(VLOOKUP(B1166,infoTable__3[],4,FALSE),"")</f>
        <v>135936</v>
      </c>
      <c r="F1166" s="4">
        <f>IFERROR(VLOOKUP(B1166,infoTable__4[],4,FALSE),"")</f>
        <v>136446</v>
      </c>
      <c r="G1166" s="4">
        <f>IFERROR(VLOOKUP(B1166,infoTable[],4,FALSE),"")</f>
        <v>770850</v>
      </c>
      <c r="H1166" s="4">
        <f>IFERROR(VLOOKUP(B1166,infoTable__6[],4,FALSE),"")</f>
        <v>1841139</v>
      </c>
      <c r="I1166" s="4">
        <f>IFERROR(VLOOKUP(B1166,infoTable__28[],4,FALSE),"")</f>
        <v>258700</v>
      </c>
      <c r="J1166" s="4" t="str">
        <f>IFERROR(VLOOKUP(B1166,infoTable__10[],4,FALSE),"")</f>
        <v/>
      </c>
      <c r="K1166" s="4" t="str">
        <f>IFERROR(VLOOKUP(B1166,infoTable__11[],4,FALSE),"")</f>
        <v/>
      </c>
      <c r="L1166" s="4" t="str">
        <f>IFERROR(VLOOKUP(B1166,infoTable__12[],4,FALSE),"")</f>
        <v/>
      </c>
      <c r="M1166" s="4" t="str">
        <f>IFERROR(VLOOKUP(B1166,infoTable__13[],4,FALSE),"")</f>
        <v/>
      </c>
      <c r="N1166" s="4" t="str">
        <f>IFERROR(VLOOKUP(B1166,infoTable__14[],4,FALSE),"")</f>
        <v/>
      </c>
      <c r="O1166" s="4" t="str">
        <f>IFERROR(VLOOKUP(B1166,infoTable__15[],4,FALSE),"")</f>
        <v/>
      </c>
      <c r="P1166" s="4" t="str">
        <f>IFERROR(VLOOKUP(B1166,infoTable__16[],4,FALSE),"")</f>
        <v/>
      </c>
    </row>
    <row r="1167" spans="1:16" x14ac:dyDescent="0.55000000000000004">
      <c r="A1167" t="s">
        <v>3411</v>
      </c>
      <c r="B1167" t="s">
        <v>3412</v>
      </c>
      <c r="C1167" s="4" t="str">
        <f>IFERROR(VLOOKUP(B1167,infoTable10[],4,FALSE),"")</f>
        <v/>
      </c>
      <c r="D1167" s="4" t="str">
        <f>IFERROR(VLOOKUP(B1167,infoTable__2[],4,FALSE),"")</f>
        <v/>
      </c>
      <c r="E1167" s="4" t="str">
        <f>IFERROR(VLOOKUP(B1167,infoTable__3[],4,FALSE),"")</f>
        <v/>
      </c>
      <c r="F1167" s="4" t="str">
        <f>IFERROR(VLOOKUP(B1167,infoTable__4[],4,FALSE),"")</f>
        <v/>
      </c>
      <c r="G1167" s="4" t="str">
        <f>IFERROR(VLOOKUP(B1167,infoTable[],4,FALSE),"")</f>
        <v/>
      </c>
      <c r="H1167" s="4" t="str">
        <f>IFERROR(VLOOKUP(B1167,infoTable__6[],4,FALSE),"")</f>
        <v/>
      </c>
      <c r="I1167" s="4" t="str">
        <f>IFERROR(VLOOKUP(B1167,infoTable__28[],4,FALSE),"")</f>
        <v/>
      </c>
      <c r="J1167" s="4" t="str">
        <f>IFERROR(VLOOKUP(B1167,infoTable__10[],4,FALSE),"")</f>
        <v/>
      </c>
      <c r="K1167" s="4" t="str">
        <f>IFERROR(VLOOKUP(B1167,infoTable__11[],4,FALSE),"")</f>
        <v/>
      </c>
      <c r="L1167" s="4" t="str">
        <f>IFERROR(VLOOKUP(B1167,infoTable__12[],4,FALSE),"")</f>
        <v/>
      </c>
      <c r="M1167" s="4" t="str">
        <f>IFERROR(VLOOKUP(B1167,infoTable__13[],4,FALSE),"")</f>
        <v/>
      </c>
      <c r="N1167" s="4" t="str">
        <f>IFERROR(VLOOKUP(B1167,infoTable__14[],4,FALSE),"")</f>
        <v/>
      </c>
      <c r="O1167" s="4" t="str">
        <f>IFERROR(VLOOKUP(B1167,infoTable__15[],4,FALSE),"")</f>
        <v/>
      </c>
      <c r="P1167" s="4">
        <f>IFERROR(VLOOKUP(B1167,infoTable__16[],4,FALSE),"")</f>
        <v>1074960</v>
      </c>
    </row>
    <row r="1168" spans="1:16" x14ac:dyDescent="0.55000000000000004">
      <c r="A1168" t="s">
        <v>1929</v>
      </c>
      <c r="B1168" t="s">
        <v>1930</v>
      </c>
      <c r="C1168" s="4" t="str">
        <f>IFERROR(VLOOKUP(B1168,infoTable10[],4,FALSE),"")</f>
        <v/>
      </c>
      <c r="D1168" s="4" t="str">
        <f>IFERROR(VLOOKUP(B1168,infoTable__2[],4,FALSE),"")</f>
        <v/>
      </c>
      <c r="E1168" s="4" t="str">
        <f>IFERROR(VLOOKUP(B1168,infoTable__3[],4,FALSE),"")</f>
        <v/>
      </c>
      <c r="F1168" s="4" t="str">
        <f>IFERROR(VLOOKUP(B1168,infoTable__4[],4,FALSE),"")</f>
        <v/>
      </c>
      <c r="G1168" s="4" t="str">
        <f>IFERROR(VLOOKUP(B1168,infoTable[],4,FALSE),"")</f>
        <v/>
      </c>
      <c r="H1168" s="4" t="str">
        <f>IFERROR(VLOOKUP(B1168,infoTable__6[],4,FALSE),"")</f>
        <v/>
      </c>
      <c r="I1168" s="4" t="str">
        <f>IFERROR(VLOOKUP(B1168,infoTable__28[],4,FALSE),"")</f>
        <v/>
      </c>
      <c r="J1168" s="4" t="str">
        <f>IFERROR(VLOOKUP(B1168,infoTable__10[],4,FALSE),"")</f>
        <v/>
      </c>
      <c r="K1168" s="4">
        <f>IFERROR(VLOOKUP(B1168,infoTable__11[],4,FALSE),"")</f>
        <v>238370</v>
      </c>
      <c r="L1168" s="4">
        <f>IFERROR(VLOOKUP(B1168,infoTable__12[],4,FALSE),"")</f>
        <v>77073</v>
      </c>
      <c r="M1168" s="4" t="str">
        <f>IFERROR(VLOOKUP(B1168,infoTable__13[],4,FALSE),"")</f>
        <v/>
      </c>
      <c r="N1168" s="4" t="str">
        <f>IFERROR(VLOOKUP(B1168,infoTable__14[],4,FALSE),"")</f>
        <v/>
      </c>
      <c r="O1168" s="4" t="str">
        <f>IFERROR(VLOOKUP(B1168,infoTable__15[],4,FALSE),"")</f>
        <v/>
      </c>
      <c r="P1168" s="4" t="str">
        <f>IFERROR(VLOOKUP(B1168,infoTable__16[],4,FALSE),"")</f>
        <v/>
      </c>
    </row>
    <row r="1169" spans="1:16" x14ac:dyDescent="0.55000000000000004">
      <c r="A1169" t="s">
        <v>2504</v>
      </c>
      <c r="B1169" t="s">
        <v>2505</v>
      </c>
      <c r="C1169" s="4" t="str">
        <f>IFERROR(VLOOKUP(B1169,infoTable10[],4,FALSE),"")</f>
        <v/>
      </c>
      <c r="D1169" s="4" t="str">
        <f>IFERROR(VLOOKUP(B1169,infoTable__2[],4,FALSE),"")</f>
        <v/>
      </c>
      <c r="E1169" s="4" t="str">
        <f>IFERROR(VLOOKUP(B1169,infoTable__3[],4,FALSE),"")</f>
        <v/>
      </c>
      <c r="F1169" s="4" t="str">
        <f>IFERROR(VLOOKUP(B1169,infoTable__4[],4,FALSE),"")</f>
        <v/>
      </c>
      <c r="G1169" s="4" t="str">
        <f>IFERROR(VLOOKUP(B1169,infoTable[],4,FALSE),"")</f>
        <v/>
      </c>
      <c r="H1169" s="4" t="str">
        <f>IFERROR(VLOOKUP(B1169,infoTable__6[],4,FALSE),"")</f>
        <v/>
      </c>
      <c r="I1169" s="4" t="str">
        <f>IFERROR(VLOOKUP(B1169,infoTable__28[],4,FALSE),"")</f>
        <v/>
      </c>
      <c r="J1169" s="4" t="str">
        <f>IFERROR(VLOOKUP(B1169,infoTable__10[],4,FALSE),"")</f>
        <v/>
      </c>
      <c r="K1169" s="4" t="str">
        <f>IFERROR(VLOOKUP(B1169,infoTable__11[],4,FALSE),"")</f>
        <v/>
      </c>
      <c r="L1169" s="4" t="str">
        <f>IFERROR(VLOOKUP(B1169,infoTable__12[],4,FALSE),"")</f>
        <v/>
      </c>
      <c r="M1169" s="4">
        <f>IFERROR(VLOOKUP(B1169,infoTable__13[],4,FALSE),"")</f>
        <v>329186</v>
      </c>
      <c r="N1169" s="4">
        <f>IFERROR(VLOOKUP(B1169,infoTable__14[],4,FALSE),"")</f>
        <v>375084</v>
      </c>
      <c r="O1169" s="4" t="str">
        <f>IFERROR(VLOOKUP(B1169,infoTable__15[],4,FALSE),"")</f>
        <v/>
      </c>
      <c r="P1169" s="4" t="str">
        <f>IFERROR(VLOOKUP(B1169,infoTable__16[],4,FALSE),"")</f>
        <v/>
      </c>
    </row>
    <row r="1170" spans="1:16" x14ac:dyDescent="0.55000000000000004">
      <c r="A1170" t="s">
        <v>282</v>
      </c>
      <c r="B1170" t="s">
        <v>283</v>
      </c>
      <c r="C1170" s="4" t="str">
        <f>IFERROR(VLOOKUP(B1170,infoTable10[],4,FALSE),"")</f>
        <v/>
      </c>
      <c r="D1170" s="4" t="str">
        <f>IFERROR(VLOOKUP(B1170,infoTable__2[],4,FALSE),"")</f>
        <v/>
      </c>
      <c r="E1170" s="4" t="str">
        <f>IFERROR(VLOOKUP(B1170,infoTable__3[],4,FALSE),"")</f>
        <v/>
      </c>
      <c r="F1170" s="4" t="str">
        <f>IFERROR(VLOOKUP(B1170,infoTable__4[],4,FALSE),"")</f>
        <v/>
      </c>
      <c r="G1170" s="4">
        <f>IFERROR(VLOOKUP(B1170,infoTable[],4,FALSE),"")</f>
        <v>261723</v>
      </c>
      <c r="H1170" s="4">
        <f>IFERROR(VLOOKUP(B1170,infoTable__6[],4,FALSE),"")</f>
        <v>608610</v>
      </c>
      <c r="I1170" s="4" t="str">
        <f>IFERROR(VLOOKUP(B1170,infoTable__28[],4,FALSE),"")</f>
        <v/>
      </c>
      <c r="J1170" s="4" t="str">
        <f>IFERROR(VLOOKUP(B1170,infoTable__10[],4,FALSE),"")</f>
        <v/>
      </c>
      <c r="K1170" s="4" t="str">
        <f>IFERROR(VLOOKUP(B1170,infoTable__11[],4,FALSE),"")</f>
        <v/>
      </c>
      <c r="L1170" s="4" t="str">
        <f>IFERROR(VLOOKUP(B1170,infoTable__12[],4,FALSE),"")</f>
        <v/>
      </c>
      <c r="M1170" s="4" t="str">
        <f>IFERROR(VLOOKUP(B1170,infoTable__13[],4,FALSE),"")</f>
        <v/>
      </c>
      <c r="N1170" s="4" t="str">
        <f>IFERROR(VLOOKUP(B1170,infoTable__14[],4,FALSE),"")</f>
        <v/>
      </c>
      <c r="O1170" s="4" t="str">
        <f>IFERROR(VLOOKUP(B1170,infoTable__15[],4,FALSE),"")</f>
        <v/>
      </c>
      <c r="P1170" s="4" t="str">
        <f>IFERROR(VLOOKUP(B1170,infoTable__16[],4,FALSE),"")</f>
        <v/>
      </c>
    </row>
    <row r="1171" spans="1:16" x14ac:dyDescent="0.55000000000000004">
      <c r="A1171" t="s">
        <v>2853</v>
      </c>
      <c r="B1171" t="s">
        <v>2852</v>
      </c>
      <c r="C1171" s="4" t="str">
        <f>IFERROR(VLOOKUP(B1171,infoTable10[],4,FALSE),"")</f>
        <v/>
      </c>
      <c r="D1171" s="4" t="str">
        <f>IFERROR(VLOOKUP(B1171,infoTable__2[],4,FALSE),"")</f>
        <v/>
      </c>
      <c r="E1171" s="4" t="str">
        <f>IFERROR(VLOOKUP(B1171,infoTable__3[],4,FALSE),"")</f>
        <v/>
      </c>
      <c r="F1171" s="4" t="str">
        <f>IFERROR(VLOOKUP(B1171,infoTable__4[],4,FALSE),"")</f>
        <v/>
      </c>
      <c r="G1171" s="4" t="str">
        <f>IFERROR(VLOOKUP(B1171,infoTable[],4,FALSE),"")</f>
        <v/>
      </c>
      <c r="H1171" s="4" t="str">
        <f>IFERROR(VLOOKUP(B1171,infoTable__6[],4,FALSE),"")</f>
        <v/>
      </c>
      <c r="I1171" s="4" t="str">
        <f>IFERROR(VLOOKUP(B1171,infoTable__28[],4,FALSE),"")</f>
        <v/>
      </c>
      <c r="J1171" s="4" t="str">
        <f>IFERROR(VLOOKUP(B1171,infoTable__10[],4,FALSE),"")</f>
        <v/>
      </c>
      <c r="K1171" s="4" t="str">
        <f>IFERROR(VLOOKUP(B1171,infoTable__11[],4,FALSE),"")</f>
        <v/>
      </c>
      <c r="L1171" s="4" t="str">
        <f>IFERROR(VLOOKUP(B1171,infoTable__12[],4,FALSE),"")</f>
        <v/>
      </c>
      <c r="M1171" s="4" t="str">
        <f>IFERROR(VLOOKUP(B1171,infoTable__13[],4,FALSE),"")</f>
        <v/>
      </c>
      <c r="N1171" s="4">
        <f>IFERROR(VLOOKUP(B1171,infoTable__14[],4,FALSE),"")</f>
        <v>2101510</v>
      </c>
      <c r="O1171" s="4">
        <f>IFERROR(VLOOKUP(B1171,infoTable__15[],4,FALSE),"")</f>
        <v>5224987</v>
      </c>
      <c r="P1171" s="4">
        <f>IFERROR(VLOOKUP(B1171,infoTable__16[],4,FALSE),"")</f>
        <v>3916905</v>
      </c>
    </row>
    <row r="1172" spans="1:16" x14ac:dyDescent="0.55000000000000004">
      <c r="A1172" t="s">
        <v>1316</v>
      </c>
      <c r="B1172" t="s">
        <v>1318</v>
      </c>
      <c r="C1172" s="4" t="str">
        <f>IFERROR(VLOOKUP(B1172,infoTable10[],4,FALSE),"")</f>
        <v/>
      </c>
      <c r="D1172" s="4" t="str">
        <f>IFERROR(VLOOKUP(B1172,infoTable__2[],4,FALSE),"")</f>
        <v/>
      </c>
      <c r="E1172" s="4" t="str">
        <f>IFERROR(VLOOKUP(B1172,infoTable__3[],4,FALSE),"")</f>
        <v/>
      </c>
      <c r="F1172" s="4" t="str">
        <f>IFERROR(VLOOKUP(B1172,infoTable__4[],4,FALSE),"")</f>
        <v/>
      </c>
      <c r="G1172" s="4" t="str">
        <f>IFERROR(VLOOKUP(B1172,infoTable[],4,FALSE),"")</f>
        <v/>
      </c>
      <c r="H1172" s="4" t="str">
        <f>IFERROR(VLOOKUP(B1172,infoTable__6[],4,FALSE),"")</f>
        <v/>
      </c>
      <c r="I1172" s="4">
        <f>IFERROR(VLOOKUP(B1172,infoTable__28[],4,FALSE),"")</f>
        <v>3641409</v>
      </c>
      <c r="J1172" s="4" t="str">
        <f>IFERROR(VLOOKUP(B1172,infoTable__10[],4,FALSE),"")</f>
        <v/>
      </c>
      <c r="K1172" s="4" t="str">
        <f>IFERROR(VLOOKUP(B1172,infoTable__11[],4,FALSE),"")</f>
        <v/>
      </c>
      <c r="L1172" s="4" t="str">
        <f>IFERROR(VLOOKUP(B1172,infoTable__12[],4,FALSE),"")</f>
        <v/>
      </c>
      <c r="M1172" s="4" t="str">
        <f>IFERROR(VLOOKUP(B1172,infoTable__13[],4,FALSE),"")</f>
        <v/>
      </c>
      <c r="N1172" s="4" t="str">
        <f>IFERROR(VLOOKUP(B1172,infoTable__14[],4,FALSE),"")</f>
        <v/>
      </c>
      <c r="O1172" s="4" t="str">
        <f>IFERROR(VLOOKUP(B1172,infoTable__15[],4,FALSE),"")</f>
        <v/>
      </c>
      <c r="P1172" s="4" t="str">
        <f>IFERROR(VLOOKUP(B1172,infoTable__16[],4,FALSE),"")</f>
        <v/>
      </c>
    </row>
    <row r="1173" spans="1:16" x14ac:dyDescent="0.55000000000000004">
      <c r="A1173" t="s">
        <v>3416</v>
      </c>
      <c r="B1173" t="s">
        <v>3417</v>
      </c>
      <c r="C1173" s="4" t="str">
        <f>IFERROR(VLOOKUP(B1173,infoTable10[],4,FALSE),"")</f>
        <v/>
      </c>
      <c r="D1173" s="4" t="str">
        <f>IFERROR(VLOOKUP(B1173,infoTable__2[],4,FALSE),"")</f>
        <v/>
      </c>
      <c r="E1173" s="4" t="str">
        <f>IFERROR(VLOOKUP(B1173,infoTable__3[],4,FALSE),"")</f>
        <v/>
      </c>
      <c r="F1173" s="4" t="str">
        <f>IFERROR(VLOOKUP(B1173,infoTable__4[],4,FALSE),"")</f>
        <v/>
      </c>
      <c r="G1173" s="4" t="str">
        <f>IFERROR(VLOOKUP(B1173,infoTable[],4,FALSE),"")</f>
        <v/>
      </c>
      <c r="H1173" s="4" t="str">
        <f>IFERROR(VLOOKUP(B1173,infoTable__6[],4,FALSE),"")</f>
        <v/>
      </c>
      <c r="I1173" s="4" t="str">
        <f>IFERROR(VLOOKUP(B1173,infoTable__28[],4,FALSE),"")</f>
        <v/>
      </c>
      <c r="J1173" s="4" t="str">
        <f>IFERROR(VLOOKUP(B1173,infoTable__10[],4,FALSE),"")</f>
        <v/>
      </c>
      <c r="K1173" s="4" t="str">
        <f>IFERROR(VLOOKUP(B1173,infoTable__11[],4,FALSE),"")</f>
        <v/>
      </c>
      <c r="L1173" s="4" t="str">
        <f>IFERROR(VLOOKUP(B1173,infoTable__12[],4,FALSE),"")</f>
        <v/>
      </c>
      <c r="M1173" s="4" t="str">
        <f>IFERROR(VLOOKUP(B1173,infoTable__13[],4,FALSE),"")</f>
        <v/>
      </c>
      <c r="N1173" s="4" t="str">
        <f>IFERROR(VLOOKUP(B1173,infoTable__14[],4,FALSE),"")</f>
        <v/>
      </c>
      <c r="O1173" s="4" t="str">
        <f>IFERROR(VLOOKUP(B1173,infoTable__15[],4,FALSE),"")</f>
        <v/>
      </c>
      <c r="P1173" s="4">
        <f>IFERROR(VLOOKUP(B1173,infoTable__16[],4,FALSE),"")</f>
        <v>1873298</v>
      </c>
    </row>
    <row r="1174" spans="1:16" x14ac:dyDescent="0.55000000000000004">
      <c r="A1174" t="s">
        <v>620</v>
      </c>
      <c r="B1174" t="s">
        <v>621</v>
      </c>
      <c r="C1174" s="4" t="str">
        <f>IFERROR(VLOOKUP(B1174,infoTable10[],4,FALSE),"")</f>
        <v/>
      </c>
      <c r="D1174" s="4">
        <f>IFERROR(VLOOKUP(B1174,infoTable__2[],4,FALSE),"")</f>
        <v>88151</v>
      </c>
      <c r="E1174" s="4" t="str">
        <f>IFERROR(VLOOKUP(B1174,infoTable__3[],4,FALSE),"")</f>
        <v/>
      </c>
      <c r="F1174" s="4" t="str">
        <f>IFERROR(VLOOKUP(B1174,infoTable__4[],4,FALSE),"")</f>
        <v/>
      </c>
      <c r="G1174" s="4" t="str">
        <f>IFERROR(VLOOKUP(B1174,infoTable[],4,FALSE),"")</f>
        <v/>
      </c>
      <c r="H1174" s="4" t="str">
        <f>IFERROR(VLOOKUP(B1174,infoTable__6[],4,FALSE),"")</f>
        <v/>
      </c>
      <c r="I1174" s="4" t="str">
        <f>IFERROR(VLOOKUP(B1174,infoTable__28[],4,FALSE),"")</f>
        <v/>
      </c>
      <c r="J1174" s="4" t="str">
        <f>IFERROR(VLOOKUP(B1174,infoTable__10[],4,FALSE),"")</f>
        <v/>
      </c>
      <c r="K1174" s="4" t="str">
        <f>IFERROR(VLOOKUP(B1174,infoTable__11[],4,FALSE),"")</f>
        <v/>
      </c>
      <c r="L1174" s="4">
        <f>IFERROR(VLOOKUP(B1174,infoTable__12[],4,FALSE),"")</f>
        <v>393885</v>
      </c>
      <c r="M1174" s="4">
        <f>IFERROR(VLOOKUP(B1174,infoTable__13[],4,FALSE),"")</f>
        <v>354803</v>
      </c>
      <c r="N1174" s="4">
        <f>IFERROR(VLOOKUP(B1174,infoTable__14[],4,FALSE),"")</f>
        <v>888980</v>
      </c>
      <c r="O1174" s="4">
        <f>IFERROR(VLOOKUP(B1174,infoTable__15[],4,FALSE),"")</f>
        <v>386572</v>
      </c>
      <c r="P1174" s="4">
        <f>IFERROR(VLOOKUP(B1174,infoTable__16[],4,FALSE),"")</f>
        <v>293287</v>
      </c>
    </row>
    <row r="1175" spans="1:16" x14ac:dyDescent="0.55000000000000004">
      <c r="A1175" t="s">
        <v>1934</v>
      </c>
      <c r="B1175" t="s">
        <v>1935</v>
      </c>
      <c r="C1175" s="4" t="str">
        <f>IFERROR(VLOOKUP(B1175,infoTable10[],4,FALSE),"")</f>
        <v/>
      </c>
      <c r="D1175" s="4" t="str">
        <f>IFERROR(VLOOKUP(B1175,infoTable__2[],4,FALSE),"")</f>
        <v/>
      </c>
      <c r="E1175" s="4" t="str">
        <f>IFERROR(VLOOKUP(B1175,infoTable__3[],4,FALSE),"")</f>
        <v/>
      </c>
      <c r="F1175" s="4" t="str">
        <f>IFERROR(VLOOKUP(B1175,infoTable__4[],4,FALSE),"")</f>
        <v/>
      </c>
      <c r="G1175" s="4" t="str">
        <f>IFERROR(VLOOKUP(B1175,infoTable[],4,FALSE),"")</f>
        <v/>
      </c>
      <c r="H1175" s="4" t="str">
        <f>IFERROR(VLOOKUP(B1175,infoTable__6[],4,FALSE),"")</f>
        <v/>
      </c>
      <c r="I1175" s="4" t="str">
        <f>IFERROR(VLOOKUP(B1175,infoTable__28[],4,FALSE),"")</f>
        <v/>
      </c>
      <c r="J1175" s="4" t="str">
        <f>IFERROR(VLOOKUP(B1175,infoTable__10[],4,FALSE),"")</f>
        <v/>
      </c>
      <c r="K1175" s="4">
        <f>IFERROR(VLOOKUP(B1175,infoTable__11[],4,FALSE),"")</f>
        <v>922583</v>
      </c>
      <c r="L1175" s="4">
        <f>IFERROR(VLOOKUP(B1175,infoTable__12[],4,FALSE),"")</f>
        <v>519220</v>
      </c>
      <c r="M1175" s="4" t="str">
        <f>IFERROR(VLOOKUP(B1175,infoTable__13[],4,FALSE),"")</f>
        <v/>
      </c>
      <c r="N1175" s="4" t="str">
        <f>IFERROR(VLOOKUP(B1175,infoTable__14[],4,FALSE),"")</f>
        <v/>
      </c>
      <c r="O1175" s="4" t="str">
        <f>IFERROR(VLOOKUP(B1175,infoTable__15[],4,FALSE),"")</f>
        <v/>
      </c>
      <c r="P1175" s="4" t="str">
        <f>IFERROR(VLOOKUP(B1175,infoTable__16[],4,FALSE),"")</f>
        <v/>
      </c>
    </row>
    <row r="1176" spans="1:16" x14ac:dyDescent="0.55000000000000004">
      <c r="A1176" t="s">
        <v>280</v>
      </c>
      <c r="B1176" t="s">
        <v>281</v>
      </c>
      <c r="C1176" s="4" t="str">
        <f>IFERROR(VLOOKUP(B1176,infoTable10[],4,FALSE),"")</f>
        <v/>
      </c>
      <c r="D1176" s="4" t="str">
        <f>IFERROR(VLOOKUP(B1176,infoTable__2[],4,FALSE),"")</f>
        <v/>
      </c>
      <c r="E1176" s="4" t="str">
        <f>IFERROR(VLOOKUP(B1176,infoTable__3[],4,FALSE),"")</f>
        <v/>
      </c>
      <c r="F1176" s="4">
        <f>IFERROR(VLOOKUP(B1176,infoTable__4[],4,FALSE),"")</f>
        <v>860941</v>
      </c>
      <c r="G1176" s="4">
        <f>IFERROR(VLOOKUP(B1176,infoTable[],4,FALSE),"")</f>
        <v>1846558</v>
      </c>
      <c r="H1176" s="4" t="str">
        <f>IFERROR(VLOOKUP(B1176,infoTable__6[],4,FALSE),"")</f>
        <v/>
      </c>
      <c r="I1176" s="4" t="str">
        <f>IFERROR(VLOOKUP(B1176,infoTable__28[],4,FALSE),"")</f>
        <v/>
      </c>
      <c r="J1176" s="4" t="str">
        <f>IFERROR(VLOOKUP(B1176,infoTable__10[],4,FALSE),"")</f>
        <v/>
      </c>
      <c r="K1176" s="4" t="str">
        <f>IFERROR(VLOOKUP(B1176,infoTable__11[],4,FALSE),"")</f>
        <v/>
      </c>
      <c r="L1176" s="4" t="str">
        <f>IFERROR(VLOOKUP(B1176,infoTable__12[],4,FALSE),"")</f>
        <v/>
      </c>
      <c r="M1176" s="4" t="str">
        <f>IFERROR(VLOOKUP(B1176,infoTable__13[],4,FALSE),"")</f>
        <v/>
      </c>
      <c r="N1176" s="4" t="str">
        <f>IFERROR(VLOOKUP(B1176,infoTable__14[],4,FALSE),"")</f>
        <v/>
      </c>
      <c r="O1176" s="4" t="str">
        <f>IFERROR(VLOOKUP(B1176,infoTable__15[],4,FALSE),"")</f>
        <v/>
      </c>
      <c r="P1176" s="4" t="str">
        <f>IFERROR(VLOOKUP(B1176,infoTable__16[],4,FALSE),"")</f>
        <v/>
      </c>
    </row>
    <row r="1177" spans="1:16" x14ac:dyDescent="0.55000000000000004">
      <c r="A1177" t="s">
        <v>1319</v>
      </c>
      <c r="B1177" t="s">
        <v>1320</v>
      </c>
      <c r="C1177" s="4" t="str">
        <f>IFERROR(VLOOKUP(B1177,infoTable10[],4,FALSE),"")</f>
        <v/>
      </c>
      <c r="D1177" s="4" t="str">
        <f>IFERROR(VLOOKUP(B1177,infoTable__2[],4,FALSE),"")</f>
        <v/>
      </c>
      <c r="E1177" s="4" t="str">
        <f>IFERROR(VLOOKUP(B1177,infoTable__3[],4,FALSE),"")</f>
        <v/>
      </c>
      <c r="F1177" s="4" t="str">
        <f>IFERROR(VLOOKUP(B1177,infoTable__4[],4,FALSE),"")</f>
        <v/>
      </c>
      <c r="G1177" s="4" t="str">
        <f>IFERROR(VLOOKUP(B1177,infoTable[],4,FALSE),"")</f>
        <v/>
      </c>
      <c r="H1177" s="4" t="str">
        <f>IFERROR(VLOOKUP(B1177,infoTable__6[],4,FALSE),"")</f>
        <v/>
      </c>
      <c r="I1177" s="4">
        <f>IFERROR(VLOOKUP(B1177,infoTable__28[],4,FALSE),"")</f>
        <v>274398</v>
      </c>
      <c r="J1177" s="4">
        <f>IFERROR(VLOOKUP(B1177,infoTable__10[],4,FALSE),"")</f>
        <v>300325</v>
      </c>
      <c r="K1177" s="4">
        <f>IFERROR(VLOOKUP(B1177,infoTable__11[],4,FALSE),"")</f>
        <v>303894</v>
      </c>
      <c r="L1177" s="4" t="str">
        <f>IFERROR(VLOOKUP(B1177,infoTable__12[],4,FALSE),"")</f>
        <v/>
      </c>
      <c r="M1177" s="4" t="str">
        <f>IFERROR(VLOOKUP(B1177,infoTable__13[],4,FALSE),"")</f>
        <v/>
      </c>
      <c r="N1177" s="4" t="str">
        <f>IFERROR(VLOOKUP(B1177,infoTable__14[],4,FALSE),"")</f>
        <v/>
      </c>
      <c r="O1177" s="4" t="str">
        <f>IFERROR(VLOOKUP(B1177,infoTable__15[],4,FALSE),"")</f>
        <v/>
      </c>
      <c r="P1177" s="4" t="str">
        <f>IFERROR(VLOOKUP(B1177,infoTable__16[],4,FALSE),"")</f>
        <v/>
      </c>
    </row>
    <row r="1178" spans="1:16" x14ac:dyDescent="0.55000000000000004">
      <c r="A1178" t="s">
        <v>2855</v>
      </c>
      <c r="B1178" t="s">
        <v>2854</v>
      </c>
      <c r="C1178" s="4" t="str">
        <f>IFERROR(VLOOKUP(B1178,infoTable10[],4,FALSE),"")</f>
        <v/>
      </c>
      <c r="D1178" s="4" t="str">
        <f>IFERROR(VLOOKUP(B1178,infoTable__2[],4,FALSE),"")</f>
        <v/>
      </c>
      <c r="E1178" s="4" t="str">
        <f>IFERROR(VLOOKUP(B1178,infoTable__3[],4,FALSE),"")</f>
        <v/>
      </c>
      <c r="F1178" s="4" t="str">
        <f>IFERROR(VLOOKUP(B1178,infoTable__4[],4,FALSE),"")</f>
        <v/>
      </c>
      <c r="G1178" s="4" t="str">
        <f>IFERROR(VLOOKUP(B1178,infoTable[],4,FALSE),"")</f>
        <v/>
      </c>
      <c r="H1178" s="4" t="str">
        <f>IFERROR(VLOOKUP(B1178,infoTable__6[],4,FALSE),"")</f>
        <v/>
      </c>
      <c r="I1178" s="4" t="str">
        <f>IFERROR(VLOOKUP(B1178,infoTable__28[],4,FALSE),"")</f>
        <v/>
      </c>
      <c r="J1178" s="4" t="str">
        <f>IFERROR(VLOOKUP(B1178,infoTable__10[],4,FALSE),"")</f>
        <v/>
      </c>
      <c r="K1178" s="4" t="str">
        <f>IFERROR(VLOOKUP(B1178,infoTable__11[],4,FALSE),"")</f>
        <v/>
      </c>
      <c r="L1178" s="4" t="str">
        <f>IFERROR(VLOOKUP(B1178,infoTable__12[],4,FALSE),"")</f>
        <v/>
      </c>
      <c r="M1178" s="4" t="str">
        <f>IFERROR(VLOOKUP(B1178,infoTable__13[],4,FALSE),"")</f>
        <v/>
      </c>
      <c r="N1178" s="4">
        <f>IFERROR(VLOOKUP(B1178,infoTable__14[],4,FALSE),"")</f>
        <v>1399307</v>
      </c>
      <c r="O1178" s="4">
        <f>IFERROR(VLOOKUP(B1178,infoTable__15[],4,FALSE),"")</f>
        <v>3236288</v>
      </c>
      <c r="P1178" s="4">
        <f>IFERROR(VLOOKUP(B1178,infoTable__16[],4,FALSE),"")</f>
        <v>3123252</v>
      </c>
    </row>
    <row r="1179" spans="1:16" x14ac:dyDescent="0.55000000000000004">
      <c r="A1179" t="s">
        <v>860</v>
      </c>
      <c r="B1179" t="s">
        <v>861</v>
      </c>
      <c r="C1179" s="4" t="str">
        <f>IFERROR(VLOOKUP(B1179,infoTable10[],4,FALSE),"")</f>
        <v/>
      </c>
      <c r="D1179" s="4" t="str">
        <f>IFERROR(VLOOKUP(B1179,infoTable__2[],4,FALSE),"")</f>
        <v/>
      </c>
      <c r="E1179" s="4" t="str">
        <f>IFERROR(VLOOKUP(B1179,infoTable__3[],4,FALSE),"")</f>
        <v/>
      </c>
      <c r="F1179" s="4">
        <f>IFERROR(VLOOKUP(B1179,infoTable__4[],4,FALSE),"")</f>
        <v>855178</v>
      </c>
      <c r="G1179" s="4" t="str">
        <f>IFERROR(VLOOKUP(B1179,infoTable[],4,FALSE),"")</f>
        <v/>
      </c>
      <c r="H1179" s="4" t="str">
        <f>IFERROR(VLOOKUP(B1179,infoTable__6[],4,FALSE),"")</f>
        <v/>
      </c>
      <c r="I1179" s="4" t="str">
        <f>IFERROR(VLOOKUP(B1179,infoTable__28[],4,FALSE),"")</f>
        <v/>
      </c>
      <c r="J1179" s="4" t="str">
        <f>IFERROR(VLOOKUP(B1179,infoTable__10[],4,FALSE),"")</f>
        <v/>
      </c>
      <c r="K1179" s="4" t="str">
        <f>IFERROR(VLOOKUP(B1179,infoTable__11[],4,FALSE),"")</f>
        <v/>
      </c>
      <c r="L1179" s="4" t="str">
        <f>IFERROR(VLOOKUP(B1179,infoTable__12[],4,FALSE),"")</f>
        <v/>
      </c>
      <c r="M1179" s="4" t="str">
        <f>IFERROR(VLOOKUP(B1179,infoTable__13[],4,FALSE),"")</f>
        <v/>
      </c>
      <c r="N1179" s="4" t="str">
        <f>IFERROR(VLOOKUP(B1179,infoTable__14[],4,FALSE),"")</f>
        <v/>
      </c>
      <c r="O1179" s="4">
        <f>IFERROR(VLOOKUP(B1179,infoTable__15[],4,FALSE),"")</f>
        <v>3583441</v>
      </c>
      <c r="P1179" s="4">
        <f>IFERROR(VLOOKUP(B1179,infoTable__16[],4,FALSE),"")</f>
        <v>1750324</v>
      </c>
    </row>
    <row r="1180" spans="1:16" x14ac:dyDescent="0.55000000000000004">
      <c r="A1180" t="s">
        <v>3087</v>
      </c>
      <c r="B1180" t="s">
        <v>3088</v>
      </c>
      <c r="C1180" s="4" t="str">
        <f>IFERROR(VLOOKUP(B1180,infoTable10[],4,FALSE),"")</f>
        <v/>
      </c>
      <c r="D1180" s="4" t="str">
        <f>IFERROR(VLOOKUP(B1180,infoTable__2[],4,FALSE),"")</f>
        <v/>
      </c>
      <c r="E1180" s="4" t="str">
        <f>IFERROR(VLOOKUP(B1180,infoTable__3[],4,FALSE),"")</f>
        <v/>
      </c>
      <c r="F1180" s="4" t="str">
        <f>IFERROR(VLOOKUP(B1180,infoTable__4[],4,FALSE),"")</f>
        <v/>
      </c>
      <c r="G1180" s="4" t="str">
        <f>IFERROR(VLOOKUP(B1180,infoTable[],4,FALSE),"")</f>
        <v/>
      </c>
      <c r="H1180" s="4" t="str">
        <f>IFERROR(VLOOKUP(B1180,infoTable__6[],4,FALSE),"")</f>
        <v/>
      </c>
      <c r="I1180" s="4" t="str">
        <f>IFERROR(VLOOKUP(B1180,infoTable__28[],4,FALSE),"")</f>
        <v/>
      </c>
      <c r="J1180" s="4" t="str">
        <f>IFERROR(VLOOKUP(B1180,infoTable__10[],4,FALSE),"")</f>
        <v/>
      </c>
      <c r="K1180" s="4" t="str">
        <f>IFERROR(VLOOKUP(B1180,infoTable__11[],4,FALSE),"")</f>
        <v/>
      </c>
      <c r="L1180" s="4" t="str">
        <f>IFERROR(VLOOKUP(B1180,infoTable__12[],4,FALSE),"")</f>
        <v/>
      </c>
      <c r="M1180" s="4" t="str">
        <f>IFERROR(VLOOKUP(B1180,infoTable__13[],4,FALSE),"")</f>
        <v/>
      </c>
      <c r="N1180" s="4" t="str">
        <f>IFERROR(VLOOKUP(B1180,infoTable__14[],4,FALSE),"")</f>
        <v/>
      </c>
      <c r="O1180" s="4">
        <f>IFERROR(VLOOKUP(B1180,infoTable__15[],4,FALSE),"")</f>
        <v>639321</v>
      </c>
      <c r="P1180" s="4">
        <f>IFERROR(VLOOKUP(B1180,infoTable__16[],4,FALSE),"")</f>
        <v>1717555</v>
      </c>
    </row>
    <row r="1181" spans="1:16" x14ac:dyDescent="0.55000000000000004">
      <c r="A1181" t="s">
        <v>1321</v>
      </c>
      <c r="B1181" t="s">
        <v>1322</v>
      </c>
      <c r="C1181" s="4" t="str">
        <f>IFERROR(VLOOKUP(B1181,infoTable10[],4,FALSE),"")</f>
        <v/>
      </c>
      <c r="D1181" s="4" t="str">
        <f>IFERROR(VLOOKUP(B1181,infoTable__2[],4,FALSE),"")</f>
        <v/>
      </c>
      <c r="E1181" s="4" t="str">
        <f>IFERROR(VLOOKUP(B1181,infoTable__3[],4,FALSE),"")</f>
        <v/>
      </c>
      <c r="F1181" s="4" t="str">
        <f>IFERROR(VLOOKUP(B1181,infoTable__4[],4,FALSE),"")</f>
        <v/>
      </c>
      <c r="G1181" s="4" t="str">
        <f>IFERROR(VLOOKUP(B1181,infoTable[],4,FALSE),"")</f>
        <v/>
      </c>
      <c r="H1181" s="4" t="str">
        <f>IFERROR(VLOOKUP(B1181,infoTable__6[],4,FALSE),"")</f>
        <v/>
      </c>
      <c r="I1181" s="4">
        <f>IFERROR(VLOOKUP(B1181,infoTable__28[],4,FALSE),"")</f>
        <v>592114</v>
      </c>
      <c r="J1181" s="4">
        <f>IFERROR(VLOOKUP(B1181,infoTable__10[],4,FALSE),"")</f>
        <v>237307</v>
      </c>
      <c r="K1181" s="4">
        <f>IFERROR(VLOOKUP(B1181,infoTable__11[],4,FALSE),"")</f>
        <v>223789</v>
      </c>
      <c r="L1181" s="4">
        <f>IFERROR(VLOOKUP(B1181,infoTable__12[],4,FALSE),"")</f>
        <v>1387262</v>
      </c>
      <c r="M1181" s="4">
        <f>IFERROR(VLOOKUP(B1181,infoTable__13[],4,FALSE),"")</f>
        <v>1679333</v>
      </c>
      <c r="N1181" s="4">
        <f>IFERROR(VLOOKUP(B1181,infoTable__14[],4,FALSE),"")</f>
        <v>1148584</v>
      </c>
      <c r="O1181" s="4" t="str">
        <f>IFERROR(VLOOKUP(B1181,infoTable__15[],4,FALSE),"")</f>
        <v/>
      </c>
      <c r="P1181" s="4">
        <f>IFERROR(VLOOKUP(B1181,infoTable__16[],4,FALSE),"")</f>
        <v>1652614</v>
      </c>
    </row>
    <row r="1182" spans="1:16" x14ac:dyDescent="0.55000000000000004">
      <c r="A1182" t="s">
        <v>1323</v>
      </c>
      <c r="B1182" t="s">
        <v>1324</v>
      </c>
      <c r="C1182" s="4" t="str">
        <f>IFERROR(VLOOKUP(B1182,infoTable10[],4,FALSE),"")</f>
        <v/>
      </c>
      <c r="D1182" s="4" t="str">
        <f>IFERROR(VLOOKUP(B1182,infoTable__2[],4,FALSE),"")</f>
        <v/>
      </c>
      <c r="E1182" s="4" t="str">
        <f>IFERROR(VLOOKUP(B1182,infoTable__3[],4,FALSE),"")</f>
        <v/>
      </c>
      <c r="F1182" s="4" t="str">
        <f>IFERROR(VLOOKUP(B1182,infoTable__4[],4,FALSE),"")</f>
        <v/>
      </c>
      <c r="G1182" s="4" t="str">
        <f>IFERROR(VLOOKUP(B1182,infoTable[],4,FALSE),"")</f>
        <v/>
      </c>
      <c r="H1182" s="4" t="str">
        <f>IFERROR(VLOOKUP(B1182,infoTable__6[],4,FALSE),"")</f>
        <v/>
      </c>
      <c r="I1182" s="4">
        <f>IFERROR(VLOOKUP(B1182,infoTable__28[],4,FALSE),"")</f>
        <v>212803</v>
      </c>
      <c r="J1182" s="4">
        <f>IFERROR(VLOOKUP(B1182,infoTable__10[],4,FALSE),"")</f>
        <v>1534297</v>
      </c>
      <c r="K1182" s="4">
        <f>IFERROR(VLOOKUP(B1182,infoTable__11[],4,FALSE),"")</f>
        <v>1005566</v>
      </c>
      <c r="L1182" s="4">
        <f>IFERROR(VLOOKUP(B1182,infoTable__12[],4,FALSE),"")</f>
        <v>425740</v>
      </c>
      <c r="M1182" s="4">
        <f>IFERROR(VLOOKUP(B1182,infoTable__13[],4,FALSE),"")</f>
        <v>227526</v>
      </c>
      <c r="N1182" s="4" t="str">
        <f>IFERROR(VLOOKUP(B1182,infoTable__14[],4,FALSE),"")</f>
        <v/>
      </c>
      <c r="O1182" s="4">
        <f>IFERROR(VLOOKUP(B1182,infoTable__15[],4,FALSE),"")</f>
        <v>487332</v>
      </c>
      <c r="P1182" s="4">
        <f>IFERROR(VLOOKUP(B1182,infoTable__16[],4,FALSE),"")</f>
        <v>1405206</v>
      </c>
    </row>
    <row r="1183" spans="1:16" x14ac:dyDescent="0.55000000000000004">
      <c r="A1183" t="s">
        <v>1521</v>
      </c>
      <c r="B1183" t="s">
        <v>1522</v>
      </c>
      <c r="C1183" s="4">
        <f>IFERROR(VLOOKUP(B1183,infoTable10[],4,FALSE),"")</f>
        <v>181828</v>
      </c>
      <c r="D1183" s="4" t="str">
        <f>IFERROR(VLOOKUP(B1183,infoTable__2[],4,FALSE),"")</f>
        <v/>
      </c>
      <c r="E1183" s="4" t="str">
        <f>IFERROR(VLOOKUP(B1183,infoTable__3[],4,FALSE),"")</f>
        <v/>
      </c>
      <c r="F1183" s="4" t="str">
        <f>IFERROR(VLOOKUP(B1183,infoTable__4[],4,FALSE),"")</f>
        <v/>
      </c>
      <c r="G1183" s="4" t="str">
        <f>IFERROR(VLOOKUP(B1183,infoTable[],4,FALSE),"")</f>
        <v/>
      </c>
      <c r="H1183" s="4" t="str">
        <f>IFERROR(VLOOKUP(B1183,infoTable__6[],4,FALSE),"")</f>
        <v/>
      </c>
      <c r="I1183" s="4" t="str">
        <f>IFERROR(VLOOKUP(B1183,infoTable__28[],4,FALSE),"")</f>
        <v/>
      </c>
      <c r="J1183" s="4" t="str">
        <f>IFERROR(VLOOKUP(B1183,infoTable__10[],4,FALSE),"")</f>
        <v/>
      </c>
      <c r="K1183" s="4" t="str">
        <f>IFERROR(VLOOKUP(B1183,infoTable__11[],4,FALSE),"")</f>
        <v/>
      </c>
      <c r="L1183" s="4" t="str">
        <f>IFERROR(VLOOKUP(B1183,infoTable__12[],4,FALSE),"")</f>
        <v/>
      </c>
      <c r="M1183" s="4" t="str">
        <f>IFERROR(VLOOKUP(B1183,infoTable__13[],4,FALSE),"")</f>
        <v/>
      </c>
      <c r="N1183" s="4" t="str">
        <f>IFERROR(VLOOKUP(B1183,infoTable__14[],4,FALSE),"")</f>
        <v/>
      </c>
      <c r="O1183" s="4">
        <f>IFERROR(VLOOKUP(B1183,infoTable__15[],4,FALSE),"")</f>
        <v>403841</v>
      </c>
      <c r="P1183" s="4" t="str">
        <f>IFERROR(VLOOKUP(B1183,infoTable__16[],4,FALSE),"")</f>
        <v/>
      </c>
    </row>
    <row r="1184" spans="1:16" x14ac:dyDescent="0.55000000000000004">
      <c r="A1184" t="s">
        <v>3423</v>
      </c>
      <c r="B1184" t="s">
        <v>3424</v>
      </c>
      <c r="C1184" s="4" t="str">
        <f>IFERROR(VLOOKUP(B1184,infoTable10[],4,FALSE),"")</f>
        <v/>
      </c>
      <c r="D1184" s="4" t="str">
        <f>IFERROR(VLOOKUP(B1184,infoTable__2[],4,FALSE),"")</f>
        <v/>
      </c>
      <c r="E1184" s="4" t="str">
        <f>IFERROR(VLOOKUP(B1184,infoTable__3[],4,FALSE),"")</f>
        <v/>
      </c>
      <c r="F1184" s="4" t="str">
        <f>IFERROR(VLOOKUP(B1184,infoTable__4[],4,FALSE),"")</f>
        <v/>
      </c>
      <c r="G1184" s="4" t="str">
        <f>IFERROR(VLOOKUP(B1184,infoTable[],4,FALSE),"")</f>
        <v/>
      </c>
      <c r="H1184" s="4" t="str">
        <f>IFERROR(VLOOKUP(B1184,infoTable__6[],4,FALSE),"")</f>
        <v/>
      </c>
      <c r="I1184" s="4" t="str">
        <f>IFERROR(VLOOKUP(B1184,infoTable__28[],4,FALSE),"")</f>
        <v/>
      </c>
      <c r="J1184" s="4" t="str">
        <f>IFERROR(VLOOKUP(B1184,infoTable__10[],4,FALSE),"")</f>
        <v/>
      </c>
      <c r="K1184" s="4" t="str">
        <f>IFERROR(VLOOKUP(B1184,infoTable__11[],4,FALSE),"")</f>
        <v/>
      </c>
      <c r="L1184" s="4" t="str">
        <f>IFERROR(VLOOKUP(B1184,infoTable__12[],4,FALSE),"")</f>
        <v/>
      </c>
      <c r="M1184" s="4" t="str">
        <f>IFERROR(VLOOKUP(B1184,infoTable__13[],4,FALSE),"")</f>
        <v/>
      </c>
      <c r="N1184" s="4" t="str">
        <f>IFERROR(VLOOKUP(B1184,infoTable__14[],4,FALSE),"")</f>
        <v/>
      </c>
      <c r="O1184" s="4" t="str">
        <f>IFERROR(VLOOKUP(B1184,infoTable__15[],4,FALSE),"")</f>
        <v/>
      </c>
      <c r="P1184" s="4">
        <f>IFERROR(VLOOKUP(B1184,infoTable__16[],4,FALSE),"")</f>
        <v>978368</v>
      </c>
    </row>
    <row r="1185" spans="1:16" x14ac:dyDescent="0.55000000000000004">
      <c r="A1185" t="s">
        <v>2521</v>
      </c>
      <c r="B1185" t="s">
        <v>2522</v>
      </c>
      <c r="C1185" s="4" t="str">
        <f>IFERROR(VLOOKUP(B1185,infoTable10[],4,FALSE),"")</f>
        <v/>
      </c>
      <c r="D1185" s="4" t="str">
        <f>IFERROR(VLOOKUP(B1185,infoTable__2[],4,FALSE),"")</f>
        <v/>
      </c>
      <c r="E1185" s="4" t="str">
        <f>IFERROR(VLOOKUP(B1185,infoTable__3[],4,FALSE),"")</f>
        <v/>
      </c>
      <c r="F1185" s="4" t="str">
        <f>IFERROR(VLOOKUP(B1185,infoTable__4[],4,FALSE),"")</f>
        <v/>
      </c>
      <c r="G1185" s="4" t="str">
        <f>IFERROR(VLOOKUP(B1185,infoTable[],4,FALSE),"")</f>
        <v/>
      </c>
      <c r="H1185" s="4" t="str">
        <f>IFERROR(VLOOKUP(B1185,infoTable__6[],4,FALSE),"")</f>
        <v/>
      </c>
      <c r="I1185" s="4" t="str">
        <f>IFERROR(VLOOKUP(B1185,infoTable__28[],4,FALSE),"")</f>
        <v/>
      </c>
      <c r="J1185" s="4" t="str">
        <f>IFERROR(VLOOKUP(B1185,infoTable__10[],4,FALSE),"")</f>
        <v/>
      </c>
      <c r="K1185" s="4" t="str">
        <f>IFERROR(VLOOKUP(B1185,infoTable__11[],4,FALSE),"")</f>
        <v/>
      </c>
      <c r="L1185" s="4" t="str">
        <f>IFERROR(VLOOKUP(B1185,infoTable__12[],4,FALSE),"")</f>
        <v/>
      </c>
      <c r="M1185" s="4">
        <f>IFERROR(VLOOKUP(B1185,infoTable__13[],4,FALSE),"")</f>
        <v>732076</v>
      </c>
      <c r="N1185" s="4">
        <f>IFERROR(VLOOKUP(B1185,infoTable__14[],4,FALSE),"")</f>
        <v>315996</v>
      </c>
      <c r="O1185" s="4" t="str">
        <f>IFERROR(VLOOKUP(B1185,infoTable__15[],4,FALSE),"")</f>
        <v/>
      </c>
      <c r="P1185" s="4" t="str">
        <f>IFERROR(VLOOKUP(B1185,infoTable__16[],4,FALSE),"")</f>
        <v/>
      </c>
    </row>
    <row r="1186" spans="1:16" x14ac:dyDescent="0.55000000000000004">
      <c r="A1186" t="s">
        <v>3418</v>
      </c>
      <c r="B1186" t="s">
        <v>3419</v>
      </c>
      <c r="C1186" s="4" t="str">
        <f>IFERROR(VLOOKUP(B1186,infoTable10[],4,FALSE),"")</f>
        <v/>
      </c>
      <c r="D1186" s="4" t="str">
        <f>IFERROR(VLOOKUP(B1186,infoTable__2[],4,FALSE),"")</f>
        <v/>
      </c>
      <c r="E1186" s="4" t="str">
        <f>IFERROR(VLOOKUP(B1186,infoTable__3[],4,FALSE),"")</f>
        <v/>
      </c>
      <c r="F1186" s="4" t="str">
        <f>IFERROR(VLOOKUP(B1186,infoTable__4[],4,FALSE),"")</f>
        <v/>
      </c>
      <c r="G1186" s="4" t="str">
        <f>IFERROR(VLOOKUP(B1186,infoTable[],4,FALSE),"")</f>
        <v/>
      </c>
      <c r="H1186" s="4" t="str">
        <f>IFERROR(VLOOKUP(B1186,infoTable__6[],4,FALSE),"")</f>
        <v/>
      </c>
      <c r="I1186" s="4" t="str">
        <f>IFERROR(VLOOKUP(B1186,infoTable__28[],4,FALSE),"")</f>
        <v/>
      </c>
      <c r="J1186" s="4" t="str">
        <f>IFERROR(VLOOKUP(B1186,infoTable__10[],4,FALSE),"")</f>
        <v/>
      </c>
      <c r="K1186" s="4" t="str">
        <f>IFERROR(VLOOKUP(B1186,infoTable__11[],4,FALSE),"")</f>
        <v/>
      </c>
      <c r="L1186" s="4" t="str">
        <f>IFERROR(VLOOKUP(B1186,infoTable__12[],4,FALSE),"")</f>
        <v/>
      </c>
      <c r="M1186" s="4" t="str">
        <f>IFERROR(VLOOKUP(B1186,infoTable__13[],4,FALSE),"")</f>
        <v/>
      </c>
      <c r="N1186" s="4" t="str">
        <f>IFERROR(VLOOKUP(B1186,infoTable__14[],4,FALSE),"")</f>
        <v/>
      </c>
      <c r="O1186" s="4" t="str">
        <f>IFERROR(VLOOKUP(B1186,infoTable__15[],4,FALSE),"")</f>
        <v/>
      </c>
      <c r="P1186" s="4">
        <f>IFERROR(VLOOKUP(B1186,infoTable__16[],4,FALSE),"")</f>
        <v>322624</v>
      </c>
    </row>
    <row r="1187" spans="1:16" x14ac:dyDescent="0.55000000000000004">
      <c r="A1187" t="s">
        <v>1042</v>
      </c>
      <c r="B1187" t="s">
        <v>1043</v>
      </c>
      <c r="C1187" s="4" t="str">
        <f>IFERROR(VLOOKUP(B1187,infoTable10[],4,FALSE),"")</f>
        <v/>
      </c>
      <c r="D1187" s="4" t="str">
        <f>IFERROR(VLOOKUP(B1187,infoTable__2[],4,FALSE),"")</f>
        <v/>
      </c>
      <c r="E1187" s="4" t="str">
        <f>IFERROR(VLOOKUP(B1187,infoTable__3[],4,FALSE),"")</f>
        <v/>
      </c>
      <c r="F1187" s="4" t="str">
        <f>IFERROR(VLOOKUP(B1187,infoTable__4[],4,FALSE),"")</f>
        <v/>
      </c>
      <c r="G1187" s="4" t="str">
        <f>IFERROR(VLOOKUP(B1187,infoTable[],4,FALSE),"")</f>
        <v/>
      </c>
      <c r="H1187" s="4">
        <f>IFERROR(VLOOKUP(B1187,infoTable__6[],4,FALSE),"")</f>
        <v>725816</v>
      </c>
      <c r="I1187" s="4">
        <f>IFERROR(VLOOKUP(B1187,infoTable__28[],4,FALSE),"")</f>
        <v>495309</v>
      </c>
      <c r="J1187" s="4">
        <f>IFERROR(VLOOKUP(B1187,infoTable__10[],4,FALSE),"")</f>
        <v>555591</v>
      </c>
      <c r="K1187" s="4">
        <f>IFERROR(VLOOKUP(B1187,infoTable__11[],4,FALSE),"")</f>
        <v>367773</v>
      </c>
      <c r="L1187" s="4" t="str">
        <f>IFERROR(VLOOKUP(B1187,infoTable__12[],4,FALSE),"")</f>
        <v/>
      </c>
      <c r="M1187" s="4" t="str">
        <f>IFERROR(VLOOKUP(B1187,infoTable__13[],4,FALSE),"")</f>
        <v/>
      </c>
      <c r="N1187" s="4" t="str">
        <f>IFERROR(VLOOKUP(B1187,infoTable__14[],4,FALSE),"")</f>
        <v/>
      </c>
      <c r="O1187" s="4" t="str">
        <f>IFERROR(VLOOKUP(B1187,infoTable__15[],4,FALSE),"")</f>
        <v/>
      </c>
      <c r="P1187" s="4" t="str">
        <f>IFERROR(VLOOKUP(B1187,infoTable__16[],4,FALSE),"")</f>
        <v/>
      </c>
    </row>
    <row r="1188" spans="1:16" x14ac:dyDescent="0.55000000000000004">
      <c r="A1188" t="s">
        <v>284</v>
      </c>
      <c r="B1188" t="s">
        <v>285</v>
      </c>
      <c r="C1188" s="4">
        <f>IFERROR(VLOOKUP(B1188,infoTable10[],4,FALSE),"")</f>
        <v>1084877</v>
      </c>
      <c r="D1188" s="4">
        <f>IFERROR(VLOOKUP(B1188,infoTable__2[],4,FALSE),"")</f>
        <v>2264501</v>
      </c>
      <c r="E1188" s="4">
        <f>IFERROR(VLOOKUP(B1188,infoTable__3[],4,FALSE),"")</f>
        <v>2523850</v>
      </c>
      <c r="F1188" s="4">
        <f>IFERROR(VLOOKUP(B1188,infoTable__4[],4,FALSE),"")</f>
        <v>2396648</v>
      </c>
      <c r="G1188" s="4">
        <f>IFERROR(VLOOKUP(B1188,infoTable[],4,FALSE),"")</f>
        <v>1046629</v>
      </c>
      <c r="H1188" s="4" t="str">
        <f>IFERROR(VLOOKUP(B1188,infoTable__6[],4,FALSE),"")</f>
        <v/>
      </c>
      <c r="I1188" s="4" t="str">
        <f>IFERROR(VLOOKUP(B1188,infoTable__28[],4,FALSE),"")</f>
        <v/>
      </c>
      <c r="J1188" s="4">
        <f>IFERROR(VLOOKUP(B1188,infoTable__10[],4,FALSE),"")</f>
        <v>2477497</v>
      </c>
      <c r="K1188" s="4">
        <f>IFERROR(VLOOKUP(B1188,infoTable__11[],4,FALSE),"")</f>
        <v>1685604</v>
      </c>
      <c r="L1188" s="4">
        <f>IFERROR(VLOOKUP(B1188,infoTable__12[],4,FALSE),"")</f>
        <v>310864</v>
      </c>
      <c r="M1188" s="4" t="str">
        <f>IFERROR(VLOOKUP(B1188,infoTable__13[],4,FALSE),"")</f>
        <v/>
      </c>
      <c r="N1188" s="4" t="str">
        <f>IFERROR(VLOOKUP(B1188,infoTable__14[],4,FALSE),"")</f>
        <v/>
      </c>
      <c r="O1188" s="4" t="str">
        <f>IFERROR(VLOOKUP(B1188,infoTable__15[],4,FALSE),"")</f>
        <v/>
      </c>
      <c r="P1188" s="4">
        <f>IFERROR(VLOOKUP(B1188,infoTable__16[],4,FALSE),"")</f>
        <v>589527</v>
      </c>
    </row>
    <row r="1189" spans="1:16" x14ac:dyDescent="0.55000000000000004">
      <c r="A1189" t="s">
        <v>626</v>
      </c>
      <c r="B1189" t="s">
        <v>627</v>
      </c>
      <c r="C1189" s="4" t="str">
        <f>IFERROR(VLOOKUP(B1189,infoTable10[],4,FALSE),"")</f>
        <v/>
      </c>
      <c r="D1189" s="4">
        <f>IFERROR(VLOOKUP(B1189,infoTable__2[],4,FALSE),"")</f>
        <v>414416</v>
      </c>
      <c r="E1189" s="4" t="str">
        <f>IFERROR(VLOOKUP(B1189,infoTable__3[],4,FALSE),"")</f>
        <v/>
      </c>
      <c r="F1189" s="4" t="str">
        <f>IFERROR(VLOOKUP(B1189,infoTable__4[],4,FALSE),"")</f>
        <v/>
      </c>
      <c r="G1189" s="4" t="str">
        <f>IFERROR(VLOOKUP(B1189,infoTable[],4,FALSE),"")</f>
        <v/>
      </c>
      <c r="H1189" s="4" t="str">
        <f>IFERROR(VLOOKUP(B1189,infoTable__6[],4,FALSE),"")</f>
        <v/>
      </c>
      <c r="I1189" s="4" t="str">
        <f>IFERROR(VLOOKUP(B1189,infoTable__28[],4,FALSE),"")</f>
        <v/>
      </c>
      <c r="J1189" s="4" t="str">
        <f>IFERROR(VLOOKUP(B1189,infoTable__10[],4,FALSE),"")</f>
        <v/>
      </c>
      <c r="K1189" s="4">
        <f>IFERROR(VLOOKUP(B1189,infoTable__11[],4,FALSE),"")</f>
        <v>1015064</v>
      </c>
      <c r="L1189" s="4">
        <f>IFERROR(VLOOKUP(B1189,infoTable__12[],4,FALSE),"")</f>
        <v>365947</v>
      </c>
      <c r="M1189" s="4">
        <f>IFERROR(VLOOKUP(B1189,infoTable__13[],4,FALSE),"")</f>
        <v>195475</v>
      </c>
      <c r="N1189" s="4">
        <f>IFERROR(VLOOKUP(B1189,infoTable__14[],4,FALSE),"")</f>
        <v>223384</v>
      </c>
      <c r="O1189" s="4">
        <f>IFERROR(VLOOKUP(B1189,infoTable__15[],4,FALSE),"")</f>
        <v>428839</v>
      </c>
      <c r="P1189" s="4">
        <f>IFERROR(VLOOKUP(B1189,infoTable__16[],4,FALSE),"")</f>
        <v>279154</v>
      </c>
    </row>
    <row r="1190" spans="1:16" x14ac:dyDescent="0.55000000000000004">
      <c r="A1190" t="s">
        <v>1696</v>
      </c>
      <c r="B1190" t="s">
        <v>1697</v>
      </c>
      <c r="C1190" s="4" t="str">
        <f>IFERROR(VLOOKUP(B1190,infoTable10[],4,FALSE),"")</f>
        <v/>
      </c>
      <c r="D1190" s="4" t="str">
        <f>IFERROR(VLOOKUP(B1190,infoTable__2[],4,FALSE),"")</f>
        <v/>
      </c>
      <c r="E1190" s="4" t="str">
        <f>IFERROR(VLOOKUP(B1190,infoTable__3[],4,FALSE),"")</f>
        <v/>
      </c>
      <c r="F1190" s="4" t="str">
        <f>IFERROR(VLOOKUP(B1190,infoTable__4[],4,FALSE),"")</f>
        <v/>
      </c>
      <c r="G1190" s="4" t="str">
        <f>IFERROR(VLOOKUP(B1190,infoTable[],4,FALSE),"")</f>
        <v/>
      </c>
      <c r="H1190" s="4" t="str">
        <f>IFERROR(VLOOKUP(B1190,infoTable__6[],4,FALSE),"")</f>
        <v/>
      </c>
      <c r="I1190" s="4" t="str">
        <f>IFERROR(VLOOKUP(B1190,infoTable__28[],4,FALSE),"")</f>
        <v/>
      </c>
      <c r="J1190" s="4">
        <f>IFERROR(VLOOKUP(B1190,infoTable__10[],4,FALSE),"")</f>
        <v>212506</v>
      </c>
      <c r="K1190" s="4" t="str">
        <f>IFERROR(VLOOKUP(B1190,infoTable__11[],4,FALSE),"")</f>
        <v/>
      </c>
      <c r="L1190" s="4" t="str">
        <f>IFERROR(VLOOKUP(B1190,infoTable__12[],4,FALSE),"")</f>
        <v/>
      </c>
      <c r="M1190" s="4" t="str">
        <f>IFERROR(VLOOKUP(B1190,infoTable__13[],4,FALSE),"")</f>
        <v/>
      </c>
      <c r="N1190" s="4" t="str">
        <f>IFERROR(VLOOKUP(B1190,infoTable__14[],4,FALSE),"")</f>
        <v/>
      </c>
      <c r="O1190" s="4" t="str">
        <f>IFERROR(VLOOKUP(B1190,infoTable__15[],4,FALSE),"")</f>
        <v/>
      </c>
      <c r="P1190" s="4" t="str">
        <f>IFERROR(VLOOKUP(B1190,infoTable__16[],4,FALSE),"")</f>
        <v/>
      </c>
    </row>
    <row r="1191" spans="1:16" x14ac:dyDescent="0.55000000000000004">
      <c r="A1191" t="s">
        <v>3093</v>
      </c>
      <c r="B1191" t="s">
        <v>3094</v>
      </c>
      <c r="C1191" s="4" t="str">
        <f>IFERROR(VLOOKUP(B1191,infoTable10[],4,FALSE),"")</f>
        <v/>
      </c>
      <c r="D1191" s="4" t="str">
        <f>IFERROR(VLOOKUP(B1191,infoTable__2[],4,FALSE),"")</f>
        <v/>
      </c>
      <c r="E1191" s="4" t="str">
        <f>IFERROR(VLOOKUP(B1191,infoTable__3[],4,FALSE),"")</f>
        <v/>
      </c>
      <c r="F1191" s="4" t="str">
        <f>IFERROR(VLOOKUP(B1191,infoTable__4[],4,FALSE),"")</f>
        <v/>
      </c>
      <c r="G1191" s="4" t="str">
        <f>IFERROR(VLOOKUP(B1191,infoTable[],4,FALSE),"")</f>
        <v/>
      </c>
      <c r="H1191" s="4" t="str">
        <f>IFERROR(VLOOKUP(B1191,infoTable__6[],4,FALSE),"")</f>
        <v/>
      </c>
      <c r="I1191" s="4" t="str">
        <f>IFERROR(VLOOKUP(B1191,infoTable__28[],4,FALSE),"")</f>
        <v/>
      </c>
      <c r="J1191" s="4" t="str">
        <f>IFERROR(VLOOKUP(B1191,infoTable__10[],4,FALSE),"")</f>
        <v/>
      </c>
      <c r="K1191" s="4" t="str">
        <f>IFERROR(VLOOKUP(B1191,infoTable__11[],4,FALSE),"")</f>
        <v/>
      </c>
      <c r="L1191" s="4" t="str">
        <f>IFERROR(VLOOKUP(B1191,infoTable__12[],4,FALSE),"")</f>
        <v/>
      </c>
      <c r="M1191" s="4" t="str">
        <f>IFERROR(VLOOKUP(B1191,infoTable__13[],4,FALSE),"")</f>
        <v/>
      </c>
      <c r="N1191" s="4" t="str">
        <f>IFERROR(VLOOKUP(B1191,infoTable__14[],4,FALSE),"")</f>
        <v/>
      </c>
      <c r="O1191" s="4">
        <f>IFERROR(VLOOKUP(B1191,infoTable__15[],4,FALSE),"")</f>
        <v>304731</v>
      </c>
      <c r="P1191" s="4">
        <f>IFERROR(VLOOKUP(B1191,infoTable__16[],4,FALSE),"")</f>
        <v>549644</v>
      </c>
    </row>
    <row r="1192" spans="1:16" x14ac:dyDescent="0.55000000000000004">
      <c r="A1192" t="s">
        <v>1698</v>
      </c>
      <c r="B1192" t="s">
        <v>1699</v>
      </c>
      <c r="C1192" s="4" t="str">
        <f>IFERROR(VLOOKUP(B1192,infoTable10[],4,FALSE),"")</f>
        <v/>
      </c>
      <c r="D1192" s="4" t="str">
        <f>IFERROR(VLOOKUP(B1192,infoTable__2[],4,FALSE),"")</f>
        <v/>
      </c>
      <c r="E1192" s="4" t="str">
        <f>IFERROR(VLOOKUP(B1192,infoTable__3[],4,FALSE),"")</f>
        <v/>
      </c>
      <c r="F1192" s="4" t="str">
        <f>IFERROR(VLOOKUP(B1192,infoTable__4[],4,FALSE),"")</f>
        <v/>
      </c>
      <c r="G1192" s="4" t="str">
        <f>IFERROR(VLOOKUP(B1192,infoTable[],4,FALSE),"")</f>
        <v/>
      </c>
      <c r="H1192" s="4" t="str">
        <f>IFERROR(VLOOKUP(B1192,infoTable__6[],4,FALSE),"")</f>
        <v/>
      </c>
      <c r="I1192" s="4" t="str">
        <f>IFERROR(VLOOKUP(B1192,infoTable__28[],4,FALSE),"")</f>
        <v/>
      </c>
      <c r="J1192" s="4">
        <f>IFERROR(VLOOKUP(B1192,infoTable__10[],4,FALSE),"")</f>
        <v>198689</v>
      </c>
      <c r="K1192" s="4">
        <f>IFERROR(VLOOKUP(B1192,infoTable__11[],4,FALSE),"")</f>
        <v>320269</v>
      </c>
      <c r="L1192" s="4" t="str">
        <f>IFERROR(VLOOKUP(B1192,infoTable__12[],4,FALSE),"")</f>
        <v/>
      </c>
      <c r="M1192" s="4" t="str">
        <f>IFERROR(VLOOKUP(B1192,infoTable__13[],4,FALSE),"")</f>
        <v/>
      </c>
      <c r="N1192" s="4" t="str">
        <f>IFERROR(VLOOKUP(B1192,infoTable__14[],4,FALSE),"")</f>
        <v/>
      </c>
      <c r="O1192" s="4" t="str">
        <f>IFERROR(VLOOKUP(B1192,infoTable__15[],4,FALSE),"")</f>
        <v/>
      </c>
      <c r="P1192" s="4">
        <f>IFERROR(VLOOKUP(B1192,infoTable__16[],4,FALSE),"")</f>
        <v>207130</v>
      </c>
    </row>
    <row r="1193" spans="1:16" x14ac:dyDescent="0.55000000000000004">
      <c r="A1193" t="s">
        <v>286</v>
      </c>
      <c r="B1193" t="s">
        <v>287</v>
      </c>
      <c r="C1193" s="4" t="str">
        <f>IFERROR(VLOOKUP(B1193,infoTable10[],4,FALSE),"")</f>
        <v/>
      </c>
      <c r="D1193" s="4" t="str">
        <f>IFERROR(VLOOKUP(B1193,infoTable__2[],4,FALSE),"")</f>
        <v/>
      </c>
      <c r="E1193" s="4">
        <f>IFERROR(VLOOKUP(B1193,infoTable__3[],4,FALSE),"")</f>
        <v>158479</v>
      </c>
      <c r="F1193" s="4">
        <f>IFERROR(VLOOKUP(B1193,infoTable__4[],4,FALSE),"")</f>
        <v>89193</v>
      </c>
      <c r="G1193" s="4">
        <f>IFERROR(VLOOKUP(B1193,infoTable[],4,FALSE),"")</f>
        <v>94876</v>
      </c>
      <c r="H1193" s="4" t="str">
        <f>IFERROR(VLOOKUP(B1193,infoTable__6[],4,FALSE),"")</f>
        <v/>
      </c>
      <c r="I1193" s="4" t="str">
        <f>IFERROR(VLOOKUP(B1193,infoTable__28[],4,FALSE),"")</f>
        <v/>
      </c>
      <c r="J1193" s="4" t="str">
        <f>IFERROR(VLOOKUP(B1193,infoTable__10[],4,FALSE),"")</f>
        <v/>
      </c>
      <c r="K1193" s="4" t="str">
        <f>IFERROR(VLOOKUP(B1193,infoTable__11[],4,FALSE),"")</f>
        <v/>
      </c>
      <c r="L1193" s="4" t="str">
        <f>IFERROR(VLOOKUP(B1193,infoTable__12[],4,FALSE),"")</f>
        <v/>
      </c>
      <c r="M1193" s="4" t="str">
        <f>IFERROR(VLOOKUP(B1193,infoTable__13[],4,FALSE),"")</f>
        <v/>
      </c>
      <c r="N1193" s="4" t="str">
        <f>IFERROR(VLOOKUP(B1193,infoTable__14[],4,FALSE),"")</f>
        <v/>
      </c>
      <c r="O1193" s="4" t="str">
        <f>IFERROR(VLOOKUP(B1193,infoTable__15[],4,FALSE),"")</f>
        <v/>
      </c>
      <c r="P1193" s="4" t="str">
        <f>IFERROR(VLOOKUP(B1193,infoTable__16[],4,FALSE),"")</f>
        <v/>
      </c>
    </row>
    <row r="1194" spans="1:16" x14ac:dyDescent="0.55000000000000004">
      <c r="A1194" t="s">
        <v>2511</v>
      </c>
      <c r="B1194" t="s">
        <v>2512</v>
      </c>
      <c r="C1194" s="4" t="str">
        <f>IFERROR(VLOOKUP(B1194,infoTable10[],4,FALSE),"")</f>
        <v/>
      </c>
      <c r="D1194" s="4" t="str">
        <f>IFERROR(VLOOKUP(B1194,infoTable__2[],4,FALSE),"")</f>
        <v/>
      </c>
      <c r="E1194" s="4" t="str">
        <f>IFERROR(VLOOKUP(B1194,infoTable__3[],4,FALSE),"")</f>
        <v/>
      </c>
      <c r="F1194" s="4" t="str">
        <f>IFERROR(VLOOKUP(B1194,infoTable__4[],4,FALSE),"")</f>
        <v/>
      </c>
      <c r="G1194" s="4" t="str">
        <f>IFERROR(VLOOKUP(B1194,infoTable[],4,FALSE),"")</f>
        <v/>
      </c>
      <c r="H1194" s="4" t="str">
        <f>IFERROR(VLOOKUP(B1194,infoTable__6[],4,FALSE),"")</f>
        <v/>
      </c>
      <c r="I1194" s="4" t="str">
        <f>IFERROR(VLOOKUP(B1194,infoTable__28[],4,FALSE),"")</f>
        <v/>
      </c>
      <c r="J1194" s="4" t="str">
        <f>IFERROR(VLOOKUP(B1194,infoTable__10[],4,FALSE),"")</f>
        <v/>
      </c>
      <c r="K1194" s="4" t="str">
        <f>IFERROR(VLOOKUP(B1194,infoTable__11[],4,FALSE),"")</f>
        <v/>
      </c>
      <c r="L1194" s="4" t="str">
        <f>IFERROR(VLOOKUP(B1194,infoTable__12[],4,FALSE),"")</f>
        <v/>
      </c>
      <c r="M1194" s="4">
        <f>IFERROR(VLOOKUP(B1194,infoTable__13[],4,FALSE),"")</f>
        <v>316568</v>
      </c>
      <c r="N1194" s="4">
        <f>IFERROR(VLOOKUP(B1194,infoTable__14[],4,FALSE),"")</f>
        <v>1838864</v>
      </c>
      <c r="O1194" s="4">
        <f>IFERROR(VLOOKUP(B1194,infoTable__15[],4,FALSE),"")</f>
        <v>722795</v>
      </c>
      <c r="P1194" s="4">
        <f>IFERROR(VLOOKUP(B1194,infoTable__16[],4,FALSE),"")</f>
        <v>333204</v>
      </c>
    </row>
    <row r="1195" spans="1:16" x14ac:dyDescent="0.55000000000000004">
      <c r="A1195" t="s">
        <v>2857</v>
      </c>
      <c r="B1195" t="s">
        <v>2856</v>
      </c>
      <c r="C1195" s="4" t="str">
        <f>IFERROR(VLOOKUP(B1195,infoTable10[],4,FALSE),"")</f>
        <v/>
      </c>
      <c r="D1195" s="4" t="str">
        <f>IFERROR(VLOOKUP(B1195,infoTable__2[],4,FALSE),"")</f>
        <v/>
      </c>
      <c r="E1195" s="4" t="str">
        <f>IFERROR(VLOOKUP(B1195,infoTable__3[],4,FALSE),"")</f>
        <v/>
      </c>
      <c r="F1195" s="4" t="str">
        <f>IFERROR(VLOOKUP(B1195,infoTable__4[],4,FALSE),"")</f>
        <v/>
      </c>
      <c r="G1195" s="4" t="str">
        <f>IFERROR(VLOOKUP(B1195,infoTable[],4,FALSE),"")</f>
        <v/>
      </c>
      <c r="H1195" s="4" t="str">
        <f>IFERROR(VLOOKUP(B1195,infoTable__6[],4,FALSE),"")</f>
        <v/>
      </c>
      <c r="I1195" s="4" t="str">
        <f>IFERROR(VLOOKUP(B1195,infoTable__28[],4,FALSE),"")</f>
        <v/>
      </c>
      <c r="J1195" s="4" t="str">
        <f>IFERROR(VLOOKUP(B1195,infoTable__10[],4,FALSE),"")</f>
        <v/>
      </c>
      <c r="K1195" s="4" t="str">
        <f>IFERROR(VLOOKUP(B1195,infoTable__11[],4,FALSE),"")</f>
        <v/>
      </c>
      <c r="L1195" s="4" t="str">
        <f>IFERROR(VLOOKUP(B1195,infoTable__12[],4,FALSE),"")</f>
        <v/>
      </c>
      <c r="M1195" s="4" t="str">
        <f>IFERROR(VLOOKUP(B1195,infoTable__13[],4,FALSE),"")</f>
        <v/>
      </c>
      <c r="N1195" s="4">
        <f>IFERROR(VLOOKUP(B1195,infoTable__14[],4,FALSE),"")</f>
        <v>287570</v>
      </c>
      <c r="O1195" s="4" t="str">
        <f>IFERROR(VLOOKUP(B1195,infoTable__15[],4,FALSE),"")</f>
        <v/>
      </c>
      <c r="P1195" s="4" t="str">
        <f>IFERROR(VLOOKUP(B1195,infoTable__16[],4,FALSE),"")</f>
        <v/>
      </c>
    </row>
    <row r="1196" spans="1:16" x14ac:dyDescent="0.55000000000000004">
      <c r="A1196" t="s">
        <v>1590</v>
      </c>
      <c r="B1196" t="s">
        <v>1529</v>
      </c>
      <c r="C1196" s="4">
        <f>IFERROR(VLOOKUP(B1196,infoTable10[],4,FALSE),"")</f>
        <v>977820</v>
      </c>
      <c r="D1196" s="4" t="str">
        <f>IFERROR(VLOOKUP(B1196,infoTable__2[],4,FALSE),"")</f>
        <v/>
      </c>
      <c r="E1196" s="4" t="str">
        <f>IFERROR(VLOOKUP(B1196,infoTable__3[],4,FALSE),"")</f>
        <v/>
      </c>
      <c r="F1196" s="4" t="str">
        <f>IFERROR(VLOOKUP(B1196,infoTable__4[],4,FALSE),"")</f>
        <v/>
      </c>
      <c r="G1196" s="4" t="str">
        <f>IFERROR(VLOOKUP(B1196,infoTable[],4,FALSE),"")</f>
        <v/>
      </c>
      <c r="H1196" s="4" t="str">
        <f>IFERROR(VLOOKUP(B1196,infoTable__6[],4,FALSE),"")</f>
        <v/>
      </c>
      <c r="I1196" s="4" t="str">
        <f>IFERROR(VLOOKUP(B1196,infoTable__28[],4,FALSE),"")</f>
        <v/>
      </c>
      <c r="J1196" s="4" t="str">
        <f>IFERROR(VLOOKUP(B1196,infoTable__10[],4,FALSE),"")</f>
        <v/>
      </c>
      <c r="K1196" s="4" t="str">
        <f>IFERROR(VLOOKUP(B1196,infoTable__11[],4,FALSE),"")</f>
        <v/>
      </c>
      <c r="L1196" s="4" t="str">
        <f>IFERROR(VLOOKUP(B1196,infoTable__12[],4,FALSE),"")</f>
        <v/>
      </c>
      <c r="M1196" s="4" t="str">
        <f>IFERROR(VLOOKUP(B1196,infoTable__13[],4,FALSE),"")</f>
        <v/>
      </c>
      <c r="N1196" s="4" t="str">
        <f>IFERROR(VLOOKUP(B1196,infoTable__14[],4,FALSE),"")</f>
        <v/>
      </c>
      <c r="O1196" s="4" t="str">
        <f>IFERROR(VLOOKUP(B1196,infoTable__15[],4,FALSE),"")</f>
        <v/>
      </c>
      <c r="P1196" s="4" t="str">
        <f>IFERROR(VLOOKUP(B1196,infoTable__16[],4,FALSE),"")</f>
        <v/>
      </c>
    </row>
    <row r="1197" spans="1:16" x14ac:dyDescent="0.55000000000000004">
      <c r="A1197" t="s">
        <v>2249</v>
      </c>
      <c r="B1197" t="s">
        <v>2250</v>
      </c>
      <c r="C1197" s="4" t="str">
        <f>IFERROR(VLOOKUP(B1197,infoTable10[],4,FALSE),"")</f>
        <v/>
      </c>
      <c r="D1197" s="4" t="str">
        <f>IFERROR(VLOOKUP(B1197,infoTable__2[],4,FALSE),"")</f>
        <v/>
      </c>
      <c r="E1197" s="4" t="str">
        <f>IFERROR(VLOOKUP(B1197,infoTable__3[],4,FALSE),"")</f>
        <v/>
      </c>
      <c r="F1197" s="4" t="str">
        <f>IFERROR(VLOOKUP(B1197,infoTable__4[],4,FALSE),"")</f>
        <v/>
      </c>
      <c r="G1197" s="4" t="str">
        <f>IFERROR(VLOOKUP(B1197,infoTable[],4,FALSE),"")</f>
        <v/>
      </c>
      <c r="H1197" s="4" t="str">
        <f>IFERROR(VLOOKUP(B1197,infoTable__6[],4,FALSE),"")</f>
        <v/>
      </c>
      <c r="I1197" s="4" t="str">
        <f>IFERROR(VLOOKUP(B1197,infoTable__28[],4,FALSE),"")</f>
        <v/>
      </c>
      <c r="J1197" s="4" t="str">
        <f>IFERROR(VLOOKUP(B1197,infoTable__10[],4,FALSE),"")</f>
        <v/>
      </c>
      <c r="K1197" s="4" t="str">
        <f>IFERROR(VLOOKUP(B1197,infoTable__11[],4,FALSE),"")</f>
        <v/>
      </c>
      <c r="L1197" s="4">
        <f>IFERROR(VLOOKUP(B1197,infoTable__12[],4,FALSE),"")</f>
        <v>1708186</v>
      </c>
      <c r="M1197" s="4">
        <f>IFERROR(VLOOKUP(B1197,infoTable__13[],4,FALSE),"")</f>
        <v>5215685</v>
      </c>
      <c r="N1197" s="4">
        <f>IFERROR(VLOOKUP(B1197,infoTable__14[],4,FALSE),"")</f>
        <v>2382703</v>
      </c>
      <c r="O1197" s="4">
        <f>IFERROR(VLOOKUP(B1197,infoTable__15[],4,FALSE),"")</f>
        <v>2331609</v>
      </c>
      <c r="P1197" s="4">
        <f>IFERROR(VLOOKUP(B1197,infoTable__16[],4,FALSE),"")</f>
        <v>1597446</v>
      </c>
    </row>
    <row r="1198" spans="1:16" x14ac:dyDescent="0.55000000000000004">
      <c r="A1198" t="s">
        <v>1530</v>
      </c>
      <c r="B1198" t="s">
        <v>1531</v>
      </c>
      <c r="C1198" s="4">
        <f>IFERROR(VLOOKUP(B1198,infoTable10[],4,FALSE),"")</f>
        <v>3413110</v>
      </c>
      <c r="D1198" s="4" t="str">
        <f>IFERROR(VLOOKUP(B1198,infoTable__2[],4,FALSE),"")</f>
        <v/>
      </c>
      <c r="E1198" s="4" t="str">
        <f>IFERROR(VLOOKUP(B1198,infoTable__3[],4,FALSE),"")</f>
        <v/>
      </c>
      <c r="F1198" s="4" t="str">
        <f>IFERROR(VLOOKUP(B1198,infoTable__4[],4,FALSE),"")</f>
        <v/>
      </c>
      <c r="G1198" s="4" t="str">
        <f>IFERROR(VLOOKUP(B1198,infoTable[],4,FALSE),"")</f>
        <v/>
      </c>
      <c r="H1198" s="4" t="str">
        <f>IFERROR(VLOOKUP(B1198,infoTable__6[],4,FALSE),"")</f>
        <v/>
      </c>
      <c r="I1198" s="4" t="str">
        <f>IFERROR(VLOOKUP(B1198,infoTable__28[],4,FALSE),"")</f>
        <v/>
      </c>
      <c r="J1198" s="4" t="str">
        <f>IFERROR(VLOOKUP(B1198,infoTable__10[],4,FALSE),"")</f>
        <v/>
      </c>
      <c r="K1198" s="4" t="str">
        <f>IFERROR(VLOOKUP(B1198,infoTable__11[],4,FALSE),"")</f>
        <v/>
      </c>
      <c r="L1198" s="4" t="str">
        <f>IFERROR(VLOOKUP(B1198,infoTable__12[],4,FALSE),"")</f>
        <v/>
      </c>
      <c r="M1198" s="4" t="str">
        <f>IFERROR(VLOOKUP(B1198,infoTable__13[],4,FALSE),"")</f>
        <v/>
      </c>
      <c r="N1198" s="4" t="str">
        <f>IFERROR(VLOOKUP(B1198,infoTable__14[],4,FALSE),"")</f>
        <v/>
      </c>
      <c r="O1198" s="4" t="str">
        <f>IFERROR(VLOOKUP(B1198,infoTable__15[],4,FALSE),"")</f>
        <v/>
      </c>
      <c r="P1198" s="4" t="str">
        <f>IFERROR(VLOOKUP(B1198,infoTable__16[],4,FALSE),"")</f>
        <v/>
      </c>
    </row>
    <row r="1199" spans="1:16" x14ac:dyDescent="0.55000000000000004">
      <c r="A1199" t="s">
        <v>628</v>
      </c>
      <c r="B1199" t="s">
        <v>629</v>
      </c>
      <c r="C1199" s="4">
        <f>IFERROR(VLOOKUP(B1199,infoTable10[],4,FALSE),"")</f>
        <v>2598066</v>
      </c>
      <c r="D1199" s="4">
        <f>IFERROR(VLOOKUP(B1199,infoTable__2[],4,FALSE),"")</f>
        <v>1275164</v>
      </c>
      <c r="E1199" s="4" t="str">
        <f>IFERROR(VLOOKUP(B1199,infoTable__3[],4,FALSE),"")</f>
        <v/>
      </c>
      <c r="F1199" s="4" t="str">
        <f>IFERROR(VLOOKUP(B1199,infoTable__4[],4,FALSE),"")</f>
        <v/>
      </c>
      <c r="G1199" s="4" t="str">
        <f>IFERROR(VLOOKUP(B1199,infoTable[],4,FALSE),"")</f>
        <v/>
      </c>
      <c r="H1199" s="4" t="str">
        <f>IFERROR(VLOOKUP(B1199,infoTable__6[],4,FALSE),"")</f>
        <v/>
      </c>
      <c r="I1199" s="4" t="str">
        <f>IFERROR(VLOOKUP(B1199,infoTable__28[],4,FALSE),"")</f>
        <v/>
      </c>
      <c r="J1199" s="4">
        <f>IFERROR(VLOOKUP(B1199,infoTable__10[],4,FALSE),"")</f>
        <v>937229</v>
      </c>
      <c r="K1199" s="4">
        <f>IFERROR(VLOOKUP(B1199,infoTable__11[],4,FALSE),"")</f>
        <v>1041418</v>
      </c>
      <c r="L1199" s="4">
        <f>IFERROR(VLOOKUP(B1199,infoTable__12[],4,FALSE),"")</f>
        <v>244383</v>
      </c>
      <c r="M1199" s="4" t="str">
        <f>IFERROR(VLOOKUP(B1199,infoTable__13[],4,FALSE),"")</f>
        <v/>
      </c>
      <c r="N1199" s="4" t="str">
        <f>IFERROR(VLOOKUP(B1199,infoTable__14[],4,FALSE),"")</f>
        <v/>
      </c>
      <c r="O1199" s="4" t="str">
        <f>IFERROR(VLOOKUP(B1199,infoTable__15[],4,FALSE),"")</f>
        <v/>
      </c>
      <c r="P1199" s="4" t="str">
        <f>IFERROR(VLOOKUP(B1199,infoTable__16[],4,FALSE),"")</f>
        <v/>
      </c>
    </row>
    <row r="1200" spans="1:16" x14ac:dyDescent="0.55000000000000004">
      <c r="A1200" t="s">
        <v>3425</v>
      </c>
      <c r="B1200" t="s">
        <v>3426</v>
      </c>
      <c r="C1200" s="4" t="str">
        <f>IFERROR(VLOOKUP(B1200,infoTable10[],4,FALSE),"")</f>
        <v/>
      </c>
      <c r="D1200" s="4" t="str">
        <f>IFERROR(VLOOKUP(B1200,infoTable__2[],4,FALSE),"")</f>
        <v/>
      </c>
      <c r="E1200" s="4" t="str">
        <f>IFERROR(VLOOKUP(B1200,infoTable__3[],4,FALSE),"")</f>
        <v/>
      </c>
      <c r="F1200" s="4" t="str">
        <f>IFERROR(VLOOKUP(B1200,infoTable__4[],4,FALSE),"")</f>
        <v/>
      </c>
      <c r="G1200" s="4" t="str">
        <f>IFERROR(VLOOKUP(B1200,infoTable[],4,FALSE),"")</f>
        <v/>
      </c>
      <c r="H1200" s="4" t="str">
        <f>IFERROR(VLOOKUP(B1200,infoTable__6[],4,FALSE),"")</f>
        <v/>
      </c>
      <c r="I1200" s="4" t="str">
        <f>IFERROR(VLOOKUP(B1200,infoTable__28[],4,FALSE),"")</f>
        <v/>
      </c>
      <c r="J1200" s="4" t="str">
        <f>IFERROR(VLOOKUP(B1200,infoTable__10[],4,FALSE),"")</f>
        <v/>
      </c>
      <c r="K1200" s="4" t="str">
        <f>IFERROR(VLOOKUP(B1200,infoTable__11[],4,FALSE),"")</f>
        <v/>
      </c>
      <c r="L1200" s="4" t="str">
        <f>IFERROR(VLOOKUP(B1200,infoTable__12[],4,FALSE),"")</f>
        <v/>
      </c>
      <c r="M1200" s="4" t="str">
        <f>IFERROR(VLOOKUP(B1200,infoTable__13[],4,FALSE),"")</f>
        <v/>
      </c>
      <c r="N1200" s="4" t="str">
        <f>IFERROR(VLOOKUP(B1200,infoTable__14[],4,FALSE),"")</f>
        <v/>
      </c>
      <c r="O1200" s="4" t="str">
        <f>IFERROR(VLOOKUP(B1200,infoTable__15[],4,FALSE),"")</f>
        <v/>
      </c>
      <c r="P1200" s="4">
        <f>IFERROR(VLOOKUP(B1200,infoTable__16[],4,FALSE),"")</f>
        <v>852532</v>
      </c>
    </row>
    <row r="1201" spans="1:16" x14ac:dyDescent="0.55000000000000004">
      <c r="A1201" t="s">
        <v>2517</v>
      </c>
      <c r="B1201" t="s">
        <v>2518</v>
      </c>
      <c r="C1201" s="4" t="str">
        <f>IFERROR(VLOOKUP(B1201,infoTable10[],4,FALSE),"")</f>
        <v/>
      </c>
      <c r="D1201" s="4" t="str">
        <f>IFERROR(VLOOKUP(B1201,infoTable__2[],4,FALSE),"")</f>
        <v/>
      </c>
      <c r="E1201" s="4" t="str">
        <f>IFERROR(VLOOKUP(B1201,infoTable__3[],4,FALSE),"")</f>
        <v/>
      </c>
      <c r="F1201" s="4" t="str">
        <f>IFERROR(VLOOKUP(B1201,infoTable__4[],4,FALSE),"")</f>
        <v/>
      </c>
      <c r="G1201" s="4" t="str">
        <f>IFERROR(VLOOKUP(B1201,infoTable[],4,FALSE),"")</f>
        <v/>
      </c>
      <c r="H1201" s="4" t="str">
        <f>IFERROR(VLOOKUP(B1201,infoTable__6[],4,FALSE),"")</f>
        <v/>
      </c>
      <c r="I1201" s="4" t="str">
        <f>IFERROR(VLOOKUP(B1201,infoTable__28[],4,FALSE),"")</f>
        <v/>
      </c>
      <c r="J1201" s="4" t="str">
        <f>IFERROR(VLOOKUP(B1201,infoTable__10[],4,FALSE),"")</f>
        <v/>
      </c>
      <c r="K1201" s="4" t="str">
        <f>IFERROR(VLOOKUP(B1201,infoTable__11[],4,FALSE),"")</f>
        <v/>
      </c>
      <c r="L1201" s="4" t="str">
        <f>IFERROR(VLOOKUP(B1201,infoTable__12[],4,FALSE),"")</f>
        <v/>
      </c>
      <c r="M1201" s="4">
        <f>IFERROR(VLOOKUP(B1201,infoTable__13[],4,FALSE),"")</f>
        <v>194012</v>
      </c>
      <c r="N1201" s="4">
        <f>IFERROR(VLOOKUP(B1201,infoTable__14[],4,FALSE),"")</f>
        <v>199859</v>
      </c>
      <c r="O1201" s="4" t="str">
        <f>IFERROR(VLOOKUP(B1201,infoTable__15[],4,FALSE),"")</f>
        <v/>
      </c>
      <c r="P1201" s="4" t="str">
        <f>IFERROR(VLOOKUP(B1201,infoTable__16[],4,FALSE),"")</f>
        <v/>
      </c>
    </row>
    <row r="1202" spans="1:16" x14ac:dyDescent="0.55000000000000004">
      <c r="A1202" t="s">
        <v>2251</v>
      </c>
      <c r="B1202" t="s">
        <v>2252</v>
      </c>
      <c r="C1202" s="4" t="str">
        <f>IFERROR(VLOOKUP(B1202,infoTable10[],4,FALSE),"")</f>
        <v/>
      </c>
      <c r="D1202" s="4" t="str">
        <f>IFERROR(VLOOKUP(B1202,infoTable__2[],4,FALSE),"")</f>
        <v/>
      </c>
      <c r="E1202" s="4" t="str">
        <f>IFERROR(VLOOKUP(B1202,infoTable__3[],4,FALSE),"")</f>
        <v/>
      </c>
      <c r="F1202" s="4" t="str">
        <f>IFERROR(VLOOKUP(B1202,infoTable__4[],4,FALSE),"")</f>
        <v/>
      </c>
      <c r="G1202" s="4" t="str">
        <f>IFERROR(VLOOKUP(B1202,infoTable[],4,FALSE),"")</f>
        <v/>
      </c>
      <c r="H1202" s="4" t="str">
        <f>IFERROR(VLOOKUP(B1202,infoTable__6[],4,FALSE),"")</f>
        <v/>
      </c>
      <c r="I1202" s="4" t="str">
        <f>IFERROR(VLOOKUP(B1202,infoTable__28[],4,FALSE),"")</f>
        <v/>
      </c>
      <c r="J1202" s="4" t="str">
        <f>IFERROR(VLOOKUP(B1202,infoTable__10[],4,FALSE),"")</f>
        <v/>
      </c>
      <c r="K1202" s="4" t="str">
        <f>IFERROR(VLOOKUP(B1202,infoTable__11[],4,FALSE),"")</f>
        <v/>
      </c>
      <c r="L1202" s="4">
        <f>IFERROR(VLOOKUP(B1202,infoTable__12[],4,FALSE),"")</f>
        <v>383578</v>
      </c>
      <c r="M1202" s="4">
        <f>IFERROR(VLOOKUP(B1202,infoTable__13[],4,FALSE),"")</f>
        <v>662378</v>
      </c>
      <c r="N1202" s="4">
        <f>IFERROR(VLOOKUP(B1202,infoTable__14[],4,FALSE),"")</f>
        <v>439968</v>
      </c>
      <c r="O1202" s="4">
        <f>IFERROR(VLOOKUP(B1202,infoTable__15[],4,FALSE),"")</f>
        <v>233686</v>
      </c>
      <c r="P1202" s="4" t="str">
        <f>IFERROR(VLOOKUP(B1202,infoTable__16[],4,FALSE),"")</f>
        <v/>
      </c>
    </row>
    <row r="1203" spans="1:16" x14ac:dyDescent="0.55000000000000004">
      <c r="A1203" t="s">
        <v>630</v>
      </c>
      <c r="B1203" t="s">
        <v>631</v>
      </c>
      <c r="C1203" s="4" t="str">
        <f>IFERROR(VLOOKUP(B1203,infoTable10[],4,FALSE),"")</f>
        <v/>
      </c>
      <c r="D1203" s="4">
        <f>IFERROR(VLOOKUP(B1203,infoTable__2[],4,FALSE),"")</f>
        <v>1029758</v>
      </c>
      <c r="E1203" s="4" t="str">
        <f>IFERROR(VLOOKUP(B1203,infoTable__3[],4,FALSE),"")</f>
        <v/>
      </c>
      <c r="F1203" s="4" t="str">
        <f>IFERROR(VLOOKUP(B1203,infoTable__4[],4,FALSE),"")</f>
        <v/>
      </c>
      <c r="G1203" s="4" t="str">
        <f>IFERROR(VLOOKUP(B1203,infoTable[],4,FALSE),"")</f>
        <v/>
      </c>
      <c r="H1203" s="4" t="str">
        <f>IFERROR(VLOOKUP(B1203,infoTable__6[],4,FALSE),"")</f>
        <v/>
      </c>
      <c r="I1203" s="4">
        <f>IFERROR(VLOOKUP(B1203,infoTable__28[],4,FALSE),"")</f>
        <v>483912</v>
      </c>
      <c r="J1203" s="4" t="str">
        <f>IFERROR(VLOOKUP(B1203,infoTable__10[],4,FALSE),"")</f>
        <v/>
      </c>
      <c r="K1203" s="4">
        <f>IFERROR(VLOOKUP(B1203,infoTable__11[],4,FALSE),"")</f>
        <v>135128</v>
      </c>
      <c r="L1203" s="4" t="str">
        <f>IFERROR(VLOOKUP(B1203,infoTable__12[],4,FALSE),"")</f>
        <v/>
      </c>
      <c r="M1203" s="4" t="str">
        <f>IFERROR(VLOOKUP(B1203,infoTable__13[],4,FALSE),"")</f>
        <v/>
      </c>
      <c r="N1203" s="4" t="str">
        <f>IFERROR(VLOOKUP(B1203,infoTable__14[],4,FALSE),"")</f>
        <v/>
      </c>
      <c r="O1203" s="4" t="str">
        <f>IFERROR(VLOOKUP(B1203,infoTable__15[],4,FALSE),"")</f>
        <v/>
      </c>
      <c r="P1203" s="4" t="str">
        <f>IFERROR(VLOOKUP(B1203,infoTable__16[],4,FALSE),"")</f>
        <v/>
      </c>
    </row>
    <row r="1204" spans="1:16" x14ac:dyDescent="0.55000000000000004">
      <c r="A1204" t="s">
        <v>1052</v>
      </c>
      <c r="B1204" t="s">
        <v>1053</v>
      </c>
      <c r="C1204" s="4" t="str">
        <f>IFERROR(VLOOKUP(B1204,infoTable10[],4,FALSE),"")</f>
        <v/>
      </c>
      <c r="D1204" s="4" t="str">
        <f>IFERROR(VLOOKUP(B1204,infoTable__2[],4,FALSE),"")</f>
        <v/>
      </c>
      <c r="E1204" s="4" t="str">
        <f>IFERROR(VLOOKUP(B1204,infoTable__3[],4,FALSE),"")</f>
        <v/>
      </c>
      <c r="F1204" s="4" t="str">
        <f>IFERROR(VLOOKUP(B1204,infoTable__4[],4,FALSE),"")</f>
        <v/>
      </c>
      <c r="G1204" s="4" t="str">
        <f>IFERROR(VLOOKUP(B1204,infoTable[],4,FALSE),"")</f>
        <v/>
      </c>
      <c r="H1204" s="4">
        <f>IFERROR(VLOOKUP(B1204,infoTable__6[],4,FALSE),"")</f>
        <v>266882</v>
      </c>
      <c r="I1204" s="4" t="str">
        <f>IFERROR(VLOOKUP(B1204,infoTable__28[],4,FALSE),"")</f>
        <v/>
      </c>
      <c r="J1204" s="4" t="str">
        <f>IFERROR(VLOOKUP(B1204,infoTable__10[],4,FALSE),"")</f>
        <v/>
      </c>
      <c r="K1204" s="4" t="str">
        <f>IFERROR(VLOOKUP(B1204,infoTable__11[],4,FALSE),"")</f>
        <v/>
      </c>
      <c r="L1204" s="4" t="str">
        <f>IFERROR(VLOOKUP(B1204,infoTable__12[],4,FALSE),"")</f>
        <v/>
      </c>
      <c r="M1204" s="4" t="str">
        <f>IFERROR(VLOOKUP(B1204,infoTable__13[],4,FALSE),"")</f>
        <v/>
      </c>
      <c r="N1204" s="4">
        <f>IFERROR(VLOOKUP(B1204,infoTable__14[],4,FALSE),"")</f>
        <v>343859</v>
      </c>
      <c r="O1204" s="4">
        <f>IFERROR(VLOOKUP(B1204,infoTable__15[],4,FALSE),"")</f>
        <v>661862</v>
      </c>
      <c r="P1204" s="4">
        <f>IFERROR(VLOOKUP(B1204,infoTable__16[],4,FALSE),"")</f>
        <v>278659</v>
      </c>
    </row>
    <row r="1205" spans="1:16" x14ac:dyDescent="0.55000000000000004">
      <c r="A1205" t="s">
        <v>3439</v>
      </c>
      <c r="B1205" t="s">
        <v>3440</v>
      </c>
      <c r="C1205" s="4" t="str">
        <f>IFERROR(VLOOKUP(B1205,infoTable10[],4,FALSE),"")</f>
        <v/>
      </c>
      <c r="D1205" s="4" t="str">
        <f>IFERROR(VLOOKUP(B1205,infoTable__2[],4,FALSE),"")</f>
        <v/>
      </c>
      <c r="E1205" s="4" t="str">
        <f>IFERROR(VLOOKUP(B1205,infoTable__3[],4,FALSE),"")</f>
        <v/>
      </c>
      <c r="F1205" s="4" t="str">
        <f>IFERROR(VLOOKUP(B1205,infoTable__4[],4,FALSE),"")</f>
        <v/>
      </c>
      <c r="G1205" s="4" t="str">
        <f>IFERROR(VLOOKUP(B1205,infoTable[],4,FALSE),"")</f>
        <v/>
      </c>
      <c r="H1205" s="4" t="str">
        <f>IFERROR(VLOOKUP(B1205,infoTable__6[],4,FALSE),"")</f>
        <v/>
      </c>
      <c r="I1205" s="4" t="str">
        <f>IFERROR(VLOOKUP(B1205,infoTable__28[],4,FALSE),"")</f>
        <v/>
      </c>
      <c r="J1205" s="4" t="str">
        <f>IFERROR(VLOOKUP(B1205,infoTable__10[],4,FALSE),"")</f>
        <v/>
      </c>
      <c r="K1205" s="4" t="str">
        <f>IFERROR(VLOOKUP(B1205,infoTable__11[],4,FALSE),"")</f>
        <v/>
      </c>
      <c r="L1205" s="4" t="str">
        <f>IFERROR(VLOOKUP(B1205,infoTable__12[],4,FALSE),"")</f>
        <v/>
      </c>
      <c r="M1205" s="4" t="str">
        <f>IFERROR(VLOOKUP(B1205,infoTable__13[],4,FALSE),"")</f>
        <v/>
      </c>
      <c r="N1205" s="4" t="str">
        <f>IFERROR(VLOOKUP(B1205,infoTable__14[],4,FALSE),"")</f>
        <v/>
      </c>
      <c r="O1205" s="4" t="str">
        <f>IFERROR(VLOOKUP(B1205,infoTable__15[],4,FALSE),"")</f>
        <v/>
      </c>
      <c r="P1205" s="4">
        <f>IFERROR(VLOOKUP(B1205,infoTable__16[],4,FALSE),"")</f>
        <v>1123094</v>
      </c>
    </row>
    <row r="1206" spans="1:16" x14ac:dyDescent="0.55000000000000004">
      <c r="A1206" t="s">
        <v>1591</v>
      </c>
      <c r="B1206" t="s">
        <v>633</v>
      </c>
      <c r="C1206" s="4">
        <f>IFERROR(VLOOKUP(B1206,infoTable10[],4,FALSE),"")</f>
        <v>571154</v>
      </c>
      <c r="D1206" s="4">
        <f>IFERROR(VLOOKUP(B1206,infoTable__2[],4,FALSE),"")</f>
        <v>519290</v>
      </c>
      <c r="E1206" s="4" t="str">
        <f>IFERROR(VLOOKUP(B1206,infoTable__3[],4,FALSE),"")</f>
        <v/>
      </c>
      <c r="F1206" s="4" t="str">
        <f>IFERROR(VLOOKUP(B1206,infoTable__4[],4,FALSE),"")</f>
        <v/>
      </c>
      <c r="G1206" s="4" t="str">
        <f>IFERROR(VLOOKUP(B1206,infoTable[],4,FALSE),"")</f>
        <v/>
      </c>
      <c r="H1206" s="4">
        <f>IFERROR(VLOOKUP(B1206,infoTable__6[],4,FALSE),"")</f>
        <v>1557230</v>
      </c>
      <c r="I1206" s="4" t="str">
        <f>IFERROR(VLOOKUP(B1206,infoTable__28[],4,FALSE),"")</f>
        <v/>
      </c>
      <c r="J1206" s="4" t="str">
        <f>IFERROR(VLOOKUP(B1206,infoTable__10[],4,FALSE),"")</f>
        <v/>
      </c>
      <c r="K1206" s="4">
        <f>IFERROR(VLOOKUP(B1206,infoTable__11[],4,FALSE),"")</f>
        <v>1731374</v>
      </c>
      <c r="L1206" s="4">
        <f>IFERROR(VLOOKUP(B1206,infoTable__12[],4,FALSE),"")</f>
        <v>2095499</v>
      </c>
      <c r="M1206" s="4">
        <f>IFERROR(VLOOKUP(B1206,infoTable__13[],4,FALSE),"")</f>
        <v>302667</v>
      </c>
      <c r="N1206" s="4" t="str">
        <f>IFERROR(VLOOKUP(B1206,infoTable__14[],4,FALSE),"")</f>
        <v/>
      </c>
      <c r="O1206" s="4" t="str">
        <f>IFERROR(VLOOKUP(B1206,infoTable__15[],4,FALSE),"")</f>
        <v/>
      </c>
      <c r="P1206" s="4">
        <f>IFERROR(VLOOKUP(B1206,infoTable__16[],4,FALSE),"")</f>
        <v>1136465</v>
      </c>
    </row>
    <row r="1207" spans="1:16" x14ac:dyDescent="0.55000000000000004">
      <c r="A1207" t="s">
        <v>2253</v>
      </c>
      <c r="B1207" t="s">
        <v>2254</v>
      </c>
      <c r="C1207" s="4" t="str">
        <f>IFERROR(VLOOKUP(B1207,infoTable10[],4,FALSE),"")</f>
        <v/>
      </c>
      <c r="D1207" s="4" t="str">
        <f>IFERROR(VLOOKUP(B1207,infoTable__2[],4,FALSE),"")</f>
        <v/>
      </c>
      <c r="E1207" s="4" t="str">
        <f>IFERROR(VLOOKUP(B1207,infoTable__3[],4,FALSE),"")</f>
        <v/>
      </c>
      <c r="F1207" s="4" t="str">
        <f>IFERROR(VLOOKUP(B1207,infoTable__4[],4,FALSE),"")</f>
        <v/>
      </c>
      <c r="G1207" s="4" t="str">
        <f>IFERROR(VLOOKUP(B1207,infoTable[],4,FALSE),"")</f>
        <v/>
      </c>
      <c r="H1207" s="4" t="str">
        <f>IFERROR(VLOOKUP(B1207,infoTable__6[],4,FALSE),"")</f>
        <v/>
      </c>
      <c r="I1207" s="4" t="str">
        <f>IFERROR(VLOOKUP(B1207,infoTable__28[],4,FALSE),"")</f>
        <v/>
      </c>
      <c r="J1207" s="4" t="str">
        <f>IFERROR(VLOOKUP(B1207,infoTable__10[],4,FALSE),"")</f>
        <v/>
      </c>
      <c r="K1207" s="4" t="str">
        <f>IFERROR(VLOOKUP(B1207,infoTable__11[],4,FALSE),"")</f>
        <v/>
      </c>
      <c r="L1207" s="4">
        <f>IFERROR(VLOOKUP(B1207,infoTable__12[],4,FALSE),"")</f>
        <v>1197177</v>
      </c>
      <c r="M1207" s="4">
        <f>IFERROR(VLOOKUP(B1207,infoTable__13[],4,FALSE),"")</f>
        <v>7725180</v>
      </c>
      <c r="N1207" s="4">
        <f>IFERROR(VLOOKUP(B1207,infoTable__14[],4,FALSE),"")</f>
        <v>4231081</v>
      </c>
      <c r="O1207" s="4">
        <f>IFERROR(VLOOKUP(B1207,infoTable__15[],4,FALSE),"")</f>
        <v>2549148</v>
      </c>
      <c r="P1207" s="4">
        <f>IFERROR(VLOOKUP(B1207,infoTable__16[],4,FALSE),"")</f>
        <v>1388338</v>
      </c>
    </row>
    <row r="1208" spans="1:16" x14ac:dyDescent="0.55000000000000004">
      <c r="A1208" t="s">
        <v>1355</v>
      </c>
      <c r="B1208" t="s">
        <v>1356</v>
      </c>
      <c r="C1208" s="4" t="str">
        <f>IFERROR(VLOOKUP(B1208,infoTable10[],4,FALSE),"")</f>
        <v/>
      </c>
      <c r="D1208" s="4" t="str">
        <f>IFERROR(VLOOKUP(B1208,infoTable__2[],4,FALSE),"")</f>
        <v/>
      </c>
      <c r="E1208" s="4" t="str">
        <f>IFERROR(VLOOKUP(B1208,infoTable__3[],4,FALSE),"")</f>
        <v/>
      </c>
      <c r="F1208" s="4" t="str">
        <f>IFERROR(VLOOKUP(B1208,infoTable__4[],4,FALSE),"")</f>
        <v/>
      </c>
      <c r="G1208" s="4" t="str">
        <f>IFERROR(VLOOKUP(B1208,infoTable[],4,FALSE),"")</f>
        <v/>
      </c>
      <c r="H1208" s="4" t="str">
        <f>IFERROR(VLOOKUP(B1208,infoTable__6[],4,FALSE),"")</f>
        <v/>
      </c>
      <c r="I1208" s="4">
        <f>IFERROR(VLOOKUP(B1208,infoTable__28[],4,FALSE),"")</f>
        <v>857515</v>
      </c>
      <c r="J1208" s="4" t="str">
        <f>IFERROR(VLOOKUP(B1208,infoTable__10[],4,FALSE),"")</f>
        <v/>
      </c>
      <c r="K1208" s="4" t="str">
        <f>IFERROR(VLOOKUP(B1208,infoTable__11[],4,FALSE),"")</f>
        <v/>
      </c>
      <c r="L1208" s="4">
        <f>IFERROR(VLOOKUP(B1208,infoTable__12[],4,FALSE),"")</f>
        <v>642974</v>
      </c>
      <c r="M1208" s="4">
        <f>IFERROR(VLOOKUP(B1208,infoTable__13[],4,FALSE),"")</f>
        <v>1326502</v>
      </c>
      <c r="N1208" s="4">
        <f>IFERROR(VLOOKUP(B1208,infoTable__14[],4,FALSE),"")</f>
        <v>432934</v>
      </c>
      <c r="O1208" s="4" t="str">
        <f>IFERROR(VLOOKUP(B1208,infoTable__15[],4,FALSE),"")</f>
        <v/>
      </c>
      <c r="P1208" s="4" t="str">
        <f>IFERROR(VLOOKUP(B1208,infoTable__16[],4,FALSE),"")</f>
        <v/>
      </c>
    </row>
    <row r="1209" spans="1:16" x14ac:dyDescent="0.55000000000000004">
      <c r="A1209" t="s">
        <v>636</v>
      </c>
      <c r="B1209" t="s">
        <v>637</v>
      </c>
      <c r="C1209" s="4" t="str">
        <f>IFERROR(VLOOKUP(B1209,infoTable10[],4,FALSE),"")</f>
        <v/>
      </c>
      <c r="D1209" s="4">
        <f>IFERROR(VLOOKUP(B1209,infoTable__2[],4,FALSE),"")</f>
        <v>211445</v>
      </c>
      <c r="E1209" s="4" t="str">
        <f>IFERROR(VLOOKUP(B1209,infoTable__3[],4,FALSE),"")</f>
        <v/>
      </c>
      <c r="F1209" s="4" t="str">
        <f>IFERROR(VLOOKUP(B1209,infoTable__4[],4,FALSE),"")</f>
        <v/>
      </c>
      <c r="G1209" s="4" t="str">
        <f>IFERROR(VLOOKUP(B1209,infoTable[],4,FALSE),"")</f>
        <v/>
      </c>
      <c r="H1209" s="4" t="str">
        <f>IFERROR(VLOOKUP(B1209,infoTable__6[],4,FALSE),"")</f>
        <v/>
      </c>
      <c r="I1209" s="4">
        <f>IFERROR(VLOOKUP(B1209,infoTable__28[],4,FALSE),"")</f>
        <v>1596221</v>
      </c>
      <c r="J1209" s="4">
        <f>IFERROR(VLOOKUP(B1209,infoTable__10[],4,FALSE),"")</f>
        <v>6062443</v>
      </c>
      <c r="K1209" s="4" t="str">
        <f>IFERROR(VLOOKUP(B1209,infoTable__11[],4,FALSE),"")</f>
        <v/>
      </c>
      <c r="L1209" s="4">
        <f>IFERROR(VLOOKUP(B1209,infoTable__12[],4,FALSE),"")</f>
        <v>351597</v>
      </c>
      <c r="M1209" s="4">
        <f>IFERROR(VLOOKUP(B1209,infoTable__13[],4,FALSE),"")</f>
        <v>512415</v>
      </c>
      <c r="N1209" s="4">
        <f>IFERROR(VLOOKUP(B1209,infoTable__14[],4,FALSE),"")</f>
        <v>522155</v>
      </c>
      <c r="O1209" s="4">
        <f>IFERROR(VLOOKUP(B1209,infoTable__15[],4,FALSE),"")</f>
        <v>524400</v>
      </c>
      <c r="P1209" s="4" t="str">
        <f>IFERROR(VLOOKUP(B1209,infoTable__16[],4,FALSE),"")</f>
        <v/>
      </c>
    </row>
    <row r="1210" spans="1:16" x14ac:dyDescent="0.55000000000000004">
      <c r="A1210" t="s">
        <v>2255</v>
      </c>
      <c r="B1210" t="s">
        <v>2256</v>
      </c>
      <c r="C1210" s="4" t="str">
        <f>IFERROR(VLOOKUP(B1210,infoTable10[],4,FALSE),"")</f>
        <v/>
      </c>
      <c r="D1210" s="4" t="str">
        <f>IFERROR(VLOOKUP(B1210,infoTable__2[],4,FALSE),"")</f>
        <v/>
      </c>
      <c r="E1210" s="4" t="str">
        <f>IFERROR(VLOOKUP(B1210,infoTable__3[],4,FALSE),"")</f>
        <v/>
      </c>
      <c r="F1210" s="4" t="str">
        <f>IFERROR(VLOOKUP(B1210,infoTable__4[],4,FALSE),"")</f>
        <v/>
      </c>
      <c r="G1210" s="4" t="str">
        <f>IFERROR(VLOOKUP(B1210,infoTable[],4,FALSE),"")</f>
        <v/>
      </c>
      <c r="H1210" s="4" t="str">
        <f>IFERROR(VLOOKUP(B1210,infoTable__6[],4,FALSE),"")</f>
        <v/>
      </c>
      <c r="I1210" s="4" t="str">
        <f>IFERROR(VLOOKUP(B1210,infoTable__28[],4,FALSE),"")</f>
        <v/>
      </c>
      <c r="J1210" s="4" t="str">
        <f>IFERROR(VLOOKUP(B1210,infoTable__10[],4,FALSE),"")</f>
        <v/>
      </c>
      <c r="K1210" s="4" t="str">
        <f>IFERROR(VLOOKUP(B1210,infoTable__11[],4,FALSE),"")</f>
        <v/>
      </c>
      <c r="L1210" s="4">
        <f>IFERROR(VLOOKUP(B1210,infoTable__12[],4,FALSE),"")</f>
        <v>655281</v>
      </c>
      <c r="M1210" s="4">
        <f>IFERROR(VLOOKUP(B1210,infoTable__13[],4,FALSE),"")</f>
        <v>928376</v>
      </c>
      <c r="N1210" s="4" t="str">
        <f>IFERROR(VLOOKUP(B1210,infoTable__14[],4,FALSE),"")</f>
        <v/>
      </c>
      <c r="O1210" s="4" t="str">
        <f>IFERROR(VLOOKUP(B1210,infoTable__15[],4,FALSE),"")</f>
        <v/>
      </c>
      <c r="P1210" s="4" t="str">
        <f>IFERROR(VLOOKUP(B1210,infoTable__16[],4,FALSE),"")</f>
        <v/>
      </c>
    </row>
    <row r="1211" spans="1:16" x14ac:dyDescent="0.55000000000000004">
      <c r="A1211" t="s">
        <v>3097</v>
      </c>
      <c r="B1211" t="s">
        <v>3098</v>
      </c>
      <c r="C1211" s="4" t="str">
        <f>IFERROR(VLOOKUP(B1211,infoTable10[],4,FALSE),"")</f>
        <v/>
      </c>
      <c r="D1211" s="4" t="str">
        <f>IFERROR(VLOOKUP(B1211,infoTable__2[],4,FALSE),"")</f>
        <v/>
      </c>
      <c r="E1211" s="4" t="str">
        <f>IFERROR(VLOOKUP(B1211,infoTable__3[],4,FALSE),"")</f>
        <v/>
      </c>
      <c r="F1211" s="4" t="str">
        <f>IFERROR(VLOOKUP(B1211,infoTable__4[],4,FALSE),"")</f>
        <v/>
      </c>
      <c r="G1211" s="4" t="str">
        <f>IFERROR(VLOOKUP(B1211,infoTable[],4,FALSE),"")</f>
        <v/>
      </c>
      <c r="H1211" s="4" t="str">
        <f>IFERROR(VLOOKUP(B1211,infoTable__6[],4,FALSE),"")</f>
        <v/>
      </c>
      <c r="I1211" s="4" t="str">
        <f>IFERROR(VLOOKUP(B1211,infoTable__28[],4,FALSE),"")</f>
        <v/>
      </c>
      <c r="J1211" s="4" t="str">
        <f>IFERROR(VLOOKUP(B1211,infoTable__10[],4,FALSE),"")</f>
        <v/>
      </c>
      <c r="K1211" s="4" t="str">
        <f>IFERROR(VLOOKUP(B1211,infoTable__11[],4,FALSE),"")</f>
        <v/>
      </c>
      <c r="L1211" s="4" t="str">
        <f>IFERROR(VLOOKUP(B1211,infoTable__12[],4,FALSE),"")</f>
        <v/>
      </c>
      <c r="M1211" s="4" t="str">
        <f>IFERROR(VLOOKUP(B1211,infoTable__13[],4,FALSE),"")</f>
        <v/>
      </c>
      <c r="N1211" s="4" t="str">
        <f>IFERROR(VLOOKUP(B1211,infoTable__14[],4,FALSE),"")</f>
        <v/>
      </c>
      <c r="O1211" s="4">
        <f>IFERROR(VLOOKUP(B1211,infoTable__15[],4,FALSE),"")</f>
        <v>216674</v>
      </c>
      <c r="P1211" s="4" t="str">
        <f>IFERROR(VLOOKUP(B1211,infoTable__16[],4,FALSE),"")</f>
        <v/>
      </c>
    </row>
    <row r="1212" spans="1:16" x14ac:dyDescent="0.55000000000000004">
      <c r="A1212" t="s">
        <v>869</v>
      </c>
      <c r="B1212" t="s">
        <v>870</v>
      </c>
      <c r="C1212" s="4" t="str">
        <f>IFERROR(VLOOKUP(B1212,infoTable10[],4,FALSE),"")</f>
        <v/>
      </c>
      <c r="D1212" s="4" t="str">
        <f>IFERROR(VLOOKUP(B1212,infoTable__2[],4,FALSE),"")</f>
        <v/>
      </c>
      <c r="E1212" s="4" t="str">
        <f>IFERROR(VLOOKUP(B1212,infoTable__3[],4,FALSE),"")</f>
        <v/>
      </c>
      <c r="F1212" s="4">
        <f>IFERROR(VLOOKUP(B1212,infoTable__4[],4,FALSE),"")</f>
        <v>252285</v>
      </c>
      <c r="G1212" s="4" t="str">
        <f>IFERROR(VLOOKUP(B1212,infoTable[],4,FALSE),"")</f>
        <v/>
      </c>
      <c r="H1212" s="4" t="str">
        <f>IFERROR(VLOOKUP(B1212,infoTable__6[],4,FALSE),"")</f>
        <v/>
      </c>
      <c r="I1212" s="4" t="str">
        <f>IFERROR(VLOOKUP(B1212,infoTable__28[],4,FALSE),"")</f>
        <v/>
      </c>
      <c r="J1212" s="4" t="str">
        <f>IFERROR(VLOOKUP(B1212,infoTable__10[],4,FALSE),"")</f>
        <v/>
      </c>
      <c r="K1212" s="4" t="str">
        <f>IFERROR(VLOOKUP(B1212,infoTable__11[],4,FALSE),"")</f>
        <v/>
      </c>
      <c r="L1212" s="4" t="str">
        <f>IFERROR(VLOOKUP(B1212,infoTable__12[],4,FALSE),"")</f>
        <v/>
      </c>
      <c r="M1212" s="4" t="str">
        <f>IFERROR(VLOOKUP(B1212,infoTable__13[],4,FALSE),"")</f>
        <v/>
      </c>
      <c r="N1212" s="4" t="str">
        <f>IFERROR(VLOOKUP(B1212,infoTable__14[],4,FALSE),"")</f>
        <v/>
      </c>
      <c r="O1212" s="4" t="str">
        <f>IFERROR(VLOOKUP(B1212,infoTable__15[],4,FALSE),"")</f>
        <v/>
      </c>
      <c r="P1212" s="4" t="str">
        <f>IFERROR(VLOOKUP(B1212,infoTable__16[],4,FALSE),"")</f>
        <v/>
      </c>
    </row>
    <row r="1213" spans="1:16" x14ac:dyDescent="0.55000000000000004">
      <c r="A1213" t="s">
        <v>3175</v>
      </c>
      <c r="B1213" t="s">
        <v>3176</v>
      </c>
      <c r="C1213" s="4" t="str">
        <f>IFERROR(VLOOKUP(B1213,infoTable10[],4,FALSE),"")</f>
        <v/>
      </c>
      <c r="D1213" s="4" t="str">
        <f>IFERROR(VLOOKUP(B1213,infoTable__2[],4,FALSE),"")</f>
        <v/>
      </c>
      <c r="E1213" s="4" t="str">
        <f>IFERROR(VLOOKUP(B1213,infoTable__3[],4,FALSE),"")</f>
        <v/>
      </c>
      <c r="F1213" s="4" t="str">
        <f>IFERROR(VLOOKUP(B1213,infoTable__4[],4,FALSE),"")</f>
        <v/>
      </c>
      <c r="G1213" s="4" t="str">
        <f>IFERROR(VLOOKUP(B1213,infoTable[],4,FALSE),"")</f>
        <v/>
      </c>
      <c r="H1213" s="4" t="str">
        <f>IFERROR(VLOOKUP(B1213,infoTable__6[],4,FALSE),"")</f>
        <v/>
      </c>
      <c r="I1213" s="4" t="str">
        <f>IFERROR(VLOOKUP(B1213,infoTable__28[],4,FALSE),"")</f>
        <v/>
      </c>
      <c r="J1213" s="4" t="str">
        <f>IFERROR(VLOOKUP(B1213,infoTable__10[],4,FALSE),"")</f>
        <v/>
      </c>
      <c r="K1213" s="4" t="str">
        <f>IFERROR(VLOOKUP(B1213,infoTable__11[],4,FALSE),"")</f>
        <v/>
      </c>
      <c r="L1213" s="4" t="str">
        <f>IFERROR(VLOOKUP(B1213,infoTable__12[],4,FALSE),"")</f>
        <v/>
      </c>
      <c r="M1213" s="4" t="str">
        <f>IFERROR(VLOOKUP(B1213,infoTable__13[],4,FALSE),"")</f>
        <v/>
      </c>
      <c r="N1213" s="4" t="str">
        <f>IFERROR(VLOOKUP(B1213,infoTable__14[],4,FALSE),"")</f>
        <v/>
      </c>
      <c r="O1213" s="4">
        <f>IFERROR(VLOOKUP(B1213,infoTable__15[],4,FALSE),"")</f>
        <v>1108918</v>
      </c>
      <c r="P1213" s="4">
        <f>IFERROR(VLOOKUP(B1213,infoTable__16[],4,FALSE),"")</f>
        <v>963971</v>
      </c>
    </row>
    <row r="1214" spans="1:16" x14ac:dyDescent="0.55000000000000004">
      <c r="A1214" t="s">
        <v>1054</v>
      </c>
      <c r="B1214" t="s">
        <v>1055</v>
      </c>
      <c r="C1214" s="4" t="str">
        <f>IFERROR(VLOOKUP(B1214,infoTable10[],4,FALSE),"")</f>
        <v/>
      </c>
      <c r="D1214" s="4" t="str">
        <f>IFERROR(VLOOKUP(B1214,infoTable__2[],4,FALSE),"")</f>
        <v/>
      </c>
      <c r="E1214" s="4" t="str">
        <f>IFERROR(VLOOKUP(B1214,infoTable__3[],4,FALSE),"")</f>
        <v/>
      </c>
      <c r="F1214" s="4" t="str">
        <f>IFERROR(VLOOKUP(B1214,infoTable__4[],4,FALSE),"")</f>
        <v/>
      </c>
      <c r="G1214" s="4" t="str">
        <f>IFERROR(VLOOKUP(B1214,infoTable[],4,FALSE),"")</f>
        <v/>
      </c>
      <c r="H1214" s="4">
        <f>IFERROR(VLOOKUP(B1214,infoTable__6[],4,FALSE),"")</f>
        <v>165701</v>
      </c>
      <c r="I1214" s="4" t="str">
        <f>IFERROR(VLOOKUP(B1214,infoTable__28[],4,FALSE),"")</f>
        <v/>
      </c>
      <c r="J1214" s="4" t="str">
        <f>IFERROR(VLOOKUP(B1214,infoTable__10[],4,FALSE),"")</f>
        <v/>
      </c>
      <c r="K1214" s="4" t="str">
        <f>IFERROR(VLOOKUP(B1214,infoTable__11[],4,FALSE),"")</f>
        <v/>
      </c>
      <c r="L1214" s="4" t="str">
        <f>IFERROR(VLOOKUP(B1214,infoTable__12[],4,FALSE),"")</f>
        <v/>
      </c>
      <c r="M1214" s="4" t="str">
        <f>IFERROR(VLOOKUP(B1214,infoTable__13[],4,FALSE),"")</f>
        <v/>
      </c>
      <c r="N1214" s="4">
        <f>IFERROR(VLOOKUP(B1214,infoTable__14[],4,FALSE),"")</f>
        <v>355602</v>
      </c>
      <c r="O1214" s="4" t="str">
        <f>IFERROR(VLOOKUP(B1214,infoTable__15[],4,FALSE),"")</f>
        <v/>
      </c>
      <c r="P1214" s="4" t="str">
        <f>IFERROR(VLOOKUP(B1214,infoTable__16[],4,FALSE),"")</f>
        <v/>
      </c>
    </row>
    <row r="1215" spans="1:16" x14ac:dyDescent="0.55000000000000004">
      <c r="A1215" t="s">
        <v>1703</v>
      </c>
      <c r="B1215" t="s">
        <v>1704</v>
      </c>
      <c r="C1215" s="4" t="str">
        <f>IFERROR(VLOOKUP(B1215,infoTable10[],4,FALSE),"")</f>
        <v/>
      </c>
      <c r="D1215" s="4" t="str">
        <f>IFERROR(VLOOKUP(B1215,infoTable__2[],4,FALSE),"")</f>
        <v/>
      </c>
      <c r="E1215" s="4" t="str">
        <f>IFERROR(VLOOKUP(B1215,infoTable__3[],4,FALSE),"")</f>
        <v/>
      </c>
      <c r="F1215" s="4" t="str">
        <f>IFERROR(VLOOKUP(B1215,infoTable__4[],4,FALSE),"")</f>
        <v/>
      </c>
      <c r="G1215" s="4" t="str">
        <f>IFERROR(VLOOKUP(B1215,infoTable[],4,FALSE),"")</f>
        <v/>
      </c>
      <c r="H1215" s="4" t="str">
        <f>IFERROR(VLOOKUP(B1215,infoTable__6[],4,FALSE),"")</f>
        <v/>
      </c>
      <c r="I1215" s="4" t="str">
        <f>IFERROR(VLOOKUP(B1215,infoTable__28[],4,FALSE),"")</f>
        <v/>
      </c>
      <c r="J1215" s="4">
        <f>IFERROR(VLOOKUP(B1215,infoTable__10[],4,FALSE),"")</f>
        <v>711232</v>
      </c>
      <c r="K1215" s="4" t="str">
        <f>IFERROR(VLOOKUP(B1215,infoTable__11[],4,FALSE),"")</f>
        <v/>
      </c>
      <c r="L1215" s="4" t="str">
        <f>IFERROR(VLOOKUP(B1215,infoTable__12[],4,FALSE),"")</f>
        <v/>
      </c>
      <c r="M1215" s="4" t="str">
        <f>IFERROR(VLOOKUP(B1215,infoTable__13[],4,FALSE),"")</f>
        <v/>
      </c>
      <c r="N1215" s="4" t="str">
        <f>IFERROR(VLOOKUP(B1215,infoTable__14[],4,FALSE),"")</f>
        <v/>
      </c>
      <c r="O1215" s="4" t="str">
        <f>IFERROR(VLOOKUP(B1215,infoTable__15[],4,FALSE),"")</f>
        <v/>
      </c>
      <c r="P1215" s="4" t="str">
        <f>IFERROR(VLOOKUP(B1215,infoTable__16[],4,FALSE),"")</f>
        <v/>
      </c>
    </row>
    <row r="1216" spans="1:16" x14ac:dyDescent="0.55000000000000004">
      <c r="A1216" t="s">
        <v>3101</v>
      </c>
      <c r="B1216" t="s">
        <v>3102</v>
      </c>
      <c r="C1216" s="4" t="str">
        <f>IFERROR(VLOOKUP(B1216,infoTable10[],4,FALSE),"")</f>
        <v/>
      </c>
      <c r="D1216" s="4" t="str">
        <f>IFERROR(VLOOKUP(B1216,infoTable__2[],4,FALSE),"")</f>
        <v/>
      </c>
      <c r="E1216" s="4" t="str">
        <f>IFERROR(VLOOKUP(B1216,infoTable__3[],4,FALSE),"")</f>
        <v/>
      </c>
      <c r="F1216" s="4" t="str">
        <f>IFERROR(VLOOKUP(B1216,infoTable__4[],4,FALSE),"")</f>
        <v/>
      </c>
      <c r="G1216" s="4" t="str">
        <f>IFERROR(VLOOKUP(B1216,infoTable[],4,FALSE),"")</f>
        <v/>
      </c>
      <c r="H1216" s="4" t="str">
        <f>IFERROR(VLOOKUP(B1216,infoTable__6[],4,FALSE),"")</f>
        <v/>
      </c>
      <c r="I1216" s="4" t="str">
        <f>IFERROR(VLOOKUP(B1216,infoTable__28[],4,FALSE),"")</f>
        <v/>
      </c>
      <c r="J1216" s="4" t="str">
        <f>IFERROR(VLOOKUP(B1216,infoTable__10[],4,FALSE),"")</f>
        <v/>
      </c>
      <c r="K1216" s="4" t="str">
        <f>IFERROR(VLOOKUP(B1216,infoTable__11[],4,FALSE),"")</f>
        <v/>
      </c>
      <c r="L1216" s="4" t="str">
        <f>IFERROR(VLOOKUP(B1216,infoTable__12[],4,FALSE),"")</f>
        <v/>
      </c>
      <c r="M1216" s="4" t="str">
        <f>IFERROR(VLOOKUP(B1216,infoTable__13[],4,FALSE),"")</f>
        <v/>
      </c>
      <c r="N1216" s="4" t="str">
        <f>IFERROR(VLOOKUP(B1216,infoTable__14[],4,FALSE),"")</f>
        <v/>
      </c>
      <c r="O1216" s="4">
        <f>IFERROR(VLOOKUP(B1216,infoTable__15[],4,FALSE),"")</f>
        <v>263244</v>
      </c>
      <c r="P1216" s="4">
        <f>IFERROR(VLOOKUP(B1216,infoTable__16[],4,FALSE),"")</f>
        <v>745938</v>
      </c>
    </row>
    <row r="1217" spans="1:16" x14ac:dyDescent="0.55000000000000004">
      <c r="A1217" t="s">
        <v>2523</v>
      </c>
      <c r="B1217" t="s">
        <v>2524</v>
      </c>
      <c r="C1217" s="4" t="str">
        <f>IFERROR(VLOOKUP(B1217,infoTable10[],4,FALSE),"")</f>
        <v/>
      </c>
      <c r="D1217" s="4" t="str">
        <f>IFERROR(VLOOKUP(B1217,infoTable__2[],4,FALSE),"")</f>
        <v/>
      </c>
      <c r="E1217" s="4" t="str">
        <f>IFERROR(VLOOKUP(B1217,infoTable__3[],4,FALSE),"")</f>
        <v/>
      </c>
      <c r="F1217" s="4" t="str">
        <f>IFERROR(VLOOKUP(B1217,infoTable__4[],4,FALSE),"")</f>
        <v/>
      </c>
      <c r="G1217" s="4" t="str">
        <f>IFERROR(VLOOKUP(B1217,infoTable[],4,FALSE),"")</f>
        <v/>
      </c>
      <c r="H1217" s="4" t="str">
        <f>IFERROR(VLOOKUP(B1217,infoTable__6[],4,FALSE),"")</f>
        <v/>
      </c>
      <c r="I1217" s="4" t="str">
        <f>IFERROR(VLOOKUP(B1217,infoTable__28[],4,FALSE),"")</f>
        <v/>
      </c>
      <c r="J1217" s="4" t="str">
        <f>IFERROR(VLOOKUP(B1217,infoTable__10[],4,FALSE),"")</f>
        <v/>
      </c>
      <c r="K1217" s="4" t="str">
        <f>IFERROR(VLOOKUP(B1217,infoTable__11[],4,FALSE),"")</f>
        <v/>
      </c>
      <c r="L1217" s="4" t="str">
        <f>IFERROR(VLOOKUP(B1217,infoTable__12[],4,FALSE),"")</f>
        <v/>
      </c>
      <c r="M1217" s="4">
        <f>IFERROR(VLOOKUP(B1217,infoTable__13[],4,FALSE),"")</f>
        <v>2947990</v>
      </c>
      <c r="N1217" s="4">
        <f>IFERROR(VLOOKUP(B1217,infoTable__14[],4,FALSE),"")</f>
        <v>10167796</v>
      </c>
      <c r="O1217" s="4">
        <f>IFERROR(VLOOKUP(B1217,infoTable__15[],4,FALSE),"")</f>
        <v>3739525</v>
      </c>
      <c r="P1217" s="4">
        <f>IFERROR(VLOOKUP(B1217,infoTable__16[],4,FALSE),"")</f>
        <v>2440591</v>
      </c>
    </row>
    <row r="1218" spans="1:16" x14ac:dyDescent="0.55000000000000004">
      <c r="A1218" t="s">
        <v>1056</v>
      </c>
      <c r="B1218" t="s">
        <v>1057</v>
      </c>
      <c r="C1218" s="4" t="str">
        <f>IFERROR(VLOOKUP(B1218,infoTable10[],4,FALSE),"")</f>
        <v/>
      </c>
      <c r="D1218" s="4" t="str">
        <f>IFERROR(VLOOKUP(B1218,infoTable__2[],4,FALSE),"")</f>
        <v/>
      </c>
      <c r="E1218" s="4" t="str">
        <f>IFERROR(VLOOKUP(B1218,infoTable__3[],4,FALSE),"")</f>
        <v/>
      </c>
      <c r="F1218" s="4" t="str">
        <f>IFERROR(VLOOKUP(B1218,infoTable__4[],4,FALSE),"")</f>
        <v/>
      </c>
      <c r="G1218" s="4" t="str">
        <f>IFERROR(VLOOKUP(B1218,infoTable[],4,FALSE),"")</f>
        <v/>
      </c>
      <c r="H1218" s="4">
        <f>IFERROR(VLOOKUP(B1218,infoTable__6[],4,FALSE),"")</f>
        <v>937732</v>
      </c>
      <c r="I1218" s="4">
        <f>IFERROR(VLOOKUP(B1218,infoTable__28[],4,FALSE),"")</f>
        <v>851049</v>
      </c>
      <c r="J1218" s="4" t="str">
        <f>IFERROR(VLOOKUP(B1218,infoTable__10[],4,FALSE),"")</f>
        <v/>
      </c>
      <c r="K1218" s="4" t="str">
        <f>IFERROR(VLOOKUP(B1218,infoTable__11[],4,FALSE),"")</f>
        <v/>
      </c>
      <c r="L1218" s="4" t="str">
        <f>IFERROR(VLOOKUP(B1218,infoTable__12[],4,FALSE),"")</f>
        <v/>
      </c>
      <c r="M1218" s="4" t="str">
        <f>IFERROR(VLOOKUP(B1218,infoTable__13[],4,FALSE),"")</f>
        <v/>
      </c>
      <c r="N1218" s="4" t="str">
        <f>IFERROR(VLOOKUP(B1218,infoTable__14[],4,FALSE),"")</f>
        <v/>
      </c>
      <c r="O1218" s="4" t="str">
        <f>IFERROR(VLOOKUP(B1218,infoTable__15[],4,FALSE),"")</f>
        <v/>
      </c>
      <c r="P1218" s="4" t="str">
        <f>IFERROR(VLOOKUP(B1218,infoTable__16[],4,FALSE),"")</f>
        <v/>
      </c>
    </row>
    <row r="1219" spans="1:16" x14ac:dyDescent="0.55000000000000004">
      <c r="A1219" t="s">
        <v>1947</v>
      </c>
      <c r="B1219" t="s">
        <v>1948</v>
      </c>
      <c r="C1219" s="4" t="str">
        <f>IFERROR(VLOOKUP(B1219,infoTable10[],4,FALSE),"")</f>
        <v/>
      </c>
      <c r="D1219" s="4" t="str">
        <f>IFERROR(VLOOKUP(B1219,infoTable__2[],4,FALSE),"")</f>
        <v/>
      </c>
      <c r="E1219" s="4" t="str">
        <f>IFERROR(VLOOKUP(B1219,infoTable__3[],4,FALSE),"")</f>
        <v/>
      </c>
      <c r="F1219" s="4" t="str">
        <f>IFERROR(VLOOKUP(B1219,infoTable__4[],4,FALSE),"")</f>
        <v/>
      </c>
      <c r="G1219" s="4" t="str">
        <f>IFERROR(VLOOKUP(B1219,infoTable[],4,FALSE),"")</f>
        <v/>
      </c>
      <c r="H1219" s="4" t="str">
        <f>IFERROR(VLOOKUP(B1219,infoTable__6[],4,FALSE),"")</f>
        <v/>
      </c>
      <c r="I1219" s="4" t="str">
        <f>IFERROR(VLOOKUP(B1219,infoTable__28[],4,FALSE),"")</f>
        <v/>
      </c>
      <c r="J1219" s="4" t="str">
        <f>IFERROR(VLOOKUP(B1219,infoTable__10[],4,FALSE),"")</f>
        <v/>
      </c>
      <c r="K1219" s="4">
        <f>IFERROR(VLOOKUP(B1219,infoTable__11[],4,FALSE),"")</f>
        <v>107477</v>
      </c>
      <c r="L1219" s="4">
        <f>IFERROR(VLOOKUP(B1219,infoTable__12[],4,FALSE),"")</f>
        <v>149478</v>
      </c>
      <c r="M1219" s="4" t="str">
        <f>IFERROR(VLOOKUP(B1219,infoTable__13[],4,FALSE),"")</f>
        <v/>
      </c>
      <c r="N1219" s="4" t="str">
        <f>IFERROR(VLOOKUP(B1219,infoTable__14[],4,FALSE),"")</f>
        <v/>
      </c>
      <c r="O1219" s="4" t="str">
        <f>IFERROR(VLOOKUP(B1219,infoTable__15[],4,FALSE),"")</f>
        <v/>
      </c>
      <c r="P1219" s="4" t="str">
        <f>IFERROR(VLOOKUP(B1219,infoTable__16[],4,FALSE),"")</f>
        <v/>
      </c>
    </row>
    <row r="1220" spans="1:16" x14ac:dyDescent="0.55000000000000004">
      <c r="A1220" t="s">
        <v>2859</v>
      </c>
      <c r="B1220" t="s">
        <v>2858</v>
      </c>
      <c r="C1220" s="4" t="str">
        <f>IFERROR(VLOOKUP(B1220,infoTable10[],4,FALSE),"")</f>
        <v/>
      </c>
      <c r="D1220" s="4" t="str">
        <f>IFERROR(VLOOKUP(B1220,infoTable__2[],4,FALSE),"")</f>
        <v/>
      </c>
      <c r="E1220" s="4" t="str">
        <f>IFERROR(VLOOKUP(B1220,infoTable__3[],4,FALSE),"")</f>
        <v/>
      </c>
      <c r="F1220" s="4" t="str">
        <f>IFERROR(VLOOKUP(B1220,infoTable__4[],4,FALSE),"")</f>
        <v/>
      </c>
      <c r="G1220" s="4" t="str">
        <f>IFERROR(VLOOKUP(B1220,infoTable[],4,FALSE),"")</f>
        <v/>
      </c>
      <c r="H1220" s="4" t="str">
        <f>IFERROR(VLOOKUP(B1220,infoTable__6[],4,FALSE),"")</f>
        <v/>
      </c>
      <c r="I1220" s="4" t="str">
        <f>IFERROR(VLOOKUP(B1220,infoTable__28[],4,FALSE),"")</f>
        <v/>
      </c>
      <c r="J1220" s="4" t="str">
        <f>IFERROR(VLOOKUP(B1220,infoTable__10[],4,FALSE),"")</f>
        <v/>
      </c>
      <c r="K1220" s="4" t="str">
        <f>IFERROR(VLOOKUP(B1220,infoTable__11[],4,FALSE),"")</f>
        <v/>
      </c>
      <c r="L1220" s="4" t="str">
        <f>IFERROR(VLOOKUP(B1220,infoTable__12[],4,FALSE),"")</f>
        <v/>
      </c>
      <c r="M1220" s="4" t="str">
        <f>IFERROR(VLOOKUP(B1220,infoTable__13[],4,FALSE),"")</f>
        <v/>
      </c>
      <c r="N1220" s="4">
        <f>IFERROR(VLOOKUP(B1220,infoTable__14[],4,FALSE),"")</f>
        <v>262151</v>
      </c>
      <c r="O1220" s="4" t="str">
        <f>IFERROR(VLOOKUP(B1220,infoTable__15[],4,FALSE),"")</f>
        <v/>
      </c>
      <c r="P1220" s="4" t="str">
        <f>IFERROR(VLOOKUP(B1220,infoTable__16[],4,FALSE),"")</f>
        <v/>
      </c>
    </row>
    <row r="1221" spans="1:16" x14ac:dyDescent="0.55000000000000004">
      <c r="A1221" t="s">
        <v>302</v>
      </c>
      <c r="B1221" t="s">
        <v>303</v>
      </c>
      <c r="C1221" s="4" t="str">
        <f>IFERROR(VLOOKUP(B1221,infoTable10[],4,FALSE),"")</f>
        <v/>
      </c>
      <c r="D1221" s="4" t="str">
        <f>IFERROR(VLOOKUP(B1221,infoTable__2[],4,FALSE),"")</f>
        <v/>
      </c>
      <c r="E1221" s="4" t="str">
        <f>IFERROR(VLOOKUP(B1221,infoTable__3[],4,FALSE),"")</f>
        <v/>
      </c>
      <c r="F1221" s="4">
        <f>IFERROR(VLOOKUP(B1221,infoTable__4[],4,FALSE),"")</f>
        <v>784936</v>
      </c>
      <c r="G1221" s="4">
        <f>IFERROR(VLOOKUP(B1221,infoTable[],4,FALSE),"")</f>
        <v>940722</v>
      </c>
      <c r="H1221" s="4">
        <f>IFERROR(VLOOKUP(B1221,infoTable__6[],4,FALSE),"")</f>
        <v>775795</v>
      </c>
      <c r="I1221" s="4">
        <f>IFERROR(VLOOKUP(B1221,infoTable__28[],4,FALSE),"")</f>
        <v>2219287</v>
      </c>
      <c r="J1221" s="4">
        <f>IFERROR(VLOOKUP(B1221,infoTable__10[],4,FALSE),"")</f>
        <v>2404882</v>
      </c>
      <c r="K1221" s="4">
        <f>IFERROR(VLOOKUP(B1221,infoTable__11[],4,FALSE),"")</f>
        <v>1433991</v>
      </c>
      <c r="L1221" s="4">
        <f>IFERROR(VLOOKUP(B1221,infoTable__12[],4,FALSE),"")</f>
        <v>1209033</v>
      </c>
      <c r="M1221" s="4">
        <f>IFERROR(VLOOKUP(B1221,infoTable__13[],4,FALSE),"")</f>
        <v>1065125</v>
      </c>
      <c r="N1221" s="4">
        <f>IFERROR(VLOOKUP(B1221,infoTable__14[],4,FALSE),"")</f>
        <v>310553</v>
      </c>
      <c r="O1221" s="4" t="str">
        <f>IFERROR(VLOOKUP(B1221,infoTable__15[],4,FALSE),"")</f>
        <v/>
      </c>
      <c r="P1221" s="4" t="str">
        <f>IFERROR(VLOOKUP(B1221,infoTable__16[],4,FALSE),"")</f>
        <v/>
      </c>
    </row>
    <row r="1222" spans="1:16" x14ac:dyDescent="0.55000000000000004">
      <c r="A1222" t="s">
        <v>1980</v>
      </c>
      <c r="B1222" t="s">
        <v>1981</v>
      </c>
      <c r="C1222" s="4" t="str">
        <f>IFERROR(VLOOKUP(B1222,infoTable10[],4,FALSE),"")</f>
        <v/>
      </c>
      <c r="D1222" s="4" t="str">
        <f>IFERROR(VLOOKUP(B1222,infoTable__2[],4,FALSE),"")</f>
        <v/>
      </c>
      <c r="E1222" s="4" t="str">
        <f>IFERROR(VLOOKUP(B1222,infoTable__3[],4,FALSE),"")</f>
        <v/>
      </c>
      <c r="F1222" s="4" t="str">
        <f>IFERROR(VLOOKUP(B1222,infoTable__4[],4,FALSE),"")</f>
        <v/>
      </c>
      <c r="G1222" s="4" t="str">
        <f>IFERROR(VLOOKUP(B1222,infoTable[],4,FALSE),"")</f>
        <v/>
      </c>
      <c r="H1222" s="4" t="str">
        <f>IFERROR(VLOOKUP(B1222,infoTable__6[],4,FALSE),"")</f>
        <v/>
      </c>
      <c r="I1222" s="4" t="str">
        <f>IFERROR(VLOOKUP(B1222,infoTable__28[],4,FALSE),"")</f>
        <v/>
      </c>
      <c r="J1222" s="4" t="str">
        <f>IFERROR(VLOOKUP(B1222,infoTable__10[],4,FALSE),"")</f>
        <v/>
      </c>
      <c r="K1222" s="4">
        <f>IFERROR(VLOOKUP(B1222,infoTable__11[],4,FALSE),"")</f>
        <v>213528</v>
      </c>
      <c r="L1222" s="4">
        <f>IFERROR(VLOOKUP(B1222,infoTable__12[],4,FALSE),"")</f>
        <v>328909</v>
      </c>
      <c r="M1222" s="4" t="str">
        <f>IFERROR(VLOOKUP(B1222,infoTable__13[],4,FALSE),"")</f>
        <v/>
      </c>
      <c r="N1222" s="4" t="str">
        <f>IFERROR(VLOOKUP(B1222,infoTable__14[],4,FALSE),"")</f>
        <v/>
      </c>
      <c r="O1222" s="4" t="str">
        <f>IFERROR(VLOOKUP(B1222,infoTable__15[],4,FALSE),"")</f>
        <v/>
      </c>
      <c r="P1222" s="4" t="str">
        <f>IFERROR(VLOOKUP(B1222,infoTable__16[],4,FALSE),"")</f>
        <v/>
      </c>
    </row>
    <row r="1223" spans="1:16" x14ac:dyDescent="0.55000000000000004">
      <c r="A1223" t="s">
        <v>1058</v>
      </c>
      <c r="B1223" t="s">
        <v>1059</v>
      </c>
      <c r="C1223" s="4" t="str">
        <f>IFERROR(VLOOKUP(B1223,infoTable10[],4,FALSE),"")</f>
        <v/>
      </c>
      <c r="D1223" s="4" t="str">
        <f>IFERROR(VLOOKUP(B1223,infoTable__2[],4,FALSE),"")</f>
        <v/>
      </c>
      <c r="E1223" s="4" t="str">
        <f>IFERROR(VLOOKUP(B1223,infoTable__3[],4,FALSE),"")</f>
        <v/>
      </c>
      <c r="F1223" s="4" t="str">
        <f>IFERROR(VLOOKUP(B1223,infoTable__4[],4,FALSE),"")</f>
        <v/>
      </c>
      <c r="G1223" s="4" t="str">
        <f>IFERROR(VLOOKUP(B1223,infoTable[],4,FALSE),"")</f>
        <v/>
      </c>
      <c r="H1223" s="4">
        <f>IFERROR(VLOOKUP(B1223,infoTable__6[],4,FALSE),"")</f>
        <v>849927</v>
      </c>
      <c r="I1223" s="4" t="str">
        <f>IFERROR(VLOOKUP(B1223,infoTable__28[],4,FALSE),"")</f>
        <v/>
      </c>
      <c r="J1223" s="4" t="str">
        <f>IFERROR(VLOOKUP(B1223,infoTable__10[],4,FALSE),"")</f>
        <v/>
      </c>
      <c r="K1223" s="4" t="str">
        <f>IFERROR(VLOOKUP(B1223,infoTable__11[],4,FALSE),"")</f>
        <v/>
      </c>
      <c r="L1223" s="4" t="str">
        <f>IFERROR(VLOOKUP(B1223,infoTable__12[],4,FALSE),"")</f>
        <v/>
      </c>
      <c r="M1223" s="4" t="str">
        <f>IFERROR(VLOOKUP(B1223,infoTable__13[],4,FALSE),"")</f>
        <v/>
      </c>
      <c r="N1223" s="4">
        <f>IFERROR(VLOOKUP(B1223,infoTable__14[],4,FALSE),"")</f>
        <v>1413426</v>
      </c>
      <c r="O1223" s="4">
        <f>IFERROR(VLOOKUP(B1223,infoTable__15[],4,FALSE),"")</f>
        <v>383045</v>
      </c>
      <c r="P1223" s="4">
        <f>IFERROR(VLOOKUP(B1223,infoTable__16[],4,FALSE),"")</f>
        <v>1371903</v>
      </c>
    </row>
    <row r="1224" spans="1:16" x14ac:dyDescent="0.55000000000000004">
      <c r="A1224" t="s">
        <v>3103</v>
      </c>
      <c r="B1224" t="s">
        <v>3104</v>
      </c>
      <c r="C1224" s="4" t="str">
        <f>IFERROR(VLOOKUP(B1224,infoTable10[],4,FALSE),"")</f>
        <v/>
      </c>
      <c r="D1224" s="4" t="str">
        <f>IFERROR(VLOOKUP(B1224,infoTable__2[],4,FALSE),"")</f>
        <v/>
      </c>
      <c r="E1224" s="4" t="str">
        <f>IFERROR(VLOOKUP(B1224,infoTable__3[],4,FALSE),"")</f>
        <v/>
      </c>
      <c r="F1224" s="4" t="str">
        <f>IFERROR(VLOOKUP(B1224,infoTable__4[],4,FALSE),"")</f>
        <v/>
      </c>
      <c r="G1224" s="4" t="str">
        <f>IFERROR(VLOOKUP(B1224,infoTable[],4,FALSE),"")</f>
        <v/>
      </c>
      <c r="H1224" s="4" t="str">
        <f>IFERROR(VLOOKUP(B1224,infoTable__6[],4,FALSE),"")</f>
        <v/>
      </c>
      <c r="I1224" s="4" t="str">
        <f>IFERROR(VLOOKUP(B1224,infoTable__28[],4,FALSE),"")</f>
        <v/>
      </c>
      <c r="J1224" s="4" t="str">
        <f>IFERROR(VLOOKUP(B1224,infoTable__10[],4,FALSE),"")</f>
        <v/>
      </c>
      <c r="K1224" s="4" t="str">
        <f>IFERROR(VLOOKUP(B1224,infoTable__11[],4,FALSE),"")</f>
        <v/>
      </c>
      <c r="L1224" s="4" t="str">
        <f>IFERROR(VLOOKUP(B1224,infoTable__12[],4,FALSE),"")</f>
        <v/>
      </c>
      <c r="M1224" s="4" t="str">
        <f>IFERROR(VLOOKUP(B1224,infoTable__13[],4,FALSE),"")</f>
        <v/>
      </c>
      <c r="N1224" s="4" t="str">
        <f>IFERROR(VLOOKUP(B1224,infoTable__14[],4,FALSE),"")</f>
        <v/>
      </c>
      <c r="O1224" s="4">
        <f>IFERROR(VLOOKUP(B1224,infoTable__15[],4,FALSE),"")</f>
        <v>254224</v>
      </c>
      <c r="P1224" s="4" t="str">
        <f>IFERROR(VLOOKUP(B1224,infoTable__16[],4,FALSE),"")</f>
        <v/>
      </c>
    </row>
    <row r="1225" spans="1:16" x14ac:dyDescent="0.55000000000000004">
      <c r="A1225" t="s">
        <v>1949</v>
      </c>
      <c r="B1225" t="s">
        <v>1950</v>
      </c>
      <c r="C1225" s="4" t="str">
        <f>IFERROR(VLOOKUP(B1225,infoTable10[],4,FALSE),"")</f>
        <v/>
      </c>
      <c r="D1225" s="4" t="str">
        <f>IFERROR(VLOOKUP(B1225,infoTable__2[],4,FALSE),"")</f>
        <v/>
      </c>
      <c r="E1225" s="4" t="str">
        <f>IFERROR(VLOOKUP(B1225,infoTable__3[],4,FALSE),"")</f>
        <v/>
      </c>
      <c r="F1225" s="4" t="str">
        <f>IFERROR(VLOOKUP(B1225,infoTable__4[],4,FALSE),"")</f>
        <v/>
      </c>
      <c r="G1225" s="4" t="str">
        <f>IFERROR(VLOOKUP(B1225,infoTable[],4,FALSE),"")</f>
        <v/>
      </c>
      <c r="H1225" s="4" t="str">
        <f>IFERROR(VLOOKUP(B1225,infoTable__6[],4,FALSE),"")</f>
        <v/>
      </c>
      <c r="I1225" s="4" t="str">
        <f>IFERROR(VLOOKUP(B1225,infoTable__28[],4,FALSE),"")</f>
        <v/>
      </c>
      <c r="J1225" s="4" t="str">
        <f>IFERROR(VLOOKUP(B1225,infoTable__10[],4,FALSE),"")</f>
        <v/>
      </c>
      <c r="K1225" s="4">
        <f>IFERROR(VLOOKUP(B1225,infoTable__11[],4,FALSE),"")</f>
        <v>2142998</v>
      </c>
      <c r="L1225" s="4" t="str">
        <f>IFERROR(VLOOKUP(B1225,infoTable__12[],4,FALSE),"")</f>
        <v/>
      </c>
      <c r="M1225" s="4" t="str">
        <f>IFERROR(VLOOKUP(B1225,infoTable__13[],4,FALSE),"")</f>
        <v/>
      </c>
      <c r="N1225" s="4" t="str">
        <f>IFERROR(VLOOKUP(B1225,infoTable__14[],4,FALSE),"")</f>
        <v/>
      </c>
      <c r="O1225" s="4" t="str">
        <f>IFERROR(VLOOKUP(B1225,infoTable__15[],4,FALSE),"")</f>
        <v/>
      </c>
      <c r="P1225" s="4" t="str">
        <f>IFERROR(VLOOKUP(B1225,infoTable__16[],4,FALSE),"")</f>
        <v/>
      </c>
    </row>
    <row r="1226" spans="1:16" x14ac:dyDescent="0.55000000000000004">
      <c r="A1226" t="s">
        <v>1060</v>
      </c>
      <c r="B1226" t="s">
        <v>1061</v>
      </c>
      <c r="C1226" s="4" t="str">
        <f>IFERROR(VLOOKUP(B1226,infoTable10[],4,FALSE),"")</f>
        <v/>
      </c>
      <c r="D1226" s="4" t="str">
        <f>IFERROR(VLOOKUP(B1226,infoTable__2[],4,FALSE),"")</f>
        <v/>
      </c>
      <c r="E1226" s="4" t="str">
        <f>IFERROR(VLOOKUP(B1226,infoTable__3[],4,FALSE),"")</f>
        <v/>
      </c>
      <c r="F1226" s="4" t="str">
        <f>IFERROR(VLOOKUP(B1226,infoTable__4[],4,FALSE),"")</f>
        <v/>
      </c>
      <c r="G1226" s="4" t="str">
        <f>IFERROR(VLOOKUP(B1226,infoTable[],4,FALSE),"")</f>
        <v/>
      </c>
      <c r="H1226" s="4">
        <f>IFERROR(VLOOKUP(B1226,infoTable__6[],4,FALSE),"")</f>
        <v>613416</v>
      </c>
      <c r="I1226" s="4">
        <f>IFERROR(VLOOKUP(B1226,infoTable__28[],4,FALSE),"")</f>
        <v>486218</v>
      </c>
      <c r="J1226" s="4">
        <f>IFERROR(VLOOKUP(B1226,infoTable__10[],4,FALSE),"")</f>
        <v>282159</v>
      </c>
      <c r="K1226" s="4" t="str">
        <f>IFERROR(VLOOKUP(B1226,infoTable__11[],4,FALSE),"")</f>
        <v/>
      </c>
      <c r="L1226" s="4" t="str">
        <f>IFERROR(VLOOKUP(B1226,infoTable__12[],4,FALSE),"")</f>
        <v/>
      </c>
      <c r="M1226" s="4" t="str">
        <f>IFERROR(VLOOKUP(B1226,infoTable__13[],4,FALSE),"")</f>
        <v/>
      </c>
      <c r="N1226" s="4" t="str">
        <f>IFERROR(VLOOKUP(B1226,infoTable__14[],4,FALSE),"")</f>
        <v/>
      </c>
      <c r="O1226" s="4" t="str">
        <f>IFERROR(VLOOKUP(B1226,infoTable__15[],4,FALSE),"")</f>
        <v/>
      </c>
      <c r="P1226" s="4" t="str">
        <f>IFERROR(VLOOKUP(B1226,infoTable__16[],4,FALSE),"")</f>
        <v/>
      </c>
    </row>
    <row r="1227" spans="1:16" x14ac:dyDescent="0.55000000000000004">
      <c r="A1227" t="s">
        <v>304</v>
      </c>
      <c r="B1227" t="s">
        <v>305</v>
      </c>
      <c r="C1227" s="4" t="str">
        <f>IFERROR(VLOOKUP(B1227,infoTable10[],4,FALSE),"")</f>
        <v/>
      </c>
      <c r="D1227" s="4" t="str">
        <f>IFERROR(VLOOKUP(B1227,infoTable__2[],4,FALSE),"")</f>
        <v/>
      </c>
      <c r="E1227" s="4">
        <f>IFERROR(VLOOKUP(B1227,infoTable__3[],4,FALSE),"")</f>
        <v>706655</v>
      </c>
      <c r="F1227" s="4">
        <f>IFERROR(VLOOKUP(B1227,infoTable__4[],4,FALSE),"")</f>
        <v>607911</v>
      </c>
      <c r="G1227" s="4">
        <f>IFERROR(VLOOKUP(B1227,infoTable[],4,FALSE),"")</f>
        <v>798533</v>
      </c>
      <c r="H1227" s="4">
        <f>IFERROR(VLOOKUP(B1227,infoTable__6[],4,FALSE),"")</f>
        <v>470408</v>
      </c>
      <c r="I1227" s="4" t="str">
        <f>IFERROR(VLOOKUP(B1227,infoTable__28[],4,FALSE),"")</f>
        <v/>
      </c>
      <c r="J1227" s="4" t="str">
        <f>IFERROR(VLOOKUP(B1227,infoTable__10[],4,FALSE),"")</f>
        <v/>
      </c>
      <c r="K1227" s="4" t="str">
        <f>IFERROR(VLOOKUP(B1227,infoTable__11[],4,FALSE),"")</f>
        <v/>
      </c>
      <c r="L1227" s="4" t="str">
        <f>IFERROR(VLOOKUP(B1227,infoTable__12[],4,FALSE),"")</f>
        <v/>
      </c>
      <c r="M1227" s="4" t="str">
        <f>IFERROR(VLOOKUP(B1227,infoTable__13[],4,FALSE),"")</f>
        <v/>
      </c>
      <c r="N1227" s="4">
        <f>IFERROR(VLOOKUP(B1227,infoTable__14[],4,FALSE),"")</f>
        <v>267267</v>
      </c>
      <c r="O1227" s="4" t="str">
        <f>IFERROR(VLOOKUP(B1227,infoTable__15[],4,FALSE),"")</f>
        <v/>
      </c>
      <c r="P1227" s="4" t="str">
        <f>IFERROR(VLOOKUP(B1227,infoTable__16[],4,FALSE),"")</f>
        <v/>
      </c>
    </row>
    <row r="1228" spans="1:16" x14ac:dyDescent="0.55000000000000004">
      <c r="A1228" t="s">
        <v>2861</v>
      </c>
      <c r="B1228" t="s">
        <v>2860</v>
      </c>
      <c r="C1228" s="4" t="str">
        <f>IFERROR(VLOOKUP(B1228,infoTable10[],4,FALSE),"")</f>
        <v/>
      </c>
      <c r="D1228" s="4" t="str">
        <f>IFERROR(VLOOKUP(B1228,infoTable__2[],4,FALSE),"")</f>
        <v/>
      </c>
      <c r="E1228" s="4" t="str">
        <f>IFERROR(VLOOKUP(B1228,infoTable__3[],4,FALSE),"")</f>
        <v/>
      </c>
      <c r="F1228" s="4" t="str">
        <f>IFERROR(VLOOKUP(B1228,infoTable__4[],4,FALSE),"")</f>
        <v/>
      </c>
      <c r="G1228" s="4" t="str">
        <f>IFERROR(VLOOKUP(B1228,infoTable[],4,FALSE),"")</f>
        <v/>
      </c>
      <c r="H1228" s="4" t="str">
        <f>IFERROR(VLOOKUP(B1228,infoTable__6[],4,FALSE),"")</f>
        <v/>
      </c>
      <c r="I1228" s="4" t="str">
        <f>IFERROR(VLOOKUP(B1228,infoTable__28[],4,FALSE),"")</f>
        <v/>
      </c>
      <c r="J1228" s="4" t="str">
        <f>IFERROR(VLOOKUP(B1228,infoTable__10[],4,FALSE),"")</f>
        <v/>
      </c>
      <c r="K1228" s="4" t="str">
        <f>IFERROR(VLOOKUP(B1228,infoTable__11[],4,FALSE),"")</f>
        <v/>
      </c>
      <c r="L1228" s="4" t="str">
        <f>IFERROR(VLOOKUP(B1228,infoTable__12[],4,FALSE),"")</f>
        <v/>
      </c>
      <c r="M1228" s="4" t="str">
        <f>IFERROR(VLOOKUP(B1228,infoTable__13[],4,FALSE),"")</f>
        <v/>
      </c>
      <c r="N1228" s="4">
        <f>IFERROR(VLOOKUP(B1228,infoTable__14[],4,FALSE),"")</f>
        <v>241906</v>
      </c>
      <c r="O1228" s="4">
        <f>IFERROR(VLOOKUP(B1228,infoTable__15[],4,FALSE),"")</f>
        <v>1170356</v>
      </c>
      <c r="P1228" s="4">
        <f>IFERROR(VLOOKUP(B1228,infoTable__16[],4,FALSE),"")</f>
        <v>968376</v>
      </c>
    </row>
    <row r="1229" spans="1:16" x14ac:dyDescent="0.55000000000000004">
      <c r="A1229" t="s">
        <v>3133</v>
      </c>
      <c r="B1229" t="s">
        <v>3134</v>
      </c>
      <c r="C1229" s="4" t="str">
        <f>IFERROR(VLOOKUP(B1229,infoTable10[],4,FALSE),"")</f>
        <v/>
      </c>
      <c r="D1229" s="4" t="str">
        <f>IFERROR(VLOOKUP(B1229,infoTable__2[],4,FALSE),"")</f>
        <v/>
      </c>
      <c r="E1229" s="4" t="str">
        <f>IFERROR(VLOOKUP(B1229,infoTable__3[],4,FALSE),"")</f>
        <v/>
      </c>
      <c r="F1229" s="4" t="str">
        <f>IFERROR(VLOOKUP(B1229,infoTable__4[],4,FALSE),"")</f>
        <v/>
      </c>
      <c r="G1229" s="4" t="str">
        <f>IFERROR(VLOOKUP(B1229,infoTable[],4,FALSE),"")</f>
        <v/>
      </c>
      <c r="H1229" s="4" t="str">
        <f>IFERROR(VLOOKUP(B1229,infoTable__6[],4,FALSE),"")</f>
        <v/>
      </c>
      <c r="I1229" s="4" t="str">
        <f>IFERROR(VLOOKUP(B1229,infoTable__28[],4,FALSE),"")</f>
        <v/>
      </c>
      <c r="J1229" s="4" t="str">
        <f>IFERROR(VLOOKUP(B1229,infoTable__10[],4,FALSE),"")</f>
        <v/>
      </c>
      <c r="K1229" s="4" t="str">
        <f>IFERROR(VLOOKUP(B1229,infoTable__11[],4,FALSE),"")</f>
        <v/>
      </c>
      <c r="L1229" s="4" t="str">
        <f>IFERROR(VLOOKUP(B1229,infoTable__12[],4,FALSE),"")</f>
        <v/>
      </c>
      <c r="M1229" s="4" t="str">
        <f>IFERROR(VLOOKUP(B1229,infoTable__13[],4,FALSE),"")</f>
        <v/>
      </c>
      <c r="N1229" s="4" t="str">
        <f>IFERROR(VLOOKUP(B1229,infoTable__14[],4,FALSE),"")</f>
        <v/>
      </c>
      <c r="O1229" s="4">
        <f>IFERROR(VLOOKUP(B1229,infoTable__15[],4,FALSE),"")</f>
        <v>1902445</v>
      </c>
      <c r="P1229" s="4">
        <f>IFERROR(VLOOKUP(B1229,infoTable__16[],4,FALSE),"")</f>
        <v>940038</v>
      </c>
    </row>
    <row r="1230" spans="1:16" x14ac:dyDescent="0.55000000000000004">
      <c r="A1230" t="s">
        <v>306</v>
      </c>
      <c r="B1230" t="s">
        <v>307</v>
      </c>
      <c r="C1230" s="4" t="str">
        <f>IFERROR(VLOOKUP(B1230,infoTable10[],4,FALSE),"")</f>
        <v/>
      </c>
      <c r="D1230" s="4" t="str">
        <f>IFERROR(VLOOKUP(B1230,infoTable__2[],4,FALSE),"")</f>
        <v/>
      </c>
      <c r="E1230" s="4" t="str">
        <f>IFERROR(VLOOKUP(B1230,infoTable__3[],4,FALSE),"")</f>
        <v/>
      </c>
      <c r="F1230" s="4">
        <f>IFERROR(VLOOKUP(B1230,infoTable__4[],4,FALSE),"")</f>
        <v>222592</v>
      </c>
      <c r="G1230" s="4">
        <f>IFERROR(VLOOKUP(B1230,infoTable[],4,FALSE),"")</f>
        <v>215488</v>
      </c>
      <c r="H1230" s="4" t="str">
        <f>IFERROR(VLOOKUP(B1230,infoTable__6[],4,FALSE),"")</f>
        <v/>
      </c>
      <c r="I1230" s="4" t="str">
        <f>IFERROR(VLOOKUP(B1230,infoTable__28[],4,FALSE),"")</f>
        <v/>
      </c>
      <c r="J1230" s="4" t="str">
        <f>IFERROR(VLOOKUP(B1230,infoTable__10[],4,FALSE),"")</f>
        <v/>
      </c>
      <c r="K1230" s="4" t="str">
        <f>IFERROR(VLOOKUP(B1230,infoTable__11[],4,FALSE),"")</f>
        <v/>
      </c>
      <c r="L1230" s="4" t="str">
        <f>IFERROR(VLOOKUP(B1230,infoTable__12[],4,FALSE),"")</f>
        <v/>
      </c>
      <c r="M1230" s="4">
        <f>IFERROR(VLOOKUP(B1230,infoTable__13[],4,FALSE),"")</f>
        <v>808037</v>
      </c>
      <c r="N1230" s="4" t="str">
        <f>IFERROR(VLOOKUP(B1230,infoTable__14[],4,FALSE),"")</f>
        <v/>
      </c>
      <c r="O1230" s="4" t="str">
        <f>IFERROR(VLOOKUP(B1230,infoTable__15[],4,FALSE),"")</f>
        <v/>
      </c>
      <c r="P1230" s="4" t="str">
        <f>IFERROR(VLOOKUP(B1230,infoTable__16[],4,FALSE),"")</f>
        <v/>
      </c>
    </row>
    <row r="1231" spans="1:16" x14ac:dyDescent="0.55000000000000004">
      <c r="A1231" t="s">
        <v>2863</v>
      </c>
      <c r="B1231" t="s">
        <v>2862</v>
      </c>
      <c r="C1231" s="4" t="str">
        <f>IFERROR(VLOOKUP(B1231,infoTable10[],4,FALSE),"")</f>
        <v/>
      </c>
      <c r="D1231" s="4" t="str">
        <f>IFERROR(VLOOKUP(B1231,infoTable__2[],4,FALSE),"")</f>
        <v/>
      </c>
      <c r="E1231" s="4" t="str">
        <f>IFERROR(VLOOKUP(B1231,infoTable__3[],4,FALSE),"")</f>
        <v/>
      </c>
      <c r="F1231" s="4" t="str">
        <f>IFERROR(VLOOKUP(B1231,infoTable__4[],4,FALSE),"")</f>
        <v/>
      </c>
      <c r="G1231" s="4" t="str">
        <f>IFERROR(VLOOKUP(B1231,infoTable[],4,FALSE),"")</f>
        <v/>
      </c>
      <c r="H1231" s="4" t="str">
        <f>IFERROR(VLOOKUP(B1231,infoTable__6[],4,FALSE),"")</f>
        <v/>
      </c>
      <c r="I1231" s="4" t="str">
        <f>IFERROR(VLOOKUP(B1231,infoTable__28[],4,FALSE),"")</f>
        <v/>
      </c>
      <c r="J1231" s="4" t="str">
        <f>IFERROR(VLOOKUP(B1231,infoTable__10[],4,FALSE),"")</f>
        <v/>
      </c>
      <c r="K1231" s="4" t="str">
        <f>IFERROR(VLOOKUP(B1231,infoTable__11[],4,FALSE),"")</f>
        <v/>
      </c>
      <c r="L1231" s="4" t="str">
        <f>IFERROR(VLOOKUP(B1231,infoTable__12[],4,FALSE),"")</f>
        <v/>
      </c>
      <c r="M1231" s="4" t="str">
        <f>IFERROR(VLOOKUP(B1231,infoTable__13[],4,FALSE),"")</f>
        <v/>
      </c>
      <c r="N1231" s="4">
        <f>IFERROR(VLOOKUP(B1231,infoTable__14[],4,FALSE),"")</f>
        <v>222368</v>
      </c>
      <c r="O1231" s="4">
        <f>IFERROR(VLOOKUP(B1231,infoTable__15[],4,FALSE),"")</f>
        <v>161602</v>
      </c>
      <c r="P1231" s="4">
        <f>IFERROR(VLOOKUP(B1231,infoTable__16[],4,FALSE),"")</f>
        <v>505672</v>
      </c>
    </row>
    <row r="1232" spans="1:16" x14ac:dyDescent="0.55000000000000004">
      <c r="A1232" t="s">
        <v>873</v>
      </c>
      <c r="B1232" t="s">
        <v>874</v>
      </c>
      <c r="C1232" s="4" t="str">
        <f>IFERROR(VLOOKUP(B1232,infoTable10[],4,FALSE),"")</f>
        <v/>
      </c>
      <c r="D1232" s="4" t="str">
        <f>IFERROR(VLOOKUP(B1232,infoTable__2[],4,FALSE),"")</f>
        <v/>
      </c>
      <c r="E1232" s="4" t="str">
        <f>IFERROR(VLOOKUP(B1232,infoTable__3[],4,FALSE),"")</f>
        <v/>
      </c>
      <c r="F1232" s="4">
        <f>IFERROR(VLOOKUP(B1232,infoTable__4[],4,FALSE),"")</f>
        <v>1106813</v>
      </c>
      <c r="G1232" s="4" t="str">
        <f>IFERROR(VLOOKUP(B1232,infoTable[],4,FALSE),"")</f>
        <v/>
      </c>
      <c r="H1232" s="4" t="str">
        <f>IFERROR(VLOOKUP(B1232,infoTable__6[],4,FALSE),"")</f>
        <v/>
      </c>
      <c r="I1232" s="4" t="str">
        <f>IFERROR(VLOOKUP(B1232,infoTable__28[],4,FALSE),"")</f>
        <v/>
      </c>
      <c r="J1232" s="4" t="str">
        <f>IFERROR(VLOOKUP(B1232,infoTable__10[],4,FALSE),"")</f>
        <v/>
      </c>
      <c r="K1232" s="4" t="str">
        <f>IFERROR(VLOOKUP(B1232,infoTable__11[],4,FALSE),"")</f>
        <v/>
      </c>
      <c r="L1232" s="4" t="str">
        <f>IFERROR(VLOOKUP(B1232,infoTable__12[],4,FALSE),"")</f>
        <v/>
      </c>
      <c r="M1232" s="4" t="str">
        <f>IFERROR(VLOOKUP(B1232,infoTable__13[],4,FALSE),"")</f>
        <v/>
      </c>
      <c r="N1232" s="4" t="str">
        <f>IFERROR(VLOOKUP(B1232,infoTable__14[],4,FALSE),"")</f>
        <v/>
      </c>
      <c r="O1232" s="4" t="str">
        <f>IFERROR(VLOOKUP(B1232,infoTable__15[],4,FALSE),"")</f>
        <v/>
      </c>
      <c r="P1232" s="4" t="str">
        <f>IFERROR(VLOOKUP(B1232,infoTable__16[],4,FALSE),"")</f>
        <v/>
      </c>
    </row>
    <row r="1233" spans="1:16" x14ac:dyDescent="0.55000000000000004">
      <c r="A1233" t="s">
        <v>1957</v>
      </c>
      <c r="B1233" t="s">
        <v>1958</v>
      </c>
      <c r="C1233" s="4" t="str">
        <f>IFERROR(VLOOKUP(B1233,infoTable10[],4,FALSE),"")</f>
        <v/>
      </c>
      <c r="D1233" s="4" t="str">
        <f>IFERROR(VLOOKUP(B1233,infoTable__2[],4,FALSE),"")</f>
        <v/>
      </c>
      <c r="E1233" s="4" t="str">
        <f>IFERROR(VLOOKUP(B1233,infoTable__3[],4,FALSE),"")</f>
        <v/>
      </c>
      <c r="F1233" s="4" t="str">
        <f>IFERROR(VLOOKUP(B1233,infoTable__4[],4,FALSE),"")</f>
        <v/>
      </c>
      <c r="G1233" s="4" t="str">
        <f>IFERROR(VLOOKUP(B1233,infoTable[],4,FALSE),"")</f>
        <v/>
      </c>
      <c r="H1233" s="4" t="str">
        <f>IFERROR(VLOOKUP(B1233,infoTable__6[],4,FALSE),"")</f>
        <v/>
      </c>
      <c r="I1233" s="4" t="str">
        <f>IFERROR(VLOOKUP(B1233,infoTable__28[],4,FALSE),"")</f>
        <v/>
      </c>
      <c r="J1233" s="4" t="str">
        <f>IFERROR(VLOOKUP(B1233,infoTable__10[],4,FALSE),"")</f>
        <v/>
      </c>
      <c r="K1233" s="4">
        <f>IFERROR(VLOOKUP(B1233,infoTable__11[],4,FALSE),"")</f>
        <v>394955</v>
      </c>
      <c r="L1233" s="4">
        <f>IFERROR(VLOOKUP(B1233,infoTable__12[],4,FALSE),"")</f>
        <v>993111</v>
      </c>
      <c r="M1233" s="4">
        <f>IFERROR(VLOOKUP(B1233,infoTable__13[],4,FALSE),"")</f>
        <v>3287029</v>
      </c>
      <c r="N1233" s="4">
        <f>IFERROR(VLOOKUP(B1233,infoTable__14[],4,FALSE),"")</f>
        <v>933454</v>
      </c>
      <c r="O1233" s="4">
        <f>IFERROR(VLOOKUP(B1233,infoTable__15[],4,FALSE),"")</f>
        <v>467343</v>
      </c>
      <c r="P1233" s="4">
        <f>IFERROR(VLOOKUP(B1233,infoTable__16[],4,FALSE),"")</f>
        <v>2715588</v>
      </c>
    </row>
    <row r="1234" spans="1:16" x14ac:dyDescent="0.55000000000000004">
      <c r="A1234" t="s">
        <v>2865</v>
      </c>
      <c r="B1234" t="s">
        <v>2864</v>
      </c>
      <c r="C1234" s="4" t="str">
        <f>IFERROR(VLOOKUP(B1234,infoTable10[],4,FALSE),"")</f>
        <v/>
      </c>
      <c r="D1234" s="4" t="str">
        <f>IFERROR(VLOOKUP(B1234,infoTable__2[],4,FALSE),"")</f>
        <v/>
      </c>
      <c r="E1234" s="4" t="str">
        <f>IFERROR(VLOOKUP(B1234,infoTable__3[],4,FALSE),"")</f>
        <v/>
      </c>
      <c r="F1234" s="4" t="str">
        <f>IFERROR(VLOOKUP(B1234,infoTable__4[],4,FALSE),"")</f>
        <v/>
      </c>
      <c r="G1234" s="4" t="str">
        <f>IFERROR(VLOOKUP(B1234,infoTable[],4,FALSE),"")</f>
        <v/>
      </c>
      <c r="H1234" s="4" t="str">
        <f>IFERROR(VLOOKUP(B1234,infoTable__6[],4,FALSE),"")</f>
        <v/>
      </c>
      <c r="I1234" s="4" t="str">
        <f>IFERROR(VLOOKUP(B1234,infoTable__28[],4,FALSE),"")</f>
        <v/>
      </c>
      <c r="J1234" s="4" t="str">
        <f>IFERROR(VLOOKUP(B1234,infoTable__10[],4,FALSE),"")</f>
        <v/>
      </c>
      <c r="K1234" s="4" t="str">
        <f>IFERROR(VLOOKUP(B1234,infoTable__11[],4,FALSE),"")</f>
        <v/>
      </c>
      <c r="L1234" s="4" t="str">
        <f>IFERROR(VLOOKUP(B1234,infoTable__12[],4,FALSE),"")</f>
        <v/>
      </c>
      <c r="M1234" s="4" t="str">
        <f>IFERROR(VLOOKUP(B1234,infoTable__13[],4,FALSE),"")</f>
        <v/>
      </c>
      <c r="N1234" s="4">
        <f>IFERROR(VLOOKUP(B1234,infoTable__14[],4,FALSE),"")</f>
        <v>503587</v>
      </c>
      <c r="O1234" s="4" t="str">
        <f>IFERROR(VLOOKUP(B1234,infoTable__15[],4,FALSE),"")</f>
        <v/>
      </c>
      <c r="P1234" s="4" t="str">
        <f>IFERROR(VLOOKUP(B1234,infoTable__16[],4,FALSE),"")</f>
        <v/>
      </c>
    </row>
    <row r="1235" spans="1:16" x14ac:dyDescent="0.55000000000000004">
      <c r="A1235" t="s">
        <v>3443</v>
      </c>
      <c r="B1235" t="s">
        <v>3444</v>
      </c>
      <c r="C1235" s="4" t="str">
        <f>IFERROR(VLOOKUP(B1235,infoTable10[],4,FALSE),"")</f>
        <v/>
      </c>
      <c r="D1235" s="4" t="str">
        <f>IFERROR(VLOOKUP(B1235,infoTable__2[],4,FALSE),"")</f>
        <v/>
      </c>
      <c r="E1235" s="4" t="str">
        <f>IFERROR(VLOOKUP(B1235,infoTable__3[],4,FALSE),"")</f>
        <v/>
      </c>
      <c r="F1235" s="4" t="str">
        <f>IFERROR(VLOOKUP(B1235,infoTable__4[],4,FALSE),"")</f>
        <v/>
      </c>
      <c r="G1235" s="4" t="str">
        <f>IFERROR(VLOOKUP(B1235,infoTable[],4,FALSE),"")</f>
        <v/>
      </c>
      <c r="H1235" s="4" t="str">
        <f>IFERROR(VLOOKUP(B1235,infoTable__6[],4,FALSE),"")</f>
        <v/>
      </c>
      <c r="I1235" s="4" t="str">
        <f>IFERROR(VLOOKUP(B1235,infoTable__28[],4,FALSE),"")</f>
        <v/>
      </c>
      <c r="J1235" s="4" t="str">
        <f>IFERROR(VLOOKUP(B1235,infoTable__10[],4,FALSE),"")</f>
        <v/>
      </c>
      <c r="K1235" s="4" t="str">
        <f>IFERROR(VLOOKUP(B1235,infoTable__11[],4,FALSE),"")</f>
        <v/>
      </c>
      <c r="L1235" s="4" t="str">
        <f>IFERROR(VLOOKUP(B1235,infoTable__12[],4,FALSE),"")</f>
        <v/>
      </c>
      <c r="M1235" s="4" t="str">
        <f>IFERROR(VLOOKUP(B1235,infoTable__13[],4,FALSE),"")</f>
        <v/>
      </c>
      <c r="N1235" s="4" t="str">
        <f>IFERROR(VLOOKUP(B1235,infoTable__14[],4,FALSE),"")</f>
        <v/>
      </c>
      <c r="O1235" s="4" t="str">
        <f>IFERROR(VLOOKUP(B1235,infoTable__15[],4,FALSE),"")</f>
        <v/>
      </c>
      <c r="P1235" s="4">
        <f>IFERROR(VLOOKUP(B1235,infoTable__16[],4,FALSE),"")</f>
        <v>216621</v>
      </c>
    </row>
    <row r="1236" spans="1:16" x14ac:dyDescent="0.55000000000000004">
      <c r="A1236" t="s">
        <v>2867</v>
      </c>
      <c r="B1236" t="s">
        <v>2866</v>
      </c>
      <c r="C1236" s="4" t="str">
        <f>IFERROR(VLOOKUP(B1236,infoTable10[],4,FALSE),"")</f>
        <v/>
      </c>
      <c r="D1236" s="4" t="str">
        <f>IFERROR(VLOOKUP(B1236,infoTable__2[],4,FALSE),"")</f>
        <v/>
      </c>
      <c r="E1236" s="4" t="str">
        <f>IFERROR(VLOOKUP(B1236,infoTable__3[],4,FALSE),"")</f>
        <v/>
      </c>
      <c r="F1236" s="4" t="str">
        <f>IFERROR(VLOOKUP(B1236,infoTable__4[],4,FALSE),"")</f>
        <v/>
      </c>
      <c r="G1236" s="4" t="str">
        <f>IFERROR(VLOOKUP(B1236,infoTable[],4,FALSE),"")</f>
        <v/>
      </c>
      <c r="H1236" s="4" t="str">
        <f>IFERROR(VLOOKUP(B1236,infoTable__6[],4,FALSE),"")</f>
        <v/>
      </c>
      <c r="I1236" s="4" t="str">
        <f>IFERROR(VLOOKUP(B1236,infoTable__28[],4,FALSE),"")</f>
        <v/>
      </c>
      <c r="J1236" s="4" t="str">
        <f>IFERROR(VLOOKUP(B1236,infoTable__10[],4,FALSE),"")</f>
        <v/>
      </c>
      <c r="K1236" s="4" t="str">
        <f>IFERROR(VLOOKUP(B1236,infoTable__11[],4,FALSE),"")</f>
        <v/>
      </c>
      <c r="L1236" s="4" t="str">
        <f>IFERROR(VLOOKUP(B1236,infoTable__12[],4,FALSE),"")</f>
        <v/>
      </c>
      <c r="M1236" s="4" t="str">
        <f>IFERROR(VLOOKUP(B1236,infoTable__13[],4,FALSE),"")</f>
        <v/>
      </c>
      <c r="N1236" s="4">
        <f>IFERROR(VLOOKUP(B1236,infoTable__14[],4,FALSE),"")</f>
        <v>492238</v>
      </c>
      <c r="O1236" s="4">
        <f>IFERROR(VLOOKUP(B1236,infoTable__15[],4,FALSE),"")</f>
        <v>2261535</v>
      </c>
      <c r="P1236" s="4">
        <f>IFERROR(VLOOKUP(B1236,infoTable__16[],4,FALSE),"")</f>
        <v>2456901</v>
      </c>
    </row>
    <row r="1237" spans="1:16" x14ac:dyDescent="0.55000000000000004">
      <c r="A1237" t="s">
        <v>1062</v>
      </c>
      <c r="B1237" t="s">
        <v>1063</v>
      </c>
      <c r="C1237" s="4" t="str">
        <f>IFERROR(VLOOKUP(B1237,infoTable10[],4,FALSE),"")</f>
        <v/>
      </c>
      <c r="D1237" s="4" t="str">
        <f>IFERROR(VLOOKUP(B1237,infoTable__2[],4,FALSE),"")</f>
        <v/>
      </c>
      <c r="E1237" s="4" t="str">
        <f>IFERROR(VLOOKUP(B1237,infoTable__3[],4,FALSE),"")</f>
        <v/>
      </c>
      <c r="F1237" s="4" t="str">
        <f>IFERROR(VLOOKUP(B1237,infoTable__4[],4,FALSE),"")</f>
        <v/>
      </c>
      <c r="G1237" s="4" t="str">
        <f>IFERROR(VLOOKUP(B1237,infoTable[],4,FALSE),"")</f>
        <v/>
      </c>
      <c r="H1237" s="4">
        <f>IFERROR(VLOOKUP(B1237,infoTable__6[],4,FALSE),"")</f>
        <v>264780</v>
      </c>
      <c r="I1237" s="4">
        <f>IFERROR(VLOOKUP(B1237,infoTable__28[],4,FALSE),"")</f>
        <v>79173</v>
      </c>
      <c r="J1237" s="4">
        <f>IFERROR(VLOOKUP(B1237,infoTable__10[],4,FALSE),"")</f>
        <v>72367</v>
      </c>
      <c r="K1237" s="4">
        <f>IFERROR(VLOOKUP(B1237,infoTable__11[],4,FALSE),"")</f>
        <v>55282</v>
      </c>
      <c r="L1237" s="4" t="str">
        <f>IFERROR(VLOOKUP(B1237,infoTable__12[],4,FALSE),"")</f>
        <v/>
      </c>
      <c r="M1237" s="4" t="str">
        <f>IFERROR(VLOOKUP(B1237,infoTable__13[],4,FALSE),"")</f>
        <v/>
      </c>
      <c r="N1237" s="4" t="str">
        <f>IFERROR(VLOOKUP(B1237,infoTable__14[],4,FALSE),"")</f>
        <v/>
      </c>
      <c r="O1237" s="4" t="str">
        <f>IFERROR(VLOOKUP(B1237,infoTable__15[],4,FALSE),"")</f>
        <v/>
      </c>
      <c r="P1237" s="4" t="str">
        <f>IFERROR(VLOOKUP(B1237,infoTable__16[],4,FALSE),"")</f>
        <v/>
      </c>
    </row>
    <row r="1238" spans="1:16" x14ac:dyDescent="0.55000000000000004">
      <c r="A1238" t="s">
        <v>3445</v>
      </c>
      <c r="B1238" t="s">
        <v>3446</v>
      </c>
      <c r="C1238" s="4" t="str">
        <f>IFERROR(VLOOKUP(B1238,infoTable10[],4,FALSE),"")</f>
        <v/>
      </c>
      <c r="D1238" s="4" t="str">
        <f>IFERROR(VLOOKUP(B1238,infoTable__2[],4,FALSE),"")</f>
        <v/>
      </c>
      <c r="E1238" s="4" t="str">
        <f>IFERROR(VLOOKUP(B1238,infoTable__3[],4,FALSE),"")</f>
        <v/>
      </c>
      <c r="F1238" s="4" t="str">
        <f>IFERROR(VLOOKUP(B1238,infoTable__4[],4,FALSE),"")</f>
        <v/>
      </c>
      <c r="G1238" s="4" t="str">
        <f>IFERROR(VLOOKUP(B1238,infoTable[],4,FALSE),"")</f>
        <v/>
      </c>
      <c r="H1238" s="4" t="str">
        <f>IFERROR(VLOOKUP(B1238,infoTable__6[],4,FALSE),"")</f>
        <v/>
      </c>
      <c r="I1238" s="4" t="str">
        <f>IFERROR(VLOOKUP(B1238,infoTable__28[],4,FALSE),"")</f>
        <v/>
      </c>
      <c r="J1238" s="4" t="str">
        <f>IFERROR(VLOOKUP(B1238,infoTable__10[],4,FALSE),"")</f>
        <v/>
      </c>
      <c r="K1238" s="4" t="str">
        <f>IFERROR(VLOOKUP(B1238,infoTable__11[],4,FALSE),"")</f>
        <v/>
      </c>
      <c r="L1238" s="4" t="str">
        <f>IFERROR(VLOOKUP(B1238,infoTable__12[],4,FALSE),"")</f>
        <v/>
      </c>
      <c r="M1238" s="4" t="str">
        <f>IFERROR(VLOOKUP(B1238,infoTable__13[],4,FALSE),"")</f>
        <v/>
      </c>
      <c r="N1238" s="4" t="str">
        <f>IFERROR(VLOOKUP(B1238,infoTable__14[],4,FALSE),"")</f>
        <v/>
      </c>
      <c r="O1238" s="4" t="str">
        <f>IFERROR(VLOOKUP(B1238,infoTable__15[],4,FALSE),"")</f>
        <v/>
      </c>
      <c r="P1238" s="4">
        <f>IFERROR(VLOOKUP(B1238,infoTable__16[],4,FALSE),"")</f>
        <v>529686</v>
      </c>
    </row>
    <row r="1239" spans="1:16" x14ac:dyDescent="0.55000000000000004">
      <c r="A1239" t="s">
        <v>1351</v>
      </c>
      <c r="B1239" t="s">
        <v>1352</v>
      </c>
      <c r="C1239" s="4" t="str">
        <f>IFERROR(VLOOKUP(B1239,infoTable10[],4,FALSE),"")</f>
        <v/>
      </c>
      <c r="D1239" s="4" t="str">
        <f>IFERROR(VLOOKUP(B1239,infoTable__2[],4,FALSE),"")</f>
        <v/>
      </c>
      <c r="E1239" s="4" t="str">
        <f>IFERROR(VLOOKUP(B1239,infoTable__3[],4,FALSE),"")</f>
        <v/>
      </c>
      <c r="F1239" s="4" t="str">
        <f>IFERROR(VLOOKUP(B1239,infoTable__4[],4,FALSE),"")</f>
        <v/>
      </c>
      <c r="G1239" s="4" t="str">
        <f>IFERROR(VLOOKUP(B1239,infoTable[],4,FALSE),"")</f>
        <v/>
      </c>
      <c r="H1239" s="4" t="str">
        <f>IFERROR(VLOOKUP(B1239,infoTable__6[],4,FALSE),"")</f>
        <v/>
      </c>
      <c r="I1239" s="4">
        <f>IFERROR(VLOOKUP(B1239,infoTable__28[],4,FALSE),"")</f>
        <v>589242</v>
      </c>
      <c r="J1239" s="4" t="str">
        <f>IFERROR(VLOOKUP(B1239,infoTable__10[],4,FALSE),"")</f>
        <v/>
      </c>
      <c r="K1239" s="4" t="str">
        <f>IFERROR(VLOOKUP(B1239,infoTable__11[],4,FALSE),"")</f>
        <v/>
      </c>
      <c r="L1239" s="4">
        <f>IFERROR(VLOOKUP(B1239,infoTable__12[],4,FALSE),"")</f>
        <v>519782</v>
      </c>
      <c r="M1239" s="4" t="str">
        <f>IFERROR(VLOOKUP(B1239,infoTable__13[],4,FALSE),"")</f>
        <v/>
      </c>
      <c r="N1239" s="4" t="str">
        <f>IFERROR(VLOOKUP(B1239,infoTable__14[],4,FALSE),"")</f>
        <v/>
      </c>
      <c r="O1239" s="4" t="str">
        <f>IFERROR(VLOOKUP(B1239,infoTable__15[],4,FALSE),"")</f>
        <v/>
      </c>
      <c r="P1239" s="4" t="str">
        <f>IFERROR(VLOOKUP(B1239,infoTable__16[],4,FALSE),"")</f>
        <v/>
      </c>
    </row>
    <row r="1240" spans="1:16" x14ac:dyDescent="0.55000000000000004">
      <c r="A1240" t="s">
        <v>1723</v>
      </c>
      <c r="B1240" t="s">
        <v>1724</v>
      </c>
      <c r="C1240" s="4" t="str">
        <f>IFERROR(VLOOKUP(B1240,infoTable10[],4,FALSE),"")</f>
        <v/>
      </c>
      <c r="D1240" s="4" t="str">
        <f>IFERROR(VLOOKUP(B1240,infoTable__2[],4,FALSE),"")</f>
        <v/>
      </c>
      <c r="E1240" s="4" t="str">
        <f>IFERROR(VLOOKUP(B1240,infoTable__3[],4,FALSE),"")</f>
        <v/>
      </c>
      <c r="F1240" s="4" t="str">
        <f>IFERROR(VLOOKUP(B1240,infoTable__4[],4,FALSE),"")</f>
        <v/>
      </c>
      <c r="G1240" s="4" t="str">
        <f>IFERROR(VLOOKUP(B1240,infoTable[],4,FALSE),"")</f>
        <v/>
      </c>
      <c r="H1240" s="4" t="str">
        <f>IFERROR(VLOOKUP(B1240,infoTable__6[],4,FALSE),"")</f>
        <v/>
      </c>
      <c r="I1240" s="4" t="str">
        <f>IFERROR(VLOOKUP(B1240,infoTable__28[],4,FALSE),"")</f>
        <v/>
      </c>
      <c r="J1240" s="4">
        <f>IFERROR(VLOOKUP(B1240,infoTable__10[],4,FALSE),"")</f>
        <v>402284</v>
      </c>
      <c r="K1240" s="4">
        <f>IFERROR(VLOOKUP(B1240,infoTable__11[],4,FALSE),"")</f>
        <v>318977</v>
      </c>
      <c r="L1240" s="4" t="str">
        <f>IFERROR(VLOOKUP(B1240,infoTable__12[],4,FALSE),"")</f>
        <v/>
      </c>
      <c r="M1240" s="4" t="str">
        <f>IFERROR(VLOOKUP(B1240,infoTable__13[],4,FALSE),"")</f>
        <v/>
      </c>
      <c r="N1240" s="4" t="str">
        <f>IFERROR(VLOOKUP(B1240,infoTable__14[],4,FALSE),"")</f>
        <v/>
      </c>
      <c r="O1240" s="4" t="str">
        <f>IFERROR(VLOOKUP(B1240,infoTable__15[],4,FALSE),"")</f>
        <v/>
      </c>
      <c r="P1240" s="4">
        <f>IFERROR(VLOOKUP(B1240,infoTable__16[],4,FALSE),"")</f>
        <v>329492</v>
      </c>
    </row>
    <row r="1241" spans="1:16" x14ac:dyDescent="0.55000000000000004">
      <c r="A1241" t="s">
        <v>328</v>
      </c>
      <c r="B1241" t="s">
        <v>329</v>
      </c>
      <c r="C1241" s="4" t="str">
        <f>IFERROR(VLOOKUP(B1241,infoTable10[],4,FALSE),"")</f>
        <v/>
      </c>
      <c r="D1241" s="4">
        <f>IFERROR(VLOOKUP(B1241,infoTable__2[],4,FALSE),"")</f>
        <v>1495193</v>
      </c>
      <c r="E1241" s="4">
        <f>IFERROR(VLOOKUP(B1241,infoTable__3[],4,FALSE),"")</f>
        <v>4232300</v>
      </c>
      <c r="F1241" s="4">
        <f>IFERROR(VLOOKUP(B1241,infoTable__4[],4,FALSE),"")</f>
        <v>2327996</v>
      </c>
      <c r="G1241" s="4">
        <f>IFERROR(VLOOKUP(B1241,infoTable[],4,FALSE),"")</f>
        <v>1420114</v>
      </c>
      <c r="H1241" s="4">
        <f>IFERROR(VLOOKUP(B1241,infoTable__6[],4,FALSE),"")</f>
        <v>655099</v>
      </c>
      <c r="I1241" s="4" t="str">
        <f>IFERROR(VLOOKUP(B1241,infoTable__28[],4,FALSE),"")</f>
        <v/>
      </c>
      <c r="J1241" s="4" t="str">
        <f>IFERROR(VLOOKUP(B1241,infoTable__10[],4,FALSE),"")</f>
        <v/>
      </c>
      <c r="K1241" s="4" t="str">
        <f>IFERROR(VLOOKUP(B1241,infoTable__11[],4,FALSE),"")</f>
        <v/>
      </c>
      <c r="L1241" s="4">
        <f>IFERROR(VLOOKUP(B1241,infoTable__12[],4,FALSE),"")</f>
        <v>1224069</v>
      </c>
      <c r="M1241" s="4" t="str">
        <f>IFERROR(VLOOKUP(B1241,infoTable__13[],4,FALSE),"")</f>
        <v/>
      </c>
      <c r="N1241" s="4" t="str">
        <f>IFERROR(VLOOKUP(B1241,infoTable__14[],4,FALSE),"")</f>
        <v/>
      </c>
      <c r="O1241" s="4" t="str">
        <f>IFERROR(VLOOKUP(B1241,infoTable__15[],4,FALSE),"")</f>
        <v/>
      </c>
      <c r="P1241" s="4" t="str">
        <f>IFERROR(VLOOKUP(B1241,infoTable__16[],4,FALSE),"")</f>
        <v/>
      </c>
    </row>
    <row r="1242" spans="1:16" x14ac:dyDescent="0.55000000000000004">
      <c r="A1242" t="s">
        <v>2283</v>
      </c>
      <c r="B1242" t="s">
        <v>2284</v>
      </c>
      <c r="C1242" s="4" t="str">
        <f>IFERROR(VLOOKUP(B1242,infoTable10[],4,FALSE),"")</f>
        <v/>
      </c>
      <c r="D1242" s="4" t="str">
        <f>IFERROR(VLOOKUP(B1242,infoTable__2[],4,FALSE),"")</f>
        <v/>
      </c>
      <c r="E1242" s="4" t="str">
        <f>IFERROR(VLOOKUP(B1242,infoTable__3[],4,FALSE),"")</f>
        <v/>
      </c>
      <c r="F1242" s="4" t="str">
        <f>IFERROR(VLOOKUP(B1242,infoTable__4[],4,FALSE),"")</f>
        <v/>
      </c>
      <c r="G1242" s="4" t="str">
        <f>IFERROR(VLOOKUP(B1242,infoTable[],4,FALSE),"")</f>
        <v/>
      </c>
      <c r="H1242" s="4" t="str">
        <f>IFERROR(VLOOKUP(B1242,infoTable__6[],4,FALSE),"")</f>
        <v/>
      </c>
      <c r="I1242" s="4" t="str">
        <f>IFERROR(VLOOKUP(B1242,infoTable__28[],4,FALSE),"")</f>
        <v/>
      </c>
      <c r="J1242" s="4" t="str">
        <f>IFERROR(VLOOKUP(B1242,infoTable__10[],4,FALSE),"")</f>
        <v/>
      </c>
      <c r="K1242" s="4" t="str">
        <f>IFERROR(VLOOKUP(B1242,infoTable__11[],4,FALSE),"")</f>
        <v/>
      </c>
      <c r="L1242" s="4">
        <f>IFERROR(VLOOKUP(B1242,infoTable__12[],4,FALSE),"")</f>
        <v>1122323</v>
      </c>
      <c r="M1242" s="4">
        <f>IFERROR(VLOOKUP(B1242,infoTable__13[],4,FALSE),"")</f>
        <v>146164</v>
      </c>
      <c r="N1242" s="4">
        <f>IFERROR(VLOOKUP(B1242,infoTable__14[],4,FALSE),"")</f>
        <v>155807</v>
      </c>
      <c r="O1242" s="4">
        <f>IFERROR(VLOOKUP(B1242,infoTable__15[],4,FALSE),"")</f>
        <v>240171</v>
      </c>
      <c r="P1242" s="4">
        <f>IFERROR(VLOOKUP(B1242,infoTable__16[],4,FALSE),"")</f>
        <v>3615132</v>
      </c>
    </row>
    <row r="1243" spans="1:16" x14ac:dyDescent="0.55000000000000004">
      <c r="A1243" t="s">
        <v>640</v>
      </c>
      <c r="B1243" t="s">
        <v>641</v>
      </c>
      <c r="C1243" s="4">
        <f>IFERROR(VLOOKUP(B1243,infoTable10[],4,FALSE),"")</f>
        <v>1781024</v>
      </c>
      <c r="D1243" s="4">
        <f>IFERROR(VLOOKUP(B1243,infoTable__2[],4,FALSE),"")</f>
        <v>894148</v>
      </c>
      <c r="E1243" s="4">
        <f>IFERROR(VLOOKUP(B1243,infoTable__3[],4,FALSE),"")</f>
        <v>298659</v>
      </c>
      <c r="F1243" s="4" t="str">
        <f>IFERROR(VLOOKUP(B1243,infoTable__4[],4,FALSE),"")</f>
        <v/>
      </c>
      <c r="G1243" s="4" t="str">
        <f>IFERROR(VLOOKUP(B1243,infoTable[],4,FALSE),"")</f>
        <v/>
      </c>
      <c r="H1243" s="4" t="str">
        <f>IFERROR(VLOOKUP(B1243,infoTable__6[],4,FALSE),"")</f>
        <v/>
      </c>
      <c r="I1243" s="4" t="str">
        <f>IFERROR(VLOOKUP(B1243,infoTable__28[],4,FALSE),"")</f>
        <v/>
      </c>
      <c r="J1243" s="4" t="str">
        <f>IFERROR(VLOOKUP(B1243,infoTable__10[],4,FALSE),"")</f>
        <v/>
      </c>
      <c r="K1243" s="4" t="str">
        <f>IFERROR(VLOOKUP(B1243,infoTable__11[],4,FALSE),"")</f>
        <v/>
      </c>
      <c r="L1243" s="4" t="str">
        <f>IFERROR(VLOOKUP(B1243,infoTable__12[],4,FALSE),"")</f>
        <v/>
      </c>
      <c r="M1243" s="4" t="str">
        <f>IFERROR(VLOOKUP(B1243,infoTable__13[],4,FALSE),"")</f>
        <v/>
      </c>
      <c r="N1243" s="4" t="str">
        <f>IFERROR(VLOOKUP(B1243,infoTable__14[],4,FALSE),"")</f>
        <v/>
      </c>
      <c r="O1243" s="4" t="str">
        <f>IFERROR(VLOOKUP(B1243,infoTable__15[],4,FALSE),"")</f>
        <v/>
      </c>
      <c r="P1243" s="4" t="str">
        <f>IFERROR(VLOOKUP(B1243,infoTable__16[],4,FALSE),"")</f>
        <v/>
      </c>
    </row>
    <row r="1244" spans="1:16" x14ac:dyDescent="0.55000000000000004">
      <c r="A1244" t="s">
        <v>875</v>
      </c>
      <c r="B1244" t="s">
        <v>876</v>
      </c>
      <c r="C1244" s="4" t="str">
        <f>IFERROR(VLOOKUP(B1244,infoTable10[],4,FALSE),"")</f>
        <v/>
      </c>
      <c r="D1244" s="4" t="str">
        <f>IFERROR(VLOOKUP(B1244,infoTable__2[],4,FALSE),"")</f>
        <v/>
      </c>
      <c r="E1244" s="4" t="str">
        <f>IFERROR(VLOOKUP(B1244,infoTable__3[],4,FALSE),"")</f>
        <v/>
      </c>
      <c r="F1244" s="4">
        <f>IFERROR(VLOOKUP(B1244,infoTable__4[],4,FALSE),"")</f>
        <v>400212</v>
      </c>
      <c r="G1244" s="4" t="str">
        <f>IFERROR(VLOOKUP(B1244,infoTable[],4,FALSE),"")</f>
        <v/>
      </c>
      <c r="H1244" s="4" t="str">
        <f>IFERROR(VLOOKUP(B1244,infoTable__6[],4,FALSE),"")</f>
        <v/>
      </c>
      <c r="I1244" s="4" t="str">
        <f>IFERROR(VLOOKUP(B1244,infoTable__28[],4,FALSE),"")</f>
        <v/>
      </c>
      <c r="J1244" s="4" t="str">
        <f>IFERROR(VLOOKUP(B1244,infoTable__10[],4,FALSE),"")</f>
        <v/>
      </c>
      <c r="K1244" s="4" t="str">
        <f>IFERROR(VLOOKUP(B1244,infoTable__11[],4,FALSE),"")</f>
        <v/>
      </c>
      <c r="L1244" s="4" t="str">
        <f>IFERROR(VLOOKUP(B1244,infoTable__12[],4,FALSE),"")</f>
        <v/>
      </c>
      <c r="M1244" s="4" t="str">
        <f>IFERROR(VLOOKUP(B1244,infoTable__13[],4,FALSE),"")</f>
        <v/>
      </c>
      <c r="N1244" s="4" t="str">
        <f>IFERROR(VLOOKUP(B1244,infoTable__14[],4,FALSE),"")</f>
        <v/>
      </c>
      <c r="O1244" s="4" t="str">
        <f>IFERROR(VLOOKUP(B1244,infoTable__15[],4,FALSE),"")</f>
        <v/>
      </c>
      <c r="P1244" s="4" t="str">
        <f>IFERROR(VLOOKUP(B1244,infoTable__16[],4,FALSE),"")</f>
        <v/>
      </c>
    </row>
    <row r="1245" spans="1:16" x14ac:dyDescent="0.55000000000000004">
      <c r="A1245" t="s">
        <v>3447</v>
      </c>
      <c r="B1245" t="s">
        <v>3448</v>
      </c>
      <c r="C1245" s="4" t="str">
        <f>IFERROR(VLOOKUP(B1245,infoTable10[],4,FALSE),"")</f>
        <v/>
      </c>
      <c r="D1245" s="4" t="str">
        <f>IFERROR(VLOOKUP(B1245,infoTable__2[],4,FALSE),"")</f>
        <v/>
      </c>
      <c r="E1245" s="4" t="str">
        <f>IFERROR(VLOOKUP(B1245,infoTable__3[],4,FALSE),"")</f>
        <v/>
      </c>
      <c r="F1245" s="4" t="str">
        <f>IFERROR(VLOOKUP(B1245,infoTable__4[],4,FALSE),"")</f>
        <v/>
      </c>
      <c r="G1245" s="4" t="str">
        <f>IFERROR(VLOOKUP(B1245,infoTable[],4,FALSE),"")</f>
        <v/>
      </c>
      <c r="H1245" s="4" t="str">
        <f>IFERROR(VLOOKUP(B1245,infoTable__6[],4,FALSE),"")</f>
        <v/>
      </c>
      <c r="I1245" s="4" t="str">
        <f>IFERROR(VLOOKUP(B1245,infoTable__28[],4,FALSE),"")</f>
        <v/>
      </c>
      <c r="J1245" s="4" t="str">
        <f>IFERROR(VLOOKUP(B1245,infoTable__10[],4,FALSE),"")</f>
        <v/>
      </c>
      <c r="K1245" s="4" t="str">
        <f>IFERROR(VLOOKUP(B1245,infoTable__11[],4,FALSE),"")</f>
        <v/>
      </c>
      <c r="L1245" s="4" t="str">
        <f>IFERROR(VLOOKUP(B1245,infoTable__12[],4,FALSE),"")</f>
        <v/>
      </c>
      <c r="M1245" s="4" t="str">
        <f>IFERROR(VLOOKUP(B1245,infoTable__13[],4,FALSE),"")</f>
        <v/>
      </c>
      <c r="N1245" s="4" t="str">
        <f>IFERROR(VLOOKUP(B1245,infoTable__14[],4,FALSE),"")</f>
        <v/>
      </c>
      <c r="O1245" s="4" t="str">
        <f>IFERROR(VLOOKUP(B1245,infoTable__15[],4,FALSE),"")</f>
        <v/>
      </c>
      <c r="P1245" s="4">
        <f>IFERROR(VLOOKUP(B1245,infoTable__16[],4,FALSE),"")</f>
        <v>398308</v>
      </c>
    </row>
    <row r="1246" spans="1:16" x14ac:dyDescent="0.55000000000000004">
      <c r="A1246" t="s">
        <v>3113</v>
      </c>
      <c r="B1246" t="s">
        <v>3114</v>
      </c>
      <c r="C1246" s="4" t="str">
        <f>IFERROR(VLOOKUP(B1246,infoTable10[],4,FALSE),"")</f>
        <v/>
      </c>
      <c r="D1246" s="4" t="str">
        <f>IFERROR(VLOOKUP(B1246,infoTable__2[],4,FALSE),"")</f>
        <v/>
      </c>
      <c r="E1246" s="4" t="str">
        <f>IFERROR(VLOOKUP(B1246,infoTable__3[],4,FALSE),"")</f>
        <v/>
      </c>
      <c r="F1246" s="4" t="str">
        <f>IFERROR(VLOOKUP(B1246,infoTable__4[],4,FALSE),"")</f>
        <v/>
      </c>
      <c r="G1246" s="4" t="str">
        <f>IFERROR(VLOOKUP(B1246,infoTable[],4,FALSE),"")</f>
        <v/>
      </c>
      <c r="H1246" s="4" t="str">
        <f>IFERROR(VLOOKUP(B1246,infoTable__6[],4,FALSE),"")</f>
        <v/>
      </c>
      <c r="I1246" s="4" t="str">
        <f>IFERROR(VLOOKUP(B1246,infoTable__28[],4,FALSE),"")</f>
        <v/>
      </c>
      <c r="J1246" s="4" t="str">
        <f>IFERROR(VLOOKUP(B1246,infoTable__10[],4,FALSE),"")</f>
        <v/>
      </c>
      <c r="K1246" s="4" t="str">
        <f>IFERROR(VLOOKUP(B1246,infoTable__11[],4,FALSE),"")</f>
        <v/>
      </c>
      <c r="L1246" s="4" t="str">
        <f>IFERROR(VLOOKUP(B1246,infoTable__12[],4,FALSE),"")</f>
        <v/>
      </c>
      <c r="M1246" s="4" t="str">
        <f>IFERROR(VLOOKUP(B1246,infoTable__13[],4,FALSE),"")</f>
        <v/>
      </c>
      <c r="N1246" s="4" t="str">
        <f>IFERROR(VLOOKUP(B1246,infoTable__14[],4,FALSE),"")</f>
        <v/>
      </c>
      <c r="O1246" s="4">
        <f>IFERROR(VLOOKUP(B1246,infoTable__15[],4,FALSE),"")</f>
        <v>2198814</v>
      </c>
      <c r="P1246" s="4">
        <f>IFERROR(VLOOKUP(B1246,infoTable__16[],4,FALSE),"")</f>
        <v>1255198</v>
      </c>
    </row>
    <row r="1247" spans="1:16" x14ac:dyDescent="0.55000000000000004">
      <c r="A1247" t="s">
        <v>1719</v>
      </c>
      <c r="B1247" t="s">
        <v>1720</v>
      </c>
      <c r="C1247" s="4" t="str">
        <f>IFERROR(VLOOKUP(B1247,infoTable10[],4,FALSE),"")</f>
        <v/>
      </c>
      <c r="D1247" s="4" t="str">
        <f>IFERROR(VLOOKUP(B1247,infoTable__2[],4,FALSE),"")</f>
        <v/>
      </c>
      <c r="E1247" s="4" t="str">
        <f>IFERROR(VLOOKUP(B1247,infoTable__3[],4,FALSE),"")</f>
        <v/>
      </c>
      <c r="F1247" s="4" t="str">
        <f>IFERROR(VLOOKUP(B1247,infoTable__4[],4,FALSE),"")</f>
        <v/>
      </c>
      <c r="G1247" s="4" t="str">
        <f>IFERROR(VLOOKUP(B1247,infoTable[],4,FALSE),"")</f>
        <v/>
      </c>
      <c r="H1247" s="4" t="str">
        <f>IFERROR(VLOOKUP(B1247,infoTable__6[],4,FALSE),"")</f>
        <v/>
      </c>
      <c r="I1247" s="4" t="str">
        <f>IFERROR(VLOOKUP(B1247,infoTable__28[],4,FALSE),"")</f>
        <v/>
      </c>
      <c r="J1247" s="4">
        <f>IFERROR(VLOOKUP(B1247,infoTable__10[],4,FALSE),"")</f>
        <v>98078</v>
      </c>
      <c r="K1247" s="4" t="str">
        <f>IFERROR(VLOOKUP(B1247,infoTable__11[],4,FALSE),"")</f>
        <v/>
      </c>
      <c r="L1247" s="4" t="str">
        <f>IFERROR(VLOOKUP(B1247,infoTable__12[],4,FALSE),"")</f>
        <v/>
      </c>
      <c r="M1247" s="4" t="str">
        <f>IFERROR(VLOOKUP(B1247,infoTable__13[],4,FALSE),"")</f>
        <v/>
      </c>
      <c r="N1247" s="4" t="str">
        <f>IFERROR(VLOOKUP(B1247,infoTable__14[],4,FALSE),"")</f>
        <v/>
      </c>
      <c r="O1247" s="4" t="str">
        <f>IFERROR(VLOOKUP(B1247,infoTable__15[],4,FALSE),"")</f>
        <v/>
      </c>
      <c r="P1247" s="4" t="str">
        <f>IFERROR(VLOOKUP(B1247,infoTable__16[],4,FALSE),"")</f>
        <v/>
      </c>
    </row>
    <row r="1248" spans="1:16" x14ac:dyDescent="0.55000000000000004">
      <c r="A1248" t="s">
        <v>3450</v>
      </c>
      <c r="B1248" t="s">
        <v>3451</v>
      </c>
      <c r="C1248" s="4" t="str">
        <f>IFERROR(VLOOKUP(B1248,infoTable10[],4,FALSE),"")</f>
        <v/>
      </c>
      <c r="D1248" s="4" t="str">
        <f>IFERROR(VLOOKUP(B1248,infoTable__2[],4,FALSE),"")</f>
        <v/>
      </c>
      <c r="E1248" s="4" t="str">
        <f>IFERROR(VLOOKUP(B1248,infoTable__3[],4,FALSE),"")</f>
        <v/>
      </c>
      <c r="F1248" s="4" t="str">
        <f>IFERROR(VLOOKUP(B1248,infoTable__4[],4,FALSE),"")</f>
        <v/>
      </c>
      <c r="G1248" s="4" t="str">
        <f>IFERROR(VLOOKUP(B1248,infoTable[],4,FALSE),"")</f>
        <v/>
      </c>
      <c r="H1248" s="4" t="str">
        <f>IFERROR(VLOOKUP(B1248,infoTable__6[],4,FALSE),"")</f>
        <v/>
      </c>
      <c r="I1248" s="4" t="str">
        <f>IFERROR(VLOOKUP(B1248,infoTable__28[],4,FALSE),"")</f>
        <v/>
      </c>
      <c r="J1248" s="4" t="str">
        <f>IFERROR(VLOOKUP(B1248,infoTable__10[],4,FALSE),"")</f>
        <v/>
      </c>
      <c r="K1248" s="4" t="str">
        <f>IFERROR(VLOOKUP(B1248,infoTable__11[],4,FALSE),"")</f>
        <v/>
      </c>
      <c r="L1248" s="4" t="str">
        <f>IFERROR(VLOOKUP(B1248,infoTable__12[],4,FALSE),"")</f>
        <v/>
      </c>
      <c r="M1248" s="4" t="str">
        <f>IFERROR(VLOOKUP(B1248,infoTable__13[],4,FALSE),"")</f>
        <v/>
      </c>
      <c r="N1248" s="4" t="str">
        <f>IFERROR(VLOOKUP(B1248,infoTable__14[],4,FALSE),"")</f>
        <v/>
      </c>
      <c r="O1248" s="4" t="str">
        <f>IFERROR(VLOOKUP(B1248,infoTable__15[],4,FALSE),"")</f>
        <v/>
      </c>
      <c r="P1248" s="4">
        <f>IFERROR(VLOOKUP(B1248,infoTable__16[],4,FALSE),"")</f>
        <v>1335003</v>
      </c>
    </row>
    <row r="1249" spans="1:16" x14ac:dyDescent="0.55000000000000004">
      <c r="A1249" t="s">
        <v>2535</v>
      </c>
      <c r="B1249" t="s">
        <v>2536</v>
      </c>
      <c r="C1249" s="4" t="str">
        <f>IFERROR(VLOOKUP(B1249,infoTable10[],4,FALSE),"")</f>
        <v/>
      </c>
      <c r="D1249" s="4" t="str">
        <f>IFERROR(VLOOKUP(B1249,infoTable__2[],4,FALSE),"")</f>
        <v/>
      </c>
      <c r="E1249" s="4" t="str">
        <f>IFERROR(VLOOKUP(B1249,infoTable__3[],4,FALSE),"")</f>
        <v/>
      </c>
      <c r="F1249" s="4" t="str">
        <f>IFERROR(VLOOKUP(B1249,infoTable__4[],4,FALSE),"")</f>
        <v/>
      </c>
      <c r="G1249" s="4" t="str">
        <f>IFERROR(VLOOKUP(B1249,infoTable[],4,FALSE),"")</f>
        <v/>
      </c>
      <c r="H1249" s="4" t="str">
        <f>IFERROR(VLOOKUP(B1249,infoTable__6[],4,FALSE),"")</f>
        <v/>
      </c>
      <c r="I1249" s="4" t="str">
        <f>IFERROR(VLOOKUP(B1249,infoTable__28[],4,FALSE),"")</f>
        <v/>
      </c>
      <c r="J1249" s="4" t="str">
        <f>IFERROR(VLOOKUP(B1249,infoTable__10[],4,FALSE),"")</f>
        <v/>
      </c>
      <c r="K1249" s="4" t="str">
        <f>IFERROR(VLOOKUP(B1249,infoTable__11[],4,FALSE),"")</f>
        <v/>
      </c>
      <c r="L1249" s="4" t="str">
        <f>IFERROR(VLOOKUP(B1249,infoTable__12[],4,FALSE),"")</f>
        <v/>
      </c>
      <c r="M1249" s="4">
        <f>IFERROR(VLOOKUP(B1249,infoTable__13[],4,FALSE),"")</f>
        <v>473564</v>
      </c>
      <c r="N1249" s="4" t="str">
        <f>IFERROR(VLOOKUP(B1249,infoTable__14[],4,FALSE),"")</f>
        <v/>
      </c>
      <c r="O1249" s="4" t="str">
        <f>IFERROR(VLOOKUP(B1249,infoTable__15[],4,FALSE),"")</f>
        <v/>
      </c>
      <c r="P1249" s="4" t="str">
        <f>IFERROR(VLOOKUP(B1249,infoTable__16[],4,FALSE),"")</f>
        <v/>
      </c>
    </row>
    <row r="1250" spans="1:16" x14ac:dyDescent="0.55000000000000004">
      <c r="A1250" t="s">
        <v>877</v>
      </c>
      <c r="B1250" t="s">
        <v>878</v>
      </c>
      <c r="C1250" s="4" t="str">
        <f>IFERROR(VLOOKUP(B1250,infoTable10[],4,FALSE),"")</f>
        <v/>
      </c>
      <c r="D1250" s="4" t="str">
        <f>IFERROR(VLOOKUP(B1250,infoTable__2[],4,FALSE),"")</f>
        <v/>
      </c>
      <c r="E1250" s="4" t="str">
        <f>IFERROR(VLOOKUP(B1250,infoTable__3[],4,FALSE),"")</f>
        <v/>
      </c>
      <c r="F1250" s="4">
        <f>IFERROR(VLOOKUP(B1250,infoTable__4[],4,FALSE),"")</f>
        <v>231220</v>
      </c>
      <c r="G1250" s="4" t="str">
        <f>IFERROR(VLOOKUP(B1250,infoTable[],4,FALSE),"")</f>
        <v/>
      </c>
      <c r="H1250" s="4" t="str">
        <f>IFERROR(VLOOKUP(B1250,infoTable__6[],4,FALSE),"")</f>
        <v/>
      </c>
      <c r="I1250" s="4" t="str">
        <f>IFERROR(VLOOKUP(B1250,infoTable__28[],4,FALSE),"")</f>
        <v/>
      </c>
      <c r="J1250" s="4" t="str">
        <f>IFERROR(VLOOKUP(B1250,infoTable__10[],4,FALSE),"")</f>
        <v/>
      </c>
      <c r="K1250" s="4" t="str">
        <f>IFERROR(VLOOKUP(B1250,infoTable__11[],4,FALSE),"")</f>
        <v/>
      </c>
      <c r="L1250" s="4" t="str">
        <f>IFERROR(VLOOKUP(B1250,infoTable__12[],4,FALSE),"")</f>
        <v/>
      </c>
      <c r="M1250" s="4" t="str">
        <f>IFERROR(VLOOKUP(B1250,infoTable__13[],4,FALSE),"")</f>
        <v/>
      </c>
      <c r="N1250" s="4" t="str">
        <f>IFERROR(VLOOKUP(B1250,infoTable__14[],4,FALSE),"")</f>
        <v/>
      </c>
      <c r="O1250" s="4" t="str">
        <f>IFERROR(VLOOKUP(B1250,infoTable__15[],4,FALSE),"")</f>
        <v/>
      </c>
      <c r="P1250" s="4" t="str">
        <f>IFERROR(VLOOKUP(B1250,infoTable__16[],4,FALSE),"")</f>
        <v/>
      </c>
    </row>
    <row r="1251" spans="1:16" x14ac:dyDescent="0.55000000000000004">
      <c r="A1251" t="s">
        <v>644</v>
      </c>
      <c r="B1251" t="s">
        <v>645</v>
      </c>
      <c r="C1251" s="4">
        <f>IFERROR(VLOOKUP(B1251,infoTable10[],4,FALSE),"")</f>
        <v>187229</v>
      </c>
      <c r="D1251" s="4">
        <f>IFERROR(VLOOKUP(B1251,infoTable__2[],4,FALSE),"")</f>
        <v>743633</v>
      </c>
      <c r="E1251" s="4" t="str">
        <f>IFERROR(VLOOKUP(B1251,infoTable__3[],4,FALSE),"")</f>
        <v/>
      </c>
      <c r="F1251" s="4" t="str">
        <f>IFERROR(VLOOKUP(B1251,infoTable__4[],4,FALSE),"")</f>
        <v/>
      </c>
      <c r="G1251" s="4" t="str">
        <f>IFERROR(VLOOKUP(B1251,infoTable[],4,FALSE),"")</f>
        <v/>
      </c>
      <c r="H1251" s="4" t="str">
        <f>IFERROR(VLOOKUP(B1251,infoTable__6[],4,FALSE),"")</f>
        <v/>
      </c>
      <c r="I1251" s="4" t="str">
        <f>IFERROR(VLOOKUP(B1251,infoTable__28[],4,FALSE),"")</f>
        <v/>
      </c>
      <c r="J1251" s="4" t="str">
        <f>IFERROR(VLOOKUP(B1251,infoTable__10[],4,FALSE),"")</f>
        <v/>
      </c>
      <c r="K1251" s="4" t="str">
        <f>IFERROR(VLOOKUP(B1251,infoTable__11[],4,FALSE),"")</f>
        <v/>
      </c>
      <c r="L1251" s="4" t="str">
        <f>IFERROR(VLOOKUP(B1251,infoTable__12[],4,FALSE),"")</f>
        <v/>
      </c>
      <c r="M1251" s="4" t="str">
        <f>IFERROR(VLOOKUP(B1251,infoTable__13[],4,FALSE),"")</f>
        <v/>
      </c>
      <c r="N1251" s="4" t="str">
        <f>IFERROR(VLOOKUP(B1251,infoTable__14[],4,FALSE),"")</f>
        <v/>
      </c>
      <c r="O1251" s="4">
        <f>IFERROR(VLOOKUP(B1251,infoTable__15[],4,FALSE),"")</f>
        <v>422909</v>
      </c>
      <c r="P1251" s="4" t="str">
        <f>IFERROR(VLOOKUP(B1251,infoTable__16[],4,FALSE),"")</f>
        <v/>
      </c>
    </row>
    <row r="1252" spans="1:16" x14ac:dyDescent="0.55000000000000004">
      <c r="A1252" t="s">
        <v>3115</v>
      </c>
      <c r="B1252" t="s">
        <v>3116</v>
      </c>
      <c r="C1252" s="4" t="str">
        <f>IFERROR(VLOOKUP(B1252,infoTable10[],4,FALSE),"")</f>
        <v/>
      </c>
      <c r="D1252" s="4" t="str">
        <f>IFERROR(VLOOKUP(B1252,infoTable__2[],4,FALSE),"")</f>
        <v/>
      </c>
      <c r="E1252" s="4" t="str">
        <f>IFERROR(VLOOKUP(B1252,infoTable__3[],4,FALSE),"")</f>
        <v/>
      </c>
      <c r="F1252" s="4" t="str">
        <f>IFERROR(VLOOKUP(B1252,infoTable__4[],4,FALSE),"")</f>
        <v/>
      </c>
      <c r="G1252" s="4" t="str">
        <f>IFERROR(VLOOKUP(B1252,infoTable[],4,FALSE),"")</f>
        <v/>
      </c>
      <c r="H1252" s="4" t="str">
        <f>IFERROR(VLOOKUP(B1252,infoTable__6[],4,FALSE),"")</f>
        <v/>
      </c>
      <c r="I1252" s="4" t="str">
        <f>IFERROR(VLOOKUP(B1252,infoTable__28[],4,FALSE),"")</f>
        <v/>
      </c>
      <c r="J1252" s="4" t="str">
        <f>IFERROR(VLOOKUP(B1252,infoTable__10[],4,FALSE),"")</f>
        <v/>
      </c>
      <c r="K1252" s="4" t="str">
        <f>IFERROR(VLOOKUP(B1252,infoTable__11[],4,FALSE),"")</f>
        <v/>
      </c>
      <c r="L1252" s="4" t="str">
        <f>IFERROR(VLOOKUP(B1252,infoTable__12[],4,FALSE),"")</f>
        <v/>
      </c>
      <c r="M1252" s="4" t="str">
        <f>IFERROR(VLOOKUP(B1252,infoTable__13[],4,FALSE),"")</f>
        <v/>
      </c>
      <c r="N1252" s="4" t="str">
        <f>IFERROR(VLOOKUP(B1252,infoTable__14[],4,FALSE),"")</f>
        <v/>
      </c>
      <c r="O1252" s="4">
        <f>IFERROR(VLOOKUP(B1252,infoTable__15[],4,FALSE),"")</f>
        <v>283467</v>
      </c>
      <c r="P1252" s="4">
        <f>IFERROR(VLOOKUP(B1252,infoTable__16[],4,FALSE),"")</f>
        <v>3008525</v>
      </c>
    </row>
    <row r="1253" spans="1:16" x14ac:dyDescent="0.55000000000000004">
      <c r="A1253" t="s">
        <v>1361</v>
      </c>
      <c r="B1253" t="s">
        <v>1362</v>
      </c>
      <c r="C1253" s="4" t="str">
        <f>IFERROR(VLOOKUP(B1253,infoTable10[],4,FALSE),"")</f>
        <v/>
      </c>
      <c r="D1253" s="4" t="str">
        <f>IFERROR(VLOOKUP(B1253,infoTable__2[],4,FALSE),"")</f>
        <v/>
      </c>
      <c r="E1253" s="4" t="str">
        <f>IFERROR(VLOOKUP(B1253,infoTable__3[],4,FALSE),"")</f>
        <v/>
      </c>
      <c r="F1253" s="4" t="str">
        <f>IFERROR(VLOOKUP(B1253,infoTable__4[],4,FALSE),"")</f>
        <v/>
      </c>
      <c r="G1253" s="4" t="str">
        <f>IFERROR(VLOOKUP(B1253,infoTable[],4,FALSE),"")</f>
        <v/>
      </c>
      <c r="H1253" s="4" t="str">
        <f>IFERROR(VLOOKUP(B1253,infoTable__6[],4,FALSE),"")</f>
        <v/>
      </c>
      <c r="I1253" s="4">
        <f>IFERROR(VLOOKUP(B1253,infoTable__28[],4,FALSE),"")</f>
        <v>1072384</v>
      </c>
      <c r="J1253" s="4" t="str">
        <f>IFERROR(VLOOKUP(B1253,infoTable__10[],4,FALSE),"")</f>
        <v/>
      </c>
      <c r="K1253" s="4" t="str">
        <f>IFERROR(VLOOKUP(B1253,infoTable__11[],4,FALSE),"")</f>
        <v/>
      </c>
      <c r="L1253" s="4" t="str">
        <f>IFERROR(VLOOKUP(B1253,infoTable__12[],4,FALSE),"")</f>
        <v/>
      </c>
      <c r="M1253" s="4" t="str">
        <f>IFERROR(VLOOKUP(B1253,infoTable__13[],4,FALSE),"")</f>
        <v/>
      </c>
      <c r="N1253" s="4">
        <f>IFERROR(VLOOKUP(B1253,infoTable__14[],4,FALSE),"")</f>
        <v>1671294</v>
      </c>
      <c r="O1253" s="4">
        <f>IFERROR(VLOOKUP(B1253,infoTable__15[],4,FALSE),"")</f>
        <v>629692</v>
      </c>
      <c r="P1253" s="4" t="str">
        <f>IFERROR(VLOOKUP(B1253,infoTable__16[],4,FALSE),"")</f>
        <v/>
      </c>
    </row>
    <row r="1254" spans="1:16" x14ac:dyDescent="0.55000000000000004">
      <c r="A1254" t="s">
        <v>1363</v>
      </c>
      <c r="B1254" t="s">
        <v>1364</v>
      </c>
      <c r="C1254" s="4" t="str">
        <f>IFERROR(VLOOKUP(B1254,infoTable10[],4,FALSE),"")</f>
        <v/>
      </c>
      <c r="D1254" s="4" t="str">
        <f>IFERROR(VLOOKUP(B1254,infoTable__2[],4,FALSE),"")</f>
        <v/>
      </c>
      <c r="E1254" s="4" t="str">
        <f>IFERROR(VLOOKUP(B1254,infoTable__3[],4,FALSE),"")</f>
        <v/>
      </c>
      <c r="F1254" s="4" t="str">
        <f>IFERROR(VLOOKUP(B1254,infoTable__4[],4,FALSE),"")</f>
        <v/>
      </c>
      <c r="G1254" s="4" t="str">
        <f>IFERROR(VLOOKUP(B1254,infoTable[],4,FALSE),"")</f>
        <v/>
      </c>
      <c r="H1254" s="4" t="str">
        <f>IFERROR(VLOOKUP(B1254,infoTable__6[],4,FALSE),"")</f>
        <v/>
      </c>
      <c r="I1254" s="4">
        <f>IFERROR(VLOOKUP(B1254,infoTable__28[],4,FALSE),"")</f>
        <v>753326</v>
      </c>
      <c r="J1254" s="4">
        <f>IFERROR(VLOOKUP(B1254,infoTable__10[],4,FALSE),"")</f>
        <v>630727</v>
      </c>
      <c r="K1254" s="4" t="str">
        <f>IFERROR(VLOOKUP(B1254,infoTable__11[],4,FALSE),"")</f>
        <v/>
      </c>
      <c r="L1254" s="4" t="str">
        <f>IFERROR(VLOOKUP(B1254,infoTable__12[],4,FALSE),"")</f>
        <v/>
      </c>
      <c r="M1254" s="4" t="str">
        <f>IFERROR(VLOOKUP(B1254,infoTable__13[],4,FALSE),"")</f>
        <v/>
      </c>
      <c r="N1254" s="4" t="str">
        <f>IFERROR(VLOOKUP(B1254,infoTable__14[],4,FALSE),"")</f>
        <v/>
      </c>
      <c r="O1254" s="4" t="str">
        <f>IFERROR(VLOOKUP(B1254,infoTable__15[],4,FALSE),"")</f>
        <v/>
      </c>
      <c r="P1254" s="4" t="str">
        <f>IFERROR(VLOOKUP(B1254,infoTable__16[],4,FALSE),"")</f>
        <v/>
      </c>
    </row>
    <row r="1255" spans="1:16" x14ac:dyDescent="0.55000000000000004">
      <c r="A1255" t="s">
        <v>646</v>
      </c>
      <c r="B1255" t="s">
        <v>647</v>
      </c>
      <c r="C1255" s="4" t="str">
        <f>IFERROR(VLOOKUP(B1255,infoTable10[],4,FALSE),"")</f>
        <v/>
      </c>
      <c r="D1255" s="4">
        <f>IFERROR(VLOOKUP(B1255,infoTable__2[],4,FALSE),"")</f>
        <v>1833383</v>
      </c>
      <c r="E1255" s="4" t="str">
        <f>IFERROR(VLOOKUP(B1255,infoTable__3[],4,FALSE),"")</f>
        <v/>
      </c>
      <c r="F1255" s="4" t="str">
        <f>IFERROR(VLOOKUP(B1255,infoTable__4[],4,FALSE),"")</f>
        <v/>
      </c>
      <c r="G1255" s="4" t="str">
        <f>IFERROR(VLOOKUP(B1255,infoTable[],4,FALSE),"")</f>
        <v/>
      </c>
      <c r="H1255" s="4" t="str">
        <f>IFERROR(VLOOKUP(B1255,infoTable__6[],4,FALSE),"")</f>
        <v/>
      </c>
      <c r="I1255" s="4" t="str">
        <f>IFERROR(VLOOKUP(B1255,infoTable__28[],4,FALSE),"")</f>
        <v/>
      </c>
      <c r="J1255" s="4" t="str">
        <f>IFERROR(VLOOKUP(B1255,infoTable__10[],4,FALSE),"")</f>
        <v/>
      </c>
      <c r="K1255" s="4" t="str">
        <f>IFERROR(VLOOKUP(B1255,infoTable__11[],4,FALSE),"")</f>
        <v/>
      </c>
      <c r="L1255" s="4" t="str">
        <f>IFERROR(VLOOKUP(B1255,infoTable__12[],4,FALSE),"")</f>
        <v/>
      </c>
      <c r="M1255" s="4" t="str">
        <f>IFERROR(VLOOKUP(B1255,infoTable__13[],4,FALSE),"")</f>
        <v/>
      </c>
      <c r="N1255" s="4" t="str">
        <f>IFERROR(VLOOKUP(B1255,infoTable__14[],4,FALSE),"")</f>
        <v/>
      </c>
      <c r="O1255" s="4" t="str">
        <f>IFERROR(VLOOKUP(B1255,infoTable__15[],4,FALSE),"")</f>
        <v/>
      </c>
      <c r="P1255" s="4" t="str">
        <f>IFERROR(VLOOKUP(B1255,infoTable__16[],4,FALSE),"")</f>
        <v/>
      </c>
    </row>
    <row r="1256" spans="1:16" x14ac:dyDescent="0.55000000000000004">
      <c r="A1256" t="s">
        <v>2869</v>
      </c>
      <c r="B1256" t="s">
        <v>2868</v>
      </c>
      <c r="C1256" s="4" t="str">
        <f>IFERROR(VLOOKUP(B1256,infoTable10[],4,FALSE),"")</f>
        <v/>
      </c>
      <c r="D1256" s="4" t="str">
        <f>IFERROR(VLOOKUP(B1256,infoTable__2[],4,FALSE),"")</f>
        <v/>
      </c>
      <c r="E1256" s="4" t="str">
        <f>IFERROR(VLOOKUP(B1256,infoTable__3[],4,FALSE),"")</f>
        <v/>
      </c>
      <c r="F1256" s="4" t="str">
        <f>IFERROR(VLOOKUP(B1256,infoTable__4[],4,FALSE),"")</f>
        <v/>
      </c>
      <c r="G1256" s="4" t="str">
        <f>IFERROR(VLOOKUP(B1256,infoTable[],4,FALSE),"")</f>
        <v/>
      </c>
      <c r="H1256" s="4" t="str">
        <f>IFERROR(VLOOKUP(B1256,infoTable__6[],4,FALSE),"")</f>
        <v/>
      </c>
      <c r="I1256" s="4" t="str">
        <f>IFERROR(VLOOKUP(B1256,infoTable__28[],4,FALSE),"")</f>
        <v/>
      </c>
      <c r="J1256" s="4" t="str">
        <f>IFERROR(VLOOKUP(B1256,infoTable__10[],4,FALSE),"")</f>
        <v/>
      </c>
      <c r="K1256" s="4" t="str">
        <f>IFERROR(VLOOKUP(B1256,infoTable__11[],4,FALSE),"")</f>
        <v/>
      </c>
      <c r="L1256" s="4" t="str">
        <f>IFERROR(VLOOKUP(B1256,infoTable__12[],4,FALSE),"")</f>
        <v/>
      </c>
      <c r="M1256" s="4" t="str">
        <f>IFERROR(VLOOKUP(B1256,infoTable__13[],4,FALSE),"")</f>
        <v/>
      </c>
      <c r="N1256" s="4">
        <f>IFERROR(VLOOKUP(B1256,infoTable__14[],4,FALSE),"")</f>
        <v>552967</v>
      </c>
      <c r="O1256" s="4" t="str">
        <f>IFERROR(VLOOKUP(B1256,infoTable__15[],4,FALSE),"")</f>
        <v/>
      </c>
      <c r="P1256" s="4" t="str">
        <f>IFERROR(VLOOKUP(B1256,infoTable__16[],4,FALSE),"")</f>
        <v/>
      </c>
    </row>
    <row r="1257" spans="1:16" x14ac:dyDescent="0.55000000000000004">
      <c r="A1257" t="s">
        <v>648</v>
      </c>
      <c r="B1257" t="s">
        <v>649</v>
      </c>
      <c r="C1257" s="4" t="str">
        <f>IFERROR(VLOOKUP(B1257,infoTable10[],4,FALSE),"")</f>
        <v/>
      </c>
      <c r="D1257" s="4">
        <f>IFERROR(VLOOKUP(B1257,infoTable__2[],4,FALSE),"")</f>
        <v>2269692</v>
      </c>
      <c r="E1257" s="4" t="str">
        <f>IFERROR(VLOOKUP(B1257,infoTable__3[],4,FALSE),"")</f>
        <v/>
      </c>
      <c r="F1257" s="4" t="str">
        <f>IFERROR(VLOOKUP(B1257,infoTable__4[],4,FALSE),"")</f>
        <v/>
      </c>
      <c r="G1257" s="4" t="str">
        <f>IFERROR(VLOOKUP(B1257,infoTable[],4,FALSE),"")</f>
        <v/>
      </c>
      <c r="H1257" s="4" t="str">
        <f>IFERROR(VLOOKUP(B1257,infoTable__6[],4,FALSE),"")</f>
        <v/>
      </c>
      <c r="I1257" s="4" t="str">
        <f>IFERROR(VLOOKUP(B1257,infoTable__28[],4,FALSE),"")</f>
        <v/>
      </c>
      <c r="J1257" s="4" t="str">
        <f>IFERROR(VLOOKUP(B1257,infoTable__10[],4,FALSE),"")</f>
        <v/>
      </c>
      <c r="K1257" s="4" t="str">
        <f>IFERROR(VLOOKUP(B1257,infoTable__11[],4,FALSE),"")</f>
        <v/>
      </c>
      <c r="L1257" s="4" t="str">
        <f>IFERROR(VLOOKUP(B1257,infoTable__12[],4,FALSE),"")</f>
        <v/>
      </c>
      <c r="M1257" s="4" t="str">
        <f>IFERROR(VLOOKUP(B1257,infoTable__13[],4,FALSE),"")</f>
        <v/>
      </c>
      <c r="N1257" s="4" t="str">
        <f>IFERROR(VLOOKUP(B1257,infoTable__14[],4,FALSE),"")</f>
        <v/>
      </c>
      <c r="O1257" s="4" t="str">
        <f>IFERROR(VLOOKUP(B1257,infoTable__15[],4,FALSE),"")</f>
        <v/>
      </c>
      <c r="P1257" s="4" t="str">
        <f>IFERROR(VLOOKUP(B1257,infoTable__16[],4,FALSE),"")</f>
        <v/>
      </c>
    </row>
    <row r="1258" spans="1:16" x14ac:dyDescent="0.55000000000000004">
      <c r="A1258" t="s">
        <v>2537</v>
      </c>
      <c r="B1258" t="s">
        <v>2538</v>
      </c>
      <c r="C1258" s="4" t="str">
        <f>IFERROR(VLOOKUP(B1258,infoTable10[],4,FALSE),"")</f>
        <v/>
      </c>
      <c r="D1258" s="4" t="str">
        <f>IFERROR(VLOOKUP(B1258,infoTable__2[],4,FALSE),"")</f>
        <v/>
      </c>
      <c r="E1258" s="4" t="str">
        <f>IFERROR(VLOOKUP(B1258,infoTable__3[],4,FALSE),"")</f>
        <v/>
      </c>
      <c r="F1258" s="4" t="str">
        <f>IFERROR(VLOOKUP(B1258,infoTable__4[],4,FALSE),"")</f>
        <v/>
      </c>
      <c r="G1258" s="4" t="str">
        <f>IFERROR(VLOOKUP(B1258,infoTable[],4,FALSE),"")</f>
        <v/>
      </c>
      <c r="H1258" s="4" t="str">
        <f>IFERROR(VLOOKUP(B1258,infoTable__6[],4,FALSE),"")</f>
        <v/>
      </c>
      <c r="I1258" s="4" t="str">
        <f>IFERROR(VLOOKUP(B1258,infoTable__28[],4,FALSE),"")</f>
        <v/>
      </c>
      <c r="J1258" s="4" t="str">
        <f>IFERROR(VLOOKUP(B1258,infoTable__10[],4,FALSE),"")</f>
        <v/>
      </c>
      <c r="K1258" s="4" t="str">
        <f>IFERROR(VLOOKUP(B1258,infoTable__11[],4,FALSE),"")</f>
        <v/>
      </c>
      <c r="L1258" s="4" t="str">
        <f>IFERROR(VLOOKUP(B1258,infoTable__12[],4,FALSE),"")</f>
        <v/>
      </c>
      <c r="M1258" s="4">
        <f>IFERROR(VLOOKUP(B1258,infoTable__13[],4,FALSE),"")</f>
        <v>358996</v>
      </c>
      <c r="N1258" s="4">
        <f>IFERROR(VLOOKUP(B1258,infoTable__14[],4,FALSE),"")</f>
        <v>510637</v>
      </c>
      <c r="O1258" s="4">
        <f>IFERROR(VLOOKUP(B1258,infoTable__15[],4,FALSE),"")</f>
        <v>334020</v>
      </c>
      <c r="P1258" s="4">
        <f>IFERROR(VLOOKUP(B1258,infoTable__16[],4,FALSE),"")</f>
        <v>218494</v>
      </c>
    </row>
    <row r="1259" spans="1:16" x14ac:dyDescent="0.55000000000000004">
      <c r="A1259" t="s">
        <v>2539</v>
      </c>
      <c r="B1259" t="s">
        <v>2540</v>
      </c>
      <c r="C1259" s="4" t="str">
        <f>IFERROR(VLOOKUP(B1259,infoTable10[],4,FALSE),"")</f>
        <v/>
      </c>
      <c r="D1259" s="4" t="str">
        <f>IFERROR(VLOOKUP(B1259,infoTable__2[],4,FALSE),"")</f>
        <v/>
      </c>
      <c r="E1259" s="4" t="str">
        <f>IFERROR(VLOOKUP(B1259,infoTable__3[],4,FALSE),"")</f>
        <v/>
      </c>
      <c r="F1259" s="4" t="str">
        <f>IFERROR(VLOOKUP(B1259,infoTable__4[],4,FALSE),"")</f>
        <v/>
      </c>
      <c r="G1259" s="4" t="str">
        <f>IFERROR(VLOOKUP(B1259,infoTable[],4,FALSE),"")</f>
        <v/>
      </c>
      <c r="H1259" s="4" t="str">
        <f>IFERROR(VLOOKUP(B1259,infoTable__6[],4,FALSE),"")</f>
        <v/>
      </c>
      <c r="I1259" s="4" t="str">
        <f>IFERROR(VLOOKUP(B1259,infoTable__28[],4,FALSE),"")</f>
        <v/>
      </c>
      <c r="J1259" s="4" t="str">
        <f>IFERROR(VLOOKUP(B1259,infoTable__10[],4,FALSE),"")</f>
        <v/>
      </c>
      <c r="K1259" s="4" t="str">
        <f>IFERROR(VLOOKUP(B1259,infoTable__11[],4,FALSE),"")</f>
        <v/>
      </c>
      <c r="L1259" s="4" t="str">
        <f>IFERROR(VLOOKUP(B1259,infoTable__12[],4,FALSE),"")</f>
        <v/>
      </c>
      <c r="M1259" s="4">
        <f>IFERROR(VLOOKUP(B1259,infoTable__13[],4,FALSE),"")</f>
        <v>237938</v>
      </c>
      <c r="N1259" s="4" t="str">
        <f>IFERROR(VLOOKUP(B1259,infoTable__14[],4,FALSE),"")</f>
        <v/>
      </c>
      <c r="O1259" s="4" t="str">
        <f>IFERROR(VLOOKUP(B1259,infoTable__15[],4,FALSE),"")</f>
        <v/>
      </c>
      <c r="P1259" s="4" t="str">
        <f>IFERROR(VLOOKUP(B1259,infoTable__16[],4,FALSE),"")</f>
        <v/>
      </c>
    </row>
    <row r="1260" spans="1:16" x14ac:dyDescent="0.55000000000000004">
      <c r="A1260" t="s">
        <v>1068</v>
      </c>
      <c r="B1260" t="s">
        <v>1069</v>
      </c>
      <c r="C1260" s="4" t="str">
        <f>IFERROR(VLOOKUP(B1260,infoTable10[],4,FALSE),"")</f>
        <v/>
      </c>
      <c r="D1260" s="4" t="str">
        <f>IFERROR(VLOOKUP(B1260,infoTable__2[],4,FALSE),"")</f>
        <v/>
      </c>
      <c r="E1260" s="4" t="str">
        <f>IFERROR(VLOOKUP(B1260,infoTable__3[],4,FALSE),"")</f>
        <v/>
      </c>
      <c r="F1260" s="4" t="str">
        <f>IFERROR(VLOOKUP(B1260,infoTable__4[],4,FALSE),"")</f>
        <v/>
      </c>
      <c r="G1260" s="4" t="str">
        <f>IFERROR(VLOOKUP(B1260,infoTable[],4,FALSE),"")</f>
        <v/>
      </c>
      <c r="H1260" s="4">
        <f>IFERROR(VLOOKUP(B1260,infoTable__6[],4,FALSE),"")</f>
        <v>552310</v>
      </c>
      <c r="I1260" s="4" t="str">
        <f>IFERROR(VLOOKUP(B1260,infoTable__28[],4,FALSE),"")</f>
        <v/>
      </c>
      <c r="J1260" s="4" t="str">
        <f>IFERROR(VLOOKUP(B1260,infoTable__10[],4,FALSE),"")</f>
        <v/>
      </c>
      <c r="K1260" s="4" t="str">
        <f>IFERROR(VLOOKUP(B1260,infoTable__11[],4,FALSE),"")</f>
        <v/>
      </c>
      <c r="L1260" s="4" t="str">
        <f>IFERROR(VLOOKUP(B1260,infoTable__12[],4,FALSE),"")</f>
        <v/>
      </c>
      <c r="M1260" s="4" t="str">
        <f>IFERROR(VLOOKUP(B1260,infoTable__13[],4,FALSE),"")</f>
        <v/>
      </c>
      <c r="N1260" s="4" t="str">
        <f>IFERROR(VLOOKUP(B1260,infoTable__14[],4,FALSE),"")</f>
        <v/>
      </c>
      <c r="O1260" s="4" t="str">
        <f>IFERROR(VLOOKUP(B1260,infoTable__15[],4,FALSE),"")</f>
        <v/>
      </c>
      <c r="P1260" s="4" t="str">
        <f>IFERROR(VLOOKUP(B1260,infoTable__16[],4,FALSE),"")</f>
        <v/>
      </c>
    </row>
    <row r="1261" spans="1:16" x14ac:dyDescent="0.55000000000000004">
      <c r="A1261" t="s">
        <v>318</v>
      </c>
      <c r="B1261" t="s">
        <v>319</v>
      </c>
      <c r="C1261" s="4" t="str">
        <f>IFERROR(VLOOKUP(B1261,infoTable10[],4,FALSE),"")</f>
        <v/>
      </c>
      <c r="D1261" s="4" t="str">
        <f>IFERROR(VLOOKUP(B1261,infoTable__2[],4,FALSE),"")</f>
        <v/>
      </c>
      <c r="E1261" s="4" t="str">
        <f>IFERROR(VLOOKUP(B1261,infoTable__3[],4,FALSE),"")</f>
        <v/>
      </c>
      <c r="F1261" s="4" t="str">
        <f>IFERROR(VLOOKUP(B1261,infoTable__4[],4,FALSE),"")</f>
        <v/>
      </c>
      <c r="G1261" s="4">
        <f>IFERROR(VLOOKUP(B1261,infoTable[],4,FALSE),"")</f>
        <v>172011</v>
      </c>
      <c r="H1261" s="4">
        <f>IFERROR(VLOOKUP(B1261,infoTable__6[],4,FALSE),"")</f>
        <v>268943</v>
      </c>
      <c r="I1261" s="4" t="str">
        <f>IFERROR(VLOOKUP(B1261,infoTable__28[],4,FALSE),"")</f>
        <v/>
      </c>
      <c r="J1261" s="4" t="str">
        <f>IFERROR(VLOOKUP(B1261,infoTable__10[],4,FALSE),"")</f>
        <v/>
      </c>
      <c r="K1261" s="4">
        <f>IFERROR(VLOOKUP(B1261,infoTable__11[],4,FALSE),"")</f>
        <v>184820</v>
      </c>
      <c r="L1261" s="4" t="str">
        <f>IFERROR(VLOOKUP(B1261,infoTable__12[],4,FALSE),"")</f>
        <v/>
      </c>
      <c r="M1261" s="4" t="str">
        <f>IFERROR(VLOOKUP(B1261,infoTable__13[],4,FALSE),"")</f>
        <v/>
      </c>
      <c r="N1261" s="4" t="str">
        <f>IFERROR(VLOOKUP(B1261,infoTable__14[],4,FALSE),"")</f>
        <v/>
      </c>
      <c r="O1261" s="4" t="str">
        <f>IFERROR(VLOOKUP(B1261,infoTable__15[],4,FALSE),"")</f>
        <v/>
      </c>
      <c r="P1261" s="4" t="str">
        <f>IFERROR(VLOOKUP(B1261,infoTable__16[],4,FALSE),"")</f>
        <v/>
      </c>
    </row>
    <row r="1262" spans="1:16" x14ac:dyDescent="0.55000000000000004">
      <c r="A1262" t="s">
        <v>764</v>
      </c>
      <c r="B1262" t="s">
        <v>765</v>
      </c>
      <c r="C1262" s="4" t="str">
        <f>IFERROR(VLOOKUP(B1262,infoTable10[],4,FALSE),"")</f>
        <v/>
      </c>
      <c r="D1262" s="4" t="str">
        <f>IFERROR(VLOOKUP(B1262,infoTable__2[],4,FALSE),"")</f>
        <v/>
      </c>
      <c r="E1262" s="4">
        <f>IFERROR(VLOOKUP(B1262,infoTable__3[],4,FALSE),"")</f>
        <v>952601</v>
      </c>
      <c r="F1262" s="4" t="str">
        <f>IFERROR(VLOOKUP(B1262,infoTable__4[],4,FALSE),"")</f>
        <v/>
      </c>
      <c r="G1262" s="4" t="str">
        <f>IFERROR(VLOOKUP(B1262,infoTable[],4,FALSE),"")</f>
        <v/>
      </c>
      <c r="H1262" s="4" t="str">
        <f>IFERROR(VLOOKUP(B1262,infoTable__6[],4,FALSE),"")</f>
        <v/>
      </c>
      <c r="I1262" s="4" t="str">
        <f>IFERROR(VLOOKUP(B1262,infoTable__28[],4,FALSE),"")</f>
        <v/>
      </c>
      <c r="J1262" s="4" t="str">
        <f>IFERROR(VLOOKUP(B1262,infoTable__10[],4,FALSE),"")</f>
        <v/>
      </c>
      <c r="K1262" s="4" t="str">
        <f>IFERROR(VLOOKUP(B1262,infoTable__11[],4,FALSE),"")</f>
        <v/>
      </c>
      <c r="L1262" s="4" t="str">
        <f>IFERROR(VLOOKUP(B1262,infoTable__12[],4,FALSE),"")</f>
        <v/>
      </c>
      <c r="M1262" s="4" t="str">
        <f>IFERROR(VLOOKUP(B1262,infoTable__13[],4,FALSE),"")</f>
        <v/>
      </c>
      <c r="N1262" s="4" t="str">
        <f>IFERROR(VLOOKUP(B1262,infoTable__14[],4,FALSE),"")</f>
        <v/>
      </c>
      <c r="O1262" s="4" t="str">
        <f>IFERROR(VLOOKUP(B1262,infoTable__15[],4,FALSE),"")</f>
        <v/>
      </c>
      <c r="P1262" s="4" t="str">
        <f>IFERROR(VLOOKUP(B1262,infoTable__16[],4,FALSE),"")</f>
        <v/>
      </c>
    </row>
    <row r="1263" spans="1:16" x14ac:dyDescent="0.55000000000000004">
      <c r="A1263" t="s">
        <v>1066</v>
      </c>
      <c r="B1263" t="s">
        <v>1067</v>
      </c>
      <c r="C1263" s="4" t="str">
        <f>IFERROR(VLOOKUP(B1263,infoTable10[],4,FALSE),"")</f>
        <v/>
      </c>
      <c r="D1263" s="4" t="str">
        <f>IFERROR(VLOOKUP(B1263,infoTable__2[],4,FALSE),"")</f>
        <v/>
      </c>
      <c r="E1263" s="4" t="str">
        <f>IFERROR(VLOOKUP(B1263,infoTable__3[],4,FALSE),"")</f>
        <v/>
      </c>
      <c r="F1263" s="4" t="str">
        <f>IFERROR(VLOOKUP(B1263,infoTable__4[],4,FALSE),"")</f>
        <v/>
      </c>
      <c r="G1263" s="4" t="str">
        <f>IFERROR(VLOOKUP(B1263,infoTable[],4,FALSE),"")</f>
        <v/>
      </c>
      <c r="H1263" s="4">
        <f>IFERROR(VLOOKUP(B1263,infoTable__6[],4,FALSE),"")</f>
        <v>63088</v>
      </c>
      <c r="I1263" s="4" t="str">
        <f>IFERROR(VLOOKUP(B1263,infoTable__28[],4,FALSE),"")</f>
        <v/>
      </c>
      <c r="J1263" s="4">
        <f>IFERROR(VLOOKUP(B1263,infoTable__10[],4,FALSE),"")</f>
        <v>108254</v>
      </c>
      <c r="K1263" s="4">
        <f>IFERROR(VLOOKUP(B1263,infoTable__11[],4,FALSE),"")</f>
        <v>298525</v>
      </c>
      <c r="L1263" s="4">
        <f>IFERROR(VLOOKUP(B1263,infoTable__12[],4,FALSE),"")</f>
        <v>216504</v>
      </c>
      <c r="M1263" s="4" t="str">
        <f>IFERROR(VLOOKUP(B1263,infoTable__13[],4,FALSE),"")</f>
        <v/>
      </c>
      <c r="N1263" s="4" t="str">
        <f>IFERROR(VLOOKUP(B1263,infoTable__14[],4,FALSE),"")</f>
        <v/>
      </c>
      <c r="O1263" s="4" t="str">
        <f>IFERROR(VLOOKUP(B1263,infoTable__15[],4,FALSE),"")</f>
        <v/>
      </c>
      <c r="P1263" s="4" t="str">
        <f>IFERROR(VLOOKUP(B1263,infoTable__16[],4,FALSE),"")</f>
        <v/>
      </c>
    </row>
    <row r="1264" spans="1:16" x14ac:dyDescent="0.55000000000000004">
      <c r="A1264" t="s">
        <v>1963</v>
      </c>
      <c r="B1264" t="s">
        <v>1964</v>
      </c>
      <c r="C1264" s="4" t="str">
        <f>IFERROR(VLOOKUP(B1264,infoTable10[],4,FALSE),"")</f>
        <v/>
      </c>
      <c r="D1264" s="4" t="str">
        <f>IFERROR(VLOOKUP(B1264,infoTable__2[],4,FALSE),"")</f>
        <v/>
      </c>
      <c r="E1264" s="4" t="str">
        <f>IFERROR(VLOOKUP(B1264,infoTable__3[],4,FALSE),"")</f>
        <v/>
      </c>
      <c r="F1264" s="4" t="str">
        <f>IFERROR(VLOOKUP(B1264,infoTable__4[],4,FALSE),"")</f>
        <v/>
      </c>
      <c r="G1264" s="4" t="str">
        <f>IFERROR(VLOOKUP(B1264,infoTable[],4,FALSE),"")</f>
        <v/>
      </c>
      <c r="H1264" s="4" t="str">
        <f>IFERROR(VLOOKUP(B1264,infoTable__6[],4,FALSE),"")</f>
        <v/>
      </c>
      <c r="I1264" s="4" t="str">
        <f>IFERROR(VLOOKUP(B1264,infoTable__28[],4,FALSE),"")</f>
        <v/>
      </c>
      <c r="J1264" s="4" t="str">
        <f>IFERROR(VLOOKUP(B1264,infoTable__10[],4,FALSE),"")</f>
        <v/>
      </c>
      <c r="K1264" s="4">
        <f>IFERROR(VLOOKUP(B1264,infoTable__11[],4,FALSE),"")</f>
        <v>370966</v>
      </c>
      <c r="L1264" s="4">
        <f>IFERROR(VLOOKUP(B1264,infoTable__12[],4,FALSE),"")</f>
        <v>330817</v>
      </c>
      <c r="M1264" s="4">
        <f>IFERROR(VLOOKUP(B1264,infoTable__13[],4,FALSE),"")</f>
        <v>413182</v>
      </c>
      <c r="N1264" s="4">
        <f>IFERROR(VLOOKUP(B1264,infoTable__14[],4,FALSE),"")</f>
        <v>237623</v>
      </c>
      <c r="O1264" s="4" t="str">
        <f>IFERROR(VLOOKUP(B1264,infoTable__15[],4,FALSE),"")</f>
        <v/>
      </c>
      <c r="P1264" s="4">
        <f>IFERROR(VLOOKUP(B1264,infoTable__16[],4,FALSE),"")</f>
        <v>1987361</v>
      </c>
    </row>
    <row r="1265" spans="1:16" x14ac:dyDescent="0.55000000000000004">
      <c r="A1265" t="s">
        <v>2277</v>
      </c>
      <c r="B1265" t="s">
        <v>2278</v>
      </c>
      <c r="C1265" s="4" t="str">
        <f>IFERROR(VLOOKUP(B1265,infoTable10[],4,FALSE),"")</f>
        <v/>
      </c>
      <c r="D1265" s="4" t="str">
        <f>IFERROR(VLOOKUP(B1265,infoTable__2[],4,FALSE),"")</f>
        <v/>
      </c>
      <c r="E1265" s="4" t="str">
        <f>IFERROR(VLOOKUP(B1265,infoTable__3[],4,FALSE),"")</f>
        <v/>
      </c>
      <c r="F1265" s="4" t="str">
        <f>IFERROR(VLOOKUP(B1265,infoTable__4[],4,FALSE),"")</f>
        <v/>
      </c>
      <c r="G1265" s="4" t="str">
        <f>IFERROR(VLOOKUP(B1265,infoTable[],4,FALSE),"")</f>
        <v/>
      </c>
      <c r="H1265" s="4" t="str">
        <f>IFERROR(VLOOKUP(B1265,infoTable__6[],4,FALSE),"")</f>
        <v/>
      </c>
      <c r="I1265" s="4" t="str">
        <f>IFERROR(VLOOKUP(B1265,infoTable__28[],4,FALSE),"")</f>
        <v/>
      </c>
      <c r="J1265" s="4" t="str">
        <f>IFERROR(VLOOKUP(B1265,infoTable__10[],4,FALSE),"")</f>
        <v/>
      </c>
      <c r="K1265" s="4" t="str">
        <f>IFERROR(VLOOKUP(B1265,infoTable__11[],4,FALSE),"")</f>
        <v/>
      </c>
      <c r="L1265" s="4">
        <f>IFERROR(VLOOKUP(B1265,infoTable__12[],4,FALSE),"")</f>
        <v>121470</v>
      </c>
      <c r="M1265" s="4" t="str">
        <f>IFERROR(VLOOKUP(B1265,infoTable__13[],4,FALSE),"")</f>
        <v/>
      </c>
      <c r="N1265" s="4" t="str">
        <f>IFERROR(VLOOKUP(B1265,infoTable__14[],4,FALSE),"")</f>
        <v/>
      </c>
      <c r="O1265" s="4" t="str">
        <f>IFERROR(VLOOKUP(B1265,infoTable__15[],4,FALSE),"")</f>
        <v/>
      </c>
      <c r="P1265" s="4" t="str">
        <f>IFERROR(VLOOKUP(B1265,infoTable__16[],4,FALSE),"")</f>
        <v/>
      </c>
    </row>
    <row r="1266" spans="1:16" x14ac:dyDescent="0.55000000000000004">
      <c r="A1266" t="s">
        <v>2279</v>
      </c>
      <c r="B1266" t="s">
        <v>2280</v>
      </c>
      <c r="C1266" s="4" t="str">
        <f>IFERROR(VLOOKUP(B1266,infoTable10[],4,FALSE),"")</f>
        <v/>
      </c>
      <c r="D1266" s="4" t="str">
        <f>IFERROR(VLOOKUP(B1266,infoTable__2[],4,FALSE),"")</f>
        <v/>
      </c>
      <c r="E1266" s="4" t="str">
        <f>IFERROR(VLOOKUP(B1266,infoTable__3[],4,FALSE),"")</f>
        <v/>
      </c>
      <c r="F1266" s="4" t="str">
        <f>IFERROR(VLOOKUP(B1266,infoTable__4[],4,FALSE),"")</f>
        <v/>
      </c>
      <c r="G1266" s="4" t="str">
        <f>IFERROR(VLOOKUP(B1266,infoTable[],4,FALSE),"")</f>
        <v/>
      </c>
      <c r="H1266" s="4" t="str">
        <f>IFERROR(VLOOKUP(B1266,infoTable__6[],4,FALSE),"")</f>
        <v/>
      </c>
      <c r="I1266" s="4" t="str">
        <f>IFERROR(VLOOKUP(B1266,infoTable__28[],4,FALSE),"")</f>
        <v/>
      </c>
      <c r="J1266" s="4" t="str">
        <f>IFERROR(VLOOKUP(B1266,infoTable__10[],4,FALSE),"")</f>
        <v/>
      </c>
      <c r="K1266" s="4" t="str">
        <f>IFERROR(VLOOKUP(B1266,infoTable__11[],4,FALSE),"")</f>
        <v/>
      </c>
      <c r="L1266" s="4">
        <f>IFERROR(VLOOKUP(B1266,infoTable__12[],4,FALSE),"")</f>
        <v>142370</v>
      </c>
      <c r="M1266" s="4">
        <f>IFERROR(VLOOKUP(B1266,infoTable__13[],4,FALSE),"")</f>
        <v>408832</v>
      </c>
      <c r="N1266" s="4">
        <f>IFERROR(VLOOKUP(B1266,infoTable__14[],4,FALSE),"")</f>
        <v>746054</v>
      </c>
      <c r="O1266" s="4" t="str">
        <f>IFERROR(VLOOKUP(B1266,infoTable__15[],4,FALSE),"")</f>
        <v/>
      </c>
      <c r="P1266" s="4" t="str">
        <f>IFERROR(VLOOKUP(B1266,infoTable__16[],4,FALSE),"")</f>
        <v/>
      </c>
    </row>
    <row r="1267" spans="1:16" x14ac:dyDescent="0.55000000000000004">
      <c r="A1267" t="s">
        <v>2541</v>
      </c>
      <c r="B1267" t="s">
        <v>2542</v>
      </c>
      <c r="C1267" s="4" t="str">
        <f>IFERROR(VLOOKUP(B1267,infoTable10[],4,FALSE),"")</f>
        <v/>
      </c>
      <c r="D1267" s="4" t="str">
        <f>IFERROR(VLOOKUP(B1267,infoTable__2[],4,FALSE),"")</f>
        <v/>
      </c>
      <c r="E1267" s="4" t="str">
        <f>IFERROR(VLOOKUP(B1267,infoTable__3[],4,FALSE),"")</f>
        <v/>
      </c>
      <c r="F1267" s="4" t="str">
        <f>IFERROR(VLOOKUP(B1267,infoTable__4[],4,FALSE),"")</f>
        <v/>
      </c>
      <c r="G1267" s="4" t="str">
        <f>IFERROR(VLOOKUP(B1267,infoTable[],4,FALSE),"")</f>
        <v/>
      </c>
      <c r="H1267" s="4" t="str">
        <f>IFERROR(VLOOKUP(B1267,infoTable__6[],4,FALSE),"")</f>
        <v/>
      </c>
      <c r="I1267" s="4" t="str">
        <f>IFERROR(VLOOKUP(B1267,infoTable__28[],4,FALSE),"")</f>
        <v/>
      </c>
      <c r="J1267" s="4" t="str">
        <f>IFERROR(VLOOKUP(B1267,infoTable__10[],4,FALSE),"")</f>
        <v/>
      </c>
      <c r="K1267" s="4" t="str">
        <f>IFERROR(VLOOKUP(B1267,infoTable__11[],4,FALSE),"")</f>
        <v/>
      </c>
      <c r="L1267" s="4" t="str">
        <f>IFERROR(VLOOKUP(B1267,infoTable__12[],4,FALSE),"")</f>
        <v/>
      </c>
      <c r="M1267" s="4">
        <f>IFERROR(VLOOKUP(B1267,infoTable__13[],4,FALSE),"")</f>
        <v>332378</v>
      </c>
      <c r="N1267" s="4" t="str">
        <f>IFERROR(VLOOKUP(B1267,infoTable__14[],4,FALSE),"")</f>
        <v/>
      </c>
      <c r="O1267" s="4" t="str">
        <f>IFERROR(VLOOKUP(B1267,infoTable__15[],4,FALSE),"")</f>
        <v/>
      </c>
      <c r="P1267" s="4" t="str">
        <f>IFERROR(VLOOKUP(B1267,infoTable__16[],4,FALSE),"")</f>
        <v/>
      </c>
    </row>
    <row r="1268" spans="1:16" x14ac:dyDescent="0.55000000000000004">
      <c r="A1268" t="s">
        <v>770</v>
      </c>
      <c r="B1268" t="s">
        <v>771</v>
      </c>
      <c r="C1268" s="4" t="str">
        <f>IFERROR(VLOOKUP(B1268,infoTable10[],4,FALSE),"")</f>
        <v/>
      </c>
      <c r="D1268" s="4" t="str">
        <f>IFERROR(VLOOKUP(B1268,infoTable__2[],4,FALSE),"")</f>
        <v/>
      </c>
      <c r="E1268" s="4">
        <f>IFERROR(VLOOKUP(B1268,infoTable__3[],4,FALSE),"")</f>
        <v>953783</v>
      </c>
      <c r="F1268" s="4" t="str">
        <f>IFERROR(VLOOKUP(B1268,infoTable__4[],4,FALSE),"")</f>
        <v/>
      </c>
      <c r="G1268" s="4" t="str">
        <f>IFERROR(VLOOKUP(B1268,infoTable[],4,FALSE),"")</f>
        <v/>
      </c>
      <c r="H1268" s="4">
        <f>IFERROR(VLOOKUP(B1268,infoTable__6[],4,FALSE),"")</f>
        <v>286353</v>
      </c>
      <c r="I1268" s="4" t="str">
        <f>IFERROR(VLOOKUP(B1268,infoTable__28[],4,FALSE),"")</f>
        <v/>
      </c>
      <c r="J1268" s="4" t="str">
        <f>IFERROR(VLOOKUP(B1268,infoTable__10[],4,FALSE),"")</f>
        <v/>
      </c>
      <c r="K1268" s="4" t="str">
        <f>IFERROR(VLOOKUP(B1268,infoTable__11[],4,FALSE),"")</f>
        <v/>
      </c>
      <c r="L1268" s="4" t="str">
        <f>IFERROR(VLOOKUP(B1268,infoTable__12[],4,FALSE),"")</f>
        <v/>
      </c>
      <c r="M1268" s="4" t="str">
        <f>IFERROR(VLOOKUP(B1268,infoTable__13[],4,FALSE),"")</f>
        <v/>
      </c>
      <c r="N1268" s="4" t="str">
        <f>IFERROR(VLOOKUP(B1268,infoTable__14[],4,FALSE),"")</f>
        <v/>
      </c>
      <c r="O1268" s="4" t="str">
        <f>IFERROR(VLOOKUP(B1268,infoTable__15[],4,FALSE),"")</f>
        <v/>
      </c>
      <c r="P1268" s="4">
        <f>IFERROR(VLOOKUP(B1268,infoTable__16[],4,FALSE),"")</f>
        <v>330848</v>
      </c>
    </row>
    <row r="1269" spans="1:16" x14ac:dyDescent="0.55000000000000004">
      <c r="A1269" t="s">
        <v>1072</v>
      </c>
      <c r="B1269" t="s">
        <v>1073</v>
      </c>
      <c r="C1269" s="4" t="str">
        <f>IFERROR(VLOOKUP(B1269,infoTable10[],4,FALSE),"")</f>
        <v/>
      </c>
      <c r="D1269" s="4" t="str">
        <f>IFERROR(VLOOKUP(B1269,infoTable__2[],4,FALSE),"")</f>
        <v/>
      </c>
      <c r="E1269" s="4" t="str">
        <f>IFERROR(VLOOKUP(B1269,infoTable__3[],4,FALSE),"")</f>
        <v/>
      </c>
      <c r="F1269" s="4" t="str">
        <f>IFERROR(VLOOKUP(B1269,infoTable__4[],4,FALSE),"")</f>
        <v/>
      </c>
      <c r="G1269" s="4" t="str">
        <f>IFERROR(VLOOKUP(B1269,infoTable[],4,FALSE),"")</f>
        <v/>
      </c>
      <c r="H1269" s="4">
        <f>IFERROR(VLOOKUP(B1269,infoTable__6[],4,FALSE),"")</f>
        <v>583557</v>
      </c>
      <c r="I1269" s="4" t="str">
        <f>IFERROR(VLOOKUP(B1269,infoTable__28[],4,FALSE),"")</f>
        <v/>
      </c>
      <c r="J1269" s="4" t="str">
        <f>IFERROR(VLOOKUP(B1269,infoTable__10[],4,FALSE),"")</f>
        <v/>
      </c>
      <c r="K1269" s="4" t="str">
        <f>IFERROR(VLOOKUP(B1269,infoTable__11[],4,FALSE),"")</f>
        <v/>
      </c>
      <c r="L1269" s="4" t="str">
        <f>IFERROR(VLOOKUP(B1269,infoTable__12[],4,FALSE),"")</f>
        <v/>
      </c>
      <c r="M1269" s="4" t="str">
        <f>IFERROR(VLOOKUP(B1269,infoTable__13[],4,FALSE),"")</f>
        <v/>
      </c>
      <c r="N1269" s="4" t="str">
        <f>IFERROR(VLOOKUP(B1269,infoTable__14[],4,FALSE),"")</f>
        <v/>
      </c>
      <c r="O1269" s="4" t="str">
        <f>IFERROR(VLOOKUP(B1269,infoTable__15[],4,FALSE),"")</f>
        <v/>
      </c>
      <c r="P1269" s="4" t="str">
        <f>IFERROR(VLOOKUP(B1269,infoTable__16[],4,FALSE),"")</f>
        <v/>
      </c>
    </row>
    <row r="1270" spans="1:16" x14ac:dyDescent="0.55000000000000004">
      <c r="A1270" t="s">
        <v>324</v>
      </c>
      <c r="B1270" t="s">
        <v>325</v>
      </c>
      <c r="C1270" s="4">
        <f>IFERROR(VLOOKUP(B1270,infoTable10[],4,FALSE),"")</f>
        <v>1052420</v>
      </c>
      <c r="D1270" s="4" t="str">
        <f>IFERROR(VLOOKUP(B1270,infoTable__2[],4,FALSE),"")</f>
        <v/>
      </c>
      <c r="E1270" s="4">
        <f>IFERROR(VLOOKUP(B1270,infoTable__3[],4,FALSE),"")</f>
        <v>210627</v>
      </c>
      <c r="F1270" s="4">
        <f>IFERROR(VLOOKUP(B1270,infoTable__4[],4,FALSE),"")</f>
        <v>375448</v>
      </c>
      <c r="G1270" s="4">
        <f>IFERROR(VLOOKUP(B1270,infoTable[],4,FALSE),"")</f>
        <v>2603636</v>
      </c>
      <c r="H1270" s="4">
        <f>IFERROR(VLOOKUP(B1270,infoTable__6[],4,FALSE),"")</f>
        <v>1609102</v>
      </c>
      <c r="I1270" s="4" t="str">
        <f>IFERROR(VLOOKUP(B1270,infoTable__28[],4,FALSE),"")</f>
        <v/>
      </c>
      <c r="J1270" s="4" t="str">
        <f>IFERROR(VLOOKUP(B1270,infoTable__10[],4,FALSE),"")</f>
        <v/>
      </c>
      <c r="K1270" s="4" t="str">
        <f>IFERROR(VLOOKUP(B1270,infoTable__11[],4,FALSE),"")</f>
        <v/>
      </c>
      <c r="L1270" s="4" t="str">
        <f>IFERROR(VLOOKUP(B1270,infoTable__12[],4,FALSE),"")</f>
        <v/>
      </c>
      <c r="M1270" s="4" t="str">
        <f>IFERROR(VLOOKUP(B1270,infoTable__13[],4,FALSE),"")</f>
        <v/>
      </c>
      <c r="N1270" s="4" t="str">
        <f>IFERROR(VLOOKUP(B1270,infoTable__14[],4,FALSE),"")</f>
        <v/>
      </c>
      <c r="O1270" s="4" t="str">
        <f>IFERROR(VLOOKUP(B1270,infoTable__15[],4,FALSE),"")</f>
        <v/>
      </c>
      <c r="P1270" s="4" t="str">
        <f>IFERROR(VLOOKUP(B1270,infoTable__16[],4,FALSE),"")</f>
        <v/>
      </c>
    </row>
    <row r="1271" spans="1:16" x14ac:dyDescent="0.55000000000000004">
      <c r="A1271" t="s">
        <v>772</v>
      </c>
      <c r="B1271" t="s">
        <v>773</v>
      </c>
      <c r="C1271" s="4" t="str">
        <f>IFERROR(VLOOKUP(B1271,infoTable10[],4,FALSE),"")</f>
        <v/>
      </c>
      <c r="D1271" s="4" t="str">
        <f>IFERROR(VLOOKUP(B1271,infoTable__2[],4,FALSE),"")</f>
        <v/>
      </c>
      <c r="E1271" s="4">
        <f>IFERROR(VLOOKUP(B1271,infoTable__3[],4,FALSE),"")</f>
        <v>3316477</v>
      </c>
      <c r="F1271" s="4">
        <f>IFERROR(VLOOKUP(B1271,infoTable__4[],4,FALSE),"")</f>
        <v>1344119</v>
      </c>
      <c r="G1271" s="4" t="str">
        <f>IFERROR(VLOOKUP(B1271,infoTable[],4,FALSE),"")</f>
        <v/>
      </c>
      <c r="H1271" s="4" t="str">
        <f>IFERROR(VLOOKUP(B1271,infoTable__6[],4,FALSE),"")</f>
        <v/>
      </c>
      <c r="I1271" s="4" t="str">
        <f>IFERROR(VLOOKUP(B1271,infoTable__28[],4,FALSE),"")</f>
        <v/>
      </c>
      <c r="J1271" s="4" t="str">
        <f>IFERROR(VLOOKUP(B1271,infoTable__10[],4,FALSE),"")</f>
        <v/>
      </c>
      <c r="K1271" s="4" t="str">
        <f>IFERROR(VLOOKUP(B1271,infoTable__11[],4,FALSE),"")</f>
        <v/>
      </c>
      <c r="L1271" s="4" t="str">
        <f>IFERROR(VLOOKUP(B1271,infoTable__12[],4,FALSE),"")</f>
        <v/>
      </c>
      <c r="M1271" s="4" t="str">
        <f>IFERROR(VLOOKUP(B1271,infoTable__13[],4,FALSE),"")</f>
        <v/>
      </c>
      <c r="N1271" s="4">
        <f>IFERROR(VLOOKUP(B1271,infoTable__14[],4,FALSE),"")</f>
        <v>1075634</v>
      </c>
      <c r="O1271" s="4" t="str">
        <f>IFERROR(VLOOKUP(B1271,infoTable__15[],4,FALSE),"")</f>
        <v/>
      </c>
      <c r="P1271" s="4" t="str">
        <f>IFERROR(VLOOKUP(B1271,infoTable__16[],4,FALSE),"")</f>
        <v/>
      </c>
    </row>
    <row r="1272" spans="1:16" x14ac:dyDescent="0.55000000000000004">
      <c r="A1272" t="s">
        <v>326</v>
      </c>
      <c r="B1272" t="s">
        <v>327</v>
      </c>
      <c r="C1272" s="4" t="str">
        <f>IFERROR(VLOOKUP(B1272,infoTable10[],4,FALSE),"")</f>
        <v/>
      </c>
      <c r="D1272" s="4" t="str">
        <f>IFERROR(VLOOKUP(B1272,infoTable__2[],4,FALSE),"")</f>
        <v/>
      </c>
      <c r="E1272" s="4">
        <f>IFERROR(VLOOKUP(B1272,infoTable__3[],4,FALSE),"")</f>
        <v>9628280</v>
      </c>
      <c r="F1272" s="4">
        <f>IFERROR(VLOOKUP(B1272,infoTable__4[],4,FALSE),"")</f>
        <v>2912972</v>
      </c>
      <c r="G1272" s="4">
        <f>IFERROR(VLOOKUP(B1272,infoTable[],4,FALSE),"")</f>
        <v>1764650</v>
      </c>
      <c r="H1272" s="4">
        <f>IFERROR(VLOOKUP(B1272,infoTable__6[],4,FALSE),"")</f>
        <v>604633</v>
      </c>
      <c r="I1272" s="4" t="str">
        <f>IFERROR(VLOOKUP(B1272,infoTable__28[],4,FALSE),"")</f>
        <v/>
      </c>
      <c r="J1272" s="4">
        <f>IFERROR(VLOOKUP(B1272,infoTable__10[],4,FALSE),"")</f>
        <v>2709911</v>
      </c>
      <c r="K1272" s="4">
        <f>IFERROR(VLOOKUP(B1272,infoTable__11[],4,FALSE),"")</f>
        <v>2569590</v>
      </c>
      <c r="L1272" s="4" t="str">
        <f>IFERROR(VLOOKUP(B1272,infoTable__12[],4,FALSE),"")</f>
        <v/>
      </c>
      <c r="M1272" s="4" t="str">
        <f>IFERROR(VLOOKUP(B1272,infoTable__13[],4,FALSE),"")</f>
        <v/>
      </c>
      <c r="N1272" s="4" t="str">
        <f>IFERROR(VLOOKUP(B1272,infoTable__14[],4,FALSE),"")</f>
        <v/>
      </c>
      <c r="O1272" s="4">
        <f>IFERROR(VLOOKUP(B1272,infoTable__15[],4,FALSE),"")</f>
        <v>1154041</v>
      </c>
      <c r="P1272" s="4" t="str">
        <f>IFERROR(VLOOKUP(B1272,infoTable__16[],4,FALSE),"")</f>
        <v/>
      </c>
    </row>
    <row r="1273" spans="1:16" x14ac:dyDescent="0.55000000000000004">
      <c r="A1273" t="s">
        <v>1074</v>
      </c>
      <c r="B1273" t="s">
        <v>1075</v>
      </c>
      <c r="C1273" s="4" t="str">
        <f>IFERROR(VLOOKUP(B1273,infoTable10[],4,FALSE),"")</f>
        <v/>
      </c>
      <c r="D1273" s="4" t="str">
        <f>IFERROR(VLOOKUP(B1273,infoTable__2[],4,FALSE),"")</f>
        <v/>
      </c>
      <c r="E1273" s="4" t="str">
        <f>IFERROR(VLOOKUP(B1273,infoTable__3[],4,FALSE),"")</f>
        <v/>
      </c>
      <c r="F1273" s="4" t="str">
        <f>IFERROR(VLOOKUP(B1273,infoTable__4[],4,FALSE),"")</f>
        <v/>
      </c>
      <c r="G1273" s="4" t="str">
        <f>IFERROR(VLOOKUP(B1273,infoTable[],4,FALSE),"")</f>
        <v/>
      </c>
      <c r="H1273" s="4">
        <f>IFERROR(VLOOKUP(B1273,infoTable__6[],4,FALSE),"")</f>
        <v>373275</v>
      </c>
      <c r="I1273" s="4" t="str">
        <f>IFERROR(VLOOKUP(B1273,infoTable__28[],4,FALSE),"")</f>
        <v/>
      </c>
      <c r="J1273" s="4" t="str">
        <f>IFERROR(VLOOKUP(B1273,infoTable__10[],4,FALSE),"")</f>
        <v/>
      </c>
      <c r="K1273" s="4" t="str">
        <f>IFERROR(VLOOKUP(B1273,infoTable__11[],4,FALSE),"")</f>
        <v/>
      </c>
      <c r="L1273" s="4" t="str">
        <f>IFERROR(VLOOKUP(B1273,infoTable__12[],4,FALSE),"")</f>
        <v/>
      </c>
      <c r="M1273" s="4" t="str">
        <f>IFERROR(VLOOKUP(B1273,infoTable__13[],4,FALSE),"")</f>
        <v/>
      </c>
      <c r="N1273" s="4" t="str">
        <f>IFERROR(VLOOKUP(B1273,infoTable__14[],4,FALSE),"")</f>
        <v/>
      </c>
      <c r="O1273" s="4" t="str">
        <f>IFERROR(VLOOKUP(B1273,infoTable__15[],4,FALSE),"")</f>
        <v/>
      </c>
      <c r="P1273" s="4" t="str">
        <f>IFERROR(VLOOKUP(B1273,infoTable__16[],4,FALSE),"")</f>
        <v/>
      </c>
    </row>
    <row r="1274" spans="1:16" x14ac:dyDescent="0.55000000000000004">
      <c r="A1274" t="s">
        <v>2293</v>
      </c>
      <c r="B1274" t="s">
        <v>2294</v>
      </c>
      <c r="C1274" s="4" t="str">
        <f>IFERROR(VLOOKUP(B1274,infoTable10[],4,FALSE),"")</f>
        <v/>
      </c>
      <c r="D1274" s="4" t="str">
        <f>IFERROR(VLOOKUP(B1274,infoTable__2[],4,FALSE),"")</f>
        <v/>
      </c>
      <c r="E1274" s="4" t="str">
        <f>IFERROR(VLOOKUP(B1274,infoTable__3[],4,FALSE),"")</f>
        <v/>
      </c>
      <c r="F1274" s="4" t="str">
        <f>IFERROR(VLOOKUP(B1274,infoTable__4[],4,FALSE),"")</f>
        <v/>
      </c>
      <c r="G1274" s="4" t="str">
        <f>IFERROR(VLOOKUP(B1274,infoTable[],4,FALSE),"")</f>
        <v/>
      </c>
      <c r="H1274" s="4" t="str">
        <f>IFERROR(VLOOKUP(B1274,infoTable__6[],4,FALSE),"")</f>
        <v/>
      </c>
      <c r="I1274" s="4" t="str">
        <f>IFERROR(VLOOKUP(B1274,infoTable__28[],4,FALSE),"")</f>
        <v/>
      </c>
      <c r="J1274" s="4" t="str">
        <f>IFERROR(VLOOKUP(B1274,infoTable__10[],4,FALSE),"")</f>
        <v/>
      </c>
      <c r="K1274" s="4" t="str">
        <f>IFERROR(VLOOKUP(B1274,infoTable__11[],4,FALSE),"")</f>
        <v/>
      </c>
      <c r="L1274" s="4">
        <f>IFERROR(VLOOKUP(B1274,infoTable__12[],4,FALSE),"")</f>
        <v>2021370</v>
      </c>
      <c r="M1274" s="4">
        <f>IFERROR(VLOOKUP(B1274,infoTable__13[],4,FALSE),"")</f>
        <v>940957</v>
      </c>
      <c r="N1274" s="4">
        <f>IFERROR(VLOOKUP(B1274,infoTable__14[],4,FALSE),"")</f>
        <v>532581</v>
      </c>
      <c r="O1274" s="4">
        <f>IFERROR(VLOOKUP(B1274,infoTable__15[],4,FALSE),"")</f>
        <v>275272</v>
      </c>
      <c r="P1274" s="4">
        <f>IFERROR(VLOOKUP(B1274,infoTable__16[],4,FALSE),"")</f>
        <v>331762</v>
      </c>
    </row>
    <row r="1275" spans="1:16" x14ac:dyDescent="0.55000000000000004">
      <c r="A1275" t="s">
        <v>2289</v>
      </c>
      <c r="B1275" t="s">
        <v>2290</v>
      </c>
      <c r="C1275" s="4" t="str">
        <f>IFERROR(VLOOKUP(B1275,infoTable10[],4,FALSE),"")</f>
        <v/>
      </c>
      <c r="D1275" s="4" t="str">
        <f>IFERROR(VLOOKUP(B1275,infoTable__2[],4,FALSE),"")</f>
        <v/>
      </c>
      <c r="E1275" s="4" t="str">
        <f>IFERROR(VLOOKUP(B1275,infoTable__3[],4,FALSE),"")</f>
        <v/>
      </c>
      <c r="F1275" s="4" t="str">
        <f>IFERROR(VLOOKUP(B1275,infoTable__4[],4,FALSE),"")</f>
        <v/>
      </c>
      <c r="G1275" s="4" t="str">
        <f>IFERROR(VLOOKUP(B1275,infoTable[],4,FALSE),"")</f>
        <v/>
      </c>
      <c r="H1275" s="4" t="str">
        <f>IFERROR(VLOOKUP(B1275,infoTable__6[],4,FALSE),"")</f>
        <v/>
      </c>
      <c r="I1275" s="4" t="str">
        <f>IFERROR(VLOOKUP(B1275,infoTable__28[],4,FALSE),"")</f>
        <v/>
      </c>
      <c r="J1275" s="4" t="str">
        <f>IFERROR(VLOOKUP(B1275,infoTable__10[],4,FALSE),"")</f>
        <v/>
      </c>
      <c r="K1275" s="4" t="str">
        <f>IFERROR(VLOOKUP(B1275,infoTable__11[],4,FALSE),"")</f>
        <v/>
      </c>
      <c r="L1275" s="4">
        <f>IFERROR(VLOOKUP(B1275,infoTable__12[],4,FALSE),"")</f>
        <v>216988</v>
      </c>
      <c r="M1275" s="4" t="str">
        <f>IFERROR(VLOOKUP(B1275,infoTable__13[],4,FALSE),"")</f>
        <v/>
      </c>
      <c r="N1275" s="4" t="str">
        <f>IFERROR(VLOOKUP(B1275,infoTable__14[],4,FALSE),"")</f>
        <v/>
      </c>
      <c r="O1275" s="4">
        <f>IFERROR(VLOOKUP(B1275,infoTable__15[],4,FALSE),"")</f>
        <v>361608</v>
      </c>
      <c r="P1275" s="4" t="str">
        <f>IFERROR(VLOOKUP(B1275,infoTable__16[],4,FALSE),"")</f>
        <v/>
      </c>
    </row>
    <row r="1276" spans="1:16" x14ac:dyDescent="0.55000000000000004">
      <c r="A1276" t="s">
        <v>332</v>
      </c>
      <c r="B1276" t="s">
        <v>333</v>
      </c>
      <c r="C1276" s="4" t="str">
        <f>IFERROR(VLOOKUP(B1276,infoTable10[],4,FALSE),"")</f>
        <v/>
      </c>
      <c r="D1276" s="4">
        <f>IFERROR(VLOOKUP(B1276,infoTable__2[],4,FALSE),"")</f>
        <v>559458</v>
      </c>
      <c r="E1276" s="4">
        <f>IFERROR(VLOOKUP(B1276,infoTable__3[],4,FALSE),"")</f>
        <v>551852</v>
      </c>
      <c r="F1276" s="4">
        <f>IFERROR(VLOOKUP(B1276,infoTable__4[],4,FALSE),"")</f>
        <v>221675</v>
      </c>
      <c r="G1276" s="4">
        <f>IFERROR(VLOOKUP(B1276,infoTable[],4,FALSE),"")</f>
        <v>2381882</v>
      </c>
      <c r="H1276" s="4">
        <f>IFERROR(VLOOKUP(B1276,infoTable__6[],4,FALSE),"")</f>
        <v>899767</v>
      </c>
      <c r="I1276" s="4">
        <f>IFERROR(VLOOKUP(B1276,infoTable__28[],4,FALSE),"")</f>
        <v>1044512</v>
      </c>
      <c r="J1276" s="4">
        <f>IFERROR(VLOOKUP(B1276,infoTable__10[],4,FALSE),"")</f>
        <v>1329285</v>
      </c>
      <c r="K1276" s="4">
        <f>IFERROR(VLOOKUP(B1276,infoTable__11[],4,FALSE),"")</f>
        <v>943803</v>
      </c>
      <c r="L1276" s="4">
        <f>IFERROR(VLOOKUP(B1276,infoTable__12[],4,FALSE),"")</f>
        <v>179732</v>
      </c>
      <c r="M1276" s="4" t="str">
        <f>IFERROR(VLOOKUP(B1276,infoTable__13[],4,FALSE),"")</f>
        <v/>
      </c>
      <c r="N1276" s="4" t="str">
        <f>IFERROR(VLOOKUP(B1276,infoTable__14[],4,FALSE),"")</f>
        <v/>
      </c>
      <c r="O1276" s="4" t="str">
        <f>IFERROR(VLOOKUP(B1276,infoTable__15[],4,FALSE),"")</f>
        <v/>
      </c>
      <c r="P1276" s="4" t="str">
        <f>IFERROR(VLOOKUP(B1276,infoTable__16[],4,FALSE),"")</f>
        <v/>
      </c>
    </row>
    <row r="1277" spans="1:16" x14ac:dyDescent="0.55000000000000004">
      <c r="A1277" t="s">
        <v>334</v>
      </c>
      <c r="B1277" t="s">
        <v>335</v>
      </c>
      <c r="C1277" s="4">
        <f>IFERROR(VLOOKUP(B1277,infoTable10[],4,FALSE),"")</f>
        <v>2321286</v>
      </c>
      <c r="D1277" s="4">
        <f>IFERROR(VLOOKUP(B1277,infoTable__2[],4,FALSE),"")</f>
        <v>2361820</v>
      </c>
      <c r="E1277" s="4" t="str">
        <f>IFERROR(VLOOKUP(B1277,infoTable__3[],4,FALSE),"")</f>
        <v/>
      </c>
      <c r="F1277" s="4" t="str">
        <f>IFERROR(VLOOKUP(B1277,infoTable__4[],4,FALSE),"")</f>
        <v/>
      </c>
      <c r="G1277" s="4">
        <f>IFERROR(VLOOKUP(B1277,infoTable[],4,FALSE),"")</f>
        <v>203654</v>
      </c>
      <c r="H1277" s="4" t="str">
        <f>IFERROR(VLOOKUP(B1277,infoTable__6[],4,FALSE),"")</f>
        <v/>
      </c>
      <c r="I1277" s="4">
        <f>IFERROR(VLOOKUP(B1277,infoTable__28[],4,FALSE),"")</f>
        <v>258491</v>
      </c>
      <c r="J1277" s="4" t="str">
        <f>IFERROR(VLOOKUP(B1277,infoTable__10[],4,FALSE),"")</f>
        <v/>
      </c>
      <c r="K1277" s="4" t="str">
        <f>IFERROR(VLOOKUP(B1277,infoTable__11[],4,FALSE),"")</f>
        <v/>
      </c>
      <c r="L1277" s="4" t="str">
        <f>IFERROR(VLOOKUP(B1277,infoTable__12[],4,FALSE),"")</f>
        <v/>
      </c>
      <c r="M1277" s="4" t="str">
        <f>IFERROR(VLOOKUP(B1277,infoTable__13[],4,FALSE),"")</f>
        <v/>
      </c>
      <c r="N1277" s="4" t="str">
        <f>IFERROR(VLOOKUP(B1277,infoTable__14[],4,FALSE),"")</f>
        <v/>
      </c>
      <c r="O1277" s="4" t="str">
        <f>IFERROR(VLOOKUP(B1277,infoTable__15[],4,FALSE),"")</f>
        <v/>
      </c>
      <c r="P1277" s="4">
        <f>IFERROR(VLOOKUP(B1277,infoTable__16[],4,FALSE),"")</f>
        <v>449695</v>
      </c>
    </row>
    <row r="1278" spans="1:16" x14ac:dyDescent="0.55000000000000004">
      <c r="A1278" t="s">
        <v>1076</v>
      </c>
      <c r="B1278" t="s">
        <v>1077</v>
      </c>
      <c r="C1278" s="4" t="str">
        <f>IFERROR(VLOOKUP(B1278,infoTable10[],4,FALSE),"")</f>
        <v/>
      </c>
      <c r="D1278" s="4" t="str">
        <f>IFERROR(VLOOKUP(B1278,infoTable__2[],4,FALSE),"")</f>
        <v/>
      </c>
      <c r="E1278" s="4" t="str">
        <f>IFERROR(VLOOKUP(B1278,infoTable__3[],4,FALSE),"")</f>
        <v/>
      </c>
      <c r="F1278" s="4" t="str">
        <f>IFERROR(VLOOKUP(B1278,infoTable__4[],4,FALSE),"")</f>
        <v/>
      </c>
      <c r="G1278" s="4" t="str">
        <f>IFERROR(VLOOKUP(B1278,infoTable[],4,FALSE),"")</f>
        <v/>
      </c>
      <c r="H1278" s="4">
        <f>IFERROR(VLOOKUP(B1278,infoTable__6[],4,FALSE),"")</f>
        <v>782118</v>
      </c>
      <c r="I1278" s="4">
        <f>IFERROR(VLOOKUP(B1278,infoTable__28[],4,FALSE),"")</f>
        <v>439380</v>
      </c>
      <c r="J1278" s="4">
        <f>IFERROR(VLOOKUP(B1278,infoTable__10[],4,FALSE),"")</f>
        <v>345802</v>
      </c>
      <c r="K1278" s="4" t="str">
        <f>IFERROR(VLOOKUP(B1278,infoTable__11[],4,FALSE),"")</f>
        <v/>
      </c>
      <c r="L1278" s="4" t="str">
        <f>IFERROR(VLOOKUP(B1278,infoTable__12[],4,FALSE),"")</f>
        <v/>
      </c>
      <c r="M1278" s="4" t="str">
        <f>IFERROR(VLOOKUP(B1278,infoTable__13[],4,FALSE),"")</f>
        <v/>
      </c>
      <c r="N1278" s="4" t="str">
        <f>IFERROR(VLOOKUP(B1278,infoTable__14[],4,FALSE),"")</f>
        <v/>
      </c>
      <c r="O1278" s="4">
        <f>IFERROR(VLOOKUP(B1278,infoTable__15[],4,FALSE),"")</f>
        <v>2233004</v>
      </c>
      <c r="P1278" s="4">
        <f>IFERROR(VLOOKUP(B1278,infoTable__16[],4,FALSE),"")</f>
        <v>2065828</v>
      </c>
    </row>
    <row r="1279" spans="1:16" x14ac:dyDescent="0.55000000000000004">
      <c r="A1279" t="s">
        <v>652</v>
      </c>
      <c r="B1279" t="s">
        <v>653</v>
      </c>
      <c r="C1279" s="4">
        <f>IFERROR(VLOOKUP(B1279,infoTable10[],4,FALSE),"")</f>
        <v>1222612</v>
      </c>
      <c r="D1279" s="4">
        <f>IFERROR(VLOOKUP(B1279,infoTable__2[],4,FALSE),"")</f>
        <v>825525</v>
      </c>
      <c r="E1279" s="4">
        <f>IFERROR(VLOOKUP(B1279,infoTable__3[],4,FALSE),"")</f>
        <v>421379</v>
      </c>
      <c r="F1279" s="4">
        <f>IFERROR(VLOOKUP(B1279,infoTable__4[],4,FALSE),"")</f>
        <v>132544</v>
      </c>
      <c r="G1279" s="4" t="str">
        <f>IFERROR(VLOOKUP(B1279,infoTable[],4,FALSE),"")</f>
        <v/>
      </c>
      <c r="H1279" s="4" t="str">
        <f>IFERROR(VLOOKUP(B1279,infoTable__6[],4,FALSE),"")</f>
        <v/>
      </c>
      <c r="I1279" s="4" t="str">
        <f>IFERROR(VLOOKUP(B1279,infoTable__28[],4,FALSE),"")</f>
        <v/>
      </c>
      <c r="J1279" s="4" t="str">
        <f>IFERROR(VLOOKUP(B1279,infoTable__10[],4,FALSE),"")</f>
        <v/>
      </c>
      <c r="K1279" s="4" t="str">
        <f>IFERROR(VLOOKUP(B1279,infoTable__11[],4,FALSE),"")</f>
        <v/>
      </c>
      <c r="L1279" s="4" t="str">
        <f>IFERROR(VLOOKUP(B1279,infoTable__12[],4,FALSE),"")</f>
        <v/>
      </c>
      <c r="M1279" s="4" t="str">
        <f>IFERROR(VLOOKUP(B1279,infoTable__13[],4,FALSE),"")</f>
        <v/>
      </c>
      <c r="N1279" s="4" t="str">
        <f>IFERROR(VLOOKUP(B1279,infoTable__14[],4,FALSE),"")</f>
        <v/>
      </c>
      <c r="O1279" s="4" t="str">
        <f>IFERROR(VLOOKUP(B1279,infoTable__15[],4,FALSE),"")</f>
        <v/>
      </c>
      <c r="P1279" s="4" t="str">
        <f>IFERROR(VLOOKUP(B1279,infoTable__16[],4,FALSE),"")</f>
        <v/>
      </c>
    </row>
    <row r="1280" spans="1:16" x14ac:dyDescent="0.55000000000000004">
      <c r="A1280" t="s">
        <v>3463</v>
      </c>
      <c r="B1280" t="s">
        <v>3464</v>
      </c>
      <c r="C1280" s="4" t="str">
        <f>IFERROR(VLOOKUP(B1280,infoTable10[],4,FALSE),"")</f>
        <v/>
      </c>
      <c r="D1280" s="4" t="str">
        <f>IFERROR(VLOOKUP(B1280,infoTable__2[],4,FALSE),"")</f>
        <v/>
      </c>
      <c r="E1280" s="4" t="str">
        <f>IFERROR(VLOOKUP(B1280,infoTable__3[],4,FALSE),"")</f>
        <v/>
      </c>
      <c r="F1280" s="4" t="str">
        <f>IFERROR(VLOOKUP(B1280,infoTable__4[],4,FALSE),"")</f>
        <v/>
      </c>
      <c r="G1280" s="4" t="str">
        <f>IFERROR(VLOOKUP(B1280,infoTable[],4,FALSE),"")</f>
        <v/>
      </c>
      <c r="H1280" s="4" t="str">
        <f>IFERROR(VLOOKUP(B1280,infoTable__6[],4,FALSE),"")</f>
        <v/>
      </c>
      <c r="I1280" s="4" t="str">
        <f>IFERROR(VLOOKUP(B1280,infoTable__28[],4,FALSE),"")</f>
        <v/>
      </c>
      <c r="J1280" s="4" t="str">
        <f>IFERROR(VLOOKUP(B1280,infoTable__10[],4,FALSE),"")</f>
        <v/>
      </c>
      <c r="K1280" s="4" t="str">
        <f>IFERROR(VLOOKUP(B1280,infoTable__11[],4,FALSE),"")</f>
        <v/>
      </c>
      <c r="L1280" s="4" t="str">
        <f>IFERROR(VLOOKUP(B1280,infoTable__12[],4,FALSE),"")</f>
        <v/>
      </c>
      <c r="M1280" s="4" t="str">
        <f>IFERROR(VLOOKUP(B1280,infoTable__13[],4,FALSE),"")</f>
        <v/>
      </c>
      <c r="N1280" s="4" t="str">
        <f>IFERROR(VLOOKUP(B1280,infoTable__14[],4,FALSE),"")</f>
        <v/>
      </c>
      <c r="O1280" s="4" t="str">
        <f>IFERROR(VLOOKUP(B1280,infoTable__15[],4,FALSE),"")</f>
        <v/>
      </c>
      <c r="P1280" s="4">
        <f>IFERROR(VLOOKUP(B1280,infoTable__16[],4,FALSE),"")</f>
        <v>334953</v>
      </c>
    </row>
    <row r="1281" spans="1:16" x14ac:dyDescent="0.55000000000000004">
      <c r="A1281" t="s">
        <v>654</v>
      </c>
      <c r="B1281" t="s">
        <v>655</v>
      </c>
      <c r="C1281" s="4">
        <f>IFERROR(VLOOKUP(B1281,infoTable10[],4,FALSE),"")</f>
        <v>2363409</v>
      </c>
      <c r="D1281" s="4">
        <f>IFERROR(VLOOKUP(B1281,infoTable__2[],4,FALSE),"")</f>
        <v>3224111</v>
      </c>
      <c r="E1281" s="4">
        <f>IFERROR(VLOOKUP(B1281,infoTable__3[],4,FALSE),"")</f>
        <v>2586892</v>
      </c>
      <c r="F1281" s="4" t="str">
        <f>IFERROR(VLOOKUP(B1281,infoTable__4[],4,FALSE),"")</f>
        <v/>
      </c>
      <c r="G1281" s="4" t="str">
        <f>IFERROR(VLOOKUP(B1281,infoTable[],4,FALSE),"")</f>
        <v/>
      </c>
      <c r="H1281" s="4" t="str">
        <f>IFERROR(VLOOKUP(B1281,infoTable__6[],4,FALSE),"")</f>
        <v/>
      </c>
      <c r="I1281" s="4" t="str">
        <f>IFERROR(VLOOKUP(B1281,infoTable__28[],4,FALSE),"")</f>
        <v/>
      </c>
      <c r="J1281" s="4" t="str">
        <f>IFERROR(VLOOKUP(B1281,infoTable__10[],4,FALSE),"")</f>
        <v/>
      </c>
      <c r="K1281" s="4">
        <f>IFERROR(VLOOKUP(B1281,infoTable__11[],4,FALSE),"")</f>
        <v>205440</v>
      </c>
      <c r="L1281" s="4">
        <f>IFERROR(VLOOKUP(B1281,infoTable__12[],4,FALSE),"")</f>
        <v>221090</v>
      </c>
      <c r="M1281" s="4" t="str">
        <f>IFERROR(VLOOKUP(B1281,infoTable__13[],4,FALSE),"")</f>
        <v/>
      </c>
      <c r="N1281" s="4" t="str">
        <f>IFERROR(VLOOKUP(B1281,infoTable__14[],4,FALSE),"")</f>
        <v/>
      </c>
      <c r="O1281" s="4" t="str">
        <f>IFERROR(VLOOKUP(B1281,infoTable__15[],4,FALSE),"")</f>
        <v/>
      </c>
      <c r="P1281" s="4" t="str">
        <f>IFERROR(VLOOKUP(B1281,infoTable__16[],4,FALSE),"")</f>
        <v/>
      </c>
    </row>
    <row r="1282" spans="1:16" x14ac:dyDescent="0.55000000000000004">
      <c r="A1282" t="s">
        <v>3127</v>
      </c>
      <c r="B1282" t="s">
        <v>3128</v>
      </c>
      <c r="C1282" s="4" t="str">
        <f>IFERROR(VLOOKUP(B1282,infoTable10[],4,FALSE),"")</f>
        <v/>
      </c>
      <c r="D1282" s="4" t="str">
        <f>IFERROR(VLOOKUP(B1282,infoTable__2[],4,FALSE),"")</f>
        <v/>
      </c>
      <c r="E1282" s="4" t="str">
        <f>IFERROR(VLOOKUP(B1282,infoTable__3[],4,FALSE),"")</f>
        <v/>
      </c>
      <c r="F1282" s="4" t="str">
        <f>IFERROR(VLOOKUP(B1282,infoTable__4[],4,FALSE),"")</f>
        <v/>
      </c>
      <c r="G1282" s="4" t="str">
        <f>IFERROR(VLOOKUP(B1282,infoTable[],4,FALSE),"")</f>
        <v/>
      </c>
      <c r="H1282" s="4" t="str">
        <f>IFERROR(VLOOKUP(B1282,infoTable__6[],4,FALSE),"")</f>
        <v/>
      </c>
      <c r="I1282" s="4" t="str">
        <f>IFERROR(VLOOKUP(B1282,infoTable__28[],4,FALSE),"")</f>
        <v/>
      </c>
      <c r="J1282" s="4" t="str">
        <f>IFERROR(VLOOKUP(B1282,infoTable__10[],4,FALSE),"")</f>
        <v/>
      </c>
      <c r="K1282" s="4" t="str">
        <f>IFERROR(VLOOKUP(B1282,infoTable__11[],4,FALSE),"")</f>
        <v/>
      </c>
      <c r="L1282" s="4" t="str">
        <f>IFERROR(VLOOKUP(B1282,infoTable__12[],4,FALSE),"")</f>
        <v/>
      </c>
      <c r="M1282" s="4" t="str">
        <f>IFERROR(VLOOKUP(B1282,infoTable__13[],4,FALSE),"")</f>
        <v/>
      </c>
      <c r="N1282" s="4" t="str">
        <f>IFERROR(VLOOKUP(B1282,infoTable__14[],4,FALSE),"")</f>
        <v/>
      </c>
      <c r="O1282" s="4">
        <f>IFERROR(VLOOKUP(B1282,infoTable__15[],4,FALSE),"")</f>
        <v>446149</v>
      </c>
      <c r="P1282" s="4" t="str">
        <f>IFERROR(VLOOKUP(B1282,infoTable__16[],4,FALSE),"")</f>
        <v/>
      </c>
    </row>
    <row r="1283" spans="1:16" x14ac:dyDescent="0.55000000000000004">
      <c r="A1283" t="s">
        <v>3465</v>
      </c>
      <c r="B1283" t="s">
        <v>3466</v>
      </c>
      <c r="C1283" s="4" t="str">
        <f>IFERROR(VLOOKUP(B1283,infoTable10[],4,FALSE),"")</f>
        <v/>
      </c>
      <c r="D1283" s="4" t="str">
        <f>IFERROR(VLOOKUP(B1283,infoTable__2[],4,FALSE),"")</f>
        <v/>
      </c>
      <c r="E1283" s="4" t="str">
        <f>IFERROR(VLOOKUP(B1283,infoTable__3[],4,FALSE),"")</f>
        <v/>
      </c>
      <c r="F1283" s="4" t="str">
        <f>IFERROR(VLOOKUP(B1283,infoTable__4[],4,FALSE),"")</f>
        <v/>
      </c>
      <c r="G1283" s="4" t="str">
        <f>IFERROR(VLOOKUP(B1283,infoTable[],4,FALSE),"")</f>
        <v/>
      </c>
      <c r="H1283" s="4" t="str">
        <f>IFERROR(VLOOKUP(B1283,infoTable__6[],4,FALSE),"")</f>
        <v/>
      </c>
      <c r="I1283" s="4" t="str">
        <f>IFERROR(VLOOKUP(B1283,infoTable__28[],4,FALSE),"")</f>
        <v/>
      </c>
      <c r="J1283" s="4" t="str">
        <f>IFERROR(VLOOKUP(B1283,infoTable__10[],4,FALSE),"")</f>
        <v/>
      </c>
      <c r="K1283" s="4" t="str">
        <f>IFERROR(VLOOKUP(B1283,infoTable__11[],4,FALSE),"")</f>
        <v/>
      </c>
      <c r="L1283" s="4" t="str">
        <f>IFERROR(VLOOKUP(B1283,infoTable__12[],4,FALSE),"")</f>
        <v/>
      </c>
      <c r="M1283" s="4" t="str">
        <f>IFERROR(VLOOKUP(B1283,infoTable__13[],4,FALSE),"")</f>
        <v/>
      </c>
      <c r="N1283" s="4" t="str">
        <f>IFERROR(VLOOKUP(B1283,infoTable__14[],4,FALSE),"")</f>
        <v/>
      </c>
      <c r="O1283" s="4" t="str">
        <f>IFERROR(VLOOKUP(B1283,infoTable__15[],4,FALSE),"")</f>
        <v/>
      </c>
      <c r="P1283" s="4">
        <f>IFERROR(VLOOKUP(B1283,infoTable__16[],4,FALSE),"")</f>
        <v>490605</v>
      </c>
    </row>
    <row r="1284" spans="1:16" x14ac:dyDescent="0.55000000000000004">
      <c r="A1284" t="s">
        <v>3129</v>
      </c>
      <c r="B1284" t="s">
        <v>3130</v>
      </c>
      <c r="C1284" s="4" t="str">
        <f>IFERROR(VLOOKUP(B1284,infoTable10[],4,FALSE),"")</f>
        <v/>
      </c>
      <c r="D1284" s="4" t="str">
        <f>IFERROR(VLOOKUP(B1284,infoTable__2[],4,FALSE),"")</f>
        <v/>
      </c>
      <c r="E1284" s="4" t="str">
        <f>IFERROR(VLOOKUP(B1284,infoTable__3[],4,FALSE),"")</f>
        <v/>
      </c>
      <c r="F1284" s="4" t="str">
        <f>IFERROR(VLOOKUP(B1284,infoTable__4[],4,FALSE),"")</f>
        <v/>
      </c>
      <c r="G1284" s="4" t="str">
        <f>IFERROR(VLOOKUP(B1284,infoTable[],4,FALSE),"")</f>
        <v/>
      </c>
      <c r="H1284" s="4" t="str">
        <f>IFERROR(VLOOKUP(B1284,infoTable__6[],4,FALSE),"")</f>
        <v/>
      </c>
      <c r="I1284" s="4" t="str">
        <f>IFERROR(VLOOKUP(B1284,infoTable__28[],4,FALSE),"")</f>
        <v/>
      </c>
      <c r="J1284" s="4" t="str">
        <f>IFERROR(VLOOKUP(B1284,infoTable__10[],4,FALSE),"")</f>
        <v/>
      </c>
      <c r="K1284" s="4" t="str">
        <f>IFERROR(VLOOKUP(B1284,infoTable__11[],4,FALSE),"")</f>
        <v/>
      </c>
      <c r="L1284" s="4" t="str">
        <f>IFERROR(VLOOKUP(B1284,infoTable__12[],4,FALSE),"")</f>
        <v/>
      </c>
      <c r="M1284" s="4" t="str">
        <f>IFERROR(VLOOKUP(B1284,infoTable__13[],4,FALSE),"")</f>
        <v/>
      </c>
      <c r="N1284" s="4" t="str">
        <f>IFERROR(VLOOKUP(B1284,infoTable__14[],4,FALSE),"")</f>
        <v/>
      </c>
      <c r="O1284" s="4">
        <f>IFERROR(VLOOKUP(B1284,infoTable__15[],4,FALSE),"")</f>
        <v>100115</v>
      </c>
      <c r="P1284" s="4" t="str">
        <f>IFERROR(VLOOKUP(B1284,infoTable__16[],4,FALSE),"")</f>
        <v/>
      </c>
    </row>
    <row r="1285" spans="1:16" x14ac:dyDescent="0.55000000000000004">
      <c r="A1285" t="s">
        <v>1972</v>
      </c>
      <c r="B1285" t="s">
        <v>1973</v>
      </c>
      <c r="C1285" s="4" t="str">
        <f>IFERROR(VLOOKUP(B1285,infoTable10[],4,FALSE),"")</f>
        <v/>
      </c>
      <c r="D1285" s="4" t="str">
        <f>IFERROR(VLOOKUP(B1285,infoTable__2[],4,FALSE),"")</f>
        <v/>
      </c>
      <c r="E1285" s="4" t="str">
        <f>IFERROR(VLOOKUP(B1285,infoTable__3[],4,FALSE),"")</f>
        <v/>
      </c>
      <c r="F1285" s="4" t="str">
        <f>IFERROR(VLOOKUP(B1285,infoTable__4[],4,FALSE),"")</f>
        <v/>
      </c>
      <c r="G1285" s="4" t="str">
        <f>IFERROR(VLOOKUP(B1285,infoTable[],4,FALSE),"")</f>
        <v/>
      </c>
      <c r="H1285" s="4" t="str">
        <f>IFERROR(VLOOKUP(B1285,infoTable__6[],4,FALSE),"")</f>
        <v/>
      </c>
      <c r="I1285" s="4" t="str">
        <f>IFERROR(VLOOKUP(B1285,infoTable__28[],4,FALSE),"")</f>
        <v/>
      </c>
      <c r="J1285" s="4" t="str">
        <f>IFERROR(VLOOKUP(B1285,infoTable__10[],4,FALSE),"")</f>
        <v/>
      </c>
      <c r="K1285" s="4">
        <f>IFERROR(VLOOKUP(B1285,infoTable__11[],4,FALSE),"")</f>
        <v>1221044</v>
      </c>
      <c r="L1285" s="4">
        <f>IFERROR(VLOOKUP(B1285,infoTable__12[],4,FALSE),"")</f>
        <v>719368</v>
      </c>
      <c r="M1285" s="4" t="str">
        <f>IFERROR(VLOOKUP(B1285,infoTable__13[],4,FALSE),"")</f>
        <v/>
      </c>
      <c r="N1285" s="4" t="str">
        <f>IFERROR(VLOOKUP(B1285,infoTable__14[],4,FALSE),"")</f>
        <v/>
      </c>
      <c r="O1285" s="4" t="str">
        <f>IFERROR(VLOOKUP(B1285,infoTable__15[],4,FALSE),"")</f>
        <v/>
      </c>
      <c r="P1285" s="4" t="str">
        <f>IFERROR(VLOOKUP(B1285,infoTable__16[],4,FALSE),"")</f>
        <v/>
      </c>
    </row>
    <row r="1286" spans="1:16" x14ac:dyDescent="0.55000000000000004">
      <c r="A1286" t="s">
        <v>1726</v>
      </c>
      <c r="B1286" t="s">
        <v>1727</v>
      </c>
      <c r="C1286" s="4" t="str">
        <f>IFERROR(VLOOKUP(B1286,infoTable10[],4,FALSE),"")</f>
        <v/>
      </c>
      <c r="D1286" s="4" t="str">
        <f>IFERROR(VLOOKUP(B1286,infoTable__2[],4,FALSE),"")</f>
        <v/>
      </c>
      <c r="E1286" s="4" t="str">
        <f>IFERROR(VLOOKUP(B1286,infoTable__3[],4,FALSE),"")</f>
        <v/>
      </c>
      <c r="F1286" s="4" t="str">
        <f>IFERROR(VLOOKUP(B1286,infoTable__4[],4,FALSE),"")</f>
        <v/>
      </c>
      <c r="G1286" s="4" t="str">
        <f>IFERROR(VLOOKUP(B1286,infoTable[],4,FALSE),"")</f>
        <v/>
      </c>
      <c r="H1286" s="4" t="str">
        <f>IFERROR(VLOOKUP(B1286,infoTable__6[],4,FALSE),"")</f>
        <v/>
      </c>
      <c r="I1286" s="4" t="str">
        <f>IFERROR(VLOOKUP(B1286,infoTable__28[],4,FALSE),"")</f>
        <v/>
      </c>
      <c r="J1286" s="4">
        <f>IFERROR(VLOOKUP(B1286,infoTable__10[],4,FALSE),"")</f>
        <v>55892</v>
      </c>
      <c r="K1286" s="4" t="str">
        <f>IFERROR(VLOOKUP(B1286,infoTable__11[],4,FALSE),"")</f>
        <v/>
      </c>
      <c r="L1286" s="4">
        <f>IFERROR(VLOOKUP(B1286,infoTable__12[],4,FALSE),"")</f>
        <v>373093</v>
      </c>
      <c r="M1286" s="4">
        <f>IFERROR(VLOOKUP(B1286,infoTable__13[],4,FALSE),"")</f>
        <v>1288702</v>
      </c>
      <c r="N1286" s="4">
        <f>IFERROR(VLOOKUP(B1286,infoTable__14[],4,FALSE),"")</f>
        <v>1112821</v>
      </c>
      <c r="O1286" s="4" t="str">
        <f>IFERROR(VLOOKUP(B1286,infoTable__15[],4,FALSE),"")</f>
        <v/>
      </c>
      <c r="P1286" s="4">
        <f>IFERROR(VLOOKUP(B1286,infoTable__16[],4,FALSE),"")</f>
        <v>576906</v>
      </c>
    </row>
    <row r="1287" spans="1:16" x14ac:dyDescent="0.55000000000000004">
      <c r="A1287" t="s">
        <v>1974</v>
      </c>
      <c r="B1287" t="s">
        <v>1975</v>
      </c>
      <c r="C1287" s="4" t="str">
        <f>IFERROR(VLOOKUP(B1287,infoTable10[],4,FALSE),"")</f>
        <v/>
      </c>
      <c r="D1287" s="4" t="str">
        <f>IFERROR(VLOOKUP(B1287,infoTable__2[],4,FALSE),"")</f>
        <v/>
      </c>
      <c r="E1287" s="4" t="str">
        <f>IFERROR(VLOOKUP(B1287,infoTable__3[],4,FALSE),"")</f>
        <v/>
      </c>
      <c r="F1287" s="4" t="str">
        <f>IFERROR(VLOOKUP(B1287,infoTable__4[],4,FALSE),"")</f>
        <v/>
      </c>
      <c r="G1287" s="4" t="str">
        <f>IFERROR(VLOOKUP(B1287,infoTable[],4,FALSE),"")</f>
        <v/>
      </c>
      <c r="H1287" s="4" t="str">
        <f>IFERROR(VLOOKUP(B1287,infoTable__6[],4,FALSE),"")</f>
        <v/>
      </c>
      <c r="I1287" s="4" t="str">
        <f>IFERROR(VLOOKUP(B1287,infoTable__28[],4,FALSE),"")</f>
        <v/>
      </c>
      <c r="J1287" s="4" t="str">
        <f>IFERROR(VLOOKUP(B1287,infoTable__10[],4,FALSE),"")</f>
        <v/>
      </c>
      <c r="K1287" s="4">
        <f>IFERROR(VLOOKUP(B1287,infoTable__11[],4,FALSE),"")</f>
        <v>372294</v>
      </c>
      <c r="L1287" s="4">
        <f>IFERROR(VLOOKUP(B1287,infoTable__12[],4,FALSE),"")</f>
        <v>309550</v>
      </c>
      <c r="M1287" s="4" t="str">
        <f>IFERROR(VLOOKUP(B1287,infoTable__13[],4,FALSE),"")</f>
        <v/>
      </c>
      <c r="N1287" s="4" t="str">
        <f>IFERROR(VLOOKUP(B1287,infoTable__14[],4,FALSE),"")</f>
        <v/>
      </c>
      <c r="O1287" s="4" t="str">
        <f>IFERROR(VLOOKUP(B1287,infoTable__15[],4,FALSE),"")</f>
        <v/>
      </c>
      <c r="P1287" s="4" t="str">
        <f>IFERROR(VLOOKUP(B1287,infoTable__16[],4,FALSE),"")</f>
        <v/>
      </c>
    </row>
    <row r="1288" spans="1:16" x14ac:dyDescent="0.55000000000000004">
      <c r="A1288" t="s">
        <v>1537</v>
      </c>
      <c r="B1288" t="s">
        <v>1538</v>
      </c>
      <c r="C1288" s="4">
        <f>IFERROR(VLOOKUP(B1288,infoTable10[],4,FALSE),"")</f>
        <v>225625</v>
      </c>
      <c r="D1288" s="4" t="str">
        <f>IFERROR(VLOOKUP(B1288,infoTable__2[],4,FALSE),"")</f>
        <v/>
      </c>
      <c r="E1288" s="4" t="str">
        <f>IFERROR(VLOOKUP(B1288,infoTable__3[],4,FALSE),"")</f>
        <v/>
      </c>
      <c r="F1288" s="4" t="str">
        <f>IFERROR(VLOOKUP(B1288,infoTable__4[],4,FALSE),"")</f>
        <v/>
      </c>
      <c r="G1288" s="4" t="str">
        <f>IFERROR(VLOOKUP(B1288,infoTable[],4,FALSE),"")</f>
        <v/>
      </c>
      <c r="H1288" s="4" t="str">
        <f>IFERROR(VLOOKUP(B1288,infoTable__6[],4,FALSE),"")</f>
        <v/>
      </c>
      <c r="I1288" s="4" t="str">
        <f>IFERROR(VLOOKUP(B1288,infoTable__28[],4,FALSE),"")</f>
        <v/>
      </c>
      <c r="J1288" s="4" t="str">
        <f>IFERROR(VLOOKUP(B1288,infoTable__10[],4,FALSE),"")</f>
        <v/>
      </c>
      <c r="K1288" s="4" t="str">
        <f>IFERROR(VLOOKUP(B1288,infoTable__11[],4,FALSE),"")</f>
        <v/>
      </c>
      <c r="L1288" s="4" t="str">
        <f>IFERROR(VLOOKUP(B1288,infoTable__12[],4,FALSE),"")</f>
        <v/>
      </c>
      <c r="M1288" s="4" t="str">
        <f>IFERROR(VLOOKUP(B1288,infoTable__13[],4,FALSE),"")</f>
        <v/>
      </c>
      <c r="N1288" s="4" t="str">
        <f>IFERROR(VLOOKUP(B1288,infoTable__14[],4,FALSE),"")</f>
        <v/>
      </c>
      <c r="O1288" s="4" t="str">
        <f>IFERROR(VLOOKUP(B1288,infoTable__15[],4,FALSE),"")</f>
        <v/>
      </c>
      <c r="P1288" s="4" t="str">
        <f>IFERROR(VLOOKUP(B1288,infoTable__16[],4,FALSE),"")</f>
        <v/>
      </c>
    </row>
    <row r="1289" spans="1:16" x14ac:dyDescent="0.55000000000000004">
      <c r="A1289" t="s">
        <v>889</v>
      </c>
      <c r="B1289" t="s">
        <v>890</v>
      </c>
      <c r="C1289" s="4" t="str">
        <f>IFERROR(VLOOKUP(B1289,infoTable10[],4,FALSE),"")</f>
        <v/>
      </c>
      <c r="D1289" s="4" t="str">
        <f>IFERROR(VLOOKUP(B1289,infoTable__2[],4,FALSE),"")</f>
        <v/>
      </c>
      <c r="E1289" s="4" t="str">
        <f>IFERROR(VLOOKUP(B1289,infoTable__3[],4,FALSE),"")</f>
        <v/>
      </c>
      <c r="F1289" s="4">
        <f>IFERROR(VLOOKUP(B1289,infoTable__4[],4,FALSE),"")</f>
        <v>178483</v>
      </c>
      <c r="G1289" s="4" t="str">
        <f>IFERROR(VLOOKUP(B1289,infoTable[],4,FALSE),"")</f>
        <v/>
      </c>
      <c r="H1289" s="4" t="str">
        <f>IFERROR(VLOOKUP(B1289,infoTable__6[],4,FALSE),"")</f>
        <v/>
      </c>
      <c r="I1289" s="4" t="str">
        <f>IFERROR(VLOOKUP(B1289,infoTable__28[],4,FALSE),"")</f>
        <v/>
      </c>
      <c r="J1289" s="4" t="str">
        <f>IFERROR(VLOOKUP(B1289,infoTable__10[],4,FALSE),"")</f>
        <v/>
      </c>
      <c r="K1289" s="4" t="str">
        <f>IFERROR(VLOOKUP(B1289,infoTable__11[],4,FALSE),"")</f>
        <v/>
      </c>
      <c r="L1289" s="4" t="str">
        <f>IFERROR(VLOOKUP(B1289,infoTable__12[],4,FALSE),"")</f>
        <v/>
      </c>
      <c r="M1289" s="4" t="str">
        <f>IFERROR(VLOOKUP(B1289,infoTable__13[],4,FALSE),"")</f>
        <v/>
      </c>
      <c r="N1289" s="4" t="str">
        <f>IFERROR(VLOOKUP(B1289,infoTable__14[],4,FALSE),"")</f>
        <v/>
      </c>
      <c r="O1289" s="4" t="str">
        <f>IFERROR(VLOOKUP(B1289,infoTable__15[],4,FALSE),"")</f>
        <v/>
      </c>
      <c r="P1289" s="4" t="str">
        <f>IFERROR(VLOOKUP(B1289,infoTable__16[],4,FALSE),"")</f>
        <v/>
      </c>
    </row>
    <row r="1290" spans="1:16" x14ac:dyDescent="0.55000000000000004">
      <c r="A1290" t="s">
        <v>2871</v>
      </c>
      <c r="B1290" t="s">
        <v>2870</v>
      </c>
      <c r="C1290" s="4" t="str">
        <f>IFERROR(VLOOKUP(B1290,infoTable10[],4,FALSE),"")</f>
        <v/>
      </c>
      <c r="D1290" s="4" t="str">
        <f>IFERROR(VLOOKUP(B1290,infoTable__2[],4,FALSE),"")</f>
        <v/>
      </c>
      <c r="E1290" s="4" t="str">
        <f>IFERROR(VLOOKUP(B1290,infoTable__3[],4,FALSE),"")</f>
        <v/>
      </c>
      <c r="F1290" s="4" t="str">
        <f>IFERROR(VLOOKUP(B1290,infoTable__4[],4,FALSE),"")</f>
        <v/>
      </c>
      <c r="G1290" s="4" t="str">
        <f>IFERROR(VLOOKUP(B1290,infoTable[],4,FALSE),"")</f>
        <v/>
      </c>
      <c r="H1290" s="4" t="str">
        <f>IFERROR(VLOOKUP(B1290,infoTable__6[],4,FALSE),"")</f>
        <v/>
      </c>
      <c r="I1290" s="4" t="str">
        <f>IFERROR(VLOOKUP(B1290,infoTable__28[],4,FALSE),"")</f>
        <v/>
      </c>
      <c r="J1290" s="4" t="str">
        <f>IFERROR(VLOOKUP(B1290,infoTable__10[],4,FALSE),"")</f>
        <v/>
      </c>
      <c r="K1290" s="4" t="str">
        <f>IFERROR(VLOOKUP(B1290,infoTable__11[],4,FALSE),"")</f>
        <v/>
      </c>
      <c r="L1290" s="4" t="str">
        <f>IFERROR(VLOOKUP(B1290,infoTable__12[],4,FALSE),"")</f>
        <v/>
      </c>
      <c r="M1290" s="4" t="str">
        <f>IFERROR(VLOOKUP(B1290,infoTable__13[],4,FALSE),"")</f>
        <v/>
      </c>
      <c r="N1290" s="4">
        <f>IFERROR(VLOOKUP(B1290,infoTable__14[],4,FALSE),"")</f>
        <v>6379345</v>
      </c>
      <c r="O1290" s="4">
        <f>IFERROR(VLOOKUP(B1290,infoTable__15[],4,FALSE),"")</f>
        <v>7799132</v>
      </c>
      <c r="P1290" s="4">
        <f>IFERROR(VLOOKUP(B1290,infoTable__16[],4,FALSE),"")</f>
        <v>3129756</v>
      </c>
    </row>
    <row r="1291" spans="1:16" x14ac:dyDescent="0.55000000000000004">
      <c r="A1291" t="s">
        <v>1372</v>
      </c>
      <c r="B1291" t="s">
        <v>1373</v>
      </c>
      <c r="C1291" s="4" t="str">
        <f>IFERROR(VLOOKUP(B1291,infoTable10[],4,FALSE),"")</f>
        <v/>
      </c>
      <c r="D1291" s="4" t="str">
        <f>IFERROR(VLOOKUP(B1291,infoTable__2[],4,FALSE),"")</f>
        <v/>
      </c>
      <c r="E1291" s="4" t="str">
        <f>IFERROR(VLOOKUP(B1291,infoTable__3[],4,FALSE),"")</f>
        <v/>
      </c>
      <c r="F1291" s="4" t="str">
        <f>IFERROR(VLOOKUP(B1291,infoTable__4[],4,FALSE),"")</f>
        <v/>
      </c>
      <c r="G1291" s="4" t="str">
        <f>IFERROR(VLOOKUP(B1291,infoTable[],4,FALSE),"")</f>
        <v/>
      </c>
      <c r="H1291" s="4" t="str">
        <f>IFERROR(VLOOKUP(B1291,infoTable__6[],4,FALSE),"")</f>
        <v/>
      </c>
      <c r="I1291" s="4">
        <f>IFERROR(VLOOKUP(B1291,infoTable__28[],4,FALSE),"")</f>
        <v>275736</v>
      </c>
      <c r="J1291" s="4" t="str">
        <f>IFERROR(VLOOKUP(B1291,infoTable__10[],4,FALSE),"")</f>
        <v/>
      </c>
      <c r="K1291" s="4" t="str">
        <f>IFERROR(VLOOKUP(B1291,infoTable__11[],4,FALSE),"")</f>
        <v/>
      </c>
      <c r="L1291" s="4">
        <f>IFERROR(VLOOKUP(B1291,infoTable__12[],4,FALSE),"")</f>
        <v>255388</v>
      </c>
      <c r="M1291" s="4" t="str">
        <f>IFERROR(VLOOKUP(B1291,infoTable__13[],4,FALSE),"")</f>
        <v/>
      </c>
      <c r="N1291" s="4" t="str">
        <f>IFERROR(VLOOKUP(B1291,infoTable__14[],4,FALSE),"")</f>
        <v/>
      </c>
      <c r="O1291" s="4">
        <f>IFERROR(VLOOKUP(B1291,infoTable__15[],4,FALSE),"")</f>
        <v>1000207</v>
      </c>
      <c r="P1291" s="4">
        <f>IFERROR(VLOOKUP(B1291,infoTable__16[],4,FALSE),"")</f>
        <v>3696822</v>
      </c>
    </row>
    <row r="1292" spans="1:16" x14ac:dyDescent="0.55000000000000004">
      <c r="A1292" t="s">
        <v>1734</v>
      </c>
      <c r="B1292" t="s">
        <v>1735</v>
      </c>
      <c r="C1292" s="4" t="str">
        <f>IFERROR(VLOOKUP(B1292,infoTable10[],4,FALSE),"")</f>
        <v/>
      </c>
      <c r="D1292" s="4" t="str">
        <f>IFERROR(VLOOKUP(B1292,infoTable__2[],4,FALSE),"")</f>
        <v/>
      </c>
      <c r="E1292" s="4" t="str">
        <f>IFERROR(VLOOKUP(B1292,infoTable__3[],4,FALSE),"")</f>
        <v/>
      </c>
      <c r="F1292" s="4" t="str">
        <f>IFERROR(VLOOKUP(B1292,infoTable__4[],4,FALSE),"")</f>
        <v/>
      </c>
      <c r="G1292" s="4" t="str">
        <f>IFERROR(VLOOKUP(B1292,infoTable[],4,FALSE),"")</f>
        <v/>
      </c>
      <c r="H1292" s="4" t="str">
        <f>IFERROR(VLOOKUP(B1292,infoTable__6[],4,FALSE),"")</f>
        <v/>
      </c>
      <c r="I1292" s="4" t="str">
        <f>IFERROR(VLOOKUP(B1292,infoTable__28[],4,FALSE),"")</f>
        <v/>
      </c>
      <c r="J1292" s="4">
        <f>IFERROR(VLOOKUP(B1292,infoTable__10[],4,FALSE),"")</f>
        <v>268894</v>
      </c>
      <c r="K1292" s="4">
        <f>IFERROR(VLOOKUP(B1292,infoTable__11[],4,FALSE),"")</f>
        <v>379851</v>
      </c>
      <c r="L1292" s="4">
        <f>IFERROR(VLOOKUP(B1292,infoTable__12[],4,FALSE),"")</f>
        <v>723282</v>
      </c>
      <c r="M1292" s="4">
        <f>IFERROR(VLOOKUP(B1292,infoTable__13[],4,FALSE),"")</f>
        <v>321626</v>
      </c>
      <c r="N1292" s="4" t="str">
        <f>IFERROR(VLOOKUP(B1292,infoTable__14[],4,FALSE),"")</f>
        <v/>
      </c>
      <c r="O1292" s="4">
        <f>IFERROR(VLOOKUP(B1292,infoTable__15[],4,FALSE),"")</f>
        <v>939410</v>
      </c>
      <c r="P1292" s="4">
        <f>IFERROR(VLOOKUP(B1292,infoTable__16[],4,FALSE),"")</f>
        <v>410961</v>
      </c>
    </row>
    <row r="1293" spans="1:16" x14ac:dyDescent="0.55000000000000004">
      <c r="A1293" t="s">
        <v>3135</v>
      </c>
      <c r="B1293" t="s">
        <v>3136</v>
      </c>
      <c r="C1293" s="4" t="str">
        <f>IFERROR(VLOOKUP(B1293,infoTable10[],4,FALSE),"")</f>
        <v/>
      </c>
      <c r="D1293" s="4" t="str">
        <f>IFERROR(VLOOKUP(B1293,infoTable__2[],4,FALSE),"")</f>
        <v/>
      </c>
      <c r="E1293" s="4" t="str">
        <f>IFERROR(VLOOKUP(B1293,infoTable__3[],4,FALSE),"")</f>
        <v/>
      </c>
      <c r="F1293" s="4" t="str">
        <f>IFERROR(VLOOKUP(B1293,infoTable__4[],4,FALSE),"")</f>
        <v/>
      </c>
      <c r="G1293" s="4" t="str">
        <f>IFERROR(VLOOKUP(B1293,infoTable[],4,FALSE),"")</f>
        <v/>
      </c>
      <c r="H1293" s="4" t="str">
        <f>IFERROR(VLOOKUP(B1293,infoTable__6[],4,FALSE),"")</f>
        <v/>
      </c>
      <c r="I1293" s="4" t="str">
        <f>IFERROR(VLOOKUP(B1293,infoTable__28[],4,FALSE),"")</f>
        <v/>
      </c>
      <c r="J1293" s="4" t="str">
        <f>IFERROR(VLOOKUP(B1293,infoTable__10[],4,FALSE),"")</f>
        <v/>
      </c>
      <c r="K1293" s="4" t="str">
        <f>IFERROR(VLOOKUP(B1293,infoTable__11[],4,FALSE),"")</f>
        <v/>
      </c>
      <c r="L1293" s="4" t="str">
        <f>IFERROR(VLOOKUP(B1293,infoTable__12[],4,FALSE),"")</f>
        <v/>
      </c>
      <c r="M1293" s="4" t="str">
        <f>IFERROR(VLOOKUP(B1293,infoTable__13[],4,FALSE),"")</f>
        <v/>
      </c>
      <c r="N1293" s="4" t="str">
        <f>IFERROR(VLOOKUP(B1293,infoTable__14[],4,FALSE),"")</f>
        <v/>
      </c>
      <c r="O1293" s="4">
        <f>IFERROR(VLOOKUP(B1293,infoTable__15[],4,FALSE),"")</f>
        <v>1692426</v>
      </c>
      <c r="P1293" s="4">
        <f>IFERROR(VLOOKUP(B1293,infoTable__16[],4,FALSE),"")</f>
        <v>1695691</v>
      </c>
    </row>
    <row r="1294" spans="1:16" x14ac:dyDescent="0.55000000000000004">
      <c r="A1294" t="s">
        <v>3480</v>
      </c>
      <c r="B1294" t="s">
        <v>3481</v>
      </c>
      <c r="C1294" s="4" t="str">
        <f>IFERROR(VLOOKUP(B1294,infoTable10[],4,FALSE),"")</f>
        <v/>
      </c>
      <c r="D1294" s="4" t="str">
        <f>IFERROR(VLOOKUP(B1294,infoTable__2[],4,FALSE),"")</f>
        <v/>
      </c>
      <c r="E1294" s="4" t="str">
        <f>IFERROR(VLOOKUP(B1294,infoTable__3[],4,FALSE),"")</f>
        <v/>
      </c>
      <c r="F1294" s="4" t="str">
        <f>IFERROR(VLOOKUP(B1294,infoTable__4[],4,FALSE),"")</f>
        <v/>
      </c>
      <c r="G1294" s="4" t="str">
        <f>IFERROR(VLOOKUP(B1294,infoTable[],4,FALSE),"")</f>
        <v/>
      </c>
      <c r="H1294" s="4" t="str">
        <f>IFERROR(VLOOKUP(B1294,infoTable__6[],4,FALSE),"")</f>
        <v/>
      </c>
      <c r="I1294" s="4" t="str">
        <f>IFERROR(VLOOKUP(B1294,infoTable__28[],4,FALSE),"")</f>
        <v/>
      </c>
      <c r="J1294" s="4" t="str">
        <f>IFERROR(VLOOKUP(B1294,infoTable__10[],4,FALSE),"")</f>
        <v/>
      </c>
      <c r="K1294" s="4" t="str">
        <f>IFERROR(VLOOKUP(B1294,infoTable__11[],4,FALSE),"")</f>
        <v/>
      </c>
      <c r="L1294" s="4" t="str">
        <f>IFERROR(VLOOKUP(B1294,infoTable__12[],4,FALSE),"")</f>
        <v/>
      </c>
      <c r="M1294" s="4" t="str">
        <f>IFERROR(VLOOKUP(B1294,infoTable__13[],4,FALSE),"")</f>
        <v/>
      </c>
      <c r="N1294" s="4" t="str">
        <f>IFERROR(VLOOKUP(B1294,infoTable__14[],4,FALSE),"")</f>
        <v/>
      </c>
      <c r="O1294" s="4" t="str">
        <f>IFERROR(VLOOKUP(B1294,infoTable__15[],4,FALSE),"")</f>
        <v/>
      </c>
      <c r="P1294" s="4">
        <f>IFERROR(VLOOKUP(B1294,infoTable__16[],4,FALSE),"")</f>
        <v>781175</v>
      </c>
    </row>
    <row r="1295" spans="1:16" x14ac:dyDescent="0.55000000000000004">
      <c r="A1295" t="s">
        <v>897</v>
      </c>
      <c r="B1295" t="s">
        <v>898</v>
      </c>
      <c r="C1295" s="4" t="str">
        <f>IFERROR(VLOOKUP(B1295,infoTable10[],4,FALSE),"")</f>
        <v/>
      </c>
      <c r="D1295" s="4" t="str">
        <f>IFERROR(VLOOKUP(B1295,infoTable__2[],4,FALSE),"")</f>
        <v/>
      </c>
      <c r="E1295" s="4" t="str">
        <f>IFERROR(VLOOKUP(B1295,infoTable__3[],4,FALSE),"")</f>
        <v/>
      </c>
      <c r="F1295" s="4">
        <f>IFERROR(VLOOKUP(B1295,infoTable__4[],4,FALSE),"")</f>
        <v>479731</v>
      </c>
      <c r="G1295" s="4" t="str">
        <f>IFERROR(VLOOKUP(B1295,infoTable[],4,FALSE),"")</f>
        <v/>
      </c>
      <c r="H1295" s="4" t="str">
        <f>IFERROR(VLOOKUP(B1295,infoTable__6[],4,FALSE),"")</f>
        <v/>
      </c>
      <c r="I1295" s="4" t="str">
        <f>IFERROR(VLOOKUP(B1295,infoTable__28[],4,FALSE),"")</f>
        <v/>
      </c>
      <c r="J1295" s="4" t="str">
        <f>IFERROR(VLOOKUP(B1295,infoTable__10[],4,FALSE),"")</f>
        <v/>
      </c>
      <c r="K1295" s="4" t="str">
        <f>IFERROR(VLOOKUP(B1295,infoTable__11[],4,FALSE),"")</f>
        <v/>
      </c>
      <c r="L1295" s="4" t="str">
        <f>IFERROR(VLOOKUP(B1295,infoTable__12[],4,FALSE),"")</f>
        <v/>
      </c>
      <c r="M1295" s="4" t="str">
        <f>IFERROR(VLOOKUP(B1295,infoTable__13[],4,FALSE),"")</f>
        <v/>
      </c>
      <c r="N1295" s="4" t="str">
        <f>IFERROR(VLOOKUP(B1295,infoTable__14[],4,FALSE),"")</f>
        <v/>
      </c>
      <c r="O1295" s="4" t="str">
        <f>IFERROR(VLOOKUP(B1295,infoTable__15[],4,FALSE),"")</f>
        <v/>
      </c>
      <c r="P1295" s="4" t="str">
        <f>IFERROR(VLOOKUP(B1295,infoTable__16[],4,FALSE),"")</f>
        <v/>
      </c>
    </row>
    <row r="1296" spans="1:16" x14ac:dyDescent="0.55000000000000004">
      <c r="A1296" t="s">
        <v>2568</v>
      </c>
      <c r="B1296" t="s">
        <v>2569</v>
      </c>
      <c r="C1296" s="4" t="str">
        <f>IFERROR(VLOOKUP(B1296,infoTable10[],4,FALSE),"")</f>
        <v/>
      </c>
      <c r="D1296" s="4" t="str">
        <f>IFERROR(VLOOKUP(B1296,infoTable__2[],4,FALSE),"")</f>
        <v/>
      </c>
      <c r="E1296" s="4" t="str">
        <f>IFERROR(VLOOKUP(B1296,infoTable__3[],4,FALSE),"")</f>
        <v/>
      </c>
      <c r="F1296" s="4" t="str">
        <f>IFERROR(VLOOKUP(B1296,infoTable__4[],4,FALSE),"")</f>
        <v/>
      </c>
      <c r="G1296" s="4" t="str">
        <f>IFERROR(VLOOKUP(B1296,infoTable[],4,FALSE),"")</f>
        <v/>
      </c>
      <c r="H1296" s="4" t="str">
        <f>IFERROR(VLOOKUP(B1296,infoTable__6[],4,FALSE),"")</f>
        <v/>
      </c>
      <c r="I1296" s="4" t="str">
        <f>IFERROR(VLOOKUP(B1296,infoTable__28[],4,FALSE),"")</f>
        <v/>
      </c>
      <c r="J1296" s="4" t="str">
        <f>IFERROR(VLOOKUP(B1296,infoTable__10[],4,FALSE),"")</f>
        <v/>
      </c>
      <c r="K1296" s="4" t="str">
        <f>IFERROR(VLOOKUP(B1296,infoTable__11[],4,FALSE),"")</f>
        <v/>
      </c>
      <c r="L1296" s="4" t="str">
        <f>IFERROR(VLOOKUP(B1296,infoTable__12[],4,FALSE),"")</f>
        <v/>
      </c>
      <c r="M1296" s="4">
        <f>IFERROR(VLOOKUP(B1296,infoTable__13[],4,FALSE),"")</f>
        <v>1320641</v>
      </c>
      <c r="N1296" s="4" t="str">
        <f>IFERROR(VLOOKUP(B1296,infoTable__14[],4,FALSE),"")</f>
        <v/>
      </c>
      <c r="O1296" s="4">
        <f>IFERROR(VLOOKUP(B1296,infoTable__15[],4,FALSE),"")</f>
        <v>1071043</v>
      </c>
      <c r="P1296" s="4">
        <f>IFERROR(VLOOKUP(B1296,infoTable__16[],4,FALSE),"")</f>
        <v>1022508</v>
      </c>
    </row>
    <row r="1297" spans="1:16" x14ac:dyDescent="0.55000000000000004">
      <c r="A1297" t="s">
        <v>3467</v>
      </c>
      <c r="B1297" t="s">
        <v>3468</v>
      </c>
      <c r="C1297" s="4" t="str">
        <f>IFERROR(VLOOKUP(B1297,infoTable10[],4,FALSE),"")</f>
        <v/>
      </c>
      <c r="D1297" s="4" t="str">
        <f>IFERROR(VLOOKUP(B1297,infoTable__2[],4,FALSE),"")</f>
        <v/>
      </c>
      <c r="E1297" s="4" t="str">
        <f>IFERROR(VLOOKUP(B1297,infoTable__3[],4,FALSE),"")</f>
        <v/>
      </c>
      <c r="F1297" s="4" t="str">
        <f>IFERROR(VLOOKUP(B1297,infoTable__4[],4,FALSE),"")</f>
        <v/>
      </c>
      <c r="G1297" s="4" t="str">
        <f>IFERROR(VLOOKUP(B1297,infoTable[],4,FALSE),"")</f>
        <v/>
      </c>
      <c r="H1297" s="4" t="str">
        <f>IFERROR(VLOOKUP(B1297,infoTable__6[],4,FALSE),"")</f>
        <v/>
      </c>
      <c r="I1297" s="4" t="str">
        <f>IFERROR(VLOOKUP(B1297,infoTable__28[],4,FALSE),"")</f>
        <v/>
      </c>
      <c r="J1297" s="4" t="str">
        <f>IFERROR(VLOOKUP(B1297,infoTable__10[],4,FALSE),"")</f>
        <v/>
      </c>
      <c r="K1297" s="4" t="str">
        <f>IFERROR(VLOOKUP(B1297,infoTable__11[],4,FALSE),"")</f>
        <v/>
      </c>
      <c r="L1297" s="4" t="str">
        <f>IFERROR(VLOOKUP(B1297,infoTable__12[],4,FALSE),"")</f>
        <v/>
      </c>
      <c r="M1297" s="4" t="str">
        <f>IFERROR(VLOOKUP(B1297,infoTable__13[],4,FALSE),"")</f>
        <v/>
      </c>
      <c r="N1297" s="4" t="str">
        <f>IFERROR(VLOOKUP(B1297,infoTable__14[],4,FALSE),"")</f>
        <v/>
      </c>
      <c r="O1297" s="4" t="str">
        <f>IFERROR(VLOOKUP(B1297,infoTable__15[],4,FALSE),"")</f>
        <v/>
      </c>
      <c r="P1297" s="4">
        <f>IFERROR(VLOOKUP(B1297,infoTable__16[],4,FALSE),"")</f>
        <v>249958</v>
      </c>
    </row>
    <row r="1298" spans="1:16" x14ac:dyDescent="0.55000000000000004">
      <c r="A1298" t="s">
        <v>778</v>
      </c>
      <c r="B1298" t="s">
        <v>779</v>
      </c>
      <c r="C1298" s="4" t="str">
        <f>IFERROR(VLOOKUP(B1298,infoTable10[],4,FALSE),"")</f>
        <v/>
      </c>
      <c r="D1298" s="4" t="str">
        <f>IFERROR(VLOOKUP(B1298,infoTable__2[],4,FALSE),"")</f>
        <v/>
      </c>
      <c r="E1298" s="4">
        <f>IFERROR(VLOOKUP(B1298,infoTable__3[],4,FALSE),"")</f>
        <v>3871856</v>
      </c>
      <c r="F1298" s="4">
        <f>IFERROR(VLOOKUP(B1298,infoTable__4[],4,FALSE),"")</f>
        <v>1558402</v>
      </c>
      <c r="G1298" s="4" t="str">
        <f>IFERROR(VLOOKUP(B1298,infoTable[],4,FALSE),"")</f>
        <v/>
      </c>
      <c r="H1298" s="4">
        <f>IFERROR(VLOOKUP(B1298,infoTable__6[],4,FALSE),"")</f>
        <v>96634</v>
      </c>
      <c r="I1298" s="4" t="str">
        <f>IFERROR(VLOOKUP(B1298,infoTable__28[],4,FALSE),"")</f>
        <v/>
      </c>
      <c r="J1298" s="4" t="str">
        <f>IFERROR(VLOOKUP(B1298,infoTable__10[],4,FALSE),"")</f>
        <v/>
      </c>
      <c r="K1298" s="4" t="str">
        <f>IFERROR(VLOOKUP(B1298,infoTable__11[],4,FALSE),"")</f>
        <v/>
      </c>
      <c r="L1298" s="4" t="str">
        <f>IFERROR(VLOOKUP(B1298,infoTable__12[],4,FALSE),"")</f>
        <v/>
      </c>
      <c r="M1298" s="4" t="str">
        <f>IFERROR(VLOOKUP(B1298,infoTable__13[],4,FALSE),"")</f>
        <v/>
      </c>
      <c r="N1298" s="4" t="str">
        <f>IFERROR(VLOOKUP(B1298,infoTable__14[],4,FALSE),"")</f>
        <v/>
      </c>
      <c r="O1298" s="4" t="str">
        <f>IFERROR(VLOOKUP(B1298,infoTable__15[],4,FALSE),"")</f>
        <v/>
      </c>
      <c r="P1298" s="4" t="str">
        <f>IFERROR(VLOOKUP(B1298,infoTable__16[],4,FALSE),"")</f>
        <v/>
      </c>
    </row>
    <row r="1299" spans="1:16" x14ac:dyDescent="0.55000000000000004">
      <c r="A1299" t="s">
        <v>340</v>
      </c>
      <c r="B1299" t="s">
        <v>341</v>
      </c>
      <c r="C1299" s="4" t="str">
        <f>IFERROR(VLOOKUP(B1299,infoTable10[],4,FALSE),"")</f>
        <v/>
      </c>
      <c r="D1299" s="4" t="str">
        <f>IFERROR(VLOOKUP(B1299,infoTable__2[],4,FALSE),"")</f>
        <v/>
      </c>
      <c r="E1299" s="4">
        <f>IFERROR(VLOOKUP(B1299,infoTable__3[],4,FALSE),"")</f>
        <v>1463275</v>
      </c>
      <c r="F1299" s="4">
        <f>IFERROR(VLOOKUP(B1299,infoTable__4[],4,FALSE),"")</f>
        <v>326052</v>
      </c>
      <c r="G1299" s="4">
        <f>IFERROR(VLOOKUP(B1299,infoTable[],4,FALSE),"")</f>
        <v>945435</v>
      </c>
      <c r="H1299" s="4" t="str">
        <f>IFERROR(VLOOKUP(B1299,infoTable__6[],4,FALSE),"")</f>
        <v/>
      </c>
      <c r="I1299" s="4">
        <f>IFERROR(VLOOKUP(B1299,infoTable__28[],4,FALSE),"")</f>
        <v>210635</v>
      </c>
      <c r="J1299" s="4">
        <f>IFERROR(VLOOKUP(B1299,infoTable__10[],4,FALSE),"")</f>
        <v>246643</v>
      </c>
      <c r="K1299" s="4">
        <f>IFERROR(VLOOKUP(B1299,infoTable__11[],4,FALSE),"")</f>
        <v>244291</v>
      </c>
      <c r="L1299" s="4">
        <f>IFERROR(VLOOKUP(B1299,infoTable__12[],4,FALSE),"")</f>
        <v>1280628</v>
      </c>
      <c r="M1299" s="4" t="str">
        <f>IFERROR(VLOOKUP(B1299,infoTable__13[],4,FALSE),"")</f>
        <v/>
      </c>
      <c r="N1299" s="4" t="str">
        <f>IFERROR(VLOOKUP(B1299,infoTable__14[],4,FALSE),"")</f>
        <v/>
      </c>
      <c r="O1299" s="4" t="str">
        <f>IFERROR(VLOOKUP(B1299,infoTable__15[],4,FALSE),"")</f>
        <v/>
      </c>
      <c r="P1299" s="4" t="str">
        <f>IFERROR(VLOOKUP(B1299,infoTable__16[],4,FALSE),"")</f>
        <v/>
      </c>
    </row>
    <row r="1300" spans="1:16" x14ac:dyDescent="0.55000000000000004">
      <c r="A1300" t="s">
        <v>2295</v>
      </c>
      <c r="B1300" t="s">
        <v>2296</v>
      </c>
      <c r="C1300" s="4" t="str">
        <f>IFERROR(VLOOKUP(B1300,infoTable10[],4,FALSE),"")</f>
        <v/>
      </c>
      <c r="D1300" s="4" t="str">
        <f>IFERROR(VLOOKUP(B1300,infoTable__2[],4,FALSE),"")</f>
        <v/>
      </c>
      <c r="E1300" s="4" t="str">
        <f>IFERROR(VLOOKUP(B1300,infoTable__3[],4,FALSE),"")</f>
        <v/>
      </c>
      <c r="F1300" s="4" t="str">
        <f>IFERROR(VLOOKUP(B1300,infoTable__4[],4,FALSE),"")</f>
        <v/>
      </c>
      <c r="G1300" s="4" t="str">
        <f>IFERROR(VLOOKUP(B1300,infoTable[],4,FALSE),"")</f>
        <v/>
      </c>
      <c r="H1300" s="4" t="str">
        <f>IFERROR(VLOOKUP(B1300,infoTable__6[],4,FALSE),"")</f>
        <v/>
      </c>
      <c r="I1300" s="4" t="str">
        <f>IFERROR(VLOOKUP(B1300,infoTable__28[],4,FALSE),"")</f>
        <v/>
      </c>
      <c r="J1300" s="4" t="str">
        <f>IFERROR(VLOOKUP(B1300,infoTable__10[],4,FALSE),"")</f>
        <v/>
      </c>
      <c r="K1300" s="4" t="str">
        <f>IFERROR(VLOOKUP(B1300,infoTable__11[],4,FALSE),"")</f>
        <v/>
      </c>
      <c r="L1300" s="4">
        <f>IFERROR(VLOOKUP(B1300,infoTable__12[],4,FALSE),"")</f>
        <v>688103</v>
      </c>
      <c r="M1300" s="4">
        <f>IFERROR(VLOOKUP(B1300,infoTable__13[],4,FALSE),"")</f>
        <v>212056</v>
      </c>
      <c r="N1300" s="4" t="str">
        <f>IFERROR(VLOOKUP(B1300,infoTable__14[],4,FALSE),"")</f>
        <v/>
      </c>
      <c r="O1300" s="4">
        <f>IFERROR(VLOOKUP(B1300,infoTable__15[],4,FALSE),"")</f>
        <v>161437</v>
      </c>
      <c r="P1300" s="4">
        <f>IFERROR(VLOOKUP(B1300,infoTable__16[],4,FALSE),"")</f>
        <v>702419</v>
      </c>
    </row>
    <row r="1301" spans="1:16" x14ac:dyDescent="0.55000000000000004">
      <c r="A1301" t="s">
        <v>1730</v>
      </c>
      <c r="B1301" t="s">
        <v>1731</v>
      </c>
      <c r="C1301" s="4" t="str">
        <f>IFERROR(VLOOKUP(B1301,infoTable10[],4,FALSE),"")</f>
        <v/>
      </c>
      <c r="D1301" s="4" t="str">
        <f>IFERROR(VLOOKUP(B1301,infoTable__2[],4,FALSE),"")</f>
        <v/>
      </c>
      <c r="E1301" s="4" t="str">
        <f>IFERROR(VLOOKUP(B1301,infoTable__3[],4,FALSE),"")</f>
        <v/>
      </c>
      <c r="F1301" s="4" t="str">
        <f>IFERROR(VLOOKUP(B1301,infoTable__4[],4,FALSE),"")</f>
        <v/>
      </c>
      <c r="G1301" s="4" t="str">
        <f>IFERROR(VLOOKUP(B1301,infoTable[],4,FALSE),"")</f>
        <v/>
      </c>
      <c r="H1301" s="4" t="str">
        <f>IFERROR(VLOOKUP(B1301,infoTable__6[],4,FALSE),"")</f>
        <v/>
      </c>
      <c r="I1301" s="4" t="str">
        <f>IFERROR(VLOOKUP(B1301,infoTable__28[],4,FALSE),"")</f>
        <v/>
      </c>
      <c r="J1301" s="4">
        <f>IFERROR(VLOOKUP(B1301,infoTable__10[],4,FALSE),"")</f>
        <v>513918</v>
      </c>
      <c r="K1301" s="4">
        <f>IFERROR(VLOOKUP(B1301,infoTable__11[],4,FALSE),"")</f>
        <v>733157</v>
      </c>
      <c r="L1301" s="4">
        <f>IFERROR(VLOOKUP(B1301,infoTable__12[],4,FALSE),"")</f>
        <v>270502</v>
      </c>
      <c r="M1301" s="4" t="str">
        <f>IFERROR(VLOOKUP(B1301,infoTable__13[],4,FALSE),"")</f>
        <v/>
      </c>
      <c r="N1301" s="4" t="str">
        <f>IFERROR(VLOOKUP(B1301,infoTable__14[],4,FALSE),"")</f>
        <v/>
      </c>
      <c r="O1301" s="4" t="str">
        <f>IFERROR(VLOOKUP(B1301,infoTable__15[],4,FALSE),"")</f>
        <v/>
      </c>
      <c r="P1301" s="4" t="str">
        <f>IFERROR(VLOOKUP(B1301,infoTable__16[],4,FALSE),"")</f>
        <v/>
      </c>
    </row>
    <row r="1302" spans="1:16" x14ac:dyDescent="0.55000000000000004">
      <c r="A1302" t="s">
        <v>1374</v>
      </c>
      <c r="B1302" t="s">
        <v>1375</v>
      </c>
      <c r="C1302" s="4" t="str">
        <f>IFERROR(VLOOKUP(B1302,infoTable10[],4,FALSE),"")</f>
        <v/>
      </c>
      <c r="D1302" s="4" t="str">
        <f>IFERROR(VLOOKUP(B1302,infoTable__2[],4,FALSE),"")</f>
        <v/>
      </c>
      <c r="E1302" s="4" t="str">
        <f>IFERROR(VLOOKUP(B1302,infoTable__3[],4,FALSE),"")</f>
        <v/>
      </c>
      <c r="F1302" s="4" t="str">
        <f>IFERROR(VLOOKUP(B1302,infoTable__4[],4,FALSE),"")</f>
        <v/>
      </c>
      <c r="G1302" s="4" t="str">
        <f>IFERROR(VLOOKUP(B1302,infoTable[],4,FALSE),"")</f>
        <v/>
      </c>
      <c r="H1302" s="4" t="str">
        <f>IFERROR(VLOOKUP(B1302,infoTable__6[],4,FALSE),"")</f>
        <v/>
      </c>
      <c r="I1302" s="4">
        <f>IFERROR(VLOOKUP(B1302,infoTable__28[],4,FALSE),"")</f>
        <v>1426455</v>
      </c>
      <c r="J1302" s="4">
        <f>IFERROR(VLOOKUP(B1302,infoTable__10[],4,FALSE),"")</f>
        <v>1062008</v>
      </c>
      <c r="K1302" s="4">
        <f>IFERROR(VLOOKUP(B1302,infoTable__11[],4,FALSE),"")</f>
        <v>909235</v>
      </c>
      <c r="L1302" s="4">
        <f>IFERROR(VLOOKUP(B1302,infoTable__12[],4,FALSE),"")</f>
        <v>1335022</v>
      </c>
      <c r="M1302" s="4" t="str">
        <f>IFERROR(VLOOKUP(B1302,infoTable__13[],4,FALSE),"")</f>
        <v/>
      </c>
      <c r="N1302" s="4" t="str">
        <f>IFERROR(VLOOKUP(B1302,infoTable__14[],4,FALSE),"")</f>
        <v/>
      </c>
      <c r="O1302" s="4" t="str">
        <f>IFERROR(VLOOKUP(B1302,infoTable__15[],4,FALSE),"")</f>
        <v/>
      </c>
      <c r="P1302" s="4" t="str">
        <f>IFERROR(VLOOKUP(B1302,infoTable__16[],4,FALSE),"")</f>
        <v/>
      </c>
    </row>
    <row r="1303" spans="1:16" x14ac:dyDescent="0.55000000000000004">
      <c r="A1303" t="s">
        <v>662</v>
      </c>
      <c r="B1303" t="s">
        <v>663</v>
      </c>
      <c r="C1303" s="4">
        <f>IFERROR(VLOOKUP(B1303,infoTable10[],4,FALSE),"")</f>
        <v>639794</v>
      </c>
      <c r="D1303" s="4">
        <f>IFERROR(VLOOKUP(B1303,infoTable__2[],4,FALSE),"")</f>
        <v>803526</v>
      </c>
      <c r="E1303" s="4" t="str">
        <f>IFERROR(VLOOKUP(B1303,infoTable__3[],4,FALSE),"")</f>
        <v/>
      </c>
      <c r="F1303" s="4" t="str">
        <f>IFERROR(VLOOKUP(B1303,infoTable__4[],4,FALSE),"")</f>
        <v/>
      </c>
      <c r="G1303" s="4" t="str">
        <f>IFERROR(VLOOKUP(B1303,infoTable[],4,FALSE),"")</f>
        <v/>
      </c>
      <c r="H1303" s="4" t="str">
        <f>IFERROR(VLOOKUP(B1303,infoTable__6[],4,FALSE),"")</f>
        <v/>
      </c>
      <c r="I1303" s="4" t="str">
        <f>IFERROR(VLOOKUP(B1303,infoTable__28[],4,FALSE),"")</f>
        <v/>
      </c>
      <c r="J1303" s="4">
        <f>IFERROR(VLOOKUP(B1303,infoTable__10[],4,FALSE),"")</f>
        <v>913598</v>
      </c>
      <c r="K1303" s="4" t="str">
        <f>IFERROR(VLOOKUP(B1303,infoTable__11[],4,FALSE),"")</f>
        <v/>
      </c>
      <c r="L1303" s="4" t="str">
        <f>IFERROR(VLOOKUP(B1303,infoTable__12[],4,FALSE),"")</f>
        <v/>
      </c>
      <c r="M1303" s="4" t="str">
        <f>IFERROR(VLOOKUP(B1303,infoTable__13[],4,FALSE),"")</f>
        <v/>
      </c>
      <c r="N1303" s="4">
        <f>IFERROR(VLOOKUP(B1303,infoTable__14[],4,FALSE),"")</f>
        <v>269050</v>
      </c>
      <c r="O1303" s="4">
        <f>IFERROR(VLOOKUP(B1303,infoTable__15[],4,FALSE),"")</f>
        <v>1130665</v>
      </c>
      <c r="P1303" s="4">
        <f>IFERROR(VLOOKUP(B1303,infoTable__16[],4,FALSE),"")</f>
        <v>1394805</v>
      </c>
    </row>
    <row r="1304" spans="1:16" x14ac:dyDescent="0.55000000000000004">
      <c r="A1304" t="s">
        <v>664</v>
      </c>
      <c r="B1304" t="s">
        <v>665</v>
      </c>
      <c r="C1304" s="4">
        <f>IFERROR(VLOOKUP(B1304,infoTable10[],4,FALSE),"")</f>
        <v>1273471</v>
      </c>
      <c r="D1304" s="4">
        <f>IFERROR(VLOOKUP(B1304,infoTable__2[],4,FALSE),"")</f>
        <v>1491901</v>
      </c>
      <c r="E1304" s="4">
        <f>IFERROR(VLOOKUP(B1304,infoTable__3[],4,FALSE),"")</f>
        <v>2098021</v>
      </c>
      <c r="F1304" s="4">
        <f>IFERROR(VLOOKUP(B1304,infoTable__4[],4,FALSE),"")</f>
        <v>1125396</v>
      </c>
      <c r="G1304" s="4" t="str">
        <f>IFERROR(VLOOKUP(B1304,infoTable[],4,FALSE),"")</f>
        <v/>
      </c>
      <c r="H1304" s="4" t="str">
        <f>IFERROR(VLOOKUP(B1304,infoTable__6[],4,FALSE),"")</f>
        <v/>
      </c>
      <c r="I1304" s="4" t="str">
        <f>IFERROR(VLOOKUP(B1304,infoTable__28[],4,FALSE),"")</f>
        <v/>
      </c>
      <c r="J1304" s="4" t="str">
        <f>IFERROR(VLOOKUP(B1304,infoTable__10[],4,FALSE),"")</f>
        <v/>
      </c>
      <c r="K1304" s="4" t="str">
        <f>IFERROR(VLOOKUP(B1304,infoTable__11[],4,FALSE),"")</f>
        <v/>
      </c>
      <c r="L1304" s="4" t="str">
        <f>IFERROR(VLOOKUP(B1304,infoTable__12[],4,FALSE),"")</f>
        <v/>
      </c>
      <c r="M1304" s="4" t="str">
        <f>IFERROR(VLOOKUP(B1304,infoTable__13[],4,FALSE),"")</f>
        <v/>
      </c>
      <c r="N1304" s="4" t="str">
        <f>IFERROR(VLOOKUP(B1304,infoTable__14[],4,FALSE),"")</f>
        <v/>
      </c>
      <c r="O1304" s="4" t="str">
        <f>IFERROR(VLOOKUP(B1304,infoTable__15[],4,FALSE),"")</f>
        <v/>
      </c>
      <c r="P1304" s="4" t="str">
        <f>IFERROR(VLOOKUP(B1304,infoTable__16[],4,FALSE),"")</f>
        <v/>
      </c>
    </row>
    <row r="1305" spans="1:16" x14ac:dyDescent="0.55000000000000004">
      <c r="A1305" t="s">
        <v>2299</v>
      </c>
      <c r="B1305" t="s">
        <v>2300</v>
      </c>
      <c r="C1305" s="4" t="str">
        <f>IFERROR(VLOOKUP(B1305,infoTable10[],4,FALSE),"")</f>
        <v/>
      </c>
      <c r="D1305" s="4" t="str">
        <f>IFERROR(VLOOKUP(B1305,infoTable__2[],4,FALSE),"")</f>
        <v/>
      </c>
      <c r="E1305" s="4" t="str">
        <f>IFERROR(VLOOKUP(B1305,infoTable__3[],4,FALSE),"")</f>
        <v/>
      </c>
      <c r="F1305" s="4" t="str">
        <f>IFERROR(VLOOKUP(B1305,infoTable__4[],4,FALSE),"")</f>
        <v/>
      </c>
      <c r="G1305" s="4" t="str">
        <f>IFERROR(VLOOKUP(B1305,infoTable[],4,FALSE),"")</f>
        <v/>
      </c>
      <c r="H1305" s="4" t="str">
        <f>IFERROR(VLOOKUP(B1305,infoTable__6[],4,FALSE),"")</f>
        <v/>
      </c>
      <c r="I1305" s="4" t="str">
        <f>IFERROR(VLOOKUP(B1305,infoTable__28[],4,FALSE),"")</f>
        <v/>
      </c>
      <c r="J1305" s="4" t="str">
        <f>IFERROR(VLOOKUP(B1305,infoTable__10[],4,FALSE),"")</f>
        <v/>
      </c>
      <c r="K1305" s="4" t="str">
        <f>IFERROR(VLOOKUP(B1305,infoTable__11[],4,FALSE),"")</f>
        <v/>
      </c>
      <c r="L1305" s="4">
        <f>IFERROR(VLOOKUP(B1305,infoTable__12[],4,FALSE),"")</f>
        <v>340161</v>
      </c>
      <c r="M1305" s="4" t="str">
        <f>IFERROR(VLOOKUP(B1305,infoTable__13[],4,FALSE),"")</f>
        <v/>
      </c>
      <c r="N1305" s="4" t="str">
        <f>IFERROR(VLOOKUP(B1305,infoTable__14[],4,FALSE),"")</f>
        <v/>
      </c>
      <c r="O1305" s="4" t="str">
        <f>IFERROR(VLOOKUP(B1305,infoTable__15[],4,FALSE),"")</f>
        <v/>
      </c>
      <c r="P1305" s="4" t="str">
        <f>IFERROR(VLOOKUP(B1305,infoTable__16[],4,FALSE),"")</f>
        <v/>
      </c>
    </row>
    <row r="1306" spans="1:16" x14ac:dyDescent="0.55000000000000004">
      <c r="A1306" t="s">
        <v>345</v>
      </c>
      <c r="B1306" t="s">
        <v>346</v>
      </c>
      <c r="C1306" s="4" t="str">
        <f>IFERROR(VLOOKUP(B1306,infoTable10[],4,FALSE),"")</f>
        <v/>
      </c>
      <c r="D1306" s="4">
        <f>IFERROR(VLOOKUP(B1306,infoTable__2[],4,FALSE),"")</f>
        <v>2605670</v>
      </c>
      <c r="E1306" s="4" t="str">
        <f>IFERROR(VLOOKUP(B1306,infoTable__3[],4,FALSE),"")</f>
        <v/>
      </c>
      <c r="F1306" s="4" t="str">
        <f>IFERROR(VLOOKUP(B1306,infoTable__4[],4,FALSE),"")</f>
        <v/>
      </c>
      <c r="G1306" s="4">
        <f>IFERROR(VLOOKUP(B1306,infoTable[],4,FALSE),"")</f>
        <v>517420</v>
      </c>
      <c r="H1306" s="4">
        <f>IFERROR(VLOOKUP(B1306,infoTable__6[],4,FALSE),"")</f>
        <v>930571</v>
      </c>
      <c r="I1306" s="4">
        <f>IFERROR(VLOOKUP(B1306,infoTable__28[],4,FALSE),"")</f>
        <v>1915306</v>
      </c>
      <c r="J1306" s="4">
        <f>IFERROR(VLOOKUP(B1306,infoTable__10[],4,FALSE),"")</f>
        <v>464564</v>
      </c>
      <c r="K1306" s="4" t="str">
        <f>IFERROR(VLOOKUP(B1306,infoTable__11[],4,FALSE),"")</f>
        <v/>
      </c>
      <c r="L1306" s="4" t="str">
        <f>IFERROR(VLOOKUP(B1306,infoTable__12[],4,FALSE),"")</f>
        <v/>
      </c>
      <c r="M1306" s="4" t="str">
        <f>IFERROR(VLOOKUP(B1306,infoTable__13[],4,FALSE),"")</f>
        <v/>
      </c>
      <c r="N1306" s="4" t="str">
        <f>IFERROR(VLOOKUP(B1306,infoTable__14[],4,FALSE),"")</f>
        <v/>
      </c>
      <c r="O1306" s="4" t="str">
        <f>IFERROR(VLOOKUP(B1306,infoTable__15[],4,FALSE),"")</f>
        <v/>
      </c>
      <c r="P1306" s="4" t="str">
        <f>IFERROR(VLOOKUP(B1306,infoTable__16[],4,FALSE),"")</f>
        <v/>
      </c>
    </row>
    <row r="1307" spans="1:16" x14ac:dyDescent="0.55000000000000004">
      <c r="A1307" t="s">
        <v>1376</v>
      </c>
      <c r="B1307" t="s">
        <v>1377</v>
      </c>
      <c r="C1307" s="4" t="str">
        <f>IFERROR(VLOOKUP(B1307,infoTable10[],4,FALSE),"")</f>
        <v/>
      </c>
      <c r="D1307" s="4" t="str">
        <f>IFERROR(VLOOKUP(B1307,infoTable__2[],4,FALSE),"")</f>
        <v/>
      </c>
      <c r="E1307" s="4" t="str">
        <f>IFERROR(VLOOKUP(B1307,infoTable__3[],4,FALSE),"")</f>
        <v/>
      </c>
      <c r="F1307" s="4" t="str">
        <f>IFERROR(VLOOKUP(B1307,infoTable__4[],4,FALSE),"")</f>
        <v/>
      </c>
      <c r="G1307" s="4" t="str">
        <f>IFERROR(VLOOKUP(B1307,infoTable[],4,FALSE),"")</f>
        <v/>
      </c>
      <c r="H1307" s="4" t="str">
        <f>IFERROR(VLOOKUP(B1307,infoTable__6[],4,FALSE),"")</f>
        <v/>
      </c>
      <c r="I1307" s="4">
        <f>IFERROR(VLOOKUP(B1307,infoTable__28[],4,FALSE),"")</f>
        <v>1543583</v>
      </c>
      <c r="J1307" s="4">
        <f>IFERROR(VLOOKUP(B1307,infoTable__10[],4,FALSE),"")</f>
        <v>511862</v>
      </c>
      <c r="K1307" s="4" t="str">
        <f>IFERROR(VLOOKUP(B1307,infoTable__11[],4,FALSE),"")</f>
        <v/>
      </c>
      <c r="L1307" s="4" t="str">
        <f>IFERROR(VLOOKUP(B1307,infoTable__12[],4,FALSE),"")</f>
        <v/>
      </c>
      <c r="M1307" s="4" t="str">
        <f>IFERROR(VLOOKUP(B1307,infoTable__13[],4,FALSE),"")</f>
        <v/>
      </c>
      <c r="N1307" s="4" t="str">
        <f>IFERROR(VLOOKUP(B1307,infoTable__14[],4,FALSE),"")</f>
        <v/>
      </c>
      <c r="O1307" s="4" t="str">
        <f>IFERROR(VLOOKUP(B1307,infoTable__15[],4,FALSE),"")</f>
        <v/>
      </c>
      <c r="P1307" s="4" t="str">
        <f>IFERROR(VLOOKUP(B1307,infoTable__16[],4,FALSE),"")</f>
        <v/>
      </c>
    </row>
    <row r="1308" spans="1:16" x14ac:dyDescent="0.55000000000000004">
      <c r="A1308" t="s">
        <v>666</v>
      </c>
      <c r="B1308" t="s">
        <v>667</v>
      </c>
      <c r="C1308" s="4" t="str">
        <f>IFERROR(VLOOKUP(B1308,infoTable10[],4,FALSE),"")</f>
        <v/>
      </c>
      <c r="D1308" s="4">
        <f>IFERROR(VLOOKUP(B1308,infoTable__2[],4,FALSE),"")</f>
        <v>2338050</v>
      </c>
      <c r="E1308" s="4">
        <f>IFERROR(VLOOKUP(B1308,infoTable__3[],4,FALSE),"")</f>
        <v>764877</v>
      </c>
      <c r="F1308" s="4">
        <f>IFERROR(VLOOKUP(B1308,infoTable__4[],4,FALSE),"")</f>
        <v>568358</v>
      </c>
      <c r="G1308" s="4" t="str">
        <f>IFERROR(VLOOKUP(B1308,infoTable[],4,FALSE),"")</f>
        <v/>
      </c>
      <c r="H1308" s="4" t="str">
        <f>IFERROR(VLOOKUP(B1308,infoTable__6[],4,FALSE),"")</f>
        <v/>
      </c>
      <c r="I1308" s="4" t="str">
        <f>IFERROR(VLOOKUP(B1308,infoTable__28[],4,FALSE),"")</f>
        <v/>
      </c>
      <c r="J1308" s="4" t="str">
        <f>IFERROR(VLOOKUP(B1308,infoTable__10[],4,FALSE),"")</f>
        <v/>
      </c>
      <c r="K1308" s="4" t="str">
        <f>IFERROR(VLOOKUP(B1308,infoTable__11[],4,FALSE),"")</f>
        <v/>
      </c>
      <c r="L1308" s="4" t="str">
        <f>IFERROR(VLOOKUP(B1308,infoTable__12[],4,FALSE),"")</f>
        <v/>
      </c>
      <c r="M1308" s="4" t="str">
        <f>IFERROR(VLOOKUP(B1308,infoTable__13[],4,FALSE),"")</f>
        <v/>
      </c>
      <c r="N1308" s="4" t="str">
        <f>IFERROR(VLOOKUP(B1308,infoTable__14[],4,FALSE),"")</f>
        <v/>
      </c>
      <c r="O1308" s="4" t="str">
        <f>IFERROR(VLOOKUP(B1308,infoTable__15[],4,FALSE),"")</f>
        <v/>
      </c>
      <c r="P1308" s="4" t="str">
        <f>IFERROR(VLOOKUP(B1308,infoTable__16[],4,FALSE),"")</f>
        <v/>
      </c>
    </row>
    <row r="1309" spans="1:16" x14ac:dyDescent="0.55000000000000004">
      <c r="A1309" t="s">
        <v>347</v>
      </c>
      <c r="B1309" t="s">
        <v>348</v>
      </c>
      <c r="C1309" s="4" t="str">
        <f>IFERROR(VLOOKUP(B1309,infoTable10[],4,FALSE),"")</f>
        <v/>
      </c>
      <c r="D1309" s="4">
        <f>IFERROR(VLOOKUP(B1309,infoTable__2[],4,FALSE),"")</f>
        <v>918798</v>
      </c>
      <c r="E1309" s="4">
        <f>IFERROR(VLOOKUP(B1309,infoTable__3[],4,FALSE),"")</f>
        <v>6095719</v>
      </c>
      <c r="F1309" s="4">
        <f>IFERROR(VLOOKUP(B1309,infoTable__4[],4,FALSE),"")</f>
        <v>2349507</v>
      </c>
      <c r="G1309" s="4">
        <f>IFERROR(VLOOKUP(B1309,infoTable[],4,FALSE),"")</f>
        <v>678212</v>
      </c>
      <c r="H1309" s="4" t="str">
        <f>IFERROR(VLOOKUP(B1309,infoTable__6[],4,FALSE),"")</f>
        <v/>
      </c>
      <c r="I1309" s="4" t="str">
        <f>IFERROR(VLOOKUP(B1309,infoTable__28[],4,FALSE),"")</f>
        <v/>
      </c>
      <c r="J1309" s="4" t="str">
        <f>IFERROR(VLOOKUP(B1309,infoTable__10[],4,FALSE),"")</f>
        <v/>
      </c>
      <c r="K1309" s="4" t="str">
        <f>IFERROR(VLOOKUP(B1309,infoTable__11[],4,FALSE),"")</f>
        <v/>
      </c>
      <c r="L1309" s="4" t="str">
        <f>IFERROR(VLOOKUP(B1309,infoTable__12[],4,FALSE),"")</f>
        <v/>
      </c>
      <c r="M1309" s="4" t="str">
        <f>IFERROR(VLOOKUP(B1309,infoTable__13[],4,FALSE),"")</f>
        <v/>
      </c>
      <c r="N1309" s="4" t="str">
        <f>IFERROR(VLOOKUP(B1309,infoTable__14[],4,FALSE),"")</f>
        <v/>
      </c>
      <c r="O1309" s="4">
        <f>IFERROR(VLOOKUP(B1309,infoTable__15[],4,FALSE),"")</f>
        <v>2576776</v>
      </c>
      <c r="P1309" s="4" t="str">
        <f>IFERROR(VLOOKUP(B1309,infoTable__16[],4,FALSE),"")</f>
        <v/>
      </c>
    </row>
    <row r="1310" spans="1:16" x14ac:dyDescent="0.55000000000000004">
      <c r="A1310" t="s">
        <v>2557</v>
      </c>
      <c r="B1310" t="s">
        <v>2558</v>
      </c>
      <c r="C1310" s="4" t="str">
        <f>IFERROR(VLOOKUP(B1310,infoTable10[],4,FALSE),"")</f>
        <v/>
      </c>
      <c r="D1310" s="4" t="str">
        <f>IFERROR(VLOOKUP(B1310,infoTable__2[],4,FALSE),"")</f>
        <v/>
      </c>
      <c r="E1310" s="4" t="str">
        <f>IFERROR(VLOOKUP(B1310,infoTable__3[],4,FALSE),"")</f>
        <v/>
      </c>
      <c r="F1310" s="4" t="str">
        <f>IFERROR(VLOOKUP(B1310,infoTable__4[],4,FALSE),"")</f>
        <v/>
      </c>
      <c r="G1310" s="4" t="str">
        <f>IFERROR(VLOOKUP(B1310,infoTable[],4,FALSE),"")</f>
        <v/>
      </c>
      <c r="H1310" s="4" t="str">
        <f>IFERROR(VLOOKUP(B1310,infoTable__6[],4,FALSE),"")</f>
        <v/>
      </c>
      <c r="I1310" s="4" t="str">
        <f>IFERROR(VLOOKUP(B1310,infoTable__28[],4,FALSE),"")</f>
        <v/>
      </c>
      <c r="J1310" s="4" t="str">
        <f>IFERROR(VLOOKUP(B1310,infoTable__10[],4,FALSE),"")</f>
        <v/>
      </c>
      <c r="K1310" s="4" t="str">
        <f>IFERROR(VLOOKUP(B1310,infoTable__11[],4,FALSE),"")</f>
        <v/>
      </c>
      <c r="L1310" s="4" t="str">
        <f>IFERROR(VLOOKUP(B1310,infoTable__12[],4,FALSE),"")</f>
        <v/>
      </c>
      <c r="M1310" s="4">
        <f>IFERROR(VLOOKUP(B1310,infoTable__13[],4,FALSE),"")</f>
        <v>395755</v>
      </c>
      <c r="N1310" s="4">
        <f>IFERROR(VLOOKUP(B1310,infoTable__14[],4,FALSE),"")</f>
        <v>723300</v>
      </c>
      <c r="O1310" s="4" t="str">
        <f>IFERROR(VLOOKUP(B1310,infoTable__15[],4,FALSE),"")</f>
        <v/>
      </c>
      <c r="P1310" s="4" t="str">
        <f>IFERROR(VLOOKUP(B1310,infoTable__16[],4,FALSE),"")</f>
        <v/>
      </c>
    </row>
    <row r="1311" spans="1:16" x14ac:dyDescent="0.55000000000000004">
      <c r="A1311" t="s">
        <v>2555</v>
      </c>
      <c r="B1311" t="s">
        <v>2556</v>
      </c>
      <c r="C1311" s="4" t="str">
        <f>IFERROR(VLOOKUP(B1311,infoTable10[],4,FALSE),"")</f>
        <v/>
      </c>
      <c r="D1311" s="4" t="str">
        <f>IFERROR(VLOOKUP(B1311,infoTable__2[],4,FALSE),"")</f>
        <v/>
      </c>
      <c r="E1311" s="4" t="str">
        <f>IFERROR(VLOOKUP(B1311,infoTable__3[],4,FALSE),"")</f>
        <v/>
      </c>
      <c r="F1311" s="4" t="str">
        <f>IFERROR(VLOOKUP(B1311,infoTable__4[],4,FALSE),"")</f>
        <v/>
      </c>
      <c r="G1311" s="4" t="str">
        <f>IFERROR(VLOOKUP(B1311,infoTable[],4,FALSE),"")</f>
        <v/>
      </c>
      <c r="H1311" s="4" t="str">
        <f>IFERROR(VLOOKUP(B1311,infoTable__6[],4,FALSE),"")</f>
        <v/>
      </c>
      <c r="I1311" s="4" t="str">
        <f>IFERROR(VLOOKUP(B1311,infoTable__28[],4,FALSE),"")</f>
        <v/>
      </c>
      <c r="J1311" s="4" t="str">
        <f>IFERROR(VLOOKUP(B1311,infoTable__10[],4,FALSE),"")</f>
        <v/>
      </c>
      <c r="K1311" s="4" t="str">
        <f>IFERROR(VLOOKUP(B1311,infoTable__11[],4,FALSE),"")</f>
        <v/>
      </c>
      <c r="L1311" s="4" t="str">
        <f>IFERROR(VLOOKUP(B1311,infoTable__12[],4,FALSE),"")</f>
        <v/>
      </c>
      <c r="M1311" s="4">
        <f>IFERROR(VLOOKUP(B1311,infoTable__13[],4,FALSE),"")</f>
        <v>120300</v>
      </c>
      <c r="N1311" s="4">
        <f>IFERROR(VLOOKUP(B1311,infoTable__14[],4,FALSE),"")</f>
        <v>110582</v>
      </c>
      <c r="O1311" s="4">
        <f>IFERROR(VLOOKUP(B1311,infoTable__15[],4,FALSE),"")</f>
        <v>2846277</v>
      </c>
      <c r="P1311" s="4">
        <f>IFERROR(VLOOKUP(B1311,infoTable__16[],4,FALSE),"")</f>
        <v>842188</v>
      </c>
    </row>
    <row r="1312" spans="1:16" x14ac:dyDescent="0.55000000000000004">
      <c r="A1312" t="s">
        <v>893</v>
      </c>
      <c r="B1312" t="s">
        <v>894</v>
      </c>
      <c r="C1312" s="4" t="str">
        <f>IFERROR(VLOOKUP(B1312,infoTable10[],4,FALSE),"")</f>
        <v/>
      </c>
      <c r="D1312" s="4" t="str">
        <f>IFERROR(VLOOKUP(B1312,infoTable__2[],4,FALSE),"")</f>
        <v/>
      </c>
      <c r="E1312" s="4" t="str">
        <f>IFERROR(VLOOKUP(B1312,infoTable__3[],4,FALSE),"")</f>
        <v/>
      </c>
      <c r="F1312" s="4">
        <f>IFERROR(VLOOKUP(B1312,infoTable__4[],4,FALSE),"")</f>
        <v>116423</v>
      </c>
      <c r="G1312" s="4" t="str">
        <f>IFERROR(VLOOKUP(B1312,infoTable[],4,FALSE),"")</f>
        <v/>
      </c>
      <c r="H1312" s="4" t="str">
        <f>IFERROR(VLOOKUP(B1312,infoTable__6[],4,FALSE),"")</f>
        <v/>
      </c>
      <c r="I1312" s="4" t="str">
        <f>IFERROR(VLOOKUP(B1312,infoTable__28[],4,FALSE),"")</f>
        <v/>
      </c>
      <c r="J1312" s="4">
        <f>IFERROR(VLOOKUP(B1312,infoTable__10[],4,FALSE),"")</f>
        <v>838375</v>
      </c>
      <c r="K1312" s="4">
        <f>IFERROR(VLOOKUP(B1312,infoTable__11[],4,FALSE),"")</f>
        <v>2315183</v>
      </c>
      <c r="L1312" s="4">
        <f>IFERROR(VLOOKUP(B1312,infoTable__12[],4,FALSE),"")</f>
        <v>793546</v>
      </c>
      <c r="M1312" s="4">
        <f>IFERROR(VLOOKUP(B1312,infoTable__13[],4,FALSE),"")</f>
        <v>453918</v>
      </c>
      <c r="N1312" s="4">
        <f>IFERROR(VLOOKUP(B1312,infoTable__14[],4,FALSE),"")</f>
        <v>230310</v>
      </c>
      <c r="O1312" s="4" t="str">
        <f>IFERROR(VLOOKUP(B1312,infoTable__15[],4,FALSE),"")</f>
        <v/>
      </c>
      <c r="P1312" s="4">
        <f>IFERROR(VLOOKUP(B1312,infoTable__16[],4,FALSE),"")</f>
        <v>361042</v>
      </c>
    </row>
    <row r="1313" spans="1:16" x14ac:dyDescent="0.55000000000000004">
      <c r="A1313" t="s">
        <v>1592</v>
      </c>
      <c r="B1313" t="s">
        <v>1083</v>
      </c>
      <c r="C1313" s="4" t="str">
        <f>IFERROR(VLOOKUP(B1313,infoTable10[],4,FALSE),"")</f>
        <v/>
      </c>
      <c r="D1313" s="4" t="str">
        <f>IFERROR(VLOOKUP(B1313,infoTable__2[],4,FALSE),"")</f>
        <v/>
      </c>
      <c r="E1313" s="4" t="str">
        <f>IFERROR(VLOOKUP(B1313,infoTable__3[],4,FALSE),"")</f>
        <v/>
      </c>
      <c r="F1313" s="4" t="str">
        <f>IFERROR(VLOOKUP(B1313,infoTable__4[],4,FALSE),"")</f>
        <v/>
      </c>
      <c r="G1313" s="4" t="str">
        <f>IFERROR(VLOOKUP(B1313,infoTable[],4,FALSE),"")</f>
        <v/>
      </c>
      <c r="H1313" s="4">
        <f>IFERROR(VLOOKUP(B1313,infoTable__6[],4,FALSE),"")</f>
        <v>302783</v>
      </c>
      <c r="I1313" s="4" t="str">
        <f>IFERROR(VLOOKUP(B1313,infoTable__28[],4,FALSE),"")</f>
        <v/>
      </c>
      <c r="J1313" s="4" t="str">
        <f>IFERROR(VLOOKUP(B1313,infoTable__10[],4,FALSE),"")</f>
        <v/>
      </c>
      <c r="K1313" s="4" t="str">
        <f>IFERROR(VLOOKUP(B1313,infoTable__11[],4,FALSE),"")</f>
        <v/>
      </c>
      <c r="L1313" s="4" t="str">
        <f>IFERROR(VLOOKUP(B1313,infoTable__12[],4,FALSE),"")</f>
        <v/>
      </c>
      <c r="M1313" s="4" t="str">
        <f>IFERROR(VLOOKUP(B1313,infoTable__13[],4,FALSE),"")</f>
        <v/>
      </c>
      <c r="N1313" s="4" t="str">
        <f>IFERROR(VLOOKUP(B1313,infoTable__14[],4,FALSE),"")</f>
        <v/>
      </c>
      <c r="O1313" s="4" t="str">
        <f>IFERROR(VLOOKUP(B1313,infoTable__15[],4,FALSE),"")</f>
        <v/>
      </c>
      <c r="P1313" s="4" t="str">
        <f>IFERROR(VLOOKUP(B1313,infoTable__16[],4,FALSE),"")</f>
        <v/>
      </c>
    </row>
    <row r="1314" spans="1:16" x14ac:dyDescent="0.55000000000000004">
      <c r="A1314" t="s">
        <v>3137</v>
      </c>
      <c r="B1314" t="s">
        <v>3138</v>
      </c>
      <c r="C1314" s="4" t="str">
        <f>IFERROR(VLOOKUP(B1314,infoTable10[],4,FALSE),"")</f>
        <v/>
      </c>
      <c r="D1314" s="4" t="str">
        <f>IFERROR(VLOOKUP(B1314,infoTable__2[],4,FALSE),"")</f>
        <v/>
      </c>
      <c r="E1314" s="4" t="str">
        <f>IFERROR(VLOOKUP(B1314,infoTable__3[],4,FALSE),"")</f>
        <v/>
      </c>
      <c r="F1314" s="4" t="str">
        <f>IFERROR(VLOOKUP(B1314,infoTable__4[],4,FALSE),"")</f>
        <v/>
      </c>
      <c r="G1314" s="4" t="str">
        <f>IFERROR(VLOOKUP(B1314,infoTable[],4,FALSE),"")</f>
        <v/>
      </c>
      <c r="H1314" s="4" t="str">
        <f>IFERROR(VLOOKUP(B1314,infoTable__6[],4,FALSE),"")</f>
        <v/>
      </c>
      <c r="I1314" s="4" t="str">
        <f>IFERROR(VLOOKUP(B1314,infoTable__28[],4,FALSE),"")</f>
        <v/>
      </c>
      <c r="J1314" s="4" t="str">
        <f>IFERROR(VLOOKUP(B1314,infoTable__10[],4,FALSE),"")</f>
        <v/>
      </c>
      <c r="K1314" s="4" t="str">
        <f>IFERROR(VLOOKUP(B1314,infoTable__11[],4,FALSE),"")</f>
        <v/>
      </c>
      <c r="L1314" s="4" t="str">
        <f>IFERROR(VLOOKUP(B1314,infoTable__12[],4,FALSE),"")</f>
        <v/>
      </c>
      <c r="M1314" s="4" t="str">
        <f>IFERROR(VLOOKUP(B1314,infoTable__13[],4,FALSE),"")</f>
        <v/>
      </c>
      <c r="N1314" s="4" t="str">
        <f>IFERROR(VLOOKUP(B1314,infoTable__14[],4,FALSE),"")</f>
        <v/>
      </c>
      <c r="O1314" s="4">
        <f>IFERROR(VLOOKUP(B1314,infoTable__15[],4,FALSE),"")</f>
        <v>670516</v>
      </c>
      <c r="P1314" s="4">
        <f>IFERROR(VLOOKUP(B1314,infoTable__16[],4,FALSE),"")</f>
        <v>861983</v>
      </c>
    </row>
    <row r="1315" spans="1:16" x14ac:dyDescent="0.55000000000000004">
      <c r="A1315" t="s">
        <v>1982</v>
      </c>
      <c r="B1315" t="s">
        <v>1983</v>
      </c>
      <c r="C1315" s="4" t="str">
        <f>IFERROR(VLOOKUP(B1315,infoTable10[],4,FALSE),"")</f>
        <v/>
      </c>
      <c r="D1315" s="4" t="str">
        <f>IFERROR(VLOOKUP(B1315,infoTable__2[],4,FALSE),"")</f>
        <v/>
      </c>
      <c r="E1315" s="4" t="str">
        <f>IFERROR(VLOOKUP(B1315,infoTable__3[],4,FALSE),"")</f>
        <v/>
      </c>
      <c r="F1315" s="4" t="str">
        <f>IFERROR(VLOOKUP(B1315,infoTable__4[],4,FALSE),"")</f>
        <v/>
      </c>
      <c r="G1315" s="4" t="str">
        <f>IFERROR(VLOOKUP(B1315,infoTable[],4,FALSE),"")</f>
        <v/>
      </c>
      <c r="H1315" s="4" t="str">
        <f>IFERROR(VLOOKUP(B1315,infoTable__6[],4,FALSE),"")</f>
        <v/>
      </c>
      <c r="I1315" s="4" t="str">
        <f>IFERROR(VLOOKUP(B1315,infoTable__28[],4,FALSE),"")</f>
        <v/>
      </c>
      <c r="J1315" s="4" t="str">
        <f>IFERROR(VLOOKUP(B1315,infoTable__10[],4,FALSE),"")</f>
        <v/>
      </c>
      <c r="K1315" s="4">
        <f>IFERROR(VLOOKUP(B1315,infoTable__11[],4,FALSE),"")</f>
        <v>604019</v>
      </c>
      <c r="L1315" s="4">
        <f>IFERROR(VLOOKUP(B1315,infoTable__12[],4,FALSE),"")</f>
        <v>861206</v>
      </c>
      <c r="M1315" s="4">
        <f>IFERROR(VLOOKUP(B1315,infoTable__13[],4,FALSE),"")</f>
        <v>990736</v>
      </c>
      <c r="N1315" s="4" t="str">
        <f>IFERROR(VLOOKUP(B1315,infoTable__14[],4,FALSE),"")</f>
        <v/>
      </c>
      <c r="O1315" s="4" t="str">
        <f>IFERROR(VLOOKUP(B1315,infoTable__15[],4,FALSE),"")</f>
        <v/>
      </c>
      <c r="P1315" s="4" t="str">
        <f>IFERROR(VLOOKUP(B1315,infoTable__16[],4,FALSE),"")</f>
        <v/>
      </c>
    </row>
    <row r="1316" spans="1:16" x14ac:dyDescent="0.55000000000000004">
      <c r="A1316" t="s">
        <v>353</v>
      </c>
      <c r="B1316" t="s">
        <v>354</v>
      </c>
      <c r="C1316" s="4" t="str">
        <f>IFERROR(VLOOKUP(B1316,infoTable10[],4,FALSE),"")</f>
        <v/>
      </c>
      <c r="D1316" s="4" t="str">
        <f>IFERROR(VLOOKUP(B1316,infoTable__2[],4,FALSE),"")</f>
        <v/>
      </c>
      <c r="E1316" s="4" t="str">
        <f>IFERROR(VLOOKUP(B1316,infoTable__3[],4,FALSE),"")</f>
        <v/>
      </c>
      <c r="F1316" s="4">
        <f>IFERROR(VLOOKUP(B1316,infoTable__4[],4,FALSE),"")</f>
        <v>292945</v>
      </c>
      <c r="G1316" s="4">
        <f>IFERROR(VLOOKUP(B1316,infoTable[],4,FALSE),"")</f>
        <v>356679</v>
      </c>
      <c r="H1316" s="4" t="str">
        <f>IFERROR(VLOOKUP(B1316,infoTable__6[],4,FALSE),"")</f>
        <v/>
      </c>
      <c r="I1316" s="4" t="str">
        <f>IFERROR(VLOOKUP(B1316,infoTable__28[],4,FALSE),"")</f>
        <v/>
      </c>
      <c r="J1316" s="4" t="str">
        <f>IFERROR(VLOOKUP(B1316,infoTable__10[],4,FALSE),"")</f>
        <v/>
      </c>
      <c r="K1316" s="4" t="str">
        <f>IFERROR(VLOOKUP(B1316,infoTable__11[],4,FALSE),"")</f>
        <v/>
      </c>
      <c r="L1316" s="4" t="str">
        <f>IFERROR(VLOOKUP(B1316,infoTable__12[],4,FALSE),"")</f>
        <v/>
      </c>
      <c r="M1316" s="4" t="str">
        <f>IFERROR(VLOOKUP(B1316,infoTable__13[],4,FALSE),"")</f>
        <v/>
      </c>
      <c r="N1316" s="4" t="str">
        <f>IFERROR(VLOOKUP(B1316,infoTable__14[],4,FALSE),"")</f>
        <v/>
      </c>
      <c r="O1316" s="4" t="str">
        <f>IFERROR(VLOOKUP(B1316,infoTable__15[],4,FALSE),"")</f>
        <v/>
      </c>
      <c r="P1316" s="4" t="str">
        <f>IFERROR(VLOOKUP(B1316,infoTable__16[],4,FALSE),"")</f>
        <v/>
      </c>
    </row>
    <row r="1317" spans="1:16" x14ac:dyDescent="0.55000000000000004">
      <c r="A1317" t="s">
        <v>1736</v>
      </c>
      <c r="B1317" t="s">
        <v>1737</v>
      </c>
      <c r="C1317" s="4" t="str">
        <f>IFERROR(VLOOKUP(B1317,infoTable10[],4,FALSE),"")</f>
        <v/>
      </c>
      <c r="D1317" s="4" t="str">
        <f>IFERROR(VLOOKUP(B1317,infoTable__2[],4,FALSE),"")</f>
        <v/>
      </c>
      <c r="E1317" s="4" t="str">
        <f>IFERROR(VLOOKUP(B1317,infoTable__3[],4,FALSE),"")</f>
        <v/>
      </c>
      <c r="F1317" s="4" t="str">
        <f>IFERROR(VLOOKUP(B1317,infoTable__4[],4,FALSE),"")</f>
        <v/>
      </c>
      <c r="G1317" s="4" t="str">
        <f>IFERROR(VLOOKUP(B1317,infoTable[],4,FALSE),"")</f>
        <v/>
      </c>
      <c r="H1317" s="4" t="str">
        <f>IFERROR(VLOOKUP(B1317,infoTable__6[],4,FALSE),"")</f>
        <v/>
      </c>
      <c r="I1317" s="4" t="str">
        <f>IFERROR(VLOOKUP(B1317,infoTable__28[],4,FALSE),"")</f>
        <v/>
      </c>
      <c r="J1317" s="4">
        <f>IFERROR(VLOOKUP(B1317,infoTable__10[],4,FALSE),"")</f>
        <v>3239267</v>
      </c>
      <c r="K1317" s="4" t="str">
        <f>IFERROR(VLOOKUP(B1317,infoTable__11[],4,FALSE),"")</f>
        <v/>
      </c>
      <c r="L1317" s="4" t="str">
        <f>IFERROR(VLOOKUP(B1317,infoTable__12[],4,FALSE),"")</f>
        <v/>
      </c>
      <c r="M1317" s="4">
        <f>IFERROR(VLOOKUP(B1317,infoTable__13[],4,FALSE),"")</f>
        <v>255762</v>
      </c>
      <c r="N1317" s="4">
        <f>IFERROR(VLOOKUP(B1317,infoTable__14[],4,FALSE),"")</f>
        <v>1108026</v>
      </c>
      <c r="O1317" s="4" t="str">
        <f>IFERROR(VLOOKUP(B1317,infoTable__15[],4,FALSE),"")</f>
        <v/>
      </c>
      <c r="P1317" s="4" t="str">
        <f>IFERROR(VLOOKUP(B1317,infoTable__16[],4,FALSE),"")</f>
        <v/>
      </c>
    </row>
    <row r="1318" spans="1:16" x14ac:dyDescent="0.55000000000000004">
      <c r="A1318" t="s">
        <v>3477</v>
      </c>
      <c r="B1318" t="s">
        <v>3478</v>
      </c>
      <c r="C1318" s="4" t="str">
        <f>IFERROR(VLOOKUP(B1318,infoTable10[],4,FALSE),"")</f>
        <v/>
      </c>
      <c r="D1318" s="4" t="str">
        <f>IFERROR(VLOOKUP(B1318,infoTable__2[],4,FALSE),"")</f>
        <v/>
      </c>
      <c r="E1318" s="4" t="str">
        <f>IFERROR(VLOOKUP(B1318,infoTable__3[],4,FALSE),"")</f>
        <v/>
      </c>
      <c r="F1318" s="4" t="str">
        <f>IFERROR(VLOOKUP(B1318,infoTable__4[],4,FALSE),"")</f>
        <v/>
      </c>
      <c r="G1318" s="4" t="str">
        <f>IFERROR(VLOOKUP(B1318,infoTable[],4,FALSE),"")</f>
        <v/>
      </c>
      <c r="H1318" s="4" t="str">
        <f>IFERROR(VLOOKUP(B1318,infoTable__6[],4,FALSE),"")</f>
        <v/>
      </c>
      <c r="I1318" s="4" t="str">
        <f>IFERROR(VLOOKUP(B1318,infoTable__28[],4,FALSE),"")</f>
        <v/>
      </c>
      <c r="J1318" s="4" t="str">
        <f>IFERROR(VLOOKUP(B1318,infoTable__10[],4,FALSE),"")</f>
        <v/>
      </c>
      <c r="K1318" s="4" t="str">
        <f>IFERROR(VLOOKUP(B1318,infoTable__11[],4,FALSE),"")</f>
        <v/>
      </c>
      <c r="L1318" s="4" t="str">
        <f>IFERROR(VLOOKUP(B1318,infoTable__12[],4,FALSE),"")</f>
        <v/>
      </c>
      <c r="M1318" s="4" t="str">
        <f>IFERROR(VLOOKUP(B1318,infoTable__13[],4,FALSE),"")</f>
        <v/>
      </c>
      <c r="N1318" s="4" t="str">
        <f>IFERROR(VLOOKUP(B1318,infoTable__14[],4,FALSE),"")</f>
        <v/>
      </c>
      <c r="O1318" s="4" t="str">
        <f>IFERROR(VLOOKUP(B1318,infoTable__15[],4,FALSE),"")</f>
        <v/>
      </c>
      <c r="P1318" s="4">
        <f>IFERROR(VLOOKUP(B1318,infoTable__16[],4,FALSE),"")</f>
        <v>312991</v>
      </c>
    </row>
    <row r="1319" spans="1:16" x14ac:dyDescent="0.55000000000000004">
      <c r="A1319" t="s">
        <v>355</v>
      </c>
      <c r="B1319" t="s">
        <v>356</v>
      </c>
      <c r="C1319" s="4" t="str">
        <f>IFERROR(VLOOKUP(B1319,infoTable10[],4,FALSE),"")</f>
        <v/>
      </c>
      <c r="D1319" s="4" t="str">
        <f>IFERROR(VLOOKUP(B1319,infoTable__2[],4,FALSE),"")</f>
        <v/>
      </c>
      <c r="E1319" s="4" t="str">
        <f>IFERROR(VLOOKUP(B1319,infoTable__3[],4,FALSE),"")</f>
        <v/>
      </c>
      <c r="F1319" s="4" t="str">
        <f>IFERROR(VLOOKUP(B1319,infoTable__4[],4,FALSE),"")</f>
        <v/>
      </c>
      <c r="G1319" s="4">
        <f>IFERROR(VLOOKUP(B1319,infoTable[],4,FALSE),"")</f>
        <v>766183</v>
      </c>
      <c r="H1319" s="4">
        <f>IFERROR(VLOOKUP(B1319,infoTable__6[],4,FALSE),"")</f>
        <v>441518</v>
      </c>
      <c r="I1319" s="4">
        <f>IFERROR(VLOOKUP(B1319,infoTable__28[],4,FALSE),"")</f>
        <v>491541</v>
      </c>
      <c r="J1319" s="4">
        <f>IFERROR(VLOOKUP(B1319,infoTable__10[],4,FALSE),"")</f>
        <v>183667</v>
      </c>
      <c r="K1319" s="4" t="str">
        <f>IFERROR(VLOOKUP(B1319,infoTable__11[],4,FALSE),"")</f>
        <v/>
      </c>
      <c r="L1319" s="4" t="str">
        <f>IFERROR(VLOOKUP(B1319,infoTable__12[],4,FALSE),"")</f>
        <v/>
      </c>
      <c r="M1319" s="4" t="str">
        <f>IFERROR(VLOOKUP(B1319,infoTable__13[],4,FALSE),"")</f>
        <v/>
      </c>
      <c r="N1319" s="4" t="str">
        <f>IFERROR(VLOOKUP(B1319,infoTable__14[],4,FALSE),"")</f>
        <v/>
      </c>
      <c r="O1319" s="4" t="str">
        <f>IFERROR(VLOOKUP(B1319,infoTable__15[],4,FALSE),"")</f>
        <v/>
      </c>
      <c r="P1319" s="4">
        <f>IFERROR(VLOOKUP(B1319,infoTable__16[],4,FALSE),"")</f>
        <v>1938009</v>
      </c>
    </row>
    <row r="1320" spans="1:16" x14ac:dyDescent="0.55000000000000004">
      <c r="A1320" t="s">
        <v>1738</v>
      </c>
      <c r="B1320" t="s">
        <v>1739</v>
      </c>
      <c r="C1320" s="4" t="str">
        <f>IFERROR(VLOOKUP(B1320,infoTable10[],4,FALSE),"")</f>
        <v/>
      </c>
      <c r="D1320" s="4" t="str">
        <f>IFERROR(VLOOKUP(B1320,infoTable__2[],4,FALSE),"")</f>
        <v/>
      </c>
      <c r="E1320" s="4" t="str">
        <f>IFERROR(VLOOKUP(B1320,infoTable__3[],4,FALSE),"")</f>
        <v/>
      </c>
      <c r="F1320" s="4" t="str">
        <f>IFERROR(VLOOKUP(B1320,infoTable__4[],4,FALSE),"")</f>
        <v/>
      </c>
      <c r="G1320" s="4" t="str">
        <f>IFERROR(VLOOKUP(B1320,infoTable[],4,FALSE),"")</f>
        <v/>
      </c>
      <c r="H1320" s="4" t="str">
        <f>IFERROR(VLOOKUP(B1320,infoTable__6[],4,FALSE),"")</f>
        <v/>
      </c>
      <c r="I1320" s="4" t="str">
        <f>IFERROR(VLOOKUP(B1320,infoTable__28[],4,FALSE),"")</f>
        <v/>
      </c>
      <c r="J1320" s="4">
        <f>IFERROR(VLOOKUP(B1320,infoTable__10[],4,FALSE),"")</f>
        <v>891832</v>
      </c>
      <c r="K1320" s="4">
        <f>IFERROR(VLOOKUP(B1320,infoTable__11[],4,FALSE),"")</f>
        <v>123944</v>
      </c>
      <c r="L1320" s="4" t="str">
        <f>IFERROR(VLOOKUP(B1320,infoTable__12[],4,FALSE),"")</f>
        <v/>
      </c>
      <c r="M1320" s="4" t="str">
        <f>IFERROR(VLOOKUP(B1320,infoTable__13[],4,FALSE),"")</f>
        <v/>
      </c>
      <c r="N1320" s="4" t="str">
        <f>IFERROR(VLOOKUP(B1320,infoTable__14[],4,FALSE),"")</f>
        <v/>
      </c>
      <c r="O1320" s="4" t="str">
        <f>IFERROR(VLOOKUP(B1320,infoTable__15[],4,FALSE),"")</f>
        <v/>
      </c>
      <c r="P1320" s="4" t="str">
        <f>IFERROR(VLOOKUP(B1320,infoTable__16[],4,FALSE),"")</f>
        <v/>
      </c>
    </row>
    <row r="1321" spans="1:16" x14ac:dyDescent="0.55000000000000004">
      <c r="A1321" t="s">
        <v>668</v>
      </c>
      <c r="B1321" t="s">
        <v>669</v>
      </c>
      <c r="C1321" s="4" t="str">
        <f>IFERROR(VLOOKUP(B1321,infoTable10[],4,FALSE),"")</f>
        <v/>
      </c>
      <c r="D1321" s="4">
        <f>IFERROR(VLOOKUP(B1321,infoTable__2[],4,FALSE),"")</f>
        <v>296874</v>
      </c>
      <c r="E1321" s="4" t="str">
        <f>IFERROR(VLOOKUP(B1321,infoTable__3[],4,FALSE),"")</f>
        <v/>
      </c>
      <c r="F1321" s="4" t="str">
        <f>IFERROR(VLOOKUP(B1321,infoTable__4[],4,FALSE),"")</f>
        <v/>
      </c>
      <c r="G1321" s="4" t="str">
        <f>IFERROR(VLOOKUP(B1321,infoTable[],4,FALSE),"")</f>
        <v/>
      </c>
      <c r="H1321" s="4" t="str">
        <f>IFERROR(VLOOKUP(B1321,infoTable__6[],4,FALSE),"")</f>
        <v/>
      </c>
      <c r="I1321" s="4" t="str">
        <f>IFERROR(VLOOKUP(B1321,infoTable__28[],4,FALSE),"")</f>
        <v/>
      </c>
      <c r="J1321" s="4" t="str">
        <f>IFERROR(VLOOKUP(B1321,infoTable__10[],4,FALSE),"")</f>
        <v/>
      </c>
      <c r="K1321" s="4" t="str">
        <f>IFERROR(VLOOKUP(B1321,infoTable__11[],4,FALSE),"")</f>
        <v/>
      </c>
      <c r="L1321" s="4" t="str">
        <f>IFERROR(VLOOKUP(B1321,infoTable__12[],4,FALSE),"")</f>
        <v/>
      </c>
      <c r="M1321" s="4" t="str">
        <f>IFERROR(VLOOKUP(B1321,infoTable__13[],4,FALSE),"")</f>
        <v/>
      </c>
      <c r="N1321" s="4" t="str">
        <f>IFERROR(VLOOKUP(B1321,infoTable__14[],4,FALSE),"")</f>
        <v/>
      </c>
      <c r="O1321" s="4" t="str">
        <f>IFERROR(VLOOKUP(B1321,infoTable__15[],4,FALSE),"")</f>
        <v/>
      </c>
      <c r="P1321" s="4">
        <f>IFERROR(VLOOKUP(B1321,infoTable__16[],4,FALSE),"")</f>
        <v>653363</v>
      </c>
    </row>
    <row r="1322" spans="1:16" x14ac:dyDescent="0.55000000000000004">
      <c r="A1322" t="s">
        <v>1541</v>
      </c>
      <c r="B1322" t="s">
        <v>1542</v>
      </c>
      <c r="C1322" s="4">
        <f>IFERROR(VLOOKUP(B1322,infoTable10[],4,FALSE),"")</f>
        <v>408594</v>
      </c>
      <c r="D1322" s="4" t="str">
        <f>IFERROR(VLOOKUP(B1322,infoTable__2[],4,FALSE),"")</f>
        <v/>
      </c>
      <c r="E1322" s="4" t="str">
        <f>IFERROR(VLOOKUP(B1322,infoTable__3[],4,FALSE),"")</f>
        <v/>
      </c>
      <c r="F1322" s="4" t="str">
        <f>IFERROR(VLOOKUP(B1322,infoTable__4[],4,FALSE),"")</f>
        <v/>
      </c>
      <c r="G1322" s="4" t="str">
        <f>IFERROR(VLOOKUP(B1322,infoTable[],4,FALSE),"")</f>
        <v/>
      </c>
      <c r="H1322" s="4" t="str">
        <f>IFERROR(VLOOKUP(B1322,infoTable__6[],4,FALSE),"")</f>
        <v/>
      </c>
      <c r="I1322" s="4" t="str">
        <f>IFERROR(VLOOKUP(B1322,infoTable__28[],4,FALSE),"")</f>
        <v/>
      </c>
      <c r="J1322" s="4" t="str">
        <f>IFERROR(VLOOKUP(B1322,infoTable__10[],4,FALSE),"")</f>
        <v/>
      </c>
      <c r="K1322" s="4" t="str">
        <f>IFERROR(VLOOKUP(B1322,infoTable__11[],4,FALSE),"")</f>
        <v/>
      </c>
      <c r="L1322" s="4" t="str">
        <f>IFERROR(VLOOKUP(B1322,infoTable__12[],4,FALSE),"")</f>
        <v/>
      </c>
      <c r="M1322" s="4" t="str">
        <f>IFERROR(VLOOKUP(B1322,infoTable__13[],4,FALSE),"")</f>
        <v/>
      </c>
      <c r="N1322" s="4" t="str">
        <f>IFERROR(VLOOKUP(B1322,infoTable__14[],4,FALSE),"")</f>
        <v/>
      </c>
      <c r="O1322" s="4" t="str">
        <f>IFERROR(VLOOKUP(B1322,infoTable__15[],4,FALSE),"")</f>
        <v/>
      </c>
      <c r="P1322" s="4" t="str">
        <f>IFERROR(VLOOKUP(B1322,infoTable__16[],4,FALSE),"")</f>
        <v/>
      </c>
    </row>
    <row r="1323" spans="1:16" x14ac:dyDescent="0.55000000000000004">
      <c r="A1323" t="s">
        <v>1084</v>
      </c>
      <c r="B1323" t="s">
        <v>1085</v>
      </c>
      <c r="C1323" s="4" t="str">
        <f>IFERROR(VLOOKUP(B1323,infoTable10[],4,FALSE),"")</f>
        <v/>
      </c>
      <c r="D1323" s="4" t="str">
        <f>IFERROR(VLOOKUP(B1323,infoTable__2[],4,FALSE),"")</f>
        <v/>
      </c>
      <c r="E1323" s="4" t="str">
        <f>IFERROR(VLOOKUP(B1323,infoTable__3[],4,FALSE),"")</f>
        <v/>
      </c>
      <c r="F1323" s="4" t="str">
        <f>IFERROR(VLOOKUP(B1323,infoTable__4[],4,FALSE),"")</f>
        <v/>
      </c>
      <c r="G1323" s="4" t="str">
        <f>IFERROR(VLOOKUP(B1323,infoTable[],4,FALSE),"")</f>
        <v/>
      </c>
      <c r="H1323" s="4">
        <f>IFERROR(VLOOKUP(B1323,infoTable__6[],4,FALSE),"")</f>
        <v>4235980</v>
      </c>
      <c r="I1323" s="4">
        <f>IFERROR(VLOOKUP(B1323,infoTable__28[],4,FALSE),"")</f>
        <v>731156</v>
      </c>
      <c r="J1323" s="4">
        <f>IFERROR(VLOOKUP(B1323,infoTable__10[],4,FALSE),"")</f>
        <v>261472</v>
      </c>
      <c r="K1323" s="4" t="str">
        <f>IFERROR(VLOOKUP(B1323,infoTable__11[],4,FALSE),"")</f>
        <v/>
      </c>
      <c r="L1323" s="4" t="str">
        <f>IFERROR(VLOOKUP(B1323,infoTable__12[],4,FALSE),"")</f>
        <v/>
      </c>
      <c r="M1323" s="4" t="str">
        <f>IFERROR(VLOOKUP(B1323,infoTable__13[],4,FALSE),"")</f>
        <v/>
      </c>
      <c r="N1323" s="4" t="str">
        <f>IFERROR(VLOOKUP(B1323,infoTable__14[],4,FALSE),"")</f>
        <v/>
      </c>
      <c r="O1323" s="4" t="str">
        <f>IFERROR(VLOOKUP(B1323,infoTable__15[],4,FALSE),"")</f>
        <v/>
      </c>
      <c r="P1323" s="4" t="str">
        <f>IFERROR(VLOOKUP(B1323,infoTable__16[],4,FALSE),"")</f>
        <v/>
      </c>
    </row>
    <row r="1324" spans="1:16" x14ac:dyDescent="0.55000000000000004">
      <c r="A1324" t="s">
        <v>361</v>
      </c>
      <c r="B1324" t="s">
        <v>362</v>
      </c>
      <c r="C1324" s="4" t="str">
        <f>IFERROR(VLOOKUP(B1324,infoTable10[],4,FALSE),"")</f>
        <v/>
      </c>
      <c r="D1324" s="4" t="str">
        <f>IFERROR(VLOOKUP(B1324,infoTable__2[],4,FALSE),"")</f>
        <v/>
      </c>
      <c r="E1324" s="4" t="str">
        <f>IFERROR(VLOOKUP(B1324,infoTable__3[],4,FALSE),"")</f>
        <v/>
      </c>
      <c r="F1324" s="4" t="str">
        <f>IFERROR(VLOOKUP(B1324,infoTable__4[],4,FALSE),"")</f>
        <v/>
      </c>
      <c r="G1324" s="4">
        <f>IFERROR(VLOOKUP(B1324,infoTable[],4,FALSE),"")</f>
        <v>2527128</v>
      </c>
      <c r="H1324" s="4">
        <f>IFERROR(VLOOKUP(B1324,infoTable__6[],4,FALSE),"")</f>
        <v>250213</v>
      </c>
      <c r="I1324" s="4" t="str">
        <f>IFERROR(VLOOKUP(B1324,infoTable__28[],4,FALSE),"")</f>
        <v/>
      </c>
      <c r="J1324" s="4" t="str">
        <f>IFERROR(VLOOKUP(B1324,infoTable__10[],4,FALSE),"")</f>
        <v/>
      </c>
      <c r="K1324" s="4" t="str">
        <f>IFERROR(VLOOKUP(B1324,infoTable__11[],4,FALSE),"")</f>
        <v/>
      </c>
      <c r="L1324" s="4" t="str">
        <f>IFERROR(VLOOKUP(B1324,infoTable__12[],4,FALSE),"")</f>
        <v/>
      </c>
      <c r="M1324" s="4" t="str">
        <f>IFERROR(VLOOKUP(B1324,infoTable__13[],4,FALSE),"")</f>
        <v/>
      </c>
      <c r="N1324" s="4" t="str">
        <f>IFERROR(VLOOKUP(B1324,infoTable__14[],4,FALSE),"")</f>
        <v/>
      </c>
      <c r="O1324" s="4" t="str">
        <f>IFERROR(VLOOKUP(B1324,infoTable__15[],4,FALSE),"")</f>
        <v/>
      </c>
      <c r="P1324" s="4" t="str">
        <f>IFERROR(VLOOKUP(B1324,infoTable__16[],4,FALSE),"")</f>
        <v/>
      </c>
    </row>
    <row r="1325" spans="1:16" x14ac:dyDescent="0.55000000000000004">
      <c r="A1325" t="s">
        <v>1384</v>
      </c>
      <c r="B1325" t="s">
        <v>1385</v>
      </c>
      <c r="C1325" s="4" t="str">
        <f>IFERROR(VLOOKUP(B1325,infoTable10[],4,FALSE),"")</f>
        <v/>
      </c>
      <c r="D1325" s="4" t="str">
        <f>IFERROR(VLOOKUP(B1325,infoTable__2[],4,FALSE),"")</f>
        <v/>
      </c>
      <c r="E1325" s="4" t="str">
        <f>IFERROR(VLOOKUP(B1325,infoTable__3[],4,FALSE),"")</f>
        <v/>
      </c>
      <c r="F1325" s="4" t="str">
        <f>IFERROR(VLOOKUP(B1325,infoTable__4[],4,FALSE),"")</f>
        <v/>
      </c>
      <c r="G1325" s="4" t="str">
        <f>IFERROR(VLOOKUP(B1325,infoTable[],4,FALSE),"")</f>
        <v/>
      </c>
      <c r="H1325" s="4" t="str">
        <f>IFERROR(VLOOKUP(B1325,infoTable__6[],4,FALSE),"")</f>
        <v/>
      </c>
      <c r="I1325" s="4">
        <f>IFERROR(VLOOKUP(B1325,infoTable__28[],4,FALSE),"")</f>
        <v>20361</v>
      </c>
      <c r="J1325" s="4" t="str">
        <f>IFERROR(VLOOKUP(B1325,infoTable__10[],4,FALSE),"")</f>
        <v/>
      </c>
      <c r="K1325" s="4" t="str">
        <f>IFERROR(VLOOKUP(B1325,infoTable__11[],4,FALSE),"")</f>
        <v/>
      </c>
      <c r="L1325" s="4" t="str">
        <f>IFERROR(VLOOKUP(B1325,infoTable__12[],4,FALSE),"")</f>
        <v/>
      </c>
      <c r="M1325" s="4" t="str">
        <f>IFERROR(VLOOKUP(B1325,infoTable__13[],4,FALSE),"")</f>
        <v/>
      </c>
      <c r="N1325" s="4" t="str">
        <f>IFERROR(VLOOKUP(B1325,infoTable__14[],4,FALSE),"")</f>
        <v/>
      </c>
      <c r="O1325" s="4">
        <f>IFERROR(VLOOKUP(B1325,infoTable__15[],4,FALSE),"")</f>
        <v>684600</v>
      </c>
      <c r="P1325" s="4">
        <f>IFERROR(VLOOKUP(B1325,infoTable__16[],4,FALSE),"")</f>
        <v>367123</v>
      </c>
    </row>
    <row r="1326" spans="1:16" x14ac:dyDescent="0.55000000000000004">
      <c r="A1326" t="s">
        <v>2303</v>
      </c>
      <c r="B1326" t="s">
        <v>2304</v>
      </c>
      <c r="C1326" s="4" t="str">
        <f>IFERROR(VLOOKUP(B1326,infoTable10[],4,FALSE),"")</f>
        <v/>
      </c>
      <c r="D1326" s="4" t="str">
        <f>IFERROR(VLOOKUP(B1326,infoTable__2[],4,FALSE),"")</f>
        <v/>
      </c>
      <c r="E1326" s="4" t="str">
        <f>IFERROR(VLOOKUP(B1326,infoTable__3[],4,FALSE),"")</f>
        <v/>
      </c>
      <c r="F1326" s="4" t="str">
        <f>IFERROR(VLOOKUP(B1326,infoTable__4[],4,FALSE),"")</f>
        <v/>
      </c>
      <c r="G1326" s="4" t="str">
        <f>IFERROR(VLOOKUP(B1326,infoTable[],4,FALSE),"")</f>
        <v/>
      </c>
      <c r="H1326" s="4" t="str">
        <f>IFERROR(VLOOKUP(B1326,infoTable__6[],4,FALSE),"")</f>
        <v/>
      </c>
      <c r="I1326" s="4" t="str">
        <f>IFERROR(VLOOKUP(B1326,infoTable__28[],4,FALSE),"")</f>
        <v/>
      </c>
      <c r="J1326" s="4" t="str">
        <f>IFERROR(VLOOKUP(B1326,infoTable__10[],4,FALSE),"")</f>
        <v/>
      </c>
      <c r="K1326" s="4" t="str">
        <f>IFERROR(VLOOKUP(B1326,infoTable__11[],4,FALSE),"")</f>
        <v/>
      </c>
      <c r="L1326" s="4">
        <f>IFERROR(VLOOKUP(B1326,infoTable__12[],4,FALSE),"")</f>
        <v>95872</v>
      </c>
      <c r="M1326" s="4" t="str">
        <f>IFERROR(VLOOKUP(B1326,infoTable__13[],4,FALSE),"")</f>
        <v/>
      </c>
      <c r="N1326" s="4" t="str">
        <f>IFERROR(VLOOKUP(B1326,infoTable__14[],4,FALSE),"")</f>
        <v/>
      </c>
      <c r="O1326" s="4" t="str">
        <f>IFERROR(VLOOKUP(B1326,infoTable__15[],4,FALSE),"")</f>
        <v/>
      </c>
      <c r="P1326" s="4" t="str">
        <f>IFERROR(VLOOKUP(B1326,infoTable__16[],4,FALSE),"")</f>
        <v/>
      </c>
    </row>
    <row r="1327" spans="1:16" x14ac:dyDescent="0.55000000000000004">
      <c r="A1327" t="s">
        <v>3141</v>
      </c>
      <c r="B1327" t="s">
        <v>3142</v>
      </c>
      <c r="C1327" s="4" t="str">
        <f>IFERROR(VLOOKUP(B1327,infoTable10[],4,FALSE),"")</f>
        <v/>
      </c>
      <c r="D1327" s="4" t="str">
        <f>IFERROR(VLOOKUP(B1327,infoTable__2[],4,FALSE),"")</f>
        <v/>
      </c>
      <c r="E1327" s="4" t="str">
        <f>IFERROR(VLOOKUP(B1327,infoTable__3[],4,FALSE),"")</f>
        <v/>
      </c>
      <c r="F1327" s="4" t="str">
        <f>IFERROR(VLOOKUP(B1327,infoTable__4[],4,FALSE),"")</f>
        <v/>
      </c>
      <c r="G1327" s="4" t="str">
        <f>IFERROR(VLOOKUP(B1327,infoTable[],4,FALSE),"")</f>
        <v/>
      </c>
      <c r="H1327" s="4" t="str">
        <f>IFERROR(VLOOKUP(B1327,infoTable__6[],4,FALSE),"")</f>
        <v/>
      </c>
      <c r="I1327" s="4" t="str">
        <f>IFERROR(VLOOKUP(B1327,infoTable__28[],4,FALSE),"")</f>
        <v/>
      </c>
      <c r="J1327" s="4" t="str">
        <f>IFERROR(VLOOKUP(B1327,infoTable__10[],4,FALSE),"")</f>
        <v/>
      </c>
      <c r="K1327" s="4" t="str">
        <f>IFERROR(VLOOKUP(B1327,infoTable__11[],4,FALSE),"")</f>
        <v/>
      </c>
      <c r="L1327" s="4" t="str">
        <f>IFERROR(VLOOKUP(B1327,infoTable__12[],4,FALSE),"")</f>
        <v/>
      </c>
      <c r="M1327" s="4" t="str">
        <f>IFERROR(VLOOKUP(B1327,infoTable__13[],4,FALSE),"")</f>
        <v/>
      </c>
      <c r="N1327" s="4" t="str">
        <f>IFERROR(VLOOKUP(B1327,infoTable__14[],4,FALSE),"")</f>
        <v/>
      </c>
      <c r="O1327" s="4">
        <f>IFERROR(VLOOKUP(B1327,infoTable__15[],4,FALSE),"")</f>
        <v>93829</v>
      </c>
      <c r="P1327" s="4" t="str">
        <f>IFERROR(VLOOKUP(B1327,infoTable__16[],4,FALSE),"")</f>
        <v/>
      </c>
    </row>
    <row r="1328" spans="1:16" x14ac:dyDescent="0.55000000000000004">
      <c r="A1328" t="s">
        <v>3482</v>
      </c>
      <c r="B1328" t="s">
        <v>3483</v>
      </c>
      <c r="C1328" s="4" t="str">
        <f>IFERROR(VLOOKUP(B1328,infoTable10[],4,FALSE),"")</f>
        <v/>
      </c>
      <c r="D1328" s="4" t="str">
        <f>IFERROR(VLOOKUP(B1328,infoTable__2[],4,FALSE),"")</f>
        <v/>
      </c>
      <c r="E1328" s="4" t="str">
        <f>IFERROR(VLOOKUP(B1328,infoTable__3[],4,FALSE),"")</f>
        <v/>
      </c>
      <c r="F1328" s="4" t="str">
        <f>IFERROR(VLOOKUP(B1328,infoTable__4[],4,FALSE),"")</f>
        <v/>
      </c>
      <c r="G1328" s="4" t="str">
        <f>IFERROR(VLOOKUP(B1328,infoTable[],4,FALSE),"")</f>
        <v/>
      </c>
      <c r="H1328" s="4" t="str">
        <f>IFERROR(VLOOKUP(B1328,infoTable__6[],4,FALSE),"")</f>
        <v/>
      </c>
      <c r="I1328" s="4" t="str">
        <f>IFERROR(VLOOKUP(B1328,infoTable__28[],4,FALSE),"")</f>
        <v/>
      </c>
      <c r="J1328" s="4" t="str">
        <f>IFERROR(VLOOKUP(B1328,infoTable__10[],4,FALSE),"")</f>
        <v/>
      </c>
      <c r="K1328" s="4" t="str">
        <f>IFERROR(VLOOKUP(B1328,infoTable__11[],4,FALSE),"")</f>
        <v/>
      </c>
      <c r="L1328" s="4" t="str">
        <f>IFERROR(VLOOKUP(B1328,infoTable__12[],4,FALSE),"")</f>
        <v/>
      </c>
      <c r="M1328" s="4" t="str">
        <f>IFERROR(VLOOKUP(B1328,infoTable__13[],4,FALSE),"")</f>
        <v/>
      </c>
      <c r="N1328" s="4" t="str">
        <f>IFERROR(VLOOKUP(B1328,infoTable__14[],4,FALSE),"")</f>
        <v/>
      </c>
      <c r="O1328" s="4" t="str">
        <f>IFERROR(VLOOKUP(B1328,infoTable__15[],4,FALSE),"")</f>
        <v/>
      </c>
      <c r="P1328" s="4">
        <f>IFERROR(VLOOKUP(B1328,infoTable__16[],4,FALSE),"")</f>
        <v>2130940</v>
      </c>
    </row>
    <row r="1329" spans="1:16" x14ac:dyDescent="0.55000000000000004">
      <c r="A1329" t="s">
        <v>1986</v>
      </c>
      <c r="B1329" t="s">
        <v>1987</v>
      </c>
      <c r="C1329" s="4" t="str">
        <f>IFERROR(VLOOKUP(B1329,infoTable10[],4,FALSE),"")</f>
        <v/>
      </c>
      <c r="D1329" s="4" t="str">
        <f>IFERROR(VLOOKUP(B1329,infoTable__2[],4,FALSE),"")</f>
        <v/>
      </c>
      <c r="E1329" s="4" t="str">
        <f>IFERROR(VLOOKUP(B1329,infoTable__3[],4,FALSE),"")</f>
        <v/>
      </c>
      <c r="F1329" s="4" t="str">
        <f>IFERROR(VLOOKUP(B1329,infoTable__4[],4,FALSE),"")</f>
        <v/>
      </c>
      <c r="G1329" s="4" t="str">
        <f>IFERROR(VLOOKUP(B1329,infoTable[],4,FALSE),"")</f>
        <v/>
      </c>
      <c r="H1329" s="4" t="str">
        <f>IFERROR(VLOOKUP(B1329,infoTable__6[],4,FALSE),"")</f>
        <v/>
      </c>
      <c r="I1329" s="4" t="str">
        <f>IFERROR(VLOOKUP(B1329,infoTable__28[],4,FALSE),"")</f>
        <v/>
      </c>
      <c r="J1329" s="4" t="str">
        <f>IFERROR(VLOOKUP(B1329,infoTable__10[],4,FALSE),"")</f>
        <v/>
      </c>
      <c r="K1329" s="4">
        <f>IFERROR(VLOOKUP(B1329,infoTable__11[],4,FALSE),"")</f>
        <v>126374</v>
      </c>
      <c r="L1329" s="4">
        <f>IFERROR(VLOOKUP(B1329,infoTable__12[],4,FALSE),"")</f>
        <v>153341</v>
      </c>
      <c r="M1329" s="4" t="str">
        <f>IFERROR(VLOOKUP(B1329,infoTable__13[],4,FALSE),"")</f>
        <v/>
      </c>
      <c r="N1329" s="4" t="str">
        <f>IFERROR(VLOOKUP(B1329,infoTable__14[],4,FALSE),"")</f>
        <v/>
      </c>
      <c r="O1329" s="4" t="str">
        <f>IFERROR(VLOOKUP(B1329,infoTable__15[],4,FALSE),"")</f>
        <v/>
      </c>
      <c r="P1329" s="4" t="str">
        <f>IFERROR(VLOOKUP(B1329,infoTable__16[],4,FALSE),"")</f>
        <v/>
      </c>
    </row>
    <row r="1330" spans="1:16" x14ac:dyDescent="0.55000000000000004">
      <c r="A1330" t="s">
        <v>363</v>
      </c>
      <c r="B1330" t="s">
        <v>364</v>
      </c>
      <c r="C1330" s="4" t="str">
        <f>IFERROR(VLOOKUP(B1330,infoTable10[],4,FALSE),"")</f>
        <v/>
      </c>
      <c r="D1330" s="4" t="str">
        <f>IFERROR(VLOOKUP(B1330,infoTable__2[],4,FALSE),"")</f>
        <v/>
      </c>
      <c r="E1330" s="4" t="str">
        <f>IFERROR(VLOOKUP(B1330,infoTable__3[],4,FALSE),"")</f>
        <v/>
      </c>
      <c r="F1330" s="4">
        <f>IFERROR(VLOOKUP(B1330,infoTable__4[],4,FALSE),"")</f>
        <v>4379722</v>
      </c>
      <c r="G1330" s="4">
        <f>IFERROR(VLOOKUP(B1330,infoTable[],4,FALSE),"")</f>
        <v>3126867</v>
      </c>
      <c r="H1330" s="4">
        <f>IFERROR(VLOOKUP(B1330,infoTable__6[],4,FALSE),"")</f>
        <v>205442</v>
      </c>
      <c r="I1330" s="4" t="str">
        <f>IFERROR(VLOOKUP(B1330,infoTable__28[],4,FALSE),"")</f>
        <v/>
      </c>
      <c r="J1330" s="4" t="str">
        <f>IFERROR(VLOOKUP(B1330,infoTable__10[],4,FALSE),"")</f>
        <v/>
      </c>
      <c r="K1330" s="4" t="str">
        <f>IFERROR(VLOOKUP(B1330,infoTable__11[],4,FALSE),"")</f>
        <v/>
      </c>
      <c r="L1330" s="4" t="str">
        <f>IFERROR(VLOOKUP(B1330,infoTable__12[],4,FALSE),"")</f>
        <v/>
      </c>
      <c r="M1330" s="4" t="str">
        <f>IFERROR(VLOOKUP(B1330,infoTable__13[],4,FALSE),"")</f>
        <v/>
      </c>
      <c r="N1330" s="4" t="str">
        <f>IFERROR(VLOOKUP(B1330,infoTable__14[],4,FALSE),"")</f>
        <v/>
      </c>
      <c r="O1330" s="4" t="str">
        <f>IFERROR(VLOOKUP(B1330,infoTable__15[],4,FALSE),"")</f>
        <v/>
      </c>
      <c r="P1330" s="4" t="str">
        <f>IFERROR(VLOOKUP(B1330,infoTable__16[],4,FALSE),"")</f>
        <v/>
      </c>
    </row>
    <row r="1331" spans="1:16" x14ac:dyDescent="0.55000000000000004">
      <c r="A1331" t="s">
        <v>1543</v>
      </c>
      <c r="B1331" t="s">
        <v>1544</v>
      </c>
      <c r="C1331" s="4">
        <f>IFERROR(VLOOKUP(B1331,infoTable10[],4,FALSE),"")</f>
        <v>731356</v>
      </c>
      <c r="D1331" s="4" t="str">
        <f>IFERROR(VLOOKUP(B1331,infoTable__2[],4,FALSE),"")</f>
        <v/>
      </c>
      <c r="E1331" s="4" t="str">
        <f>IFERROR(VLOOKUP(B1331,infoTable__3[],4,FALSE),"")</f>
        <v/>
      </c>
      <c r="F1331" s="4" t="str">
        <f>IFERROR(VLOOKUP(B1331,infoTable__4[],4,FALSE),"")</f>
        <v/>
      </c>
      <c r="G1331" s="4" t="str">
        <f>IFERROR(VLOOKUP(B1331,infoTable[],4,FALSE),"")</f>
        <v/>
      </c>
      <c r="H1331" s="4" t="str">
        <f>IFERROR(VLOOKUP(B1331,infoTable__6[],4,FALSE),"")</f>
        <v/>
      </c>
      <c r="I1331" s="4" t="str">
        <f>IFERROR(VLOOKUP(B1331,infoTable__28[],4,FALSE),"")</f>
        <v/>
      </c>
      <c r="J1331" s="4">
        <f>IFERROR(VLOOKUP(B1331,infoTable__10[],4,FALSE),"")</f>
        <v>435502</v>
      </c>
      <c r="K1331" s="4" t="str">
        <f>IFERROR(VLOOKUP(B1331,infoTable__11[],4,FALSE),"")</f>
        <v/>
      </c>
      <c r="L1331" s="4" t="str">
        <f>IFERROR(VLOOKUP(B1331,infoTable__12[],4,FALSE),"")</f>
        <v/>
      </c>
      <c r="M1331" s="4" t="str">
        <f>IFERROR(VLOOKUP(B1331,infoTable__13[],4,FALSE),"")</f>
        <v/>
      </c>
      <c r="N1331" s="4" t="str">
        <f>IFERROR(VLOOKUP(B1331,infoTable__14[],4,FALSE),"")</f>
        <v/>
      </c>
      <c r="O1331" s="4">
        <f>IFERROR(VLOOKUP(B1331,infoTable__15[],4,FALSE),"")</f>
        <v>2667409</v>
      </c>
      <c r="P1331" s="4">
        <f>IFERROR(VLOOKUP(B1331,infoTable__16[],4,FALSE),"")</f>
        <v>6634304</v>
      </c>
    </row>
    <row r="1332" spans="1:16" x14ac:dyDescent="0.55000000000000004">
      <c r="A1332" t="s">
        <v>2307</v>
      </c>
      <c r="B1332" t="s">
        <v>2308</v>
      </c>
      <c r="C1332" s="4" t="str">
        <f>IFERROR(VLOOKUP(B1332,infoTable10[],4,FALSE),"")</f>
        <v/>
      </c>
      <c r="D1332" s="4" t="str">
        <f>IFERROR(VLOOKUP(B1332,infoTable__2[],4,FALSE),"")</f>
        <v/>
      </c>
      <c r="E1332" s="4" t="str">
        <f>IFERROR(VLOOKUP(B1332,infoTable__3[],4,FALSE),"")</f>
        <v/>
      </c>
      <c r="F1332" s="4" t="str">
        <f>IFERROR(VLOOKUP(B1332,infoTable__4[],4,FALSE),"")</f>
        <v/>
      </c>
      <c r="G1332" s="4" t="str">
        <f>IFERROR(VLOOKUP(B1332,infoTable[],4,FALSE),"")</f>
        <v/>
      </c>
      <c r="H1332" s="4" t="str">
        <f>IFERROR(VLOOKUP(B1332,infoTable__6[],4,FALSE),"")</f>
        <v/>
      </c>
      <c r="I1332" s="4" t="str">
        <f>IFERROR(VLOOKUP(B1332,infoTable__28[],4,FALSE),"")</f>
        <v/>
      </c>
      <c r="J1332" s="4" t="str">
        <f>IFERROR(VLOOKUP(B1332,infoTable__10[],4,FALSE),"")</f>
        <v/>
      </c>
      <c r="K1332" s="4" t="str">
        <f>IFERROR(VLOOKUP(B1332,infoTable__11[],4,FALSE),"")</f>
        <v/>
      </c>
      <c r="L1332" s="4">
        <f>IFERROR(VLOOKUP(B1332,infoTable__12[],4,FALSE),"")</f>
        <v>806643</v>
      </c>
      <c r="M1332" s="4">
        <f>IFERROR(VLOOKUP(B1332,infoTable__13[],4,FALSE),"")</f>
        <v>801306</v>
      </c>
      <c r="N1332" s="4" t="str">
        <f>IFERROR(VLOOKUP(B1332,infoTable__14[],4,FALSE),"")</f>
        <v/>
      </c>
      <c r="O1332" s="4" t="str">
        <f>IFERROR(VLOOKUP(B1332,infoTable__15[],4,FALSE),"")</f>
        <v/>
      </c>
      <c r="P1332" s="4" t="str">
        <f>IFERROR(VLOOKUP(B1332,infoTable__16[],4,FALSE),"")</f>
        <v/>
      </c>
    </row>
    <row r="1333" spans="1:16" x14ac:dyDescent="0.55000000000000004">
      <c r="A1333" t="s">
        <v>1090</v>
      </c>
      <c r="B1333" t="s">
        <v>1091</v>
      </c>
      <c r="C1333" s="4" t="str">
        <f>IFERROR(VLOOKUP(B1333,infoTable10[],4,FALSE),"")</f>
        <v/>
      </c>
      <c r="D1333" s="4" t="str">
        <f>IFERROR(VLOOKUP(B1333,infoTable__2[],4,FALSE),"")</f>
        <v/>
      </c>
      <c r="E1333" s="4" t="str">
        <f>IFERROR(VLOOKUP(B1333,infoTable__3[],4,FALSE),"")</f>
        <v/>
      </c>
      <c r="F1333" s="4" t="str">
        <f>IFERROR(VLOOKUP(B1333,infoTable__4[],4,FALSE),"")</f>
        <v/>
      </c>
      <c r="G1333" s="4" t="str">
        <f>IFERROR(VLOOKUP(B1333,infoTable[],4,FALSE),"")</f>
        <v/>
      </c>
      <c r="H1333" s="4">
        <f>IFERROR(VLOOKUP(B1333,infoTable__6[],4,FALSE),"")</f>
        <v>139286</v>
      </c>
      <c r="I1333" s="4" t="str">
        <f>IFERROR(VLOOKUP(B1333,infoTable__28[],4,FALSE),"")</f>
        <v/>
      </c>
      <c r="J1333" s="4" t="str">
        <f>IFERROR(VLOOKUP(B1333,infoTable__10[],4,FALSE),"")</f>
        <v/>
      </c>
      <c r="K1333" s="4" t="str">
        <f>IFERROR(VLOOKUP(B1333,infoTable__11[],4,FALSE),"")</f>
        <v/>
      </c>
      <c r="L1333" s="4" t="str">
        <f>IFERROR(VLOOKUP(B1333,infoTable__12[],4,FALSE),"")</f>
        <v/>
      </c>
      <c r="M1333" s="4" t="str">
        <f>IFERROR(VLOOKUP(B1333,infoTable__13[],4,FALSE),"")</f>
        <v/>
      </c>
      <c r="N1333" s="4" t="str">
        <f>IFERROR(VLOOKUP(B1333,infoTable__14[],4,FALSE),"")</f>
        <v/>
      </c>
      <c r="O1333" s="4" t="str">
        <f>IFERROR(VLOOKUP(B1333,infoTable__15[],4,FALSE),"")</f>
        <v/>
      </c>
      <c r="P1333" s="4">
        <f>IFERROR(VLOOKUP(B1333,infoTable__16[],4,FALSE),"")</f>
        <v>524334</v>
      </c>
    </row>
    <row r="1334" spans="1:16" x14ac:dyDescent="0.55000000000000004">
      <c r="A1334" t="s">
        <v>365</v>
      </c>
      <c r="B1334" t="s">
        <v>366</v>
      </c>
      <c r="C1334" s="4" t="str">
        <f>IFERROR(VLOOKUP(B1334,infoTable10[],4,FALSE),"")</f>
        <v/>
      </c>
      <c r="D1334" s="4" t="str">
        <f>IFERROR(VLOOKUP(B1334,infoTable__2[],4,FALSE),"")</f>
        <v/>
      </c>
      <c r="E1334" s="4" t="str">
        <f>IFERROR(VLOOKUP(B1334,infoTable__3[],4,FALSE),"")</f>
        <v/>
      </c>
      <c r="F1334" s="4" t="str">
        <f>IFERROR(VLOOKUP(B1334,infoTable__4[],4,FALSE),"")</f>
        <v/>
      </c>
      <c r="G1334" s="4">
        <f>IFERROR(VLOOKUP(B1334,infoTable[],4,FALSE),"")</f>
        <v>1908141</v>
      </c>
      <c r="H1334" s="4" t="str">
        <f>IFERROR(VLOOKUP(B1334,infoTable__6[],4,FALSE),"")</f>
        <v/>
      </c>
      <c r="I1334" s="4" t="str">
        <f>IFERROR(VLOOKUP(B1334,infoTable__28[],4,FALSE),"")</f>
        <v/>
      </c>
      <c r="J1334" s="4">
        <f>IFERROR(VLOOKUP(B1334,infoTable__10[],4,FALSE),"")</f>
        <v>651036</v>
      </c>
      <c r="K1334" s="4">
        <f>IFERROR(VLOOKUP(B1334,infoTable__11[],4,FALSE),"")</f>
        <v>311653</v>
      </c>
      <c r="L1334" s="4">
        <f>IFERROR(VLOOKUP(B1334,infoTable__12[],4,FALSE),"")</f>
        <v>228221</v>
      </c>
      <c r="M1334" s="4" t="str">
        <f>IFERROR(VLOOKUP(B1334,infoTable__13[],4,FALSE),"")</f>
        <v/>
      </c>
      <c r="N1334" s="4" t="str">
        <f>IFERROR(VLOOKUP(B1334,infoTable__14[],4,FALSE),"")</f>
        <v/>
      </c>
      <c r="O1334" s="4" t="str">
        <f>IFERROR(VLOOKUP(B1334,infoTable__15[],4,FALSE),"")</f>
        <v/>
      </c>
      <c r="P1334" s="4" t="str">
        <f>IFERROR(VLOOKUP(B1334,infoTable__16[],4,FALSE),"")</f>
        <v/>
      </c>
    </row>
    <row r="1335" spans="1:16" x14ac:dyDescent="0.55000000000000004">
      <c r="A1335" t="s">
        <v>672</v>
      </c>
      <c r="B1335" t="s">
        <v>673</v>
      </c>
      <c r="C1335" s="4" t="str">
        <f>IFERROR(VLOOKUP(B1335,infoTable10[],4,FALSE),"")</f>
        <v/>
      </c>
      <c r="D1335" s="4">
        <f>IFERROR(VLOOKUP(B1335,infoTable__2[],4,FALSE),"")</f>
        <v>479112</v>
      </c>
      <c r="E1335" s="4">
        <f>IFERROR(VLOOKUP(B1335,infoTable__3[],4,FALSE),"")</f>
        <v>1049494</v>
      </c>
      <c r="F1335" s="4" t="str">
        <f>IFERROR(VLOOKUP(B1335,infoTable__4[],4,FALSE),"")</f>
        <v/>
      </c>
      <c r="G1335" s="4" t="str">
        <f>IFERROR(VLOOKUP(B1335,infoTable[],4,FALSE),"")</f>
        <v/>
      </c>
      <c r="H1335" s="4">
        <f>IFERROR(VLOOKUP(B1335,infoTable__6[],4,FALSE),"")</f>
        <v>433459</v>
      </c>
      <c r="I1335" s="4" t="str">
        <f>IFERROR(VLOOKUP(B1335,infoTable__28[],4,FALSE),"")</f>
        <v/>
      </c>
      <c r="J1335" s="4">
        <f>IFERROR(VLOOKUP(B1335,infoTable__10[],4,FALSE),"")</f>
        <v>179954</v>
      </c>
      <c r="K1335" s="4">
        <f>IFERROR(VLOOKUP(B1335,infoTable__11[],4,FALSE),"")</f>
        <v>166785</v>
      </c>
      <c r="L1335" s="4" t="str">
        <f>IFERROR(VLOOKUP(B1335,infoTable__12[],4,FALSE),"")</f>
        <v/>
      </c>
      <c r="M1335" s="4" t="str">
        <f>IFERROR(VLOOKUP(B1335,infoTable__13[],4,FALSE),"")</f>
        <v/>
      </c>
      <c r="N1335" s="4" t="str">
        <f>IFERROR(VLOOKUP(B1335,infoTable__14[],4,FALSE),"")</f>
        <v/>
      </c>
      <c r="O1335" s="4" t="str">
        <f>IFERROR(VLOOKUP(B1335,infoTable__15[],4,FALSE),"")</f>
        <v/>
      </c>
      <c r="P1335" s="4" t="str">
        <f>IFERROR(VLOOKUP(B1335,infoTable__16[],4,FALSE),"")</f>
        <v/>
      </c>
    </row>
    <row r="1336" spans="1:16" x14ac:dyDescent="0.55000000000000004">
      <c r="A1336" t="s">
        <v>674</v>
      </c>
      <c r="B1336" t="s">
        <v>675</v>
      </c>
      <c r="C1336" s="4" t="str">
        <f>IFERROR(VLOOKUP(B1336,infoTable10[],4,FALSE),"")</f>
        <v/>
      </c>
      <c r="D1336" s="4">
        <f>IFERROR(VLOOKUP(B1336,infoTable__2[],4,FALSE),"")</f>
        <v>3200205</v>
      </c>
      <c r="E1336" s="4" t="str">
        <f>IFERROR(VLOOKUP(B1336,infoTable__3[],4,FALSE),"")</f>
        <v/>
      </c>
      <c r="F1336" s="4" t="str">
        <f>IFERROR(VLOOKUP(B1336,infoTable__4[],4,FALSE),"")</f>
        <v/>
      </c>
      <c r="G1336" s="4" t="str">
        <f>IFERROR(VLOOKUP(B1336,infoTable[],4,FALSE),"")</f>
        <v/>
      </c>
      <c r="H1336" s="4">
        <f>IFERROR(VLOOKUP(B1336,infoTable__6[],4,FALSE),"")</f>
        <v>328516</v>
      </c>
      <c r="I1336" s="4" t="str">
        <f>IFERROR(VLOOKUP(B1336,infoTable__28[],4,FALSE),"")</f>
        <v/>
      </c>
      <c r="J1336" s="4" t="str">
        <f>IFERROR(VLOOKUP(B1336,infoTable__10[],4,FALSE),"")</f>
        <v/>
      </c>
      <c r="K1336" s="4" t="str">
        <f>IFERROR(VLOOKUP(B1336,infoTable__11[],4,FALSE),"")</f>
        <v/>
      </c>
      <c r="L1336" s="4" t="str">
        <f>IFERROR(VLOOKUP(B1336,infoTable__12[],4,FALSE),"")</f>
        <v/>
      </c>
      <c r="M1336" s="4" t="str">
        <f>IFERROR(VLOOKUP(B1336,infoTable__13[],4,FALSE),"")</f>
        <v/>
      </c>
      <c r="N1336" s="4" t="str">
        <f>IFERROR(VLOOKUP(B1336,infoTable__14[],4,FALSE),"")</f>
        <v/>
      </c>
      <c r="O1336" s="4" t="str">
        <f>IFERROR(VLOOKUP(B1336,infoTable__15[],4,FALSE),"")</f>
        <v/>
      </c>
      <c r="P1336" s="4" t="str">
        <f>IFERROR(VLOOKUP(B1336,infoTable__16[],4,FALSE),"")</f>
        <v/>
      </c>
    </row>
    <row r="1337" spans="1:16" x14ac:dyDescent="0.55000000000000004">
      <c r="A1337" t="s">
        <v>367</v>
      </c>
      <c r="B1337" t="s">
        <v>368</v>
      </c>
      <c r="C1337" s="4" t="str">
        <f>IFERROR(VLOOKUP(B1337,infoTable10[],4,FALSE),"")</f>
        <v/>
      </c>
      <c r="D1337" s="4" t="str">
        <f>IFERROR(VLOOKUP(B1337,infoTable__2[],4,FALSE),"")</f>
        <v/>
      </c>
      <c r="E1337" s="4" t="str">
        <f>IFERROR(VLOOKUP(B1337,infoTable__3[],4,FALSE),"")</f>
        <v/>
      </c>
      <c r="F1337" s="4" t="str">
        <f>IFERROR(VLOOKUP(B1337,infoTable__4[],4,FALSE),"")</f>
        <v/>
      </c>
      <c r="G1337" s="4">
        <f>IFERROR(VLOOKUP(B1337,infoTable[],4,FALSE),"")</f>
        <v>228326</v>
      </c>
      <c r="H1337" s="4">
        <f>IFERROR(VLOOKUP(B1337,infoTable__6[],4,FALSE),"")</f>
        <v>2601568</v>
      </c>
      <c r="I1337" s="4">
        <f>IFERROR(VLOOKUP(B1337,infoTable__28[],4,FALSE),"")</f>
        <v>3631739</v>
      </c>
      <c r="J1337" s="4">
        <f>IFERROR(VLOOKUP(B1337,infoTable__10[],4,FALSE),"")</f>
        <v>4548092</v>
      </c>
      <c r="K1337" s="4">
        <f>IFERROR(VLOOKUP(B1337,infoTable__11[],4,FALSE),"")</f>
        <v>1919999</v>
      </c>
      <c r="L1337" s="4" t="str">
        <f>IFERROR(VLOOKUP(B1337,infoTable__12[],4,FALSE),"")</f>
        <v/>
      </c>
      <c r="M1337" s="4" t="str">
        <f>IFERROR(VLOOKUP(B1337,infoTable__13[],4,FALSE),"")</f>
        <v/>
      </c>
      <c r="N1337" s="4" t="str">
        <f>IFERROR(VLOOKUP(B1337,infoTable__14[],4,FALSE),"")</f>
        <v/>
      </c>
      <c r="O1337" s="4" t="str">
        <f>IFERROR(VLOOKUP(B1337,infoTable__15[],4,FALSE),"")</f>
        <v/>
      </c>
      <c r="P1337" s="4" t="str">
        <f>IFERROR(VLOOKUP(B1337,infoTable__16[],4,FALSE),"")</f>
        <v/>
      </c>
    </row>
    <row r="1338" spans="1:16" x14ac:dyDescent="0.55000000000000004">
      <c r="A1338" t="s">
        <v>2563</v>
      </c>
      <c r="B1338" t="s">
        <v>2565</v>
      </c>
      <c r="C1338" s="4" t="str">
        <f>IFERROR(VLOOKUP(B1338,infoTable10[],4,FALSE),"")</f>
        <v/>
      </c>
      <c r="D1338" s="4" t="str">
        <f>IFERROR(VLOOKUP(B1338,infoTable__2[],4,FALSE),"")</f>
        <v/>
      </c>
      <c r="E1338" s="4" t="str">
        <f>IFERROR(VLOOKUP(B1338,infoTable__3[],4,FALSE),"")</f>
        <v/>
      </c>
      <c r="F1338" s="4" t="str">
        <f>IFERROR(VLOOKUP(B1338,infoTable__4[],4,FALSE),"")</f>
        <v/>
      </c>
      <c r="G1338" s="4" t="str">
        <f>IFERROR(VLOOKUP(B1338,infoTable[],4,FALSE),"")</f>
        <v/>
      </c>
      <c r="H1338" s="4" t="str">
        <f>IFERROR(VLOOKUP(B1338,infoTable__6[],4,FALSE),"")</f>
        <v/>
      </c>
      <c r="I1338" s="4" t="str">
        <f>IFERROR(VLOOKUP(B1338,infoTable__28[],4,FALSE),"")</f>
        <v/>
      </c>
      <c r="J1338" s="4" t="str">
        <f>IFERROR(VLOOKUP(B1338,infoTable__10[],4,FALSE),"")</f>
        <v/>
      </c>
      <c r="K1338" s="4" t="str">
        <f>IFERROR(VLOOKUP(B1338,infoTable__11[],4,FALSE),"")</f>
        <v/>
      </c>
      <c r="L1338" s="4" t="str">
        <f>IFERROR(VLOOKUP(B1338,infoTable__12[],4,FALSE),"")</f>
        <v/>
      </c>
      <c r="M1338" s="4">
        <f>IFERROR(VLOOKUP(B1338,infoTable__13[],4,FALSE),"")</f>
        <v>231924</v>
      </c>
      <c r="N1338" s="4">
        <f>IFERROR(VLOOKUP(B1338,infoTable__14[],4,FALSE),"")</f>
        <v>372755</v>
      </c>
      <c r="O1338" s="4" t="str">
        <f>IFERROR(VLOOKUP(B1338,infoTable__15[],4,FALSE),"")</f>
        <v/>
      </c>
      <c r="P1338" s="4" t="str">
        <f>IFERROR(VLOOKUP(B1338,infoTable__16[],4,FALSE),"")</f>
        <v/>
      </c>
    </row>
    <row r="1339" spans="1:16" x14ac:dyDescent="0.55000000000000004">
      <c r="A1339" t="s">
        <v>2873</v>
      </c>
      <c r="B1339" t="s">
        <v>2872</v>
      </c>
      <c r="C1339" s="4" t="str">
        <f>IFERROR(VLOOKUP(B1339,infoTable10[],4,FALSE),"")</f>
        <v/>
      </c>
      <c r="D1339" s="4" t="str">
        <f>IFERROR(VLOOKUP(B1339,infoTable__2[],4,FALSE),"")</f>
        <v/>
      </c>
      <c r="E1339" s="4" t="str">
        <f>IFERROR(VLOOKUP(B1339,infoTable__3[],4,FALSE),"")</f>
        <v/>
      </c>
      <c r="F1339" s="4" t="str">
        <f>IFERROR(VLOOKUP(B1339,infoTable__4[],4,FALSE),"")</f>
        <v/>
      </c>
      <c r="G1339" s="4" t="str">
        <f>IFERROR(VLOOKUP(B1339,infoTable[],4,FALSE),"")</f>
        <v/>
      </c>
      <c r="H1339" s="4" t="str">
        <f>IFERROR(VLOOKUP(B1339,infoTable__6[],4,FALSE),"")</f>
        <v/>
      </c>
      <c r="I1339" s="4" t="str">
        <f>IFERROR(VLOOKUP(B1339,infoTable__28[],4,FALSE),"")</f>
        <v/>
      </c>
      <c r="J1339" s="4" t="str">
        <f>IFERROR(VLOOKUP(B1339,infoTable__10[],4,FALSE),"")</f>
        <v/>
      </c>
      <c r="K1339" s="4" t="str">
        <f>IFERROR(VLOOKUP(B1339,infoTable__11[],4,FALSE),"")</f>
        <v/>
      </c>
      <c r="L1339" s="4" t="str">
        <f>IFERROR(VLOOKUP(B1339,infoTable__12[],4,FALSE),"")</f>
        <v/>
      </c>
      <c r="M1339" s="4" t="str">
        <f>IFERROR(VLOOKUP(B1339,infoTable__13[],4,FALSE),"")</f>
        <v/>
      </c>
      <c r="N1339" s="4">
        <f>IFERROR(VLOOKUP(B1339,infoTable__14[],4,FALSE),"")</f>
        <v>505372</v>
      </c>
      <c r="O1339" s="4" t="str">
        <f>IFERROR(VLOOKUP(B1339,infoTable__15[],4,FALSE),"")</f>
        <v/>
      </c>
      <c r="P1339" s="4" t="str">
        <f>IFERROR(VLOOKUP(B1339,infoTable__16[],4,FALSE),"")</f>
        <v/>
      </c>
    </row>
    <row r="1340" spans="1:16" x14ac:dyDescent="0.55000000000000004">
      <c r="A1340" t="s">
        <v>2875</v>
      </c>
      <c r="B1340" t="s">
        <v>2874</v>
      </c>
      <c r="C1340" s="4" t="str">
        <f>IFERROR(VLOOKUP(B1340,infoTable10[],4,FALSE),"")</f>
        <v/>
      </c>
      <c r="D1340" s="4" t="str">
        <f>IFERROR(VLOOKUP(B1340,infoTable__2[],4,FALSE),"")</f>
        <v/>
      </c>
      <c r="E1340" s="4" t="str">
        <f>IFERROR(VLOOKUP(B1340,infoTable__3[],4,FALSE),"")</f>
        <v/>
      </c>
      <c r="F1340" s="4" t="str">
        <f>IFERROR(VLOOKUP(B1340,infoTable__4[],4,FALSE),"")</f>
        <v/>
      </c>
      <c r="G1340" s="4" t="str">
        <f>IFERROR(VLOOKUP(B1340,infoTable[],4,FALSE),"")</f>
        <v/>
      </c>
      <c r="H1340" s="4" t="str">
        <f>IFERROR(VLOOKUP(B1340,infoTable__6[],4,FALSE),"")</f>
        <v/>
      </c>
      <c r="I1340" s="4" t="str">
        <f>IFERROR(VLOOKUP(B1340,infoTable__28[],4,FALSE),"")</f>
        <v/>
      </c>
      <c r="J1340" s="4" t="str">
        <f>IFERROR(VLOOKUP(B1340,infoTable__10[],4,FALSE),"")</f>
        <v/>
      </c>
      <c r="K1340" s="4" t="str">
        <f>IFERROR(VLOOKUP(B1340,infoTable__11[],4,FALSE),"")</f>
        <v/>
      </c>
      <c r="L1340" s="4" t="str">
        <f>IFERROR(VLOOKUP(B1340,infoTable__12[],4,FALSE),"")</f>
        <v/>
      </c>
      <c r="M1340" s="4" t="str">
        <f>IFERROR(VLOOKUP(B1340,infoTable__13[],4,FALSE),"")</f>
        <v/>
      </c>
      <c r="N1340" s="4">
        <f>IFERROR(VLOOKUP(B1340,infoTable__14[],4,FALSE),"")</f>
        <v>287473</v>
      </c>
      <c r="O1340" s="4">
        <f>IFERROR(VLOOKUP(B1340,infoTable__15[],4,FALSE),"")</f>
        <v>149655</v>
      </c>
      <c r="P1340" s="4" t="str">
        <f>IFERROR(VLOOKUP(B1340,infoTable__16[],4,FALSE),"")</f>
        <v/>
      </c>
    </row>
    <row r="1341" spans="1:16" x14ac:dyDescent="0.55000000000000004">
      <c r="A1341" t="s">
        <v>1092</v>
      </c>
      <c r="B1341" t="s">
        <v>1093</v>
      </c>
      <c r="C1341" s="4">
        <f>IFERROR(VLOOKUP(B1341,infoTable10[],4,FALSE),"")</f>
        <v>1330480</v>
      </c>
      <c r="D1341" s="4" t="str">
        <f>IFERROR(VLOOKUP(B1341,infoTable__2[],4,FALSE),"")</f>
        <v/>
      </c>
      <c r="E1341" s="4" t="str">
        <f>IFERROR(VLOOKUP(B1341,infoTable__3[],4,FALSE),"")</f>
        <v/>
      </c>
      <c r="F1341" s="4" t="str">
        <f>IFERROR(VLOOKUP(B1341,infoTable__4[],4,FALSE),"")</f>
        <v/>
      </c>
      <c r="G1341" s="4" t="str">
        <f>IFERROR(VLOOKUP(B1341,infoTable[],4,FALSE),"")</f>
        <v/>
      </c>
      <c r="H1341" s="4">
        <f>IFERROR(VLOOKUP(B1341,infoTable__6[],4,FALSE),"")</f>
        <v>216330</v>
      </c>
      <c r="I1341" s="4">
        <f>IFERROR(VLOOKUP(B1341,infoTable__28[],4,FALSE),"")</f>
        <v>823943</v>
      </c>
      <c r="J1341" s="4" t="str">
        <f>IFERROR(VLOOKUP(B1341,infoTable__10[],4,FALSE),"")</f>
        <v/>
      </c>
      <c r="K1341" s="4" t="str">
        <f>IFERROR(VLOOKUP(B1341,infoTable__11[],4,FALSE),"")</f>
        <v/>
      </c>
      <c r="L1341" s="4" t="str">
        <f>IFERROR(VLOOKUP(B1341,infoTable__12[],4,FALSE),"")</f>
        <v/>
      </c>
      <c r="M1341" s="4" t="str">
        <f>IFERROR(VLOOKUP(B1341,infoTable__13[],4,FALSE),"")</f>
        <v/>
      </c>
      <c r="N1341" s="4" t="str">
        <f>IFERROR(VLOOKUP(B1341,infoTable__14[],4,FALSE),"")</f>
        <v/>
      </c>
      <c r="O1341" s="4" t="str">
        <f>IFERROR(VLOOKUP(B1341,infoTable__15[],4,FALSE),"")</f>
        <v/>
      </c>
      <c r="P1341" s="4">
        <f>IFERROR(VLOOKUP(B1341,infoTable__16[],4,FALSE),"")</f>
        <v>424320</v>
      </c>
    </row>
    <row r="1342" spans="1:16" x14ac:dyDescent="0.55000000000000004">
      <c r="A1342" t="s">
        <v>2570</v>
      </c>
      <c r="B1342" t="s">
        <v>2571</v>
      </c>
      <c r="C1342" s="4" t="str">
        <f>IFERROR(VLOOKUP(B1342,infoTable10[],4,FALSE),"")</f>
        <v/>
      </c>
      <c r="D1342" s="4" t="str">
        <f>IFERROR(VLOOKUP(B1342,infoTable__2[],4,FALSE),"")</f>
        <v/>
      </c>
      <c r="E1342" s="4" t="str">
        <f>IFERROR(VLOOKUP(B1342,infoTable__3[],4,FALSE),"")</f>
        <v/>
      </c>
      <c r="F1342" s="4" t="str">
        <f>IFERROR(VLOOKUP(B1342,infoTable__4[],4,FALSE),"")</f>
        <v/>
      </c>
      <c r="G1342" s="4" t="str">
        <f>IFERROR(VLOOKUP(B1342,infoTable[],4,FALSE),"")</f>
        <v/>
      </c>
      <c r="H1342" s="4" t="str">
        <f>IFERROR(VLOOKUP(B1342,infoTable__6[],4,FALSE),"")</f>
        <v/>
      </c>
      <c r="I1342" s="4" t="str">
        <f>IFERROR(VLOOKUP(B1342,infoTable__28[],4,FALSE),"")</f>
        <v/>
      </c>
      <c r="J1342" s="4" t="str">
        <f>IFERROR(VLOOKUP(B1342,infoTable__10[],4,FALSE),"")</f>
        <v/>
      </c>
      <c r="K1342" s="4" t="str">
        <f>IFERROR(VLOOKUP(B1342,infoTable__11[],4,FALSE),"")</f>
        <v/>
      </c>
      <c r="L1342" s="4" t="str">
        <f>IFERROR(VLOOKUP(B1342,infoTable__12[],4,FALSE),"")</f>
        <v/>
      </c>
      <c r="M1342" s="4">
        <f>IFERROR(VLOOKUP(B1342,infoTable__13[],4,FALSE),"")</f>
        <v>376166</v>
      </c>
      <c r="N1342" s="4" t="str">
        <f>IFERROR(VLOOKUP(B1342,infoTable__14[],4,FALSE),"")</f>
        <v/>
      </c>
      <c r="O1342" s="4" t="str">
        <f>IFERROR(VLOOKUP(B1342,infoTable__15[],4,FALSE),"")</f>
        <v/>
      </c>
      <c r="P1342" s="4" t="str">
        <f>IFERROR(VLOOKUP(B1342,infoTable__16[],4,FALSE),"")</f>
        <v/>
      </c>
    </row>
    <row r="1343" spans="1:16" x14ac:dyDescent="0.55000000000000004">
      <c r="A1343" t="s">
        <v>2877</v>
      </c>
      <c r="B1343" t="s">
        <v>2876</v>
      </c>
      <c r="C1343" s="4" t="str">
        <f>IFERROR(VLOOKUP(B1343,infoTable10[],4,FALSE),"")</f>
        <v/>
      </c>
      <c r="D1343" s="4" t="str">
        <f>IFERROR(VLOOKUP(B1343,infoTable__2[],4,FALSE),"")</f>
        <v/>
      </c>
      <c r="E1343" s="4" t="str">
        <f>IFERROR(VLOOKUP(B1343,infoTable__3[],4,FALSE),"")</f>
        <v/>
      </c>
      <c r="F1343" s="4" t="str">
        <f>IFERROR(VLOOKUP(B1343,infoTable__4[],4,FALSE),"")</f>
        <v/>
      </c>
      <c r="G1343" s="4" t="str">
        <f>IFERROR(VLOOKUP(B1343,infoTable[],4,FALSE),"")</f>
        <v/>
      </c>
      <c r="H1343" s="4" t="str">
        <f>IFERROR(VLOOKUP(B1343,infoTable__6[],4,FALSE),"")</f>
        <v/>
      </c>
      <c r="I1343" s="4" t="str">
        <f>IFERROR(VLOOKUP(B1343,infoTable__28[],4,FALSE),"")</f>
        <v/>
      </c>
      <c r="J1343" s="4" t="str">
        <f>IFERROR(VLOOKUP(B1343,infoTable__10[],4,FALSE),"")</f>
        <v/>
      </c>
      <c r="K1343" s="4" t="str">
        <f>IFERROR(VLOOKUP(B1343,infoTable__11[],4,FALSE),"")</f>
        <v/>
      </c>
      <c r="L1343" s="4" t="str">
        <f>IFERROR(VLOOKUP(B1343,infoTable__12[],4,FALSE),"")</f>
        <v/>
      </c>
      <c r="M1343" s="4" t="str">
        <f>IFERROR(VLOOKUP(B1343,infoTable__13[],4,FALSE),"")</f>
        <v/>
      </c>
      <c r="N1343" s="4">
        <f>IFERROR(VLOOKUP(B1343,infoTable__14[],4,FALSE),"")</f>
        <v>777003</v>
      </c>
      <c r="O1343" s="4" t="str">
        <f>IFERROR(VLOOKUP(B1343,infoTable__15[],4,FALSE),"")</f>
        <v/>
      </c>
      <c r="P1343" s="4" t="str">
        <f>IFERROR(VLOOKUP(B1343,infoTable__16[],4,FALSE),"")</f>
        <v/>
      </c>
    </row>
    <row r="1344" spans="1:16" x14ac:dyDescent="0.55000000000000004">
      <c r="A1344" t="s">
        <v>3151</v>
      </c>
      <c r="B1344" t="s">
        <v>3152</v>
      </c>
      <c r="C1344" s="4" t="str">
        <f>IFERROR(VLOOKUP(B1344,infoTable10[],4,FALSE),"")</f>
        <v/>
      </c>
      <c r="D1344" s="4" t="str">
        <f>IFERROR(VLOOKUP(B1344,infoTable__2[],4,FALSE),"")</f>
        <v/>
      </c>
      <c r="E1344" s="4" t="str">
        <f>IFERROR(VLOOKUP(B1344,infoTable__3[],4,FALSE),"")</f>
        <v/>
      </c>
      <c r="F1344" s="4" t="str">
        <f>IFERROR(VLOOKUP(B1344,infoTable__4[],4,FALSE),"")</f>
        <v/>
      </c>
      <c r="G1344" s="4" t="str">
        <f>IFERROR(VLOOKUP(B1344,infoTable[],4,FALSE),"")</f>
        <v/>
      </c>
      <c r="H1344" s="4" t="str">
        <f>IFERROR(VLOOKUP(B1344,infoTable__6[],4,FALSE),"")</f>
        <v/>
      </c>
      <c r="I1344" s="4" t="str">
        <f>IFERROR(VLOOKUP(B1344,infoTable__28[],4,FALSE),"")</f>
        <v/>
      </c>
      <c r="J1344" s="4" t="str">
        <f>IFERROR(VLOOKUP(B1344,infoTable__10[],4,FALSE),"")</f>
        <v/>
      </c>
      <c r="K1344" s="4" t="str">
        <f>IFERROR(VLOOKUP(B1344,infoTable__11[],4,FALSE),"")</f>
        <v/>
      </c>
      <c r="L1344" s="4" t="str">
        <f>IFERROR(VLOOKUP(B1344,infoTable__12[],4,FALSE),"")</f>
        <v/>
      </c>
      <c r="M1344" s="4" t="str">
        <f>IFERROR(VLOOKUP(B1344,infoTable__13[],4,FALSE),"")</f>
        <v/>
      </c>
      <c r="N1344" s="4" t="str">
        <f>IFERROR(VLOOKUP(B1344,infoTable__14[],4,FALSE),"")</f>
        <v/>
      </c>
      <c r="O1344" s="4">
        <f>IFERROR(VLOOKUP(B1344,infoTable__15[],4,FALSE),"")</f>
        <v>528788</v>
      </c>
      <c r="P1344" s="4" t="str">
        <f>IFERROR(VLOOKUP(B1344,infoTable__16[],4,FALSE),"")</f>
        <v/>
      </c>
    </row>
    <row r="1345" spans="1:16" x14ac:dyDescent="0.55000000000000004">
      <c r="A1345" t="s">
        <v>1746</v>
      </c>
      <c r="B1345" t="s">
        <v>1747</v>
      </c>
      <c r="C1345" s="4" t="str">
        <f>IFERROR(VLOOKUP(B1345,infoTable10[],4,FALSE),"")</f>
        <v/>
      </c>
      <c r="D1345" s="4" t="str">
        <f>IFERROR(VLOOKUP(B1345,infoTable__2[],4,FALSE),"")</f>
        <v/>
      </c>
      <c r="E1345" s="4" t="str">
        <f>IFERROR(VLOOKUP(B1345,infoTable__3[],4,FALSE),"")</f>
        <v/>
      </c>
      <c r="F1345" s="4" t="str">
        <f>IFERROR(VLOOKUP(B1345,infoTable__4[],4,FALSE),"")</f>
        <v/>
      </c>
      <c r="G1345" s="4" t="str">
        <f>IFERROR(VLOOKUP(B1345,infoTable[],4,FALSE),"")</f>
        <v/>
      </c>
      <c r="H1345" s="4" t="str">
        <f>IFERROR(VLOOKUP(B1345,infoTable__6[],4,FALSE),"")</f>
        <v/>
      </c>
      <c r="I1345" s="4" t="str">
        <f>IFERROR(VLOOKUP(B1345,infoTable__28[],4,FALSE),"")</f>
        <v/>
      </c>
      <c r="J1345" s="4">
        <f>IFERROR(VLOOKUP(B1345,infoTable__10[],4,FALSE),"")</f>
        <v>217354</v>
      </c>
      <c r="K1345" s="4">
        <f>IFERROR(VLOOKUP(B1345,infoTable__11[],4,FALSE),"")</f>
        <v>832626</v>
      </c>
      <c r="L1345" s="4">
        <f>IFERROR(VLOOKUP(B1345,infoTable__12[],4,FALSE),"")</f>
        <v>594893</v>
      </c>
      <c r="M1345" s="4">
        <f>IFERROR(VLOOKUP(B1345,infoTable__13[],4,FALSE),"")</f>
        <v>468328</v>
      </c>
      <c r="N1345" s="4" t="str">
        <f>IFERROR(VLOOKUP(B1345,infoTable__14[],4,FALSE),"")</f>
        <v/>
      </c>
      <c r="O1345" s="4" t="str">
        <f>IFERROR(VLOOKUP(B1345,infoTable__15[],4,FALSE),"")</f>
        <v/>
      </c>
      <c r="P1345" s="4">
        <f>IFERROR(VLOOKUP(B1345,infoTable__16[],4,FALSE),"")</f>
        <v>3342341</v>
      </c>
    </row>
    <row r="1346" spans="1:16" x14ac:dyDescent="0.55000000000000004">
      <c r="A1346" t="s">
        <v>1545</v>
      </c>
      <c r="B1346" t="s">
        <v>1546</v>
      </c>
      <c r="C1346" s="4">
        <f>IFERROR(VLOOKUP(B1346,infoTable10[],4,FALSE),"")</f>
        <v>525372</v>
      </c>
      <c r="D1346" s="4" t="str">
        <f>IFERROR(VLOOKUP(B1346,infoTable__2[],4,FALSE),"")</f>
        <v/>
      </c>
      <c r="E1346" s="4" t="str">
        <f>IFERROR(VLOOKUP(B1346,infoTable__3[],4,FALSE),"")</f>
        <v/>
      </c>
      <c r="F1346" s="4" t="str">
        <f>IFERROR(VLOOKUP(B1346,infoTable__4[],4,FALSE),"")</f>
        <v/>
      </c>
      <c r="G1346" s="4" t="str">
        <f>IFERROR(VLOOKUP(B1346,infoTable[],4,FALSE),"")</f>
        <v/>
      </c>
      <c r="H1346" s="4" t="str">
        <f>IFERROR(VLOOKUP(B1346,infoTable__6[],4,FALSE),"")</f>
        <v/>
      </c>
      <c r="I1346" s="4" t="str">
        <f>IFERROR(VLOOKUP(B1346,infoTable__28[],4,FALSE),"")</f>
        <v/>
      </c>
      <c r="J1346" s="4" t="str">
        <f>IFERROR(VLOOKUP(B1346,infoTable__10[],4,FALSE),"")</f>
        <v/>
      </c>
      <c r="K1346" s="4" t="str">
        <f>IFERROR(VLOOKUP(B1346,infoTable__11[],4,FALSE),"")</f>
        <v/>
      </c>
      <c r="L1346" s="4">
        <f>IFERROR(VLOOKUP(B1346,infoTable__12[],4,FALSE),"")</f>
        <v>267444</v>
      </c>
      <c r="M1346" s="4" t="str">
        <f>IFERROR(VLOOKUP(B1346,infoTable__13[],4,FALSE),"")</f>
        <v/>
      </c>
      <c r="N1346" s="4">
        <f>IFERROR(VLOOKUP(B1346,infoTable__14[],4,FALSE),"")</f>
        <v>478188</v>
      </c>
      <c r="O1346" s="4">
        <f>IFERROR(VLOOKUP(B1346,infoTable__15[],4,FALSE),"")</f>
        <v>189286</v>
      </c>
      <c r="P1346" s="4" t="str">
        <f>IFERROR(VLOOKUP(B1346,infoTable__16[],4,FALSE),"")</f>
        <v/>
      </c>
    </row>
    <row r="1347" spans="1:16" x14ac:dyDescent="0.55000000000000004">
      <c r="A1347" t="s">
        <v>1388</v>
      </c>
      <c r="B1347" t="s">
        <v>1389</v>
      </c>
      <c r="C1347" s="4" t="str">
        <f>IFERROR(VLOOKUP(B1347,infoTable10[],4,FALSE),"")</f>
        <v/>
      </c>
      <c r="D1347" s="4" t="str">
        <f>IFERROR(VLOOKUP(B1347,infoTable__2[],4,FALSE),"")</f>
        <v/>
      </c>
      <c r="E1347" s="4" t="str">
        <f>IFERROR(VLOOKUP(B1347,infoTable__3[],4,FALSE),"")</f>
        <v/>
      </c>
      <c r="F1347" s="4" t="str">
        <f>IFERROR(VLOOKUP(B1347,infoTable__4[],4,FALSE),"")</f>
        <v/>
      </c>
      <c r="G1347" s="4" t="str">
        <f>IFERROR(VLOOKUP(B1347,infoTable[],4,FALSE),"")</f>
        <v/>
      </c>
      <c r="H1347" s="4" t="str">
        <f>IFERROR(VLOOKUP(B1347,infoTable__6[],4,FALSE),"")</f>
        <v/>
      </c>
      <c r="I1347" s="4">
        <f>IFERROR(VLOOKUP(B1347,infoTable__28[],4,FALSE),"")</f>
        <v>940802</v>
      </c>
      <c r="J1347" s="4">
        <f>IFERROR(VLOOKUP(B1347,infoTable__10[],4,FALSE),"")</f>
        <v>109974</v>
      </c>
      <c r="K1347" s="4">
        <f>IFERROR(VLOOKUP(B1347,infoTable__11[],4,FALSE),"")</f>
        <v>614247</v>
      </c>
      <c r="L1347" s="4">
        <f>IFERROR(VLOOKUP(B1347,infoTable__12[],4,FALSE),"")</f>
        <v>85950</v>
      </c>
      <c r="M1347" s="4" t="str">
        <f>IFERROR(VLOOKUP(B1347,infoTable__13[],4,FALSE),"")</f>
        <v/>
      </c>
      <c r="N1347" s="4" t="str">
        <f>IFERROR(VLOOKUP(B1347,infoTable__14[],4,FALSE),"")</f>
        <v/>
      </c>
      <c r="O1347" s="4" t="str">
        <f>IFERROR(VLOOKUP(B1347,infoTable__15[],4,FALSE),"")</f>
        <v/>
      </c>
      <c r="P1347" s="4" t="str">
        <f>IFERROR(VLOOKUP(B1347,infoTable__16[],4,FALSE),"")</f>
        <v/>
      </c>
    </row>
    <row r="1348" spans="1:16" x14ac:dyDescent="0.55000000000000004">
      <c r="A1348" t="s">
        <v>3484</v>
      </c>
      <c r="B1348" t="s">
        <v>3485</v>
      </c>
      <c r="C1348" s="4" t="str">
        <f>IFERROR(VLOOKUP(B1348,infoTable10[],4,FALSE),"")</f>
        <v/>
      </c>
      <c r="D1348" s="4" t="str">
        <f>IFERROR(VLOOKUP(B1348,infoTable__2[],4,FALSE),"")</f>
        <v/>
      </c>
      <c r="E1348" s="4" t="str">
        <f>IFERROR(VLOOKUP(B1348,infoTable__3[],4,FALSE),"")</f>
        <v/>
      </c>
      <c r="F1348" s="4" t="str">
        <f>IFERROR(VLOOKUP(B1348,infoTable__4[],4,FALSE),"")</f>
        <v/>
      </c>
      <c r="G1348" s="4" t="str">
        <f>IFERROR(VLOOKUP(B1348,infoTable[],4,FALSE),"")</f>
        <v/>
      </c>
      <c r="H1348" s="4" t="str">
        <f>IFERROR(VLOOKUP(B1348,infoTable__6[],4,FALSE),"")</f>
        <v/>
      </c>
      <c r="I1348" s="4" t="str">
        <f>IFERROR(VLOOKUP(B1348,infoTable__28[],4,FALSE),"")</f>
        <v/>
      </c>
      <c r="J1348" s="4" t="str">
        <f>IFERROR(VLOOKUP(B1348,infoTable__10[],4,FALSE),"")</f>
        <v/>
      </c>
      <c r="K1348" s="4" t="str">
        <f>IFERROR(VLOOKUP(B1348,infoTable__11[],4,FALSE),"")</f>
        <v/>
      </c>
      <c r="L1348" s="4" t="str">
        <f>IFERROR(VLOOKUP(B1348,infoTable__12[],4,FALSE),"")</f>
        <v/>
      </c>
      <c r="M1348" s="4" t="str">
        <f>IFERROR(VLOOKUP(B1348,infoTable__13[],4,FALSE),"")</f>
        <v/>
      </c>
      <c r="N1348" s="4" t="str">
        <f>IFERROR(VLOOKUP(B1348,infoTable__14[],4,FALSE),"")</f>
        <v/>
      </c>
      <c r="O1348" s="4" t="str">
        <f>IFERROR(VLOOKUP(B1348,infoTable__15[],4,FALSE),"")</f>
        <v/>
      </c>
      <c r="P1348" s="4">
        <f>IFERROR(VLOOKUP(B1348,infoTable__16[],4,FALSE),"")</f>
        <v>1277594</v>
      </c>
    </row>
    <row r="1349" spans="1:16" x14ac:dyDescent="0.55000000000000004">
      <c r="A1349" t="s">
        <v>2321</v>
      </c>
      <c r="B1349" t="s">
        <v>2322</v>
      </c>
      <c r="C1349" s="4" t="str">
        <f>IFERROR(VLOOKUP(B1349,infoTable10[],4,FALSE),"")</f>
        <v/>
      </c>
      <c r="D1349" s="4" t="str">
        <f>IFERROR(VLOOKUP(B1349,infoTable__2[],4,FALSE),"")</f>
        <v/>
      </c>
      <c r="E1349" s="4" t="str">
        <f>IFERROR(VLOOKUP(B1349,infoTable__3[],4,FALSE),"")</f>
        <v/>
      </c>
      <c r="F1349" s="4" t="str">
        <f>IFERROR(VLOOKUP(B1349,infoTable__4[],4,FALSE),"")</f>
        <v/>
      </c>
      <c r="G1349" s="4" t="str">
        <f>IFERROR(VLOOKUP(B1349,infoTable[],4,FALSE),"")</f>
        <v/>
      </c>
      <c r="H1349" s="4" t="str">
        <f>IFERROR(VLOOKUP(B1349,infoTable__6[],4,FALSE),"")</f>
        <v/>
      </c>
      <c r="I1349" s="4" t="str">
        <f>IFERROR(VLOOKUP(B1349,infoTable__28[],4,FALSE),"")</f>
        <v/>
      </c>
      <c r="J1349" s="4" t="str">
        <f>IFERROR(VLOOKUP(B1349,infoTable__10[],4,FALSE),"")</f>
        <v/>
      </c>
      <c r="K1349" s="4" t="str">
        <f>IFERROR(VLOOKUP(B1349,infoTable__11[],4,FALSE),"")</f>
        <v/>
      </c>
      <c r="L1349" s="4">
        <f>IFERROR(VLOOKUP(B1349,infoTable__12[],4,FALSE),"")</f>
        <v>1100349</v>
      </c>
      <c r="M1349" s="4">
        <f>IFERROR(VLOOKUP(B1349,infoTable__13[],4,FALSE),"")</f>
        <v>2737808</v>
      </c>
      <c r="N1349" s="4">
        <f>IFERROR(VLOOKUP(B1349,infoTable__14[],4,FALSE),"")</f>
        <v>1799481</v>
      </c>
      <c r="O1349" s="4">
        <f>IFERROR(VLOOKUP(B1349,infoTable__15[],4,FALSE),"")</f>
        <v>593527</v>
      </c>
      <c r="P1349" s="4">
        <f>IFERROR(VLOOKUP(B1349,infoTable__16[],4,FALSE),"")</f>
        <v>470303</v>
      </c>
    </row>
    <row r="1350" spans="1:16" x14ac:dyDescent="0.55000000000000004">
      <c r="A1350" t="s">
        <v>381</v>
      </c>
      <c r="B1350" t="s">
        <v>382</v>
      </c>
      <c r="C1350" s="4" t="str">
        <f>IFERROR(VLOOKUP(B1350,infoTable10[],4,FALSE),"")</f>
        <v/>
      </c>
      <c r="D1350" s="4" t="str">
        <f>IFERROR(VLOOKUP(B1350,infoTable__2[],4,FALSE),"")</f>
        <v/>
      </c>
      <c r="E1350" s="4" t="str">
        <f>IFERROR(VLOOKUP(B1350,infoTable__3[],4,FALSE),"")</f>
        <v/>
      </c>
      <c r="F1350" s="4">
        <f>IFERROR(VLOOKUP(B1350,infoTable__4[],4,FALSE),"")</f>
        <v>1605194</v>
      </c>
      <c r="G1350" s="4">
        <f>IFERROR(VLOOKUP(B1350,infoTable[],4,FALSE),"")</f>
        <v>1358297</v>
      </c>
      <c r="H1350" s="4" t="str">
        <f>IFERROR(VLOOKUP(B1350,infoTable__6[],4,FALSE),"")</f>
        <v/>
      </c>
      <c r="I1350" s="4" t="str">
        <f>IFERROR(VLOOKUP(B1350,infoTable__28[],4,FALSE),"")</f>
        <v/>
      </c>
      <c r="J1350" s="4" t="str">
        <f>IFERROR(VLOOKUP(B1350,infoTable__10[],4,FALSE),"")</f>
        <v/>
      </c>
      <c r="K1350" s="4" t="str">
        <f>IFERROR(VLOOKUP(B1350,infoTable__11[],4,FALSE),"")</f>
        <v/>
      </c>
      <c r="L1350" s="4" t="str">
        <f>IFERROR(VLOOKUP(B1350,infoTable__12[],4,FALSE),"")</f>
        <v/>
      </c>
      <c r="M1350" s="4" t="str">
        <f>IFERROR(VLOOKUP(B1350,infoTable__13[],4,FALSE),"")</f>
        <v/>
      </c>
      <c r="N1350" s="4" t="str">
        <f>IFERROR(VLOOKUP(B1350,infoTable__14[],4,FALSE),"")</f>
        <v/>
      </c>
      <c r="O1350" s="4" t="str">
        <f>IFERROR(VLOOKUP(B1350,infoTable__15[],4,FALSE),"")</f>
        <v/>
      </c>
      <c r="P1350" s="4" t="str">
        <f>IFERROR(VLOOKUP(B1350,infoTable__16[],4,FALSE),"")</f>
        <v/>
      </c>
    </row>
    <row r="1351" spans="1:16" x14ac:dyDescent="0.55000000000000004">
      <c r="A1351" t="s">
        <v>2879</v>
      </c>
      <c r="B1351" t="s">
        <v>2878</v>
      </c>
      <c r="C1351" s="4" t="str">
        <f>IFERROR(VLOOKUP(B1351,infoTable10[],4,FALSE),"")</f>
        <v/>
      </c>
      <c r="D1351" s="4" t="str">
        <f>IFERROR(VLOOKUP(B1351,infoTable__2[],4,FALSE),"")</f>
        <v/>
      </c>
      <c r="E1351" s="4" t="str">
        <f>IFERROR(VLOOKUP(B1351,infoTable__3[],4,FALSE),"")</f>
        <v/>
      </c>
      <c r="F1351" s="4" t="str">
        <f>IFERROR(VLOOKUP(B1351,infoTable__4[],4,FALSE),"")</f>
        <v/>
      </c>
      <c r="G1351" s="4" t="str">
        <f>IFERROR(VLOOKUP(B1351,infoTable[],4,FALSE),"")</f>
        <v/>
      </c>
      <c r="H1351" s="4" t="str">
        <f>IFERROR(VLOOKUP(B1351,infoTable__6[],4,FALSE),"")</f>
        <v/>
      </c>
      <c r="I1351" s="4" t="str">
        <f>IFERROR(VLOOKUP(B1351,infoTable__28[],4,FALSE),"")</f>
        <v/>
      </c>
      <c r="J1351" s="4" t="str">
        <f>IFERROR(VLOOKUP(B1351,infoTable__10[],4,FALSE),"")</f>
        <v/>
      </c>
      <c r="K1351" s="4" t="str">
        <f>IFERROR(VLOOKUP(B1351,infoTable__11[],4,FALSE),"")</f>
        <v/>
      </c>
      <c r="L1351" s="4" t="str">
        <f>IFERROR(VLOOKUP(B1351,infoTable__12[],4,FALSE),"")</f>
        <v/>
      </c>
      <c r="M1351" s="4" t="str">
        <f>IFERROR(VLOOKUP(B1351,infoTable__13[],4,FALSE),"")</f>
        <v/>
      </c>
      <c r="N1351" s="4">
        <f>IFERROR(VLOOKUP(B1351,infoTable__14[],4,FALSE),"")</f>
        <v>185302</v>
      </c>
      <c r="O1351" s="4">
        <f>IFERROR(VLOOKUP(B1351,infoTable__15[],4,FALSE),"")</f>
        <v>138786</v>
      </c>
      <c r="P1351" s="4">
        <f>IFERROR(VLOOKUP(B1351,infoTable__16[],4,FALSE),"")</f>
        <v>61789</v>
      </c>
    </row>
    <row r="1352" spans="1:16" x14ac:dyDescent="0.55000000000000004">
      <c r="A1352" t="s">
        <v>373</v>
      </c>
      <c r="B1352" t="s">
        <v>374</v>
      </c>
      <c r="C1352" s="4" t="str">
        <f>IFERROR(VLOOKUP(B1352,infoTable10[],4,FALSE),"")</f>
        <v/>
      </c>
      <c r="D1352" s="4" t="str">
        <f>IFERROR(VLOOKUP(B1352,infoTable__2[],4,FALSE),"")</f>
        <v/>
      </c>
      <c r="E1352" s="4" t="str">
        <f>IFERROR(VLOOKUP(B1352,infoTable__3[],4,FALSE),"")</f>
        <v/>
      </c>
      <c r="F1352" s="4" t="str">
        <f>IFERROR(VLOOKUP(B1352,infoTable__4[],4,FALSE),"")</f>
        <v/>
      </c>
      <c r="G1352" s="4">
        <f>IFERROR(VLOOKUP(B1352,infoTable[],4,FALSE),"")</f>
        <v>746213</v>
      </c>
      <c r="H1352" s="4">
        <f>IFERROR(VLOOKUP(B1352,infoTable__6[],4,FALSE),"")</f>
        <v>1521073</v>
      </c>
      <c r="I1352" s="4">
        <f>IFERROR(VLOOKUP(B1352,infoTable__28[],4,FALSE),"")</f>
        <v>1285525</v>
      </c>
      <c r="J1352" s="4">
        <f>IFERROR(VLOOKUP(B1352,infoTable__10[],4,FALSE),"")</f>
        <v>432011</v>
      </c>
      <c r="K1352" s="4">
        <f>IFERROR(VLOOKUP(B1352,infoTable__11[],4,FALSE),"")</f>
        <v>151397</v>
      </c>
      <c r="L1352" s="4">
        <f>IFERROR(VLOOKUP(B1352,infoTable__12[],4,FALSE),"")</f>
        <v>152716</v>
      </c>
      <c r="M1352" s="4">
        <f>IFERROR(VLOOKUP(B1352,infoTable__13[],4,FALSE),"")</f>
        <v>143712</v>
      </c>
      <c r="N1352" s="4" t="str">
        <f>IFERROR(VLOOKUP(B1352,infoTable__14[],4,FALSE),"")</f>
        <v/>
      </c>
      <c r="O1352" s="4" t="str">
        <f>IFERROR(VLOOKUP(B1352,infoTable__15[],4,FALSE),"")</f>
        <v/>
      </c>
      <c r="P1352" s="4" t="str">
        <f>IFERROR(VLOOKUP(B1352,infoTable__16[],4,FALSE),"")</f>
        <v/>
      </c>
    </row>
    <row r="1353" spans="1:16" x14ac:dyDescent="0.55000000000000004">
      <c r="A1353" t="s">
        <v>2311</v>
      </c>
      <c r="B1353" t="s">
        <v>2312</v>
      </c>
      <c r="C1353" s="4" t="str">
        <f>IFERROR(VLOOKUP(B1353,infoTable10[],4,FALSE),"")</f>
        <v/>
      </c>
      <c r="D1353" s="4" t="str">
        <f>IFERROR(VLOOKUP(B1353,infoTable__2[],4,FALSE),"")</f>
        <v/>
      </c>
      <c r="E1353" s="4" t="str">
        <f>IFERROR(VLOOKUP(B1353,infoTable__3[],4,FALSE),"")</f>
        <v/>
      </c>
      <c r="F1353" s="4" t="str">
        <f>IFERROR(VLOOKUP(B1353,infoTable__4[],4,FALSE),"")</f>
        <v/>
      </c>
      <c r="G1353" s="4" t="str">
        <f>IFERROR(VLOOKUP(B1353,infoTable[],4,FALSE),"")</f>
        <v/>
      </c>
      <c r="H1353" s="4" t="str">
        <f>IFERROR(VLOOKUP(B1353,infoTable__6[],4,FALSE),"")</f>
        <v/>
      </c>
      <c r="I1353" s="4" t="str">
        <f>IFERROR(VLOOKUP(B1353,infoTable__28[],4,FALSE),"")</f>
        <v/>
      </c>
      <c r="J1353" s="4" t="str">
        <f>IFERROR(VLOOKUP(B1353,infoTable__10[],4,FALSE),"")</f>
        <v/>
      </c>
      <c r="K1353" s="4" t="str">
        <f>IFERROR(VLOOKUP(B1353,infoTable__11[],4,FALSE),"")</f>
        <v/>
      </c>
      <c r="L1353" s="4">
        <f>IFERROR(VLOOKUP(B1353,infoTable__12[],4,FALSE),"")</f>
        <v>224486</v>
      </c>
      <c r="M1353" s="4" t="str">
        <f>IFERROR(VLOOKUP(B1353,infoTable__13[],4,FALSE),"")</f>
        <v/>
      </c>
      <c r="N1353" s="4" t="str">
        <f>IFERROR(VLOOKUP(B1353,infoTable__14[],4,FALSE),"")</f>
        <v/>
      </c>
      <c r="O1353" s="4" t="str">
        <f>IFERROR(VLOOKUP(B1353,infoTable__15[],4,FALSE),"")</f>
        <v/>
      </c>
      <c r="P1353" s="4" t="str">
        <f>IFERROR(VLOOKUP(B1353,infoTable__16[],4,FALSE),"")</f>
        <v/>
      </c>
    </row>
    <row r="1354" spans="1:16" x14ac:dyDescent="0.55000000000000004">
      <c r="A1354" t="s">
        <v>3153</v>
      </c>
      <c r="B1354" t="s">
        <v>3154</v>
      </c>
      <c r="C1354" s="4" t="str">
        <f>IFERROR(VLOOKUP(B1354,infoTable10[],4,FALSE),"")</f>
        <v/>
      </c>
      <c r="D1354" s="4" t="str">
        <f>IFERROR(VLOOKUP(B1354,infoTable__2[],4,FALSE),"")</f>
        <v/>
      </c>
      <c r="E1354" s="4" t="str">
        <f>IFERROR(VLOOKUP(B1354,infoTable__3[],4,FALSE),"")</f>
        <v/>
      </c>
      <c r="F1354" s="4" t="str">
        <f>IFERROR(VLOOKUP(B1354,infoTable__4[],4,FALSE),"")</f>
        <v/>
      </c>
      <c r="G1354" s="4" t="str">
        <f>IFERROR(VLOOKUP(B1354,infoTable[],4,FALSE),"")</f>
        <v/>
      </c>
      <c r="H1354" s="4" t="str">
        <f>IFERROR(VLOOKUP(B1354,infoTable__6[],4,FALSE),"")</f>
        <v/>
      </c>
      <c r="I1354" s="4" t="str">
        <f>IFERROR(VLOOKUP(B1354,infoTable__28[],4,FALSE),"")</f>
        <v/>
      </c>
      <c r="J1354" s="4" t="str">
        <f>IFERROR(VLOOKUP(B1354,infoTable__10[],4,FALSE),"")</f>
        <v/>
      </c>
      <c r="K1354" s="4" t="str">
        <f>IFERROR(VLOOKUP(B1354,infoTable__11[],4,FALSE),"")</f>
        <v/>
      </c>
      <c r="L1354" s="4" t="str">
        <f>IFERROR(VLOOKUP(B1354,infoTable__12[],4,FALSE),"")</f>
        <v/>
      </c>
      <c r="M1354" s="4" t="str">
        <f>IFERROR(VLOOKUP(B1354,infoTable__13[],4,FALSE),"")</f>
        <v/>
      </c>
      <c r="N1354" s="4" t="str">
        <f>IFERROR(VLOOKUP(B1354,infoTable__14[],4,FALSE),"")</f>
        <v/>
      </c>
      <c r="O1354" s="4">
        <f>IFERROR(VLOOKUP(B1354,infoTable__15[],4,FALSE),"")</f>
        <v>61598</v>
      </c>
      <c r="P1354" s="4" t="str">
        <f>IFERROR(VLOOKUP(B1354,infoTable__16[],4,FALSE),"")</f>
        <v/>
      </c>
    </row>
    <row r="1355" spans="1:16" x14ac:dyDescent="0.55000000000000004">
      <c r="A1355" t="s">
        <v>1750</v>
      </c>
      <c r="B1355" t="s">
        <v>1751</v>
      </c>
      <c r="C1355" s="4" t="str">
        <f>IFERROR(VLOOKUP(B1355,infoTable10[],4,FALSE),"")</f>
        <v/>
      </c>
      <c r="D1355" s="4" t="str">
        <f>IFERROR(VLOOKUP(B1355,infoTable__2[],4,FALSE),"")</f>
        <v/>
      </c>
      <c r="E1355" s="4" t="str">
        <f>IFERROR(VLOOKUP(B1355,infoTable__3[],4,FALSE),"")</f>
        <v/>
      </c>
      <c r="F1355" s="4" t="str">
        <f>IFERROR(VLOOKUP(B1355,infoTable__4[],4,FALSE),"")</f>
        <v/>
      </c>
      <c r="G1355" s="4" t="str">
        <f>IFERROR(VLOOKUP(B1355,infoTable[],4,FALSE),"")</f>
        <v/>
      </c>
      <c r="H1355" s="4" t="str">
        <f>IFERROR(VLOOKUP(B1355,infoTable__6[],4,FALSE),"")</f>
        <v/>
      </c>
      <c r="I1355" s="4" t="str">
        <f>IFERROR(VLOOKUP(B1355,infoTable__28[],4,FALSE),"")</f>
        <v/>
      </c>
      <c r="J1355" s="4">
        <f>IFERROR(VLOOKUP(B1355,infoTable__10[],4,FALSE),"")</f>
        <v>225402</v>
      </c>
      <c r="K1355" s="4">
        <f>IFERROR(VLOOKUP(B1355,infoTable__11[],4,FALSE),"")</f>
        <v>178637</v>
      </c>
      <c r="L1355" s="4" t="str">
        <f>IFERROR(VLOOKUP(B1355,infoTable__12[],4,FALSE),"")</f>
        <v/>
      </c>
      <c r="M1355" s="4" t="str">
        <f>IFERROR(VLOOKUP(B1355,infoTable__13[],4,FALSE),"")</f>
        <v/>
      </c>
      <c r="N1355" s="4" t="str">
        <f>IFERROR(VLOOKUP(B1355,infoTable__14[],4,FALSE),"")</f>
        <v/>
      </c>
      <c r="O1355" s="4">
        <f>IFERROR(VLOOKUP(B1355,infoTable__15[],4,FALSE),"")</f>
        <v>418043</v>
      </c>
      <c r="P1355" s="4">
        <f>IFERROR(VLOOKUP(B1355,infoTable__16[],4,FALSE),"")</f>
        <v>910817</v>
      </c>
    </row>
    <row r="1356" spans="1:16" x14ac:dyDescent="0.55000000000000004">
      <c r="A1356" t="s">
        <v>2881</v>
      </c>
      <c r="B1356" t="s">
        <v>2880</v>
      </c>
      <c r="C1356" s="4" t="str">
        <f>IFERROR(VLOOKUP(B1356,infoTable10[],4,FALSE),"")</f>
        <v/>
      </c>
      <c r="D1356" s="4" t="str">
        <f>IFERROR(VLOOKUP(B1356,infoTable__2[],4,FALSE),"")</f>
        <v/>
      </c>
      <c r="E1356" s="4" t="str">
        <f>IFERROR(VLOOKUP(B1356,infoTable__3[],4,FALSE),"")</f>
        <v/>
      </c>
      <c r="F1356" s="4" t="str">
        <f>IFERROR(VLOOKUP(B1356,infoTable__4[],4,FALSE),"")</f>
        <v/>
      </c>
      <c r="G1356" s="4" t="str">
        <f>IFERROR(VLOOKUP(B1356,infoTable[],4,FALSE),"")</f>
        <v/>
      </c>
      <c r="H1356" s="4" t="str">
        <f>IFERROR(VLOOKUP(B1356,infoTable__6[],4,FALSE),"")</f>
        <v/>
      </c>
      <c r="I1356" s="4" t="str">
        <f>IFERROR(VLOOKUP(B1356,infoTable__28[],4,FALSE),"")</f>
        <v/>
      </c>
      <c r="J1356" s="4" t="str">
        <f>IFERROR(VLOOKUP(B1356,infoTable__10[],4,FALSE),"")</f>
        <v/>
      </c>
      <c r="K1356" s="4" t="str">
        <f>IFERROR(VLOOKUP(B1356,infoTable__11[],4,FALSE),"")</f>
        <v/>
      </c>
      <c r="L1356" s="4" t="str">
        <f>IFERROR(VLOOKUP(B1356,infoTable__12[],4,FALSE),"")</f>
        <v/>
      </c>
      <c r="M1356" s="4" t="str">
        <f>IFERROR(VLOOKUP(B1356,infoTable__13[],4,FALSE),"")</f>
        <v/>
      </c>
      <c r="N1356" s="4">
        <f>IFERROR(VLOOKUP(B1356,infoTable__14[],4,FALSE),"")</f>
        <v>466787</v>
      </c>
      <c r="O1356" s="4">
        <f>IFERROR(VLOOKUP(B1356,infoTable__15[],4,FALSE),"")</f>
        <v>579820</v>
      </c>
      <c r="P1356" s="4">
        <f>IFERROR(VLOOKUP(B1356,infoTable__16[],4,FALSE),"")</f>
        <v>622959</v>
      </c>
    </row>
    <row r="1357" spans="1:16" x14ac:dyDescent="0.55000000000000004">
      <c r="A1357" t="s">
        <v>1787</v>
      </c>
      <c r="B1357" t="s">
        <v>1788</v>
      </c>
      <c r="C1357" s="4" t="str">
        <f>IFERROR(VLOOKUP(B1357,infoTable10[],4,FALSE),"")</f>
        <v/>
      </c>
      <c r="D1357" s="4" t="str">
        <f>IFERROR(VLOOKUP(B1357,infoTable__2[],4,FALSE),"")</f>
        <v/>
      </c>
      <c r="E1357" s="4" t="str">
        <f>IFERROR(VLOOKUP(B1357,infoTable__3[],4,FALSE),"")</f>
        <v/>
      </c>
      <c r="F1357" s="4" t="str">
        <f>IFERROR(VLOOKUP(B1357,infoTable__4[],4,FALSE),"")</f>
        <v/>
      </c>
      <c r="G1357" s="4" t="str">
        <f>IFERROR(VLOOKUP(B1357,infoTable[],4,FALSE),"")</f>
        <v/>
      </c>
      <c r="H1357" s="4" t="str">
        <f>IFERROR(VLOOKUP(B1357,infoTable__6[],4,FALSE),"")</f>
        <v/>
      </c>
      <c r="I1357" s="4" t="str">
        <f>IFERROR(VLOOKUP(B1357,infoTable__28[],4,FALSE),"")</f>
        <v/>
      </c>
      <c r="J1357" s="4">
        <f>IFERROR(VLOOKUP(B1357,infoTable__10[],4,FALSE),"")</f>
        <v>2810631</v>
      </c>
      <c r="K1357" s="4">
        <f>IFERROR(VLOOKUP(B1357,infoTable__11[],4,FALSE),"")</f>
        <v>1223582</v>
      </c>
      <c r="L1357" s="4">
        <f>IFERROR(VLOOKUP(B1357,infoTable__12[],4,FALSE),"")</f>
        <v>257769</v>
      </c>
      <c r="M1357" s="4" t="str">
        <f>IFERROR(VLOOKUP(B1357,infoTable__13[],4,FALSE),"")</f>
        <v/>
      </c>
      <c r="N1357" s="4" t="str">
        <f>IFERROR(VLOOKUP(B1357,infoTable__14[],4,FALSE),"")</f>
        <v/>
      </c>
      <c r="O1357" s="4" t="str">
        <f>IFERROR(VLOOKUP(B1357,infoTable__15[],4,FALSE),"")</f>
        <v/>
      </c>
      <c r="P1357" s="4" t="str">
        <f>IFERROR(VLOOKUP(B1357,infoTable__16[],4,FALSE),"")</f>
        <v/>
      </c>
    </row>
    <row r="1358" spans="1:16" x14ac:dyDescent="0.55000000000000004">
      <c r="A1358" t="s">
        <v>1153</v>
      </c>
      <c r="B1358" t="s">
        <v>1154</v>
      </c>
      <c r="C1358" s="4" t="str">
        <f>IFERROR(VLOOKUP(B1358,infoTable10[],4,FALSE),"")</f>
        <v/>
      </c>
      <c r="D1358" s="4" t="str">
        <f>IFERROR(VLOOKUP(B1358,infoTable__2[],4,FALSE),"")</f>
        <v/>
      </c>
      <c r="E1358" s="4" t="str">
        <f>IFERROR(VLOOKUP(B1358,infoTable__3[],4,FALSE),"")</f>
        <v/>
      </c>
      <c r="F1358" s="4" t="str">
        <f>IFERROR(VLOOKUP(B1358,infoTable__4[],4,FALSE),"")</f>
        <v/>
      </c>
      <c r="G1358" s="4" t="str">
        <f>IFERROR(VLOOKUP(B1358,infoTable[],4,FALSE),"")</f>
        <v/>
      </c>
      <c r="H1358" s="4" t="str">
        <f>IFERROR(VLOOKUP(B1358,infoTable__6[],4,FALSE),"")</f>
        <v/>
      </c>
      <c r="I1358" s="4">
        <f>IFERROR(VLOOKUP(B1358,infoTable__28[],4,FALSE),"")</f>
        <v>111653</v>
      </c>
      <c r="J1358" s="4">
        <f>IFERROR(VLOOKUP(B1358,infoTable__10[],4,FALSE),"")</f>
        <v>181107</v>
      </c>
      <c r="K1358" s="4">
        <f>IFERROR(VLOOKUP(B1358,infoTable__11[],4,FALSE),"")</f>
        <v>56209</v>
      </c>
      <c r="L1358" s="4">
        <f>IFERROR(VLOOKUP(B1358,infoTable__12[],4,FALSE),"")</f>
        <v>56720</v>
      </c>
      <c r="M1358" s="4">
        <f>IFERROR(VLOOKUP(B1358,infoTable__13[],4,FALSE),"")</f>
        <v>62499</v>
      </c>
      <c r="N1358" s="4" t="str">
        <f>IFERROR(VLOOKUP(B1358,infoTable__14[],4,FALSE),"")</f>
        <v/>
      </c>
      <c r="O1358" s="4" t="str">
        <f>IFERROR(VLOOKUP(B1358,infoTable__15[],4,FALSE),"")</f>
        <v/>
      </c>
      <c r="P1358" s="4" t="str">
        <f>IFERROR(VLOOKUP(B1358,infoTable__16[],4,FALSE),"")</f>
        <v/>
      </c>
    </row>
    <row r="1359" spans="1:16" x14ac:dyDescent="0.55000000000000004">
      <c r="A1359" t="s">
        <v>2883</v>
      </c>
      <c r="B1359" t="s">
        <v>2882</v>
      </c>
      <c r="C1359" s="4" t="str">
        <f>IFERROR(VLOOKUP(B1359,infoTable10[],4,FALSE),"")</f>
        <v/>
      </c>
      <c r="D1359" s="4" t="str">
        <f>IFERROR(VLOOKUP(B1359,infoTable__2[],4,FALSE),"")</f>
        <v/>
      </c>
      <c r="E1359" s="4" t="str">
        <f>IFERROR(VLOOKUP(B1359,infoTable__3[],4,FALSE),"")</f>
        <v/>
      </c>
      <c r="F1359" s="4" t="str">
        <f>IFERROR(VLOOKUP(B1359,infoTable__4[],4,FALSE),"")</f>
        <v/>
      </c>
      <c r="G1359" s="4" t="str">
        <f>IFERROR(VLOOKUP(B1359,infoTable[],4,FALSE),"")</f>
        <v/>
      </c>
      <c r="H1359" s="4" t="str">
        <f>IFERROR(VLOOKUP(B1359,infoTable__6[],4,FALSE),"")</f>
        <v/>
      </c>
      <c r="I1359" s="4" t="str">
        <f>IFERROR(VLOOKUP(B1359,infoTable__28[],4,FALSE),"")</f>
        <v/>
      </c>
      <c r="J1359" s="4" t="str">
        <f>IFERROR(VLOOKUP(B1359,infoTable__10[],4,FALSE),"")</f>
        <v/>
      </c>
      <c r="K1359" s="4" t="str">
        <f>IFERROR(VLOOKUP(B1359,infoTable__11[],4,FALSE),"")</f>
        <v/>
      </c>
      <c r="L1359" s="4" t="str">
        <f>IFERROR(VLOOKUP(B1359,infoTable__12[],4,FALSE),"")</f>
        <v/>
      </c>
      <c r="M1359" s="4" t="str">
        <f>IFERROR(VLOOKUP(B1359,infoTable__13[],4,FALSE),"")</f>
        <v/>
      </c>
      <c r="N1359" s="4">
        <f>IFERROR(VLOOKUP(B1359,infoTable__14[],4,FALSE),"")</f>
        <v>211451</v>
      </c>
      <c r="O1359" s="4">
        <f>IFERROR(VLOOKUP(B1359,infoTable__15[],4,FALSE),"")</f>
        <v>505884</v>
      </c>
      <c r="P1359" s="4">
        <f>IFERROR(VLOOKUP(B1359,infoTable__16[],4,FALSE),"")</f>
        <v>348974</v>
      </c>
    </row>
    <row r="1360" spans="1:16" x14ac:dyDescent="0.55000000000000004">
      <c r="A1360" t="s">
        <v>2885</v>
      </c>
      <c r="B1360" t="s">
        <v>2884</v>
      </c>
      <c r="C1360" s="4" t="str">
        <f>IFERROR(VLOOKUP(B1360,infoTable10[],4,FALSE),"")</f>
        <v/>
      </c>
      <c r="D1360" s="4" t="str">
        <f>IFERROR(VLOOKUP(B1360,infoTable__2[],4,FALSE),"")</f>
        <v/>
      </c>
      <c r="E1360" s="4" t="str">
        <f>IFERROR(VLOOKUP(B1360,infoTable__3[],4,FALSE),"")</f>
        <v/>
      </c>
      <c r="F1360" s="4" t="str">
        <f>IFERROR(VLOOKUP(B1360,infoTable__4[],4,FALSE),"")</f>
        <v/>
      </c>
      <c r="G1360" s="4" t="str">
        <f>IFERROR(VLOOKUP(B1360,infoTable[],4,FALSE),"")</f>
        <v/>
      </c>
      <c r="H1360" s="4" t="str">
        <f>IFERROR(VLOOKUP(B1360,infoTable__6[],4,FALSE),"")</f>
        <v/>
      </c>
      <c r="I1360" s="4" t="str">
        <f>IFERROR(VLOOKUP(B1360,infoTable__28[],4,FALSE),"")</f>
        <v/>
      </c>
      <c r="J1360" s="4" t="str">
        <f>IFERROR(VLOOKUP(B1360,infoTable__10[],4,FALSE),"")</f>
        <v/>
      </c>
      <c r="K1360" s="4" t="str">
        <f>IFERROR(VLOOKUP(B1360,infoTable__11[],4,FALSE),"")</f>
        <v/>
      </c>
      <c r="L1360" s="4" t="str">
        <f>IFERROR(VLOOKUP(B1360,infoTable__12[],4,FALSE),"")</f>
        <v/>
      </c>
      <c r="M1360" s="4" t="str">
        <f>IFERROR(VLOOKUP(B1360,infoTable__13[],4,FALSE),"")</f>
        <v/>
      </c>
      <c r="N1360" s="4">
        <f>IFERROR(VLOOKUP(B1360,infoTable__14[],4,FALSE),"")</f>
        <v>3546676</v>
      </c>
      <c r="O1360" s="4">
        <f>IFERROR(VLOOKUP(B1360,infoTable__15[],4,FALSE),"")</f>
        <v>2099633</v>
      </c>
      <c r="P1360" s="4" t="str">
        <f>IFERROR(VLOOKUP(B1360,infoTable__16[],4,FALSE),"")</f>
        <v/>
      </c>
    </row>
    <row r="1361" spans="1:16" x14ac:dyDescent="0.55000000000000004">
      <c r="A1361" t="s">
        <v>375</v>
      </c>
      <c r="B1361" t="s">
        <v>376</v>
      </c>
      <c r="C1361" s="4" t="str">
        <f>IFERROR(VLOOKUP(B1361,infoTable10[],4,FALSE),"")</f>
        <v/>
      </c>
      <c r="D1361" s="4" t="str">
        <f>IFERROR(VLOOKUP(B1361,infoTable__2[],4,FALSE),"")</f>
        <v/>
      </c>
      <c r="E1361" s="4" t="str">
        <f>IFERROR(VLOOKUP(B1361,infoTable__3[],4,FALSE),"")</f>
        <v/>
      </c>
      <c r="F1361" s="4">
        <f>IFERROR(VLOOKUP(B1361,infoTable__4[],4,FALSE),"")</f>
        <v>126058</v>
      </c>
      <c r="G1361" s="4">
        <f>IFERROR(VLOOKUP(B1361,infoTable[],4,FALSE),"")</f>
        <v>960875</v>
      </c>
      <c r="H1361" s="4" t="str">
        <f>IFERROR(VLOOKUP(B1361,infoTable__6[],4,FALSE),"")</f>
        <v/>
      </c>
      <c r="I1361" s="4" t="str">
        <f>IFERROR(VLOOKUP(B1361,infoTable__28[],4,FALSE),"")</f>
        <v/>
      </c>
      <c r="J1361" s="4" t="str">
        <f>IFERROR(VLOOKUP(B1361,infoTable__10[],4,FALSE),"")</f>
        <v/>
      </c>
      <c r="K1361" s="4">
        <f>IFERROR(VLOOKUP(B1361,infoTable__11[],4,FALSE),"")</f>
        <v>214639</v>
      </c>
      <c r="L1361" s="4" t="str">
        <f>IFERROR(VLOOKUP(B1361,infoTable__12[],4,FALSE),"")</f>
        <v/>
      </c>
      <c r="M1361" s="4" t="str">
        <f>IFERROR(VLOOKUP(B1361,infoTable__13[],4,FALSE),"")</f>
        <v/>
      </c>
      <c r="N1361" s="4" t="str">
        <f>IFERROR(VLOOKUP(B1361,infoTable__14[],4,FALSE),"")</f>
        <v/>
      </c>
      <c r="O1361" s="4" t="str">
        <f>IFERROR(VLOOKUP(B1361,infoTable__15[],4,FALSE),"")</f>
        <v/>
      </c>
      <c r="P1361" s="4" t="str">
        <f>IFERROR(VLOOKUP(B1361,infoTable__16[],4,FALSE),"")</f>
        <v/>
      </c>
    </row>
    <row r="1362" spans="1:16" x14ac:dyDescent="0.55000000000000004">
      <c r="A1362" t="s">
        <v>2313</v>
      </c>
      <c r="B1362" t="s">
        <v>2314</v>
      </c>
      <c r="C1362" s="4" t="str">
        <f>IFERROR(VLOOKUP(B1362,infoTable10[],4,FALSE),"")</f>
        <v/>
      </c>
      <c r="D1362" s="4" t="str">
        <f>IFERROR(VLOOKUP(B1362,infoTable__2[],4,FALSE),"")</f>
        <v/>
      </c>
      <c r="E1362" s="4" t="str">
        <f>IFERROR(VLOOKUP(B1362,infoTable__3[],4,FALSE),"")</f>
        <v/>
      </c>
      <c r="F1362" s="4" t="str">
        <f>IFERROR(VLOOKUP(B1362,infoTable__4[],4,FALSE),"")</f>
        <v/>
      </c>
      <c r="G1362" s="4" t="str">
        <f>IFERROR(VLOOKUP(B1362,infoTable[],4,FALSE),"")</f>
        <v/>
      </c>
      <c r="H1362" s="4" t="str">
        <f>IFERROR(VLOOKUP(B1362,infoTable__6[],4,FALSE),"")</f>
        <v/>
      </c>
      <c r="I1362" s="4" t="str">
        <f>IFERROR(VLOOKUP(B1362,infoTable__28[],4,FALSE),"")</f>
        <v/>
      </c>
      <c r="J1362" s="4" t="str">
        <f>IFERROR(VLOOKUP(B1362,infoTable__10[],4,FALSE),"")</f>
        <v/>
      </c>
      <c r="K1362" s="4" t="str">
        <f>IFERROR(VLOOKUP(B1362,infoTable__11[],4,FALSE),"")</f>
        <v/>
      </c>
      <c r="L1362" s="4">
        <f>IFERROR(VLOOKUP(B1362,infoTable__12[],4,FALSE),"")</f>
        <v>646462</v>
      </c>
      <c r="M1362" s="4" t="str">
        <f>IFERROR(VLOOKUP(B1362,infoTable__13[],4,FALSE),"")</f>
        <v/>
      </c>
      <c r="N1362" s="4" t="str">
        <f>IFERROR(VLOOKUP(B1362,infoTable__14[],4,FALSE),"")</f>
        <v/>
      </c>
      <c r="O1362" s="4" t="str">
        <f>IFERROR(VLOOKUP(B1362,infoTable__15[],4,FALSE),"")</f>
        <v/>
      </c>
      <c r="P1362" s="4" t="str">
        <f>IFERROR(VLOOKUP(B1362,infoTable__16[],4,FALSE),"")</f>
        <v/>
      </c>
    </row>
    <row r="1363" spans="1:16" x14ac:dyDescent="0.55000000000000004">
      <c r="A1363" t="s">
        <v>2317</v>
      </c>
      <c r="B1363" t="s">
        <v>2318</v>
      </c>
      <c r="C1363" s="4" t="str">
        <f>IFERROR(VLOOKUP(B1363,infoTable10[],4,FALSE),"")</f>
        <v/>
      </c>
      <c r="D1363" s="4" t="str">
        <f>IFERROR(VLOOKUP(B1363,infoTable__2[],4,FALSE),"")</f>
        <v/>
      </c>
      <c r="E1363" s="4" t="str">
        <f>IFERROR(VLOOKUP(B1363,infoTable__3[],4,FALSE),"")</f>
        <v/>
      </c>
      <c r="F1363" s="4" t="str">
        <f>IFERROR(VLOOKUP(B1363,infoTable__4[],4,FALSE),"")</f>
        <v/>
      </c>
      <c r="G1363" s="4" t="str">
        <f>IFERROR(VLOOKUP(B1363,infoTable[],4,FALSE),"")</f>
        <v/>
      </c>
      <c r="H1363" s="4" t="str">
        <f>IFERROR(VLOOKUP(B1363,infoTable__6[],4,FALSE),"")</f>
        <v/>
      </c>
      <c r="I1363" s="4" t="str">
        <f>IFERROR(VLOOKUP(B1363,infoTable__28[],4,FALSE),"")</f>
        <v/>
      </c>
      <c r="J1363" s="4" t="str">
        <f>IFERROR(VLOOKUP(B1363,infoTable__10[],4,FALSE),"")</f>
        <v/>
      </c>
      <c r="K1363" s="4" t="str">
        <f>IFERROR(VLOOKUP(B1363,infoTable__11[],4,FALSE),"")</f>
        <v/>
      </c>
      <c r="L1363" s="4">
        <f>IFERROR(VLOOKUP(B1363,infoTable__12[],4,FALSE),"")</f>
        <v>392363</v>
      </c>
      <c r="M1363" s="4" t="str">
        <f>IFERROR(VLOOKUP(B1363,infoTable__13[],4,FALSE),"")</f>
        <v/>
      </c>
      <c r="N1363" s="4" t="str">
        <f>IFERROR(VLOOKUP(B1363,infoTable__14[],4,FALSE),"")</f>
        <v/>
      </c>
      <c r="O1363" s="4" t="str">
        <f>IFERROR(VLOOKUP(B1363,infoTable__15[],4,FALSE),"")</f>
        <v/>
      </c>
      <c r="P1363" s="4" t="str">
        <f>IFERROR(VLOOKUP(B1363,infoTable__16[],4,FALSE),"")</f>
        <v/>
      </c>
    </row>
    <row r="1364" spans="1:16" x14ac:dyDescent="0.55000000000000004">
      <c r="A1364" t="s">
        <v>1593</v>
      </c>
      <c r="B1364" t="s">
        <v>378</v>
      </c>
      <c r="C1364" s="4" t="str">
        <f>IFERROR(VLOOKUP(B1364,infoTable10[],4,FALSE),"")</f>
        <v/>
      </c>
      <c r="D1364" s="4" t="str">
        <f>IFERROR(VLOOKUP(B1364,infoTable__2[],4,FALSE),"")</f>
        <v/>
      </c>
      <c r="E1364" s="4" t="str">
        <f>IFERROR(VLOOKUP(B1364,infoTable__3[],4,FALSE),"")</f>
        <v/>
      </c>
      <c r="F1364" s="4" t="str">
        <f>IFERROR(VLOOKUP(B1364,infoTable__4[],4,FALSE),"")</f>
        <v/>
      </c>
      <c r="G1364" s="4">
        <f>IFERROR(VLOOKUP(B1364,infoTable[],4,FALSE),"")</f>
        <v>3181460</v>
      </c>
      <c r="H1364" s="4" t="str">
        <f>IFERROR(VLOOKUP(B1364,infoTable__6[],4,FALSE),"")</f>
        <v/>
      </c>
      <c r="I1364" s="4" t="str">
        <f>IFERROR(VLOOKUP(B1364,infoTable__28[],4,FALSE),"")</f>
        <v/>
      </c>
      <c r="J1364" s="4" t="str">
        <f>IFERROR(VLOOKUP(B1364,infoTable__10[],4,FALSE),"")</f>
        <v/>
      </c>
      <c r="K1364" s="4" t="str">
        <f>IFERROR(VLOOKUP(B1364,infoTable__11[],4,FALSE),"")</f>
        <v/>
      </c>
      <c r="L1364" s="4">
        <f>IFERROR(VLOOKUP(B1364,infoTable__12[],4,FALSE),"")</f>
        <v>244919</v>
      </c>
      <c r="M1364" s="4">
        <f>IFERROR(VLOOKUP(B1364,infoTable__13[],4,FALSE),"")</f>
        <v>3899804</v>
      </c>
      <c r="N1364" s="4" t="str">
        <f>IFERROR(VLOOKUP(B1364,infoTable__14[],4,FALSE),"")</f>
        <v/>
      </c>
      <c r="O1364" s="4" t="str">
        <f>IFERROR(VLOOKUP(B1364,infoTable__15[],4,FALSE),"")</f>
        <v/>
      </c>
      <c r="P1364" s="4">
        <f>IFERROR(VLOOKUP(B1364,infoTable__16[],4,FALSE),"")</f>
        <v>839392</v>
      </c>
    </row>
    <row r="1365" spans="1:16" x14ac:dyDescent="0.55000000000000004">
      <c r="A1365" t="s">
        <v>2319</v>
      </c>
      <c r="B1365" t="s">
        <v>2320</v>
      </c>
      <c r="C1365" s="4" t="str">
        <f>IFERROR(VLOOKUP(B1365,infoTable10[],4,FALSE),"")</f>
        <v/>
      </c>
      <c r="D1365" s="4" t="str">
        <f>IFERROR(VLOOKUP(B1365,infoTable__2[],4,FALSE),"")</f>
        <v/>
      </c>
      <c r="E1365" s="4" t="str">
        <f>IFERROR(VLOOKUP(B1365,infoTable__3[],4,FALSE),"")</f>
        <v/>
      </c>
      <c r="F1365" s="4" t="str">
        <f>IFERROR(VLOOKUP(B1365,infoTable__4[],4,FALSE),"")</f>
        <v/>
      </c>
      <c r="G1365" s="4" t="str">
        <f>IFERROR(VLOOKUP(B1365,infoTable[],4,FALSE),"")</f>
        <v/>
      </c>
      <c r="H1365" s="4" t="str">
        <f>IFERROR(VLOOKUP(B1365,infoTable__6[],4,FALSE),"")</f>
        <v/>
      </c>
      <c r="I1365" s="4" t="str">
        <f>IFERROR(VLOOKUP(B1365,infoTable__28[],4,FALSE),"")</f>
        <v/>
      </c>
      <c r="J1365" s="4" t="str">
        <f>IFERROR(VLOOKUP(B1365,infoTable__10[],4,FALSE),"")</f>
        <v/>
      </c>
      <c r="K1365" s="4" t="str">
        <f>IFERROR(VLOOKUP(B1365,infoTable__11[],4,FALSE),"")</f>
        <v/>
      </c>
      <c r="L1365" s="4">
        <f>IFERROR(VLOOKUP(B1365,infoTable__12[],4,FALSE),"")</f>
        <v>708261</v>
      </c>
      <c r="M1365" s="4" t="str">
        <f>IFERROR(VLOOKUP(B1365,infoTable__13[],4,FALSE),"")</f>
        <v/>
      </c>
      <c r="N1365" s="4" t="str">
        <f>IFERROR(VLOOKUP(B1365,infoTable__14[],4,FALSE),"")</f>
        <v/>
      </c>
      <c r="O1365" s="4" t="str">
        <f>IFERROR(VLOOKUP(B1365,infoTable__15[],4,FALSE),"")</f>
        <v/>
      </c>
      <c r="P1365" s="4" t="str">
        <f>IFERROR(VLOOKUP(B1365,infoTable__16[],4,FALSE),"")</f>
        <v/>
      </c>
    </row>
    <row r="1366" spans="1:16" x14ac:dyDescent="0.55000000000000004">
      <c r="A1366" t="s">
        <v>1990</v>
      </c>
      <c r="B1366" t="s">
        <v>1991</v>
      </c>
      <c r="C1366" s="4" t="str">
        <f>IFERROR(VLOOKUP(B1366,infoTable10[],4,FALSE),"")</f>
        <v/>
      </c>
      <c r="D1366" s="4" t="str">
        <f>IFERROR(VLOOKUP(B1366,infoTable__2[],4,FALSE),"")</f>
        <v/>
      </c>
      <c r="E1366" s="4" t="str">
        <f>IFERROR(VLOOKUP(B1366,infoTable__3[],4,FALSE),"")</f>
        <v/>
      </c>
      <c r="F1366" s="4" t="str">
        <f>IFERROR(VLOOKUP(B1366,infoTable__4[],4,FALSE),"")</f>
        <v/>
      </c>
      <c r="G1366" s="4" t="str">
        <f>IFERROR(VLOOKUP(B1366,infoTable[],4,FALSE),"")</f>
        <v/>
      </c>
      <c r="H1366" s="4" t="str">
        <f>IFERROR(VLOOKUP(B1366,infoTable__6[],4,FALSE),"")</f>
        <v/>
      </c>
      <c r="I1366" s="4" t="str">
        <f>IFERROR(VLOOKUP(B1366,infoTable__28[],4,FALSE),"")</f>
        <v/>
      </c>
      <c r="J1366" s="4" t="str">
        <f>IFERROR(VLOOKUP(B1366,infoTable__10[],4,FALSE),"")</f>
        <v/>
      </c>
      <c r="K1366" s="4">
        <f>IFERROR(VLOOKUP(B1366,infoTable__11[],4,FALSE),"")</f>
        <v>301942</v>
      </c>
      <c r="L1366" s="4">
        <f>IFERROR(VLOOKUP(B1366,infoTable__12[],4,FALSE),"")</f>
        <v>158065</v>
      </c>
      <c r="M1366" s="4" t="str">
        <f>IFERROR(VLOOKUP(B1366,infoTable__13[],4,FALSE),"")</f>
        <v/>
      </c>
      <c r="N1366" s="4" t="str">
        <f>IFERROR(VLOOKUP(B1366,infoTable__14[],4,FALSE),"")</f>
        <v/>
      </c>
      <c r="O1366" s="4" t="str">
        <f>IFERROR(VLOOKUP(B1366,infoTable__15[],4,FALSE),"")</f>
        <v/>
      </c>
      <c r="P1366" s="4">
        <f>IFERROR(VLOOKUP(B1366,infoTable__16[],4,FALSE),"")</f>
        <v>109806</v>
      </c>
    </row>
    <row r="1367" spans="1:16" x14ac:dyDescent="0.55000000000000004">
      <c r="A1367" t="s">
        <v>782</v>
      </c>
      <c r="B1367" t="s">
        <v>783</v>
      </c>
      <c r="C1367" s="4" t="str">
        <f>IFERROR(VLOOKUP(B1367,infoTable10[],4,FALSE),"")</f>
        <v/>
      </c>
      <c r="D1367" s="4" t="str">
        <f>IFERROR(VLOOKUP(B1367,infoTable__2[],4,FALSE),"")</f>
        <v/>
      </c>
      <c r="E1367" s="4">
        <f>IFERROR(VLOOKUP(B1367,infoTable__3[],4,FALSE),"")</f>
        <v>170265</v>
      </c>
      <c r="F1367" s="4" t="str">
        <f>IFERROR(VLOOKUP(B1367,infoTable__4[],4,FALSE),"")</f>
        <v/>
      </c>
      <c r="G1367" s="4" t="str">
        <f>IFERROR(VLOOKUP(B1367,infoTable[],4,FALSE),"")</f>
        <v/>
      </c>
      <c r="H1367" s="4" t="str">
        <f>IFERROR(VLOOKUP(B1367,infoTable__6[],4,FALSE),"")</f>
        <v/>
      </c>
      <c r="I1367" s="4" t="str">
        <f>IFERROR(VLOOKUP(B1367,infoTable__28[],4,FALSE),"")</f>
        <v/>
      </c>
      <c r="J1367" s="4" t="str">
        <f>IFERROR(VLOOKUP(B1367,infoTable__10[],4,FALSE),"")</f>
        <v/>
      </c>
      <c r="K1367" s="4">
        <f>IFERROR(VLOOKUP(B1367,infoTable__11[],4,FALSE),"")</f>
        <v>1298880</v>
      </c>
      <c r="L1367" s="4">
        <f>IFERROR(VLOOKUP(B1367,infoTable__12[],4,FALSE),"")</f>
        <v>2255352</v>
      </c>
      <c r="M1367" s="4">
        <f>IFERROR(VLOOKUP(B1367,infoTable__13[],4,FALSE),"")</f>
        <v>959071</v>
      </c>
      <c r="N1367" s="4" t="str">
        <f>IFERROR(VLOOKUP(B1367,infoTable__14[],4,FALSE),"")</f>
        <v/>
      </c>
      <c r="O1367" s="4" t="str">
        <f>IFERROR(VLOOKUP(B1367,infoTable__15[],4,FALSE),"")</f>
        <v/>
      </c>
      <c r="P1367" s="4" t="str">
        <f>IFERROR(VLOOKUP(B1367,infoTable__16[],4,FALSE),"")</f>
        <v/>
      </c>
    </row>
    <row r="1368" spans="1:16" x14ac:dyDescent="0.55000000000000004">
      <c r="A1368" t="s">
        <v>1754</v>
      </c>
      <c r="B1368" t="s">
        <v>1755</v>
      </c>
      <c r="C1368" s="4" t="str">
        <f>IFERROR(VLOOKUP(B1368,infoTable10[],4,FALSE),"")</f>
        <v/>
      </c>
      <c r="D1368" s="4" t="str">
        <f>IFERROR(VLOOKUP(B1368,infoTable__2[],4,FALSE),"")</f>
        <v/>
      </c>
      <c r="E1368" s="4" t="str">
        <f>IFERROR(VLOOKUP(B1368,infoTable__3[],4,FALSE),"")</f>
        <v/>
      </c>
      <c r="F1368" s="4" t="str">
        <f>IFERROR(VLOOKUP(B1368,infoTable__4[],4,FALSE),"")</f>
        <v/>
      </c>
      <c r="G1368" s="4" t="str">
        <f>IFERROR(VLOOKUP(B1368,infoTable[],4,FALSE),"")</f>
        <v/>
      </c>
      <c r="H1368" s="4" t="str">
        <f>IFERROR(VLOOKUP(B1368,infoTable__6[],4,FALSE),"")</f>
        <v/>
      </c>
      <c r="I1368" s="4" t="str">
        <f>IFERROR(VLOOKUP(B1368,infoTable__28[],4,FALSE),"")</f>
        <v/>
      </c>
      <c r="J1368" s="4">
        <f>IFERROR(VLOOKUP(B1368,infoTable__10[],4,FALSE),"")</f>
        <v>493301</v>
      </c>
      <c r="K1368" s="4">
        <f>IFERROR(VLOOKUP(B1368,infoTable__11[],4,FALSE),"")</f>
        <v>445831</v>
      </c>
      <c r="L1368" s="4" t="str">
        <f>IFERROR(VLOOKUP(B1368,infoTable__12[],4,FALSE),"")</f>
        <v/>
      </c>
      <c r="M1368" s="4" t="str">
        <f>IFERROR(VLOOKUP(B1368,infoTable__13[],4,FALSE),"")</f>
        <v/>
      </c>
      <c r="N1368" s="4" t="str">
        <f>IFERROR(VLOOKUP(B1368,infoTable__14[],4,FALSE),"")</f>
        <v/>
      </c>
      <c r="O1368" s="4" t="str">
        <f>IFERROR(VLOOKUP(B1368,infoTable__15[],4,FALSE),"")</f>
        <v/>
      </c>
      <c r="P1368" s="4" t="str">
        <f>IFERROR(VLOOKUP(B1368,infoTable__16[],4,FALSE),"")</f>
        <v/>
      </c>
    </row>
    <row r="1369" spans="1:16" x14ac:dyDescent="0.55000000000000004">
      <c r="A1369" t="s">
        <v>379</v>
      </c>
      <c r="B1369" t="s">
        <v>380</v>
      </c>
      <c r="C1369" s="4" t="str">
        <f>IFERROR(VLOOKUP(B1369,infoTable10[],4,FALSE),"")</f>
        <v/>
      </c>
      <c r="D1369" s="4" t="str">
        <f>IFERROR(VLOOKUP(B1369,infoTable__2[],4,FALSE),"")</f>
        <v/>
      </c>
      <c r="E1369" s="4" t="str">
        <f>IFERROR(VLOOKUP(B1369,infoTable__3[],4,FALSE),"")</f>
        <v/>
      </c>
      <c r="F1369" s="4" t="str">
        <f>IFERROR(VLOOKUP(B1369,infoTable__4[],4,FALSE),"")</f>
        <v/>
      </c>
      <c r="G1369" s="4">
        <f>IFERROR(VLOOKUP(B1369,infoTable[],4,FALSE),"")</f>
        <v>1292079</v>
      </c>
      <c r="H1369" s="4">
        <f>IFERROR(VLOOKUP(B1369,infoTable__6[],4,FALSE),"")</f>
        <v>430111</v>
      </c>
      <c r="I1369" s="4">
        <f>IFERROR(VLOOKUP(B1369,infoTable__28[],4,FALSE),"")</f>
        <v>309004</v>
      </c>
      <c r="J1369" s="4">
        <f>IFERROR(VLOOKUP(B1369,infoTable__10[],4,FALSE),"")</f>
        <v>497830</v>
      </c>
      <c r="K1369" s="4" t="str">
        <f>IFERROR(VLOOKUP(B1369,infoTable__11[],4,FALSE),"")</f>
        <v/>
      </c>
      <c r="L1369" s="4" t="str">
        <f>IFERROR(VLOOKUP(B1369,infoTable__12[],4,FALSE),"")</f>
        <v/>
      </c>
      <c r="M1369" s="4" t="str">
        <f>IFERROR(VLOOKUP(B1369,infoTable__13[],4,FALSE),"")</f>
        <v/>
      </c>
      <c r="N1369" s="4" t="str">
        <f>IFERROR(VLOOKUP(B1369,infoTable__14[],4,FALSE),"")</f>
        <v/>
      </c>
      <c r="O1369" s="4" t="str">
        <f>IFERROR(VLOOKUP(B1369,infoTable__15[],4,FALSE),"")</f>
        <v/>
      </c>
      <c r="P1369" s="4" t="str">
        <f>IFERROR(VLOOKUP(B1369,infoTable__16[],4,FALSE),"")</f>
        <v/>
      </c>
    </row>
    <row r="1370" spans="1:16" x14ac:dyDescent="0.55000000000000004">
      <c r="A1370" t="s">
        <v>3488</v>
      </c>
      <c r="B1370" t="s">
        <v>3489</v>
      </c>
      <c r="C1370" s="4" t="str">
        <f>IFERROR(VLOOKUP(B1370,infoTable10[],4,FALSE),"")</f>
        <v/>
      </c>
      <c r="D1370" s="4" t="str">
        <f>IFERROR(VLOOKUP(B1370,infoTable__2[],4,FALSE),"")</f>
        <v/>
      </c>
      <c r="E1370" s="4" t="str">
        <f>IFERROR(VLOOKUP(B1370,infoTable__3[],4,FALSE),"")</f>
        <v/>
      </c>
      <c r="F1370" s="4" t="str">
        <f>IFERROR(VLOOKUP(B1370,infoTable__4[],4,FALSE),"")</f>
        <v/>
      </c>
      <c r="G1370" s="4" t="str">
        <f>IFERROR(VLOOKUP(B1370,infoTable[],4,FALSE),"")</f>
        <v/>
      </c>
      <c r="H1370" s="4" t="str">
        <f>IFERROR(VLOOKUP(B1370,infoTable__6[],4,FALSE),"")</f>
        <v/>
      </c>
      <c r="I1370" s="4" t="str">
        <f>IFERROR(VLOOKUP(B1370,infoTable__28[],4,FALSE),"")</f>
        <v/>
      </c>
      <c r="J1370" s="4" t="str">
        <f>IFERROR(VLOOKUP(B1370,infoTable__10[],4,FALSE),"")</f>
        <v/>
      </c>
      <c r="K1370" s="4" t="str">
        <f>IFERROR(VLOOKUP(B1370,infoTable__11[],4,FALSE),"")</f>
        <v/>
      </c>
      <c r="L1370" s="4" t="str">
        <f>IFERROR(VLOOKUP(B1370,infoTable__12[],4,FALSE),"")</f>
        <v/>
      </c>
      <c r="M1370" s="4" t="str">
        <f>IFERROR(VLOOKUP(B1370,infoTable__13[],4,FALSE),"")</f>
        <v/>
      </c>
      <c r="N1370" s="4" t="str">
        <f>IFERROR(VLOOKUP(B1370,infoTable__14[],4,FALSE),"")</f>
        <v/>
      </c>
      <c r="O1370" s="4" t="str">
        <f>IFERROR(VLOOKUP(B1370,infoTable__15[],4,FALSE),"")</f>
        <v/>
      </c>
      <c r="P1370" s="4">
        <f>IFERROR(VLOOKUP(B1370,infoTable__16[],4,FALSE),"")</f>
        <v>433385</v>
      </c>
    </row>
    <row r="1371" spans="1:16" x14ac:dyDescent="0.55000000000000004">
      <c r="A1371" t="s">
        <v>1992</v>
      </c>
      <c r="B1371" t="s">
        <v>1993</v>
      </c>
      <c r="C1371" s="4" t="str">
        <f>IFERROR(VLOOKUP(B1371,infoTable10[],4,FALSE),"")</f>
        <v/>
      </c>
      <c r="D1371" s="4" t="str">
        <f>IFERROR(VLOOKUP(B1371,infoTable__2[],4,FALSE),"")</f>
        <v/>
      </c>
      <c r="E1371" s="4" t="str">
        <f>IFERROR(VLOOKUP(B1371,infoTable__3[],4,FALSE),"")</f>
        <v/>
      </c>
      <c r="F1371" s="4" t="str">
        <f>IFERROR(VLOOKUP(B1371,infoTable__4[],4,FALSE),"")</f>
        <v/>
      </c>
      <c r="G1371" s="4" t="str">
        <f>IFERROR(VLOOKUP(B1371,infoTable[],4,FALSE),"")</f>
        <v/>
      </c>
      <c r="H1371" s="4" t="str">
        <f>IFERROR(VLOOKUP(B1371,infoTable__6[],4,FALSE),"")</f>
        <v/>
      </c>
      <c r="I1371" s="4" t="str">
        <f>IFERROR(VLOOKUP(B1371,infoTable__28[],4,FALSE),"")</f>
        <v/>
      </c>
      <c r="J1371" s="4" t="str">
        <f>IFERROR(VLOOKUP(B1371,infoTable__10[],4,FALSE),"")</f>
        <v/>
      </c>
      <c r="K1371" s="4">
        <f>IFERROR(VLOOKUP(B1371,infoTable__11[],4,FALSE),"")</f>
        <v>231911</v>
      </c>
      <c r="L1371" s="4" t="str">
        <f>IFERROR(VLOOKUP(B1371,infoTable__12[],4,FALSE),"")</f>
        <v/>
      </c>
      <c r="M1371" s="4" t="str">
        <f>IFERROR(VLOOKUP(B1371,infoTable__13[],4,FALSE),"")</f>
        <v/>
      </c>
      <c r="N1371" s="4" t="str">
        <f>IFERROR(VLOOKUP(B1371,infoTable__14[],4,FALSE),"")</f>
        <v/>
      </c>
      <c r="O1371" s="4" t="str">
        <f>IFERROR(VLOOKUP(B1371,infoTable__15[],4,FALSE),"")</f>
        <v/>
      </c>
      <c r="P1371" s="4" t="str">
        <f>IFERROR(VLOOKUP(B1371,infoTable__16[],4,FALSE),"")</f>
        <v/>
      </c>
    </row>
    <row r="1372" spans="1:16" x14ac:dyDescent="0.55000000000000004">
      <c r="A1372" t="s">
        <v>387</v>
      </c>
      <c r="B1372" t="s">
        <v>388</v>
      </c>
      <c r="C1372" s="4" t="str">
        <f>IFERROR(VLOOKUP(B1372,infoTable10[],4,FALSE),"")</f>
        <v/>
      </c>
      <c r="D1372" s="4" t="str">
        <f>IFERROR(VLOOKUP(B1372,infoTable__2[],4,FALSE),"")</f>
        <v/>
      </c>
      <c r="E1372" s="4" t="str">
        <f>IFERROR(VLOOKUP(B1372,infoTable__3[],4,FALSE),"")</f>
        <v/>
      </c>
      <c r="F1372" s="4" t="str">
        <f>IFERROR(VLOOKUP(B1372,infoTable__4[],4,FALSE),"")</f>
        <v/>
      </c>
      <c r="G1372" s="4">
        <f>IFERROR(VLOOKUP(B1372,infoTable[],4,FALSE),"")</f>
        <v>262606</v>
      </c>
      <c r="H1372" s="4">
        <f>IFERROR(VLOOKUP(B1372,infoTable__6[],4,FALSE),"")</f>
        <v>431295</v>
      </c>
      <c r="I1372" s="4" t="str">
        <f>IFERROR(VLOOKUP(B1372,infoTable__28[],4,FALSE),"")</f>
        <v/>
      </c>
      <c r="J1372" s="4" t="str">
        <f>IFERROR(VLOOKUP(B1372,infoTable__10[],4,FALSE),"")</f>
        <v/>
      </c>
      <c r="K1372" s="4" t="str">
        <f>IFERROR(VLOOKUP(B1372,infoTable__11[],4,FALSE),"")</f>
        <v/>
      </c>
      <c r="L1372" s="4" t="str">
        <f>IFERROR(VLOOKUP(B1372,infoTable__12[],4,FALSE),"")</f>
        <v/>
      </c>
      <c r="M1372" s="4" t="str">
        <f>IFERROR(VLOOKUP(B1372,infoTable__13[],4,FALSE),"")</f>
        <v/>
      </c>
      <c r="N1372" s="4">
        <f>IFERROR(VLOOKUP(B1372,infoTable__14[],4,FALSE),"")</f>
        <v>224692</v>
      </c>
      <c r="O1372" s="4">
        <f>IFERROR(VLOOKUP(B1372,infoTable__15[],4,FALSE),"")</f>
        <v>789048</v>
      </c>
      <c r="P1372" s="4">
        <f>IFERROR(VLOOKUP(B1372,infoTable__16[],4,FALSE),"")</f>
        <v>1375869</v>
      </c>
    </row>
    <row r="1373" spans="1:16" x14ac:dyDescent="0.55000000000000004">
      <c r="A1373" t="s">
        <v>2887</v>
      </c>
      <c r="B1373" t="s">
        <v>2886</v>
      </c>
      <c r="C1373" s="4" t="str">
        <f>IFERROR(VLOOKUP(B1373,infoTable10[],4,FALSE),"")</f>
        <v/>
      </c>
      <c r="D1373" s="4" t="str">
        <f>IFERROR(VLOOKUP(B1373,infoTable__2[],4,FALSE),"")</f>
        <v/>
      </c>
      <c r="E1373" s="4" t="str">
        <f>IFERROR(VLOOKUP(B1373,infoTable__3[],4,FALSE),"")</f>
        <v/>
      </c>
      <c r="F1373" s="4" t="str">
        <f>IFERROR(VLOOKUP(B1373,infoTable__4[],4,FALSE),"")</f>
        <v/>
      </c>
      <c r="G1373" s="4" t="str">
        <f>IFERROR(VLOOKUP(B1373,infoTable[],4,FALSE),"")</f>
        <v/>
      </c>
      <c r="H1373" s="4" t="str">
        <f>IFERROR(VLOOKUP(B1373,infoTable__6[],4,FALSE),"")</f>
        <v/>
      </c>
      <c r="I1373" s="4" t="str">
        <f>IFERROR(VLOOKUP(B1373,infoTable__28[],4,FALSE),"")</f>
        <v/>
      </c>
      <c r="J1373" s="4" t="str">
        <f>IFERROR(VLOOKUP(B1373,infoTable__10[],4,FALSE),"")</f>
        <v/>
      </c>
      <c r="K1373" s="4" t="str">
        <f>IFERROR(VLOOKUP(B1373,infoTable__11[],4,FALSE),"")</f>
        <v/>
      </c>
      <c r="L1373" s="4" t="str">
        <f>IFERROR(VLOOKUP(B1373,infoTable__12[],4,FALSE),"")</f>
        <v/>
      </c>
      <c r="M1373" s="4" t="str">
        <f>IFERROR(VLOOKUP(B1373,infoTable__13[],4,FALSE),"")</f>
        <v/>
      </c>
      <c r="N1373" s="4">
        <f>IFERROR(VLOOKUP(B1373,infoTable__14[],4,FALSE),"")</f>
        <v>602484</v>
      </c>
      <c r="O1373" s="4">
        <f>IFERROR(VLOOKUP(B1373,infoTable__15[],4,FALSE),"")</f>
        <v>341944</v>
      </c>
      <c r="P1373" s="4">
        <f>IFERROR(VLOOKUP(B1373,infoTable__16[],4,FALSE),"")</f>
        <v>931316</v>
      </c>
    </row>
    <row r="1374" spans="1:16" x14ac:dyDescent="0.55000000000000004">
      <c r="A1374" t="s">
        <v>2889</v>
      </c>
      <c r="B1374" t="s">
        <v>2888</v>
      </c>
      <c r="C1374" s="4" t="str">
        <f>IFERROR(VLOOKUP(B1374,infoTable10[],4,FALSE),"")</f>
        <v/>
      </c>
      <c r="D1374" s="4" t="str">
        <f>IFERROR(VLOOKUP(B1374,infoTable__2[],4,FALSE),"")</f>
        <v/>
      </c>
      <c r="E1374" s="4" t="str">
        <f>IFERROR(VLOOKUP(B1374,infoTable__3[],4,FALSE),"")</f>
        <v/>
      </c>
      <c r="F1374" s="4" t="str">
        <f>IFERROR(VLOOKUP(B1374,infoTable__4[],4,FALSE),"")</f>
        <v/>
      </c>
      <c r="G1374" s="4" t="str">
        <f>IFERROR(VLOOKUP(B1374,infoTable[],4,FALSE),"")</f>
        <v/>
      </c>
      <c r="H1374" s="4" t="str">
        <f>IFERROR(VLOOKUP(B1374,infoTable__6[],4,FALSE),"")</f>
        <v/>
      </c>
      <c r="I1374" s="4" t="str">
        <f>IFERROR(VLOOKUP(B1374,infoTable__28[],4,FALSE),"")</f>
        <v/>
      </c>
      <c r="J1374" s="4" t="str">
        <f>IFERROR(VLOOKUP(B1374,infoTable__10[],4,FALSE),"")</f>
        <v/>
      </c>
      <c r="K1374" s="4" t="str">
        <f>IFERROR(VLOOKUP(B1374,infoTable__11[],4,FALSE),"")</f>
        <v/>
      </c>
      <c r="L1374" s="4" t="str">
        <f>IFERROR(VLOOKUP(B1374,infoTable__12[],4,FALSE),"")</f>
        <v/>
      </c>
      <c r="M1374" s="4" t="str">
        <f>IFERROR(VLOOKUP(B1374,infoTable__13[],4,FALSE),"")</f>
        <v/>
      </c>
      <c r="N1374" s="4">
        <f>IFERROR(VLOOKUP(B1374,infoTable__14[],4,FALSE),"")</f>
        <v>106262</v>
      </c>
      <c r="O1374" s="4" t="str">
        <f>IFERROR(VLOOKUP(B1374,infoTable__15[],4,FALSE),"")</f>
        <v/>
      </c>
      <c r="P1374" s="4" t="str">
        <f>IFERROR(VLOOKUP(B1374,infoTable__16[],4,FALSE),"")</f>
        <v/>
      </c>
    </row>
    <row r="1375" spans="1:16" x14ac:dyDescent="0.55000000000000004">
      <c r="A1375" t="s">
        <v>389</v>
      </c>
      <c r="B1375" t="s">
        <v>390</v>
      </c>
      <c r="C1375" s="4" t="str">
        <f>IFERROR(VLOOKUP(B1375,infoTable10[],4,FALSE),"")</f>
        <v/>
      </c>
      <c r="D1375" s="4" t="str">
        <f>IFERROR(VLOOKUP(B1375,infoTable__2[],4,FALSE),"")</f>
        <v/>
      </c>
      <c r="E1375" s="4" t="str">
        <f>IFERROR(VLOOKUP(B1375,infoTable__3[],4,FALSE),"")</f>
        <v/>
      </c>
      <c r="F1375" s="4" t="str">
        <f>IFERROR(VLOOKUP(B1375,infoTable__4[],4,FALSE),"")</f>
        <v/>
      </c>
      <c r="G1375" s="4">
        <f>IFERROR(VLOOKUP(B1375,infoTable[],4,FALSE),"")</f>
        <v>2357453</v>
      </c>
      <c r="H1375" s="4">
        <f>IFERROR(VLOOKUP(B1375,infoTable__6[],4,FALSE),"")</f>
        <v>1038128</v>
      </c>
      <c r="I1375" s="4">
        <f>IFERROR(VLOOKUP(B1375,infoTable__28[],4,FALSE),"")</f>
        <v>2751536</v>
      </c>
      <c r="J1375" s="4">
        <f>IFERROR(VLOOKUP(B1375,infoTable__10[],4,FALSE),"")</f>
        <v>1891982</v>
      </c>
      <c r="K1375" s="4">
        <f>IFERROR(VLOOKUP(B1375,infoTable__11[],4,FALSE),"")</f>
        <v>1202294</v>
      </c>
      <c r="L1375" s="4">
        <f>IFERROR(VLOOKUP(B1375,infoTable__12[],4,FALSE),"")</f>
        <v>1462700</v>
      </c>
      <c r="M1375" s="4">
        <f>IFERROR(VLOOKUP(B1375,infoTable__13[],4,FALSE),"")</f>
        <v>1584779</v>
      </c>
      <c r="N1375" s="4" t="str">
        <f>IFERROR(VLOOKUP(B1375,infoTable__14[],4,FALSE),"")</f>
        <v/>
      </c>
      <c r="O1375" s="4" t="str">
        <f>IFERROR(VLOOKUP(B1375,infoTable__15[],4,FALSE),"")</f>
        <v/>
      </c>
      <c r="P1375" s="4" t="str">
        <f>IFERROR(VLOOKUP(B1375,infoTable__16[],4,FALSE),"")</f>
        <v/>
      </c>
    </row>
    <row r="1376" spans="1:16" x14ac:dyDescent="0.55000000000000004">
      <c r="A1376" t="s">
        <v>3496</v>
      </c>
      <c r="B1376" t="s">
        <v>3497</v>
      </c>
      <c r="C1376" s="4" t="str">
        <f>IFERROR(VLOOKUP(B1376,infoTable10[],4,FALSE),"")</f>
        <v/>
      </c>
      <c r="D1376" s="4" t="str">
        <f>IFERROR(VLOOKUP(B1376,infoTable__2[],4,FALSE),"")</f>
        <v/>
      </c>
      <c r="E1376" s="4" t="str">
        <f>IFERROR(VLOOKUP(B1376,infoTable__3[],4,FALSE),"")</f>
        <v/>
      </c>
      <c r="F1376" s="4" t="str">
        <f>IFERROR(VLOOKUP(B1376,infoTable__4[],4,FALSE),"")</f>
        <v/>
      </c>
      <c r="G1376" s="4" t="str">
        <f>IFERROR(VLOOKUP(B1376,infoTable[],4,FALSE),"")</f>
        <v/>
      </c>
      <c r="H1376" s="4" t="str">
        <f>IFERROR(VLOOKUP(B1376,infoTable__6[],4,FALSE),"")</f>
        <v/>
      </c>
      <c r="I1376" s="4" t="str">
        <f>IFERROR(VLOOKUP(B1376,infoTable__28[],4,FALSE),"")</f>
        <v/>
      </c>
      <c r="J1376" s="4" t="str">
        <f>IFERROR(VLOOKUP(B1376,infoTable__10[],4,FALSE),"")</f>
        <v/>
      </c>
      <c r="K1376" s="4" t="str">
        <f>IFERROR(VLOOKUP(B1376,infoTable__11[],4,FALSE),"")</f>
        <v/>
      </c>
      <c r="L1376" s="4" t="str">
        <f>IFERROR(VLOOKUP(B1376,infoTable__12[],4,FALSE),"")</f>
        <v/>
      </c>
      <c r="M1376" s="4" t="str">
        <f>IFERROR(VLOOKUP(B1376,infoTable__13[],4,FALSE),"")</f>
        <v/>
      </c>
      <c r="N1376" s="4" t="str">
        <f>IFERROR(VLOOKUP(B1376,infoTable__14[],4,FALSE),"")</f>
        <v/>
      </c>
      <c r="O1376" s="4" t="str">
        <f>IFERROR(VLOOKUP(B1376,infoTable__15[],4,FALSE),"")</f>
        <v/>
      </c>
      <c r="P1376" s="4">
        <f>IFERROR(VLOOKUP(B1376,infoTable__16[],4,FALSE),"")</f>
        <v>709042</v>
      </c>
    </row>
    <row r="1377" spans="1:16" x14ac:dyDescent="0.55000000000000004">
      <c r="A1377" t="s">
        <v>1768</v>
      </c>
      <c r="B1377" t="s">
        <v>1769</v>
      </c>
      <c r="C1377" s="4" t="str">
        <f>IFERROR(VLOOKUP(B1377,infoTable10[],4,FALSE),"")</f>
        <v/>
      </c>
      <c r="D1377" s="4" t="str">
        <f>IFERROR(VLOOKUP(B1377,infoTable__2[],4,FALSE),"")</f>
        <v/>
      </c>
      <c r="E1377" s="4" t="str">
        <f>IFERROR(VLOOKUP(B1377,infoTable__3[],4,FALSE),"")</f>
        <v/>
      </c>
      <c r="F1377" s="4" t="str">
        <f>IFERROR(VLOOKUP(B1377,infoTable__4[],4,FALSE),"")</f>
        <v/>
      </c>
      <c r="G1377" s="4" t="str">
        <f>IFERROR(VLOOKUP(B1377,infoTable[],4,FALSE),"")</f>
        <v/>
      </c>
      <c r="H1377" s="4" t="str">
        <f>IFERROR(VLOOKUP(B1377,infoTable__6[],4,FALSE),"")</f>
        <v/>
      </c>
      <c r="I1377" s="4" t="str">
        <f>IFERROR(VLOOKUP(B1377,infoTable__28[],4,FALSE),"")</f>
        <v/>
      </c>
      <c r="J1377" s="4">
        <f>IFERROR(VLOOKUP(B1377,infoTable__10[],4,FALSE),"")</f>
        <v>945410</v>
      </c>
      <c r="K1377" s="4" t="str">
        <f>IFERROR(VLOOKUP(B1377,infoTable__11[],4,FALSE),"")</f>
        <v/>
      </c>
      <c r="L1377" s="4" t="str">
        <f>IFERROR(VLOOKUP(B1377,infoTable__12[],4,FALSE),"")</f>
        <v/>
      </c>
      <c r="M1377" s="4" t="str">
        <f>IFERROR(VLOOKUP(B1377,infoTable__13[],4,FALSE),"")</f>
        <v/>
      </c>
      <c r="N1377" s="4" t="str">
        <f>IFERROR(VLOOKUP(B1377,infoTable__14[],4,FALSE),"")</f>
        <v/>
      </c>
      <c r="O1377" s="4" t="str">
        <f>IFERROR(VLOOKUP(B1377,infoTable__15[],4,FALSE),"")</f>
        <v/>
      </c>
      <c r="P1377" s="4" t="str">
        <f>IFERROR(VLOOKUP(B1377,infoTable__16[],4,FALSE),"")</f>
        <v/>
      </c>
    </row>
    <row r="1378" spans="1:16" x14ac:dyDescent="0.55000000000000004">
      <c r="A1378" t="s">
        <v>1104</v>
      </c>
      <c r="B1378" t="s">
        <v>1105</v>
      </c>
      <c r="C1378" s="4" t="str">
        <f>IFERROR(VLOOKUP(B1378,infoTable10[],4,FALSE),"")</f>
        <v/>
      </c>
      <c r="D1378" s="4" t="str">
        <f>IFERROR(VLOOKUP(B1378,infoTable__2[],4,FALSE),"")</f>
        <v/>
      </c>
      <c r="E1378" s="4" t="str">
        <f>IFERROR(VLOOKUP(B1378,infoTable__3[],4,FALSE),"")</f>
        <v/>
      </c>
      <c r="F1378" s="4" t="str">
        <f>IFERROR(VLOOKUP(B1378,infoTable__4[],4,FALSE),"")</f>
        <v/>
      </c>
      <c r="G1378" s="4" t="str">
        <f>IFERROR(VLOOKUP(B1378,infoTable[],4,FALSE),"")</f>
        <v/>
      </c>
      <c r="H1378" s="4">
        <f>IFERROR(VLOOKUP(B1378,infoTable__6[],4,FALSE),"")</f>
        <v>451881</v>
      </c>
      <c r="I1378" s="4" t="str">
        <f>IFERROR(VLOOKUP(B1378,infoTable__28[],4,FALSE),"")</f>
        <v/>
      </c>
      <c r="J1378" s="4" t="str">
        <f>IFERROR(VLOOKUP(B1378,infoTable__10[],4,FALSE),"")</f>
        <v/>
      </c>
      <c r="K1378" s="4" t="str">
        <f>IFERROR(VLOOKUP(B1378,infoTable__11[],4,FALSE),"")</f>
        <v/>
      </c>
      <c r="L1378" s="4" t="str">
        <f>IFERROR(VLOOKUP(B1378,infoTable__12[],4,FALSE),"")</f>
        <v/>
      </c>
      <c r="M1378" s="4" t="str">
        <f>IFERROR(VLOOKUP(B1378,infoTable__13[],4,FALSE),"")</f>
        <v/>
      </c>
      <c r="N1378" s="4" t="str">
        <f>IFERROR(VLOOKUP(B1378,infoTable__14[],4,FALSE),"")</f>
        <v/>
      </c>
      <c r="O1378" s="4" t="str">
        <f>IFERROR(VLOOKUP(B1378,infoTable__15[],4,FALSE),"")</f>
        <v/>
      </c>
      <c r="P1378" s="4">
        <f>IFERROR(VLOOKUP(B1378,infoTable__16[],4,FALSE),"")</f>
        <v>822958</v>
      </c>
    </row>
    <row r="1379" spans="1:16" x14ac:dyDescent="0.55000000000000004">
      <c r="A1379" t="s">
        <v>686</v>
      </c>
      <c r="B1379" t="s">
        <v>687</v>
      </c>
      <c r="C1379" s="4" t="str">
        <f>IFERROR(VLOOKUP(B1379,infoTable10[],4,FALSE),"")</f>
        <v/>
      </c>
      <c r="D1379" s="4">
        <f>IFERROR(VLOOKUP(B1379,infoTable__2[],4,FALSE),"")</f>
        <v>2461466</v>
      </c>
      <c r="E1379" s="4">
        <f>IFERROR(VLOOKUP(B1379,infoTable__3[],4,FALSE),"")</f>
        <v>2031215</v>
      </c>
      <c r="F1379" s="4">
        <f>IFERROR(VLOOKUP(B1379,infoTable__4[],4,FALSE),"")</f>
        <v>316685</v>
      </c>
      <c r="G1379" s="4" t="str">
        <f>IFERROR(VLOOKUP(B1379,infoTable[],4,FALSE),"")</f>
        <v/>
      </c>
      <c r="H1379" s="4" t="str">
        <f>IFERROR(VLOOKUP(B1379,infoTable__6[],4,FALSE),"")</f>
        <v/>
      </c>
      <c r="I1379" s="4" t="str">
        <f>IFERROR(VLOOKUP(B1379,infoTable__28[],4,FALSE),"")</f>
        <v/>
      </c>
      <c r="J1379" s="4" t="str">
        <f>IFERROR(VLOOKUP(B1379,infoTable__10[],4,FALSE),"")</f>
        <v/>
      </c>
      <c r="K1379" s="4">
        <f>IFERROR(VLOOKUP(B1379,infoTable__11[],4,FALSE),"")</f>
        <v>207754</v>
      </c>
      <c r="L1379" s="4" t="str">
        <f>IFERROR(VLOOKUP(B1379,infoTable__12[],4,FALSE),"")</f>
        <v/>
      </c>
      <c r="M1379" s="4" t="str">
        <f>IFERROR(VLOOKUP(B1379,infoTable__13[],4,FALSE),"")</f>
        <v/>
      </c>
      <c r="N1379" s="4" t="str">
        <f>IFERROR(VLOOKUP(B1379,infoTable__14[],4,FALSE),"")</f>
        <v/>
      </c>
      <c r="O1379" s="4" t="str">
        <f>IFERROR(VLOOKUP(B1379,infoTable__15[],4,FALSE),"")</f>
        <v/>
      </c>
      <c r="P1379" s="4" t="str">
        <f>IFERROR(VLOOKUP(B1379,infoTable__16[],4,FALSE),"")</f>
        <v/>
      </c>
    </row>
    <row r="1380" spans="1:16" x14ac:dyDescent="0.55000000000000004">
      <c r="A1380" t="s">
        <v>1415</v>
      </c>
      <c r="B1380" t="s">
        <v>1416</v>
      </c>
      <c r="C1380" s="4" t="str">
        <f>IFERROR(VLOOKUP(B1380,infoTable10[],4,FALSE),"")</f>
        <v/>
      </c>
      <c r="D1380" s="4" t="str">
        <f>IFERROR(VLOOKUP(B1380,infoTable__2[],4,FALSE),"")</f>
        <v/>
      </c>
      <c r="E1380" s="4" t="str">
        <f>IFERROR(VLOOKUP(B1380,infoTable__3[],4,FALSE),"")</f>
        <v/>
      </c>
      <c r="F1380" s="4" t="str">
        <f>IFERROR(VLOOKUP(B1380,infoTable__4[],4,FALSE),"")</f>
        <v/>
      </c>
      <c r="G1380" s="4" t="str">
        <f>IFERROR(VLOOKUP(B1380,infoTable[],4,FALSE),"")</f>
        <v/>
      </c>
      <c r="H1380" s="4" t="str">
        <f>IFERROR(VLOOKUP(B1380,infoTable__6[],4,FALSE),"")</f>
        <v/>
      </c>
      <c r="I1380" s="4">
        <f>IFERROR(VLOOKUP(B1380,infoTable__28[],4,FALSE),"")</f>
        <v>201143</v>
      </c>
      <c r="J1380" s="4">
        <f>IFERROR(VLOOKUP(B1380,infoTable__10[],4,FALSE),"")</f>
        <v>262324</v>
      </c>
      <c r="K1380" s="4">
        <f>IFERROR(VLOOKUP(B1380,infoTable__11[],4,FALSE),"")</f>
        <v>1457937</v>
      </c>
      <c r="L1380" s="4">
        <f>IFERROR(VLOOKUP(B1380,infoTable__12[],4,FALSE),"")</f>
        <v>3802582</v>
      </c>
      <c r="M1380" s="4">
        <f>IFERROR(VLOOKUP(B1380,infoTable__13[],4,FALSE),"")</f>
        <v>1281015</v>
      </c>
      <c r="N1380" s="4">
        <f>IFERROR(VLOOKUP(B1380,infoTable__14[],4,FALSE),"")</f>
        <v>6169670</v>
      </c>
      <c r="O1380" s="4">
        <f>IFERROR(VLOOKUP(B1380,infoTable__15[],4,FALSE),"")</f>
        <v>1852032</v>
      </c>
      <c r="P1380" s="4">
        <f>IFERROR(VLOOKUP(B1380,infoTable__16[],4,FALSE),"")</f>
        <v>1423148</v>
      </c>
    </row>
    <row r="1381" spans="1:16" x14ac:dyDescent="0.55000000000000004">
      <c r="A1381" t="s">
        <v>3519</v>
      </c>
      <c r="B1381" t="s">
        <v>3520</v>
      </c>
      <c r="C1381" s="4" t="str">
        <f>IFERROR(VLOOKUP(B1381,infoTable10[],4,FALSE),"")</f>
        <v/>
      </c>
      <c r="D1381" s="4" t="str">
        <f>IFERROR(VLOOKUP(B1381,infoTable__2[],4,FALSE),"")</f>
        <v/>
      </c>
      <c r="E1381" s="4" t="str">
        <f>IFERROR(VLOOKUP(B1381,infoTable__3[],4,FALSE),"")</f>
        <v/>
      </c>
      <c r="F1381" s="4" t="str">
        <f>IFERROR(VLOOKUP(B1381,infoTable__4[],4,FALSE),"")</f>
        <v/>
      </c>
      <c r="G1381" s="4" t="str">
        <f>IFERROR(VLOOKUP(B1381,infoTable[],4,FALSE),"")</f>
        <v/>
      </c>
      <c r="H1381" s="4" t="str">
        <f>IFERROR(VLOOKUP(B1381,infoTable__6[],4,FALSE),"")</f>
        <v/>
      </c>
      <c r="I1381" s="4" t="str">
        <f>IFERROR(VLOOKUP(B1381,infoTable__28[],4,FALSE),"")</f>
        <v/>
      </c>
      <c r="J1381" s="4" t="str">
        <f>IFERROR(VLOOKUP(B1381,infoTable__10[],4,FALSE),"")</f>
        <v/>
      </c>
      <c r="K1381" s="4" t="str">
        <f>IFERROR(VLOOKUP(B1381,infoTable__11[],4,FALSE),"")</f>
        <v/>
      </c>
      <c r="L1381" s="4" t="str">
        <f>IFERROR(VLOOKUP(B1381,infoTable__12[],4,FALSE),"")</f>
        <v/>
      </c>
      <c r="M1381" s="4" t="str">
        <f>IFERROR(VLOOKUP(B1381,infoTable__13[],4,FALSE),"")</f>
        <v/>
      </c>
      <c r="N1381" s="4" t="str">
        <f>IFERROR(VLOOKUP(B1381,infoTable__14[],4,FALSE),"")</f>
        <v/>
      </c>
      <c r="O1381" s="4" t="str">
        <f>IFERROR(VLOOKUP(B1381,infoTable__15[],4,FALSE),"")</f>
        <v/>
      </c>
      <c r="P1381" s="4">
        <f>IFERROR(VLOOKUP(B1381,infoTable__16[],4,FALSE),"")</f>
        <v>5708854</v>
      </c>
    </row>
    <row r="1382" spans="1:16" x14ac:dyDescent="0.55000000000000004">
      <c r="A1382" t="s">
        <v>391</v>
      </c>
      <c r="B1382" t="s">
        <v>392</v>
      </c>
      <c r="C1382" s="4" t="str">
        <f>IFERROR(VLOOKUP(B1382,infoTable10[],4,FALSE),"")</f>
        <v/>
      </c>
      <c r="D1382" s="4" t="str">
        <f>IFERROR(VLOOKUP(B1382,infoTable__2[],4,FALSE),"")</f>
        <v/>
      </c>
      <c r="E1382" s="4" t="str">
        <f>IFERROR(VLOOKUP(B1382,infoTable__3[],4,FALSE),"")</f>
        <v/>
      </c>
      <c r="F1382" s="4" t="str">
        <f>IFERROR(VLOOKUP(B1382,infoTable__4[],4,FALSE),"")</f>
        <v/>
      </c>
      <c r="G1382" s="4">
        <f>IFERROR(VLOOKUP(B1382,infoTable[],4,FALSE),"")</f>
        <v>207165</v>
      </c>
      <c r="H1382" s="4" t="str">
        <f>IFERROR(VLOOKUP(B1382,infoTable__6[],4,FALSE),"")</f>
        <v/>
      </c>
      <c r="I1382" s="4" t="str">
        <f>IFERROR(VLOOKUP(B1382,infoTable__28[],4,FALSE),"")</f>
        <v/>
      </c>
      <c r="J1382" s="4" t="str">
        <f>IFERROR(VLOOKUP(B1382,infoTable__10[],4,FALSE),"")</f>
        <v/>
      </c>
      <c r="K1382" s="4" t="str">
        <f>IFERROR(VLOOKUP(B1382,infoTable__11[],4,FALSE),"")</f>
        <v/>
      </c>
      <c r="L1382" s="4" t="str">
        <f>IFERROR(VLOOKUP(B1382,infoTable__12[],4,FALSE),"")</f>
        <v/>
      </c>
      <c r="M1382" s="4" t="str">
        <f>IFERROR(VLOOKUP(B1382,infoTable__13[],4,FALSE),"")</f>
        <v/>
      </c>
      <c r="N1382" s="4" t="str">
        <f>IFERROR(VLOOKUP(B1382,infoTable__14[],4,FALSE),"")</f>
        <v/>
      </c>
      <c r="O1382" s="4" t="str">
        <f>IFERROR(VLOOKUP(B1382,infoTable__15[],4,FALSE),"")</f>
        <v/>
      </c>
      <c r="P1382" s="4" t="str">
        <f>IFERROR(VLOOKUP(B1382,infoTable__16[],4,FALSE),"")</f>
        <v/>
      </c>
    </row>
    <row r="1383" spans="1:16" x14ac:dyDescent="0.55000000000000004">
      <c r="A1383" t="s">
        <v>1760</v>
      </c>
      <c r="B1383" t="s">
        <v>1761</v>
      </c>
      <c r="C1383" s="4" t="str">
        <f>IFERROR(VLOOKUP(B1383,infoTable10[],4,FALSE),"")</f>
        <v/>
      </c>
      <c r="D1383" s="4" t="str">
        <f>IFERROR(VLOOKUP(B1383,infoTable__2[],4,FALSE),"")</f>
        <v/>
      </c>
      <c r="E1383" s="4" t="str">
        <f>IFERROR(VLOOKUP(B1383,infoTable__3[],4,FALSE),"")</f>
        <v/>
      </c>
      <c r="F1383" s="4" t="str">
        <f>IFERROR(VLOOKUP(B1383,infoTable__4[],4,FALSE),"")</f>
        <v/>
      </c>
      <c r="G1383" s="4" t="str">
        <f>IFERROR(VLOOKUP(B1383,infoTable[],4,FALSE),"")</f>
        <v/>
      </c>
      <c r="H1383" s="4" t="str">
        <f>IFERROR(VLOOKUP(B1383,infoTable__6[],4,FALSE),"")</f>
        <v/>
      </c>
      <c r="I1383" s="4" t="str">
        <f>IFERROR(VLOOKUP(B1383,infoTable__28[],4,FALSE),"")</f>
        <v/>
      </c>
      <c r="J1383" s="4">
        <f>IFERROR(VLOOKUP(B1383,infoTable__10[],4,FALSE),"")</f>
        <v>1217134</v>
      </c>
      <c r="K1383" s="4">
        <f>IFERROR(VLOOKUP(B1383,infoTable__11[],4,FALSE),"")</f>
        <v>275808</v>
      </c>
      <c r="L1383" s="4" t="str">
        <f>IFERROR(VLOOKUP(B1383,infoTable__12[],4,FALSE),"")</f>
        <v/>
      </c>
      <c r="M1383" s="4" t="str">
        <f>IFERROR(VLOOKUP(B1383,infoTable__13[],4,FALSE),"")</f>
        <v/>
      </c>
      <c r="N1383" s="4" t="str">
        <f>IFERROR(VLOOKUP(B1383,infoTable__14[],4,FALSE),"")</f>
        <v/>
      </c>
      <c r="O1383" s="4" t="str">
        <f>IFERROR(VLOOKUP(B1383,infoTable__15[],4,FALSE),"")</f>
        <v/>
      </c>
      <c r="P1383" s="4" t="str">
        <f>IFERROR(VLOOKUP(B1383,infoTable__16[],4,FALSE),"")</f>
        <v/>
      </c>
    </row>
    <row r="1384" spans="1:16" x14ac:dyDescent="0.55000000000000004">
      <c r="A1384" t="s">
        <v>2578</v>
      </c>
      <c r="B1384" t="s">
        <v>2579</v>
      </c>
      <c r="C1384" s="4" t="str">
        <f>IFERROR(VLOOKUP(B1384,infoTable10[],4,FALSE),"")</f>
        <v/>
      </c>
      <c r="D1384" s="4" t="str">
        <f>IFERROR(VLOOKUP(B1384,infoTable__2[],4,FALSE),"")</f>
        <v/>
      </c>
      <c r="E1384" s="4" t="str">
        <f>IFERROR(VLOOKUP(B1384,infoTable__3[],4,FALSE),"")</f>
        <v/>
      </c>
      <c r="F1384" s="4" t="str">
        <f>IFERROR(VLOOKUP(B1384,infoTable__4[],4,FALSE),"")</f>
        <v/>
      </c>
      <c r="G1384" s="4" t="str">
        <f>IFERROR(VLOOKUP(B1384,infoTable[],4,FALSE),"")</f>
        <v/>
      </c>
      <c r="H1384" s="4" t="str">
        <f>IFERROR(VLOOKUP(B1384,infoTable__6[],4,FALSE),"")</f>
        <v/>
      </c>
      <c r="I1384" s="4" t="str">
        <f>IFERROR(VLOOKUP(B1384,infoTable__28[],4,FALSE),"")</f>
        <v/>
      </c>
      <c r="J1384" s="4" t="str">
        <f>IFERROR(VLOOKUP(B1384,infoTable__10[],4,FALSE),"")</f>
        <v/>
      </c>
      <c r="K1384" s="4" t="str">
        <f>IFERROR(VLOOKUP(B1384,infoTable__11[],4,FALSE),"")</f>
        <v/>
      </c>
      <c r="L1384" s="4" t="str">
        <f>IFERROR(VLOOKUP(B1384,infoTable__12[],4,FALSE),"")</f>
        <v/>
      </c>
      <c r="M1384" s="4">
        <f>IFERROR(VLOOKUP(B1384,infoTable__13[],4,FALSE),"")</f>
        <v>1422008</v>
      </c>
      <c r="N1384" s="4" t="str">
        <f>IFERROR(VLOOKUP(B1384,infoTable__14[],4,FALSE),"")</f>
        <v/>
      </c>
      <c r="O1384" s="4" t="str">
        <f>IFERROR(VLOOKUP(B1384,infoTable__15[],4,FALSE),"")</f>
        <v/>
      </c>
      <c r="P1384" s="4" t="str">
        <f>IFERROR(VLOOKUP(B1384,infoTable__16[],4,FALSE),"")</f>
        <v/>
      </c>
    </row>
    <row r="1385" spans="1:16" x14ac:dyDescent="0.55000000000000004">
      <c r="A1385" t="s">
        <v>2580</v>
      </c>
      <c r="B1385" t="s">
        <v>2581</v>
      </c>
      <c r="C1385" s="4" t="str">
        <f>IFERROR(VLOOKUP(B1385,infoTable10[],4,FALSE),"")</f>
        <v/>
      </c>
      <c r="D1385" s="4" t="str">
        <f>IFERROR(VLOOKUP(B1385,infoTable__2[],4,FALSE),"")</f>
        <v/>
      </c>
      <c r="E1385" s="4" t="str">
        <f>IFERROR(VLOOKUP(B1385,infoTable__3[],4,FALSE),"")</f>
        <v/>
      </c>
      <c r="F1385" s="4" t="str">
        <f>IFERROR(VLOOKUP(B1385,infoTable__4[],4,FALSE),"")</f>
        <v/>
      </c>
      <c r="G1385" s="4" t="str">
        <f>IFERROR(VLOOKUP(B1385,infoTable[],4,FALSE),"")</f>
        <v/>
      </c>
      <c r="H1385" s="4" t="str">
        <f>IFERROR(VLOOKUP(B1385,infoTable__6[],4,FALSE),"")</f>
        <v/>
      </c>
      <c r="I1385" s="4" t="str">
        <f>IFERROR(VLOOKUP(B1385,infoTable__28[],4,FALSE),"")</f>
        <v/>
      </c>
      <c r="J1385" s="4" t="str">
        <f>IFERROR(VLOOKUP(B1385,infoTable__10[],4,FALSE),"")</f>
        <v/>
      </c>
      <c r="K1385" s="4" t="str">
        <f>IFERROR(VLOOKUP(B1385,infoTable__11[],4,FALSE),"")</f>
        <v/>
      </c>
      <c r="L1385" s="4" t="str">
        <f>IFERROR(VLOOKUP(B1385,infoTable__12[],4,FALSE),"")</f>
        <v/>
      </c>
      <c r="M1385" s="4">
        <f>IFERROR(VLOOKUP(B1385,infoTable__13[],4,FALSE),"")</f>
        <v>9148477</v>
      </c>
      <c r="N1385" s="4">
        <f>IFERROR(VLOOKUP(B1385,infoTable__14[],4,FALSE),"")</f>
        <v>5687289</v>
      </c>
      <c r="O1385" s="4" t="str">
        <f>IFERROR(VLOOKUP(B1385,infoTable__15[],4,FALSE),"")</f>
        <v/>
      </c>
      <c r="P1385" s="4" t="str">
        <f>IFERROR(VLOOKUP(B1385,infoTable__16[],4,FALSE),"")</f>
        <v/>
      </c>
    </row>
    <row r="1386" spans="1:16" x14ac:dyDescent="0.55000000000000004">
      <c r="A1386" t="s">
        <v>3161</v>
      </c>
      <c r="B1386" t="s">
        <v>3162</v>
      </c>
      <c r="C1386" s="4" t="str">
        <f>IFERROR(VLOOKUP(B1386,infoTable10[],4,FALSE),"")</f>
        <v/>
      </c>
      <c r="D1386" s="4" t="str">
        <f>IFERROR(VLOOKUP(B1386,infoTable__2[],4,FALSE),"")</f>
        <v/>
      </c>
      <c r="E1386" s="4" t="str">
        <f>IFERROR(VLOOKUP(B1386,infoTable__3[],4,FALSE),"")</f>
        <v/>
      </c>
      <c r="F1386" s="4" t="str">
        <f>IFERROR(VLOOKUP(B1386,infoTable__4[],4,FALSE),"")</f>
        <v/>
      </c>
      <c r="G1386" s="4" t="str">
        <f>IFERROR(VLOOKUP(B1386,infoTable[],4,FALSE),"")</f>
        <v/>
      </c>
      <c r="H1386" s="4" t="str">
        <f>IFERROR(VLOOKUP(B1386,infoTable__6[],4,FALSE),"")</f>
        <v/>
      </c>
      <c r="I1386" s="4" t="str">
        <f>IFERROR(VLOOKUP(B1386,infoTable__28[],4,FALSE),"")</f>
        <v/>
      </c>
      <c r="J1386" s="4" t="str">
        <f>IFERROR(VLOOKUP(B1386,infoTable__10[],4,FALSE),"")</f>
        <v/>
      </c>
      <c r="K1386" s="4" t="str">
        <f>IFERROR(VLOOKUP(B1386,infoTable__11[],4,FALSE),"")</f>
        <v/>
      </c>
      <c r="L1386" s="4" t="str">
        <f>IFERROR(VLOOKUP(B1386,infoTable__12[],4,FALSE),"")</f>
        <v/>
      </c>
      <c r="M1386" s="4" t="str">
        <f>IFERROR(VLOOKUP(B1386,infoTable__13[],4,FALSE),"")</f>
        <v/>
      </c>
      <c r="N1386" s="4" t="str">
        <f>IFERROR(VLOOKUP(B1386,infoTable__14[],4,FALSE),"")</f>
        <v/>
      </c>
      <c r="O1386" s="4">
        <f>IFERROR(VLOOKUP(B1386,infoTable__15[],4,FALSE),"")</f>
        <v>675821</v>
      </c>
      <c r="P1386" s="4">
        <f>IFERROR(VLOOKUP(B1386,infoTable__16[],4,FALSE),"")</f>
        <v>1342473</v>
      </c>
    </row>
    <row r="1387" spans="1:16" x14ac:dyDescent="0.55000000000000004">
      <c r="A1387" t="s">
        <v>393</v>
      </c>
      <c r="B1387" t="s">
        <v>394</v>
      </c>
      <c r="C1387" s="4" t="str">
        <f>IFERROR(VLOOKUP(B1387,infoTable10[],4,FALSE),"")</f>
        <v/>
      </c>
      <c r="D1387" s="4" t="str">
        <f>IFERROR(VLOOKUP(B1387,infoTable__2[],4,FALSE),"")</f>
        <v/>
      </c>
      <c r="E1387" s="4" t="str">
        <f>IFERROR(VLOOKUP(B1387,infoTable__3[],4,FALSE),"")</f>
        <v/>
      </c>
      <c r="F1387" s="4" t="str">
        <f>IFERROR(VLOOKUP(B1387,infoTable__4[],4,FALSE),"")</f>
        <v/>
      </c>
      <c r="G1387" s="4">
        <f>IFERROR(VLOOKUP(B1387,infoTable[],4,FALSE),"")</f>
        <v>53136</v>
      </c>
      <c r="H1387" s="4">
        <f>IFERROR(VLOOKUP(B1387,infoTable__6[],4,FALSE),"")</f>
        <v>55797</v>
      </c>
      <c r="I1387" s="4" t="str">
        <f>IFERROR(VLOOKUP(B1387,infoTable__28[],4,FALSE),"")</f>
        <v/>
      </c>
      <c r="J1387" s="4" t="str">
        <f>IFERROR(VLOOKUP(B1387,infoTable__10[],4,FALSE),"")</f>
        <v/>
      </c>
      <c r="K1387" s="4" t="str">
        <f>IFERROR(VLOOKUP(B1387,infoTable__11[],4,FALSE),"")</f>
        <v/>
      </c>
      <c r="L1387" s="4" t="str">
        <f>IFERROR(VLOOKUP(B1387,infoTable__12[],4,FALSE),"")</f>
        <v/>
      </c>
      <c r="M1387" s="4" t="str">
        <f>IFERROR(VLOOKUP(B1387,infoTable__13[],4,FALSE),"")</f>
        <v/>
      </c>
      <c r="N1387" s="4" t="str">
        <f>IFERROR(VLOOKUP(B1387,infoTable__14[],4,FALSE),"")</f>
        <v/>
      </c>
      <c r="O1387" s="4" t="str">
        <f>IFERROR(VLOOKUP(B1387,infoTable__15[],4,FALSE),"")</f>
        <v/>
      </c>
      <c r="P1387" s="4" t="str">
        <f>IFERROR(VLOOKUP(B1387,infoTable__16[],4,FALSE),"")</f>
        <v/>
      </c>
    </row>
    <row r="1388" spans="1:16" x14ac:dyDescent="0.55000000000000004">
      <c r="A1388" t="s">
        <v>3163</v>
      </c>
      <c r="B1388" t="s">
        <v>3164</v>
      </c>
      <c r="C1388" s="4" t="str">
        <f>IFERROR(VLOOKUP(B1388,infoTable10[],4,FALSE),"")</f>
        <v/>
      </c>
      <c r="D1388" s="4" t="str">
        <f>IFERROR(VLOOKUP(B1388,infoTable__2[],4,FALSE),"")</f>
        <v/>
      </c>
      <c r="E1388" s="4" t="str">
        <f>IFERROR(VLOOKUP(B1388,infoTable__3[],4,FALSE),"")</f>
        <v/>
      </c>
      <c r="F1388" s="4" t="str">
        <f>IFERROR(VLOOKUP(B1388,infoTable__4[],4,FALSE),"")</f>
        <v/>
      </c>
      <c r="G1388" s="4" t="str">
        <f>IFERROR(VLOOKUP(B1388,infoTable[],4,FALSE),"")</f>
        <v/>
      </c>
      <c r="H1388" s="4" t="str">
        <f>IFERROR(VLOOKUP(B1388,infoTable__6[],4,FALSE),"")</f>
        <v/>
      </c>
      <c r="I1388" s="4" t="str">
        <f>IFERROR(VLOOKUP(B1388,infoTable__28[],4,FALSE),"")</f>
        <v/>
      </c>
      <c r="J1388" s="4" t="str">
        <f>IFERROR(VLOOKUP(B1388,infoTable__10[],4,FALSE),"")</f>
        <v/>
      </c>
      <c r="K1388" s="4" t="str">
        <f>IFERROR(VLOOKUP(B1388,infoTable__11[],4,FALSE),"")</f>
        <v/>
      </c>
      <c r="L1388" s="4" t="str">
        <f>IFERROR(VLOOKUP(B1388,infoTable__12[],4,FALSE),"")</f>
        <v/>
      </c>
      <c r="M1388" s="4" t="str">
        <f>IFERROR(VLOOKUP(B1388,infoTable__13[],4,FALSE),"")</f>
        <v/>
      </c>
      <c r="N1388" s="4" t="str">
        <f>IFERROR(VLOOKUP(B1388,infoTable__14[],4,FALSE),"")</f>
        <v/>
      </c>
      <c r="O1388" s="4">
        <f>IFERROR(VLOOKUP(B1388,infoTable__15[],4,FALSE),"")</f>
        <v>111762</v>
      </c>
      <c r="P1388" s="4" t="str">
        <f>IFERROR(VLOOKUP(B1388,infoTable__16[],4,FALSE),"")</f>
        <v/>
      </c>
    </row>
    <row r="1389" spans="1:16" x14ac:dyDescent="0.55000000000000004">
      <c r="A1389" t="s">
        <v>2588</v>
      </c>
      <c r="B1389" t="s">
        <v>2589</v>
      </c>
      <c r="C1389" s="4" t="str">
        <f>IFERROR(VLOOKUP(B1389,infoTable10[],4,FALSE),"")</f>
        <v/>
      </c>
      <c r="D1389" s="4" t="str">
        <f>IFERROR(VLOOKUP(B1389,infoTable__2[],4,FALSE),"")</f>
        <v/>
      </c>
      <c r="E1389" s="4" t="str">
        <f>IFERROR(VLOOKUP(B1389,infoTable__3[],4,FALSE),"")</f>
        <v/>
      </c>
      <c r="F1389" s="4" t="str">
        <f>IFERROR(VLOOKUP(B1389,infoTable__4[],4,FALSE),"")</f>
        <v/>
      </c>
      <c r="G1389" s="4" t="str">
        <f>IFERROR(VLOOKUP(B1389,infoTable[],4,FALSE),"")</f>
        <v/>
      </c>
      <c r="H1389" s="4" t="str">
        <f>IFERROR(VLOOKUP(B1389,infoTable__6[],4,FALSE),"")</f>
        <v/>
      </c>
      <c r="I1389" s="4" t="str">
        <f>IFERROR(VLOOKUP(B1389,infoTable__28[],4,FALSE),"")</f>
        <v/>
      </c>
      <c r="J1389" s="4" t="str">
        <f>IFERROR(VLOOKUP(B1389,infoTable__10[],4,FALSE),"")</f>
        <v/>
      </c>
      <c r="K1389" s="4" t="str">
        <f>IFERROR(VLOOKUP(B1389,infoTable__11[],4,FALSE),"")</f>
        <v/>
      </c>
      <c r="L1389" s="4" t="str">
        <f>IFERROR(VLOOKUP(B1389,infoTable__12[],4,FALSE),"")</f>
        <v/>
      </c>
      <c r="M1389" s="4">
        <f>IFERROR(VLOOKUP(B1389,infoTable__13[],4,FALSE),"")</f>
        <v>215908</v>
      </c>
      <c r="N1389" s="4" t="str">
        <f>IFERROR(VLOOKUP(B1389,infoTable__14[],4,FALSE),"")</f>
        <v/>
      </c>
      <c r="O1389" s="4" t="str">
        <f>IFERROR(VLOOKUP(B1389,infoTable__15[],4,FALSE),"")</f>
        <v/>
      </c>
      <c r="P1389" s="4" t="str">
        <f>IFERROR(VLOOKUP(B1389,infoTable__16[],4,FALSE),"")</f>
        <v/>
      </c>
    </row>
    <row r="1390" spans="1:16" x14ac:dyDescent="0.55000000000000004">
      <c r="A1390" t="s">
        <v>1402</v>
      </c>
      <c r="B1390" t="s">
        <v>1404</v>
      </c>
      <c r="C1390" s="4" t="str">
        <f>IFERROR(VLOOKUP(B1390,infoTable10[],4,FALSE),"")</f>
        <v/>
      </c>
      <c r="D1390" s="4" t="str">
        <f>IFERROR(VLOOKUP(B1390,infoTable__2[],4,FALSE),"")</f>
        <v/>
      </c>
      <c r="E1390" s="4" t="str">
        <f>IFERROR(VLOOKUP(B1390,infoTable__3[],4,FALSE),"")</f>
        <v/>
      </c>
      <c r="F1390" s="4" t="str">
        <f>IFERROR(VLOOKUP(B1390,infoTable__4[],4,FALSE),"")</f>
        <v/>
      </c>
      <c r="G1390" s="4" t="str">
        <f>IFERROR(VLOOKUP(B1390,infoTable[],4,FALSE),"")</f>
        <v/>
      </c>
      <c r="H1390" s="4" t="str">
        <f>IFERROR(VLOOKUP(B1390,infoTable__6[],4,FALSE),"")</f>
        <v/>
      </c>
      <c r="I1390" s="4">
        <f>IFERROR(VLOOKUP(B1390,infoTable__28[],4,FALSE),"")</f>
        <v>398952</v>
      </c>
      <c r="J1390" s="4">
        <f>IFERROR(VLOOKUP(B1390,infoTable__10[],4,FALSE),"")</f>
        <v>2350306</v>
      </c>
      <c r="K1390" s="4">
        <f>IFERROR(VLOOKUP(B1390,infoTable__11[],4,FALSE),"")</f>
        <v>2792022</v>
      </c>
      <c r="L1390" s="4">
        <f>IFERROR(VLOOKUP(B1390,infoTable__12[],4,FALSE),"")</f>
        <v>3807959</v>
      </c>
      <c r="M1390" s="4">
        <f>IFERROR(VLOOKUP(B1390,infoTable__13[],4,FALSE),"")</f>
        <v>4738862</v>
      </c>
      <c r="N1390" s="4">
        <f>IFERROR(VLOOKUP(B1390,infoTable__14[],4,FALSE),"")</f>
        <v>2246279</v>
      </c>
      <c r="O1390" s="4" t="str">
        <f>IFERROR(VLOOKUP(B1390,infoTable__15[],4,FALSE),"")</f>
        <v/>
      </c>
      <c r="P1390" s="4" t="str">
        <f>IFERROR(VLOOKUP(B1390,infoTable__16[],4,FALSE),"")</f>
        <v/>
      </c>
    </row>
    <row r="1391" spans="1:16" x14ac:dyDescent="0.55000000000000004">
      <c r="A1391" t="s">
        <v>1098</v>
      </c>
      <c r="B1391" t="s">
        <v>1099</v>
      </c>
      <c r="C1391" s="4" t="str">
        <f>IFERROR(VLOOKUP(B1391,infoTable10[],4,FALSE),"")</f>
        <v/>
      </c>
      <c r="D1391" s="4" t="str">
        <f>IFERROR(VLOOKUP(B1391,infoTable__2[],4,FALSE),"")</f>
        <v/>
      </c>
      <c r="E1391" s="4" t="str">
        <f>IFERROR(VLOOKUP(B1391,infoTable__3[],4,FALSE),"")</f>
        <v/>
      </c>
      <c r="F1391" s="4" t="str">
        <f>IFERROR(VLOOKUP(B1391,infoTable__4[],4,FALSE),"")</f>
        <v/>
      </c>
      <c r="G1391" s="4" t="str">
        <f>IFERROR(VLOOKUP(B1391,infoTable[],4,FALSE),"")</f>
        <v/>
      </c>
      <c r="H1391" s="4">
        <f>IFERROR(VLOOKUP(B1391,infoTable__6[],4,FALSE),"")</f>
        <v>506801</v>
      </c>
      <c r="I1391" s="4" t="str">
        <f>IFERROR(VLOOKUP(B1391,infoTable__28[],4,FALSE),"")</f>
        <v/>
      </c>
      <c r="J1391" s="4" t="str">
        <f>IFERROR(VLOOKUP(B1391,infoTable__10[],4,FALSE),"")</f>
        <v/>
      </c>
      <c r="K1391" s="4" t="str">
        <f>IFERROR(VLOOKUP(B1391,infoTable__11[],4,FALSE),"")</f>
        <v/>
      </c>
      <c r="L1391" s="4" t="str">
        <f>IFERROR(VLOOKUP(B1391,infoTable__12[],4,FALSE),"")</f>
        <v/>
      </c>
      <c r="M1391" s="4" t="str">
        <f>IFERROR(VLOOKUP(B1391,infoTable__13[],4,FALSE),"")</f>
        <v/>
      </c>
      <c r="N1391" s="4">
        <f>IFERROR(VLOOKUP(B1391,infoTable__14[],4,FALSE),"")</f>
        <v>374150</v>
      </c>
      <c r="O1391" s="4" t="str">
        <f>IFERROR(VLOOKUP(B1391,infoTable__15[],4,FALSE),"")</f>
        <v/>
      </c>
      <c r="P1391" s="4" t="str">
        <f>IFERROR(VLOOKUP(B1391,infoTable__16[],4,FALSE),"")</f>
        <v/>
      </c>
    </row>
    <row r="1392" spans="1:16" x14ac:dyDescent="0.55000000000000004">
      <c r="A1392" t="s">
        <v>2592</v>
      </c>
      <c r="B1392" t="s">
        <v>2593</v>
      </c>
      <c r="C1392" s="4" t="str">
        <f>IFERROR(VLOOKUP(B1392,infoTable10[],4,FALSE),"")</f>
        <v/>
      </c>
      <c r="D1392" s="4" t="str">
        <f>IFERROR(VLOOKUP(B1392,infoTable__2[],4,FALSE),"")</f>
        <v/>
      </c>
      <c r="E1392" s="4" t="str">
        <f>IFERROR(VLOOKUP(B1392,infoTable__3[],4,FALSE),"")</f>
        <v/>
      </c>
      <c r="F1392" s="4" t="str">
        <f>IFERROR(VLOOKUP(B1392,infoTable__4[],4,FALSE),"")</f>
        <v/>
      </c>
      <c r="G1392" s="4" t="str">
        <f>IFERROR(VLOOKUP(B1392,infoTable[],4,FALSE),"")</f>
        <v/>
      </c>
      <c r="H1392" s="4" t="str">
        <f>IFERROR(VLOOKUP(B1392,infoTable__6[],4,FALSE),"")</f>
        <v/>
      </c>
      <c r="I1392" s="4" t="str">
        <f>IFERROR(VLOOKUP(B1392,infoTable__28[],4,FALSE),"")</f>
        <v/>
      </c>
      <c r="J1392" s="4" t="str">
        <f>IFERROR(VLOOKUP(B1392,infoTable__10[],4,FALSE),"")</f>
        <v/>
      </c>
      <c r="K1392" s="4" t="str">
        <f>IFERROR(VLOOKUP(B1392,infoTable__11[],4,FALSE),"")</f>
        <v/>
      </c>
      <c r="L1392" s="4" t="str">
        <f>IFERROR(VLOOKUP(B1392,infoTable__12[],4,FALSE),"")</f>
        <v/>
      </c>
      <c r="M1392" s="4">
        <f>IFERROR(VLOOKUP(B1392,infoTable__13[],4,FALSE),"")</f>
        <v>308415</v>
      </c>
      <c r="N1392" s="4">
        <f>IFERROR(VLOOKUP(B1392,infoTable__14[],4,FALSE),"")</f>
        <v>2614297</v>
      </c>
      <c r="O1392" s="4" t="str">
        <f>IFERROR(VLOOKUP(B1392,infoTable__15[],4,FALSE),"")</f>
        <v/>
      </c>
      <c r="P1392" s="4" t="str">
        <f>IFERROR(VLOOKUP(B1392,infoTable__16[],4,FALSE),"")</f>
        <v/>
      </c>
    </row>
    <row r="1393" spans="1:16" x14ac:dyDescent="0.55000000000000004">
      <c r="A1393" t="s">
        <v>3165</v>
      </c>
      <c r="B1393" t="s">
        <v>3166</v>
      </c>
      <c r="C1393" s="4" t="str">
        <f>IFERROR(VLOOKUP(B1393,infoTable10[],4,FALSE),"")</f>
        <v/>
      </c>
      <c r="D1393" s="4" t="str">
        <f>IFERROR(VLOOKUP(B1393,infoTable__2[],4,FALSE),"")</f>
        <v/>
      </c>
      <c r="E1393" s="4" t="str">
        <f>IFERROR(VLOOKUP(B1393,infoTable__3[],4,FALSE),"")</f>
        <v/>
      </c>
      <c r="F1393" s="4" t="str">
        <f>IFERROR(VLOOKUP(B1393,infoTable__4[],4,FALSE),"")</f>
        <v/>
      </c>
      <c r="G1393" s="4" t="str">
        <f>IFERROR(VLOOKUP(B1393,infoTable[],4,FALSE),"")</f>
        <v/>
      </c>
      <c r="H1393" s="4" t="str">
        <f>IFERROR(VLOOKUP(B1393,infoTable__6[],4,FALSE),"")</f>
        <v/>
      </c>
      <c r="I1393" s="4" t="str">
        <f>IFERROR(VLOOKUP(B1393,infoTable__28[],4,FALSE),"")</f>
        <v/>
      </c>
      <c r="J1393" s="4" t="str">
        <f>IFERROR(VLOOKUP(B1393,infoTable__10[],4,FALSE),"")</f>
        <v/>
      </c>
      <c r="K1393" s="4" t="str">
        <f>IFERROR(VLOOKUP(B1393,infoTable__11[],4,FALSE),"")</f>
        <v/>
      </c>
      <c r="L1393" s="4" t="str">
        <f>IFERROR(VLOOKUP(B1393,infoTable__12[],4,FALSE),"")</f>
        <v/>
      </c>
      <c r="M1393" s="4" t="str">
        <f>IFERROR(VLOOKUP(B1393,infoTable__13[],4,FALSE),"")</f>
        <v/>
      </c>
      <c r="N1393" s="4" t="str">
        <f>IFERROR(VLOOKUP(B1393,infoTable__14[],4,FALSE),"")</f>
        <v/>
      </c>
      <c r="O1393" s="4">
        <f>IFERROR(VLOOKUP(B1393,infoTable__15[],4,FALSE),"")</f>
        <v>891210</v>
      </c>
      <c r="P1393" s="4">
        <f>IFERROR(VLOOKUP(B1393,infoTable__16[],4,FALSE),"")</f>
        <v>1013336</v>
      </c>
    </row>
    <row r="1394" spans="1:16" x14ac:dyDescent="0.55000000000000004">
      <c r="A1394" t="s">
        <v>3167</v>
      </c>
      <c r="B1394" t="s">
        <v>3168</v>
      </c>
      <c r="C1394" s="4" t="str">
        <f>IFERROR(VLOOKUP(B1394,infoTable10[],4,FALSE),"")</f>
        <v/>
      </c>
      <c r="D1394" s="4" t="str">
        <f>IFERROR(VLOOKUP(B1394,infoTable__2[],4,FALSE),"")</f>
        <v/>
      </c>
      <c r="E1394" s="4" t="str">
        <f>IFERROR(VLOOKUP(B1394,infoTable__3[],4,FALSE),"")</f>
        <v/>
      </c>
      <c r="F1394" s="4" t="str">
        <f>IFERROR(VLOOKUP(B1394,infoTable__4[],4,FALSE),"")</f>
        <v/>
      </c>
      <c r="G1394" s="4" t="str">
        <f>IFERROR(VLOOKUP(B1394,infoTable[],4,FALSE),"")</f>
        <v/>
      </c>
      <c r="H1394" s="4" t="str">
        <f>IFERROR(VLOOKUP(B1394,infoTable__6[],4,FALSE),"")</f>
        <v/>
      </c>
      <c r="I1394" s="4" t="str">
        <f>IFERROR(VLOOKUP(B1394,infoTable__28[],4,FALSE),"")</f>
        <v/>
      </c>
      <c r="J1394" s="4" t="str">
        <f>IFERROR(VLOOKUP(B1394,infoTable__10[],4,FALSE),"")</f>
        <v/>
      </c>
      <c r="K1394" s="4" t="str">
        <f>IFERROR(VLOOKUP(B1394,infoTable__11[],4,FALSE),"")</f>
        <v/>
      </c>
      <c r="L1394" s="4" t="str">
        <f>IFERROR(VLOOKUP(B1394,infoTable__12[],4,FALSE),"")</f>
        <v/>
      </c>
      <c r="M1394" s="4" t="str">
        <f>IFERROR(VLOOKUP(B1394,infoTable__13[],4,FALSE),"")</f>
        <v/>
      </c>
      <c r="N1394" s="4" t="str">
        <f>IFERROR(VLOOKUP(B1394,infoTable__14[],4,FALSE),"")</f>
        <v/>
      </c>
      <c r="O1394" s="4">
        <f>IFERROR(VLOOKUP(B1394,infoTable__15[],4,FALSE),"")</f>
        <v>1278744</v>
      </c>
      <c r="P1394" s="4">
        <f>IFERROR(VLOOKUP(B1394,infoTable__16[],4,FALSE),"")</f>
        <v>362420</v>
      </c>
    </row>
    <row r="1395" spans="1:16" x14ac:dyDescent="0.55000000000000004">
      <c r="A1395" t="s">
        <v>3169</v>
      </c>
      <c r="B1395" t="s">
        <v>3170</v>
      </c>
      <c r="C1395" s="4" t="str">
        <f>IFERROR(VLOOKUP(B1395,infoTable10[],4,FALSE),"")</f>
        <v/>
      </c>
      <c r="D1395" s="4" t="str">
        <f>IFERROR(VLOOKUP(B1395,infoTable__2[],4,FALSE),"")</f>
        <v/>
      </c>
      <c r="E1395" s="4" t="str">
        <f>IFERROR(VLOOKUP(B1395,infoTable__3[],4,FALSE),"")</f>
        <v/>
      </c>
      <c r="F1395" s="4" t="str">
        <f>IFERROR(VLOOKUP(B1395,infoTable__4[],4,FALSE),"")</f>
        <v/>
      </c>
      <c r="G1395" s="4" t="str">
        <f>IFERROR(VLOOKUP(B1395,infoTable[],4,FALSE),"")</f>
        <v/>
      </c>
      <c r="H1395" s="4" t="str">
        <f>IFERROR(VLOOKUP(B1395,infoTable__6[],4,FALSE),"")</f>
        <v/>
      </c>
      <c r="I1395" s="4" t="str">
        <f>IFERROR(VLOOKUP(B1395,infoTable__28[],4,FALSE),"")</f>
        <v/>
      </c>
      <c r="J1395" s="4" t="str">
        <f>IFERROR(VLOOKUP(B1395,infoTable__10[],4,FALSE),"")</f>
        <v/>
      </c>
      <c r="K1395" s="4" t="str">
        <f>IFERROR(VLOOKUP(B1395,infoTable__11[],4,FALSE),"")</f>
        <v/>
      </c>
      <c r="L1395" s="4" t="str">
        <f>IFERROR(VLOOKUP(B1395,infoTable__12[],4,FALSE),"")</f>
        <v/>
      </c>
      <c r="M1395" s="4" t="str">
        <f>IFERROR(VLOOKUP(B1395,infoTable__13[],4,FALSE),"")</f>
        <v/>
      </c>
      <c r="N1395" s="4" t="str">
        <f>IFERROR(VLOOKUP(B1395,infoTable__14[],4,FALSE),"")</f>
        <v/>
      </c>
      <c r="O1395" s="4">
        <f>IFERROR(VLOOKUP(B1395,infoTable__15[],4,FALSE),"")</f>
        <v>305614</v>
      </c>
      <c r="P1395" s="4" t="str">
        <f>IFERROR(VLOOKUP(B1395,infoTable__16[],4,FALSE),"")</f>
        <v/>
      </c>
    </row>
    <row r="1396" spans="1:16" x14ac:dyDescent="0.55000000000000004">
      <c r="A1396" t="s">
        <v>786</v>
      </c>
      <c r="B1396" t="s">
        <v>787</v>
      </c>
      <c r="C1396" s="4" t="str">
        <f>IFERROR(VLOOKUP(B1396,infoTable10[],4,FALSE),"")</f>
        <v/>
      </c>
      <c r="D1396" s="4" t="str">
        <f>IFERROR(VLOOKUP(B1396,infoTable__2[],4,FALSE),"")</f>
        <v/>
      </c>
      <c r="E1396" s="4">
        <f>IFERROR(VLOOKUP(B1396,infoTable__3[],4,FALSE),"")</f>
        <v>1026601</v>
      </c>
      <c r="F1396" s="4" t="str">
        <f>IFERROR(VLOOKUP(B1396,infoTable__4[],4,FALSE),"")</f>
        <v/>
      </c>
      <c r="G1396" s="4" t="str">
        <f>IFERROR(VLOOKUP(B1396,infoTable[],4,FALSE),"")</f>
        <v/>
      </c>
      <c r="H1396" s="4" t="str">
        <f>IFERROR(VLOOKUP(B1396,infoTable__6[],4,FALSE),"")</f>
        <v/>
      </c>
      <c r="I1396" s="4" t="str">
        <f>IFERROR(VLOOKUP(B1396,infoTable__28[],4,FALSE),"")</f>
        <v/>
      </c>
      <c r="J1396" s="4" t="str">
        <f>IFERROR(VLOOKUP(B1396,infoTable__10[],4,FALSE),"")</f>
        <v/>
      </c>
      <c r="K1396" s="4" t="str">
        <f>IFERROR(VLOOKUP(B1396,infoTable__11[],4,FALSE),"")</f>
        <v/>
      </c>
      <c r="L1396" s="4" t="str">
        <f>IFERROR(VLOOKUP(B1396,infoTable__12[],4,FALSE),"")</f>
        <v/>
      </c>
      <c r="M1396" s="4">
        <f>IFERROR(VLOOKUP(B1396,infoTable__13[],4,FALSE),"")</f>
        <v>222454</v>
      </c>
      <c r="N1396" s="4">
        <f>IFERROR(VLOOKUP(B1396,infoTable__14[],4,FALSE),"")</f>
        <v>213082</v>
      </c>
      <c r="O1396" s="4">
        <f>IFERROR(VLOOKUP(B1396,infoTable__15[],4,FALSE),"")</f>
        <v>1181951</v>
      </c>
      <c r="P1396" s="4" t="str">
        <f>IFERROR(VLOOKUP(B1396,infoTable__16[],4,FALSE),"")</f>
        <v/>
      </c>
    </row>
    <row r="1397" spans="1:16" x14ac:dyDescent="0.55000000000000004">
      <c r="A1397" t="s">
        <v>1996</v>
      </c>
      <c r="B1397" t="s">
        <v>1997</v>
      </c>
      <c r="C1397" s="4" t="str">
        <f>IFERROR(VLOOKUP(B1397,infoTable10[],4,FALSE),"")</f>
        <v/>
      </c>
      <c r="D1397" s="4" t="str">
        <f>IFERROR(VLOOKUP(B1397,infoTable__2[],4,FALSE),"")</f>
        <v/>
      </c>
      <c r="E1397" s="4" t="str">
        <f>IFERROR(VLOOKUP(B1397,infoTable__3[],4,FALSE),"")</f>
        <v/>
      </c>
      <c r="F1397" s="4" t="str">
        <f>IFERROR(VLOOKUP(B1397,infoTable__4[],4,FALSE),"")</f>
        <v/>
      </c>
      <c r="G1397" s="4" t="str">
        <f>IFERROR(VLOOKUP(B1397,infoTable[],4,FALSE),"")</f>
        <v/>
      </c>
      <c r="H1397" s="4" t="str">
        <f>IFERROR(VLOOKUP(B1397,infoTable__6[],4,FALSE),"")</f>
        <v/>
      </c>
      <c r="I1397" s="4" t="str">
        <f>IFERROR(VLOOKUP(B1397,infoTable__28[],4,FALSE),"")</f>
        <v/>
      </c>
      <c r="J1397" s="4" t="str">
        <f>IFERROR(VLOOKUP(B1397,infoTable__10[],4,FALSE),"")</f>
        <v/>
      </c>
      <c r="K1397" s="4">
        <f>IFERROR(VLOOKUP(B1397,infoTable__11[],4,FALSE),"")</f>
        <v>518372</v>
      </c>
      <c r="L1397" s="4">
        <f>IFERROR(VLOOKUP(B1397,infoTable__12[],4,FALSE),"")</f>
        <v>742460</v>
      </c>
      <c r="M1397" s="4">
        <f>IFERROR(VLOOKUP(B1397,infoTable__13[],4,FALSE),"")</f>
        <v>499300</v>
      </c>
      <c r="N1397" s="4">
        <f>IFERROR(VLOOKUP(B1397,infoTable__14[],4,FALSE),"")</f>
        <v>138374</v>
      </c>
      <c r="O1397" s="4">
        <f>IFERROR(VLOOKUP(B1397,infoTable__15[],4,FALSE),"")</f>
        <v>119195</v>
      </c>
      <c r="P1397" s="4">
        <f>IFERROR(VLOOKUP(B1397,infoTable__16[],4,FALSE),"")</f>
        <v>272024</v>
      </c>
    </row>
    <row r="1398" spans="1:16" x14ac:dyDescent="0.55000000000000004">
      <c r="A1398" t="s">
        <v>1998</v>
      </c>
      <c r="B1398" t="s">
        <v>1999</v>
      </c>
      <c r="C1398" s="4" t="str">
        <f>IFERROR(VLOOKUP(B1398,infoTable10[],4,FALSE),"")</f>
        <v/>
      </c>
      <c r="D1398" s="4" t="str">
        <f>IFERROR(VLOOKUP(B1398,infoTable__2[],4,FALSE),"")</f>
        <v/>
      </c>
      <c r="E1398" s="4" t="str">
        <f>IFERROR(VLOOKUP(B1398,infoTable__3[],4,FALSE),"")</f>
        <v/>
      </c>
      <c r="F1398" s="4" t="str">
        <f>IFERROR(VLOOKUP(B1398,infoTable__4[],4,FALSE),"")</f>
        <v/>
      </c>
      <c r="G1398" s="4" t="str">
        <f>IFERROR(VLOOKUP(B1398,infoTable[],4,FALSE),"")</f>
        <v/>
      </c>
      <c r="H1398" s="4" t="str">
        <f>IFERROR(VLOOKUP(B1398,infoTable__6[],4,FALSE),"")</f>
        <v/>
      </c>
      <c r="I1398" s="4" t="str">
        <f>IFERROR(VLOOKUP(B1398,infoTable__28[],4,FALSE),"")</f>
        <v/>
      </c>
      <c r="J1398" s="4" t="str">
        <f>IFERROR(VLOOKUP(B1398,infoTable__10[],4,FALSE),"")</f>
        <v/>
      </c>
      <c r="K1398" s="4">
        <f>IFERROR(VLOOKUP(B1398,infoTable__11[],4,FALSE),"")</f>
        <v>268894</v>
      </c>
      <c r="L1398" s="4">
        <f>IFERROR(VLOOKUP(B1398,infoTable__12[],4,FALSE),"")</f>
        <v>678193</v>
      </c>
      <c r="M1398" s="4" t="str">
        <f>IFERROR(VLOOKUP(B1398,infoTable__13[],4,FALSE),"")</f>
        <v/>
      </c>
      <c r="N1398" s="4" t="str">
        <f>IFERROR(VLOOKUP(B1398,infoTable__14[],4,FALSE),"")</f>
        <v/>
      </c>
      <c r="O1398" s="4" t="str">
        <f>IFERROR(VLOOKUP(B1398,infoTable__15[],4,FALSE),"")</f>
        <v/>
      </c>
      <c r="P1398" s="4" t="str">
        <f>IFERROR(VLOOKUP(B1398,infoTable__16[],4,FALSE),"")</f>
        <v/>
      </c>
    </row>
    <row r="1399" spans="1:16" x14ac:dyDescent="0.55000000000000004">
      <c r="A1399" t="s">
        <v>1551</v>
      </c>
      <c r="B1399" t="s">
        <v>1552</v>
      </c>
      <c r="C1399" s="4">
        <f>IFERROR(VLOOKUP(B1399,infoTable10[],4,FALSE),"")</f>
        <v>393018</v>
      </c>
      <c r="D1399" s="4" t="str">
        <f>IFERROR(VLOOKUP(B1399,infoTable__2[],4,FALSE),"")</f>
        <v/>
      </c>
      <c r="E1399" s="4" t="str">
        <f>IFERROR(VLOOKUP(B1399,infoTable__3[],4,FALSE),"")</f>
        <v/>
      </c>
      <c r="F1399" s="4" t="str">
        <f>IFERROR(VLOOKUP(B1399,infoTable__4[],4,FALSE),"")</f>
        <v/>
      </c>
      <c r="G1399" s="4" t="str">
        <f>IFERROR(VLOOKUP(B1399,infoTable[],4,FALSE),"")</f>
        <v/>
      </c>
      <c r="H1399" s="4" t="str">
        <f>IFERROR(VLOOKUP(B1399,infoTable__6[],4,FALSE),"")</f>
        <v/>
      </c>
      <c r="I1399" s="4" t="str">
        <f>IFERROR(VLOOKUP(B1399,infoTable__28[],4,FALSE),"")</f>
        <v/>
      </c>
      <c r="J1399" s="4" t="str">
        <f>IFERROR(VLOOKUP(B1399,infoTable__10[],4,FALSE),"")</f>
        <v/>
      </c>
      <c r="K1399" s="4" t="str">
        <f>IFERROR(VLOOKUP(B1399,infoTable__11[],4,FALSE),"")</f>
        <v/>
      </c>
      <c r="L1399" s="4" t="str">
        <f>IFERROR(VLOOKUP(B1399,infoTable__12[],4,FALSE),"")</f>
        <v/>
      </c>
      <c r="M1399" s="4" t="str">
        <f>IFERROR(VLOOKUP(B1399,infoTable__13[],4,FALSE),"")</f>
        <v/>
      </c>
      <c r="N1399" s="4" t="str">
        <f>IFERROR(VLOOKUP(B1399,infoTable__14[],4,FALSE),"")</f>
        <v/>
      </c>
      <c r="O1399" s="4" t="str">
        <f>IFERROR(VLOOKUP(B1399,infoTable__15[],4,FALSE),"")</f>
        <v/>
      </c>
      <c r="P1399" s="4" t="str">
        <f>IFERROR(VLOOKUP(B1399,infoTable__16[],4,FALSE),"")</f>
        <v/>
      </c>
    </row>
    <row r="1400" spans="1:16" x14ac:dyDescent="0.55000000000000004">
      <c r="A1400" t="s">
        <v>907</v>
      </c>
      <c r="B1400" t="s">
        <v>908</v>
      </c>
      <c r="C1400" s="4" t="str">
        <f>IFERROR(VLOOKUP(B1400,infoTable10[],4,FALSE),"")</f>
        <v/>
      </c>
      <c r="D1400" s="4" t="str">
        <f>IFERROR(VLOOKUP(B1400,infoTable__2[],4,FALSE),"")</f>
        <v/>
      </c>
      <c r="E1400" s="4" t="str">
        <f>IFERROR(VLOOKUP(B1400,infoTable__3[],4,FALSE),"")</f>
        <v/>
      </c>
      <c r="F1400" s="4">
        <f>IFERROR(VLOOKUP(B1400,infoTable__4[],4,FALSE),"")</f>
        <v>583080</v>
      </c>
      <c r="G1400" s="4" t="str">
        <f>IFERROR(VLOOKUP(B1400,infoTable[],4,FALSE),"")</f>
        <v/>
      </c>
      <c r="H1400" s="4" t="str">
        <f>IFERROR(VLOOKUP(B1400,infoTable__6[],4,FALSE),"")</f>
        <v/>
      </c>
      <c r="I1400" s="4" t="str">
        <f>IFERROR(VLOOKUP(B1400,infoTable__28[],4,FALSE),"")</f>
        <v/>
      </c>
      <c r="J1400" s="4" t="str">
        <f>IFERROR(VLOOKUP(B1400,infoTable__10[],4,FALSE),"")</f>
        <v/>
      </c>
      <c r="K1400" s="4" t="str">
        <f>IFERROR(VLOOKUP(B1400,infoTable__11[],4,FALSE),"")</f>
        <v/>
      </c>
      <c r="L1400" s="4" t="str">
        <f>IFERROR(VLOOKUP(B1400,infoTable__12[],4,FALSE),"")</f>
        <v/>
      </c>
      <c r="M1400" s="4" t="str">
        <f>IFERROR(VLOOKUP(B1400,infoTable__13[],4,FALSE),"")</f>
        <v/>
      </c>
      <c r="N1400" s="4" t="str">
        <f>IFERROR(VLOOKUP(B1400,infoTable__14[],4,FALSE),"")</f>
        <v/>
      </c>
      <c r="O1400" s="4" t="str">
        <f>IFERROR(VLOOKUP(B1400,infoTable__15[],4,FALSE),"")</f>
        <v/>
      </c>
      <c r="P1400" s="4" t="str">
        <f>IFERROR(VLOOKUP(B1400,infoTable__16[],4,FALSE),"")</f>
        <v/>
      </c>
    </row>
    <row r="1401" spans="1:16" x14ac:dyDescent="0.55000000000000004">
      <c r="A1401" t="s">
        <v>1553</v>
      </c>
      <c r="B1401" t="s">
        <v>1554</v>
      </c>
      <c r="C1401" s="4">
        <f>IFERROR(VLOOKUP(B1401,infoTable10[],4,FALSE),"")</f>
        <v>1195408</v>
      </c>
      <c r="D1401" s="4" t="str">
        <f>IFERROR(VLOOKUP(B1401,infoTable__2[],4,FALSE),"")</f>
        <v/>
      </c>
      <c r="E1401" s="4" t="str">
        <f>IFERROR(VLOOKUP(B1401,infoTable__3[],4,FALSE),"")</f>
        <v/>
      </c>
      <c r="F1401" s="4" t="str">
        <f>IFERROR(VLOOKUP(B1401,infoTable__4[],4,FALSE),"")</f>
        <v/>
      </c>
      <c r="G1401" s="4" t="str">
        <f>IFERROR(VLOOKUP(B1401,infoTable[],4,FALSE),"")</f>
        <v/>
      </c>
      <c r="H1401" s="4" t="str">
        <f>IFERROR(VLOOKUP(B1401,infoTable__6[],4,FALSE),"")</f>
        <v/>
      </c>
      <c r="I1401" s="4" t="str">
        <f>IFERROR(VLOOKUP(B1401,infoTable__28[],4,FALSE),"")</f>
        <v/>
      </c>
      <c r="J1401" s="4" t="str">
        <f>IFERROR(VLOOKUP(B1401,infoTable__10[],4,FALSE),"")</f>
        <v/>
      </c>
      <c r="K1401" s="4" t="str">
        <f>IFERROR(VLOOKUP(B1401,infoTable__11[],4,FALSE),"")</f>
        <v/>
      </c>
      <c r="L1401" s="4" t="str">
        <f>IFERROR(VLOOKUP(B1401,infoTable__12[],4,FALSE),"")</f>
        <v/>
      </c>
      <c r="M1401" s="4" t="str">
        <f>IFERROR(VLOOKUP(B1401,infoTable__13[],4,FALSE),"")</f>
        <v/>
      </c>
      <c r="N1401" s="4" t="str">
        <f>IFERROR(VLOOKUP(B1401,infoTable__14[],4,FALSE),"")</f>
        <v/>
      </c>
      <c r="O1401" s="4" t="str">
        <f>IFERROR(VLOOKUP(B1401,infoTable__15[],4,FALSE),"")</f>
        <v/>
      </c>
      <c r="P1401" s="4" t="str">
        <f>IFERROR(VLOOKUP(B1401,infoTable__16[],4,FALSE),"")</f>
        <v/>
      </c>
    </row>
    <row r="1402" spans="1:16" x14ac:dyDescent="0.55000000000000004">
      <c r="A1402" t="s">
        <v>3171</v>
      </c>
      <c r="B1402" t="s">
        <v>3172</v>
      </c>
      <c r="C1402" s="4" t="str">
        <f>IFERROR(VLOOKUP(B1402,infoTable10[],4,FALSE),"")</f>
        <v/>
      </c>
      <c r="D1402" s="4" t="str">
        <f>IFERROR(VLOOKUP(B1402,infoTable__2[],4,FALSE),"")</f>
        <v/>
      </c>
      <c r="E1402" s="4" t="str">
        <f>IFERROR(VLOOKUP(B1402,infoTable__3[],4,FALSE),"")</f>
        <v/>
      </c>
      <c r="F1402" s="4" t="str">
        <f>IFERROR(VLOOKUP(B1402,infoTable__4[],4,FALSE),"")</f>
        <v/>
      </c>
      <c r="G1402" s="4" t="str">
        <f>IFERROR(VLOOKUP(B1402,infoTable[],4,FALSE),"")</f>
        <v/>
      </c>
      <c r="H1402" s="4" t="str">
        <f>IFERROR(VLOOKUP(B1402,infoTable__6[],4,FALSE),"")</f>
        <v/>
      </c>
      <c r="I1402" s="4" t="str">
        <f>IFERROR(VLOOKUP(B1402,infoTable__28[],4,FALSE),"")</f>
        <v/>
      </c>
      <c r="J1402" s="4" t="str">
        <f>IFERROR(VLOOKUP(B1402,infoTable__10[],4,FALSE),"")</f>
        <v/>
      </c>
      <c r="K1402" s="4" t="str">
        <f>IFERROR(VLOOKUP(B1402,infoTable__11[],4,FALSE),"")</f>
        <v/>
      </c>
      <c r="L1402" s="4" t="str">
        <f>IFERROR(VLOOKUP(B1402,infoTable__12[],4,FALSE),"")</f>
        <v/>
      </c>
      <c r="M1402" s="4" t="str">
        <f>IFERROR(VLOOKUP(B1402,infoTable__13[],4,FALSE),"")</f>
        <v/>
      </c>
      <c r="N1402" s="4" t="str">
        <f>IFERROR(VLOOKUP(B1402,infoTable__14[],4,FALSE),"")</f>
        <v/>
      </c>
      <c r="O1402" s="4">
        <f>IFERROR(VLOOKUP(B1402,infoTable__15[],4,FALSE),"")</f>
        <v>214044</v>
      </c>
      <c r="P1402" s="4">
        <f>IFERROR(VLOOKUP(B1402,infoTable__16[],4,FALSE),"")</f>
        <v>1242826</v>
      </c>
    </row>
    <row r="1403" spans="1:16" x14ac:dyDescent="0.55000000000000004">
      <c r="A1403" t="s">
        <v>684</v>
      </c>
      <c r="B1403" t="s">
        <v>685</v>
      </c>
      <c r="C1403" s="4" t="str">
        <f>IFERROR(VLOOKUP(B1403,infoTable10[],4,FALSE),"")</f>
        <v/>
      </c>
      <c r="D1403" s="4">
        <f>IFERROR(VLOOKUP(B1403,infoTable__2[],4,FALSE),"")</f>
        <v>472808</v>
      </c>
      <c r="E1403" s="4" t="str">
        <f>IFERROR(VLOOKUP(B1403,infoTable__3[],4,FALSE),"")</f>
        <v/>
      </c>
      <c r="F1403" s="4" t="str">
        <f>IFERROR(VLOOKUP(B1403,infoTable__4[],4,FALSE),"")</f>
        <v/>
      </c>
      <c r="G1403" s="4" t="str">
        <f>IFERROR(VLOOKUP(B1403,infoTable[],4,FALSE),"")</f>
        <v/>
      </c>
      <c r="H1403" s="4" t="str">
        <f>IFERROR(VLOOKUP(B1403,infoTable__6[],4,FALSE),"")</f>
        <v/>
      </c>
      <c r="I1403" s="4" t="str">
        <f>IFERROR(VLOOKUP(B1403,infoTable__28[],4,FALSE),"")</f>
        <v/>
      </c>
      <c r="J1403" s="4" t="str">
        <f>IFERROR(VLOOKUP(B1403,infoTable__10[],4,FALSE),"")</f>
        <v/>
      </c>
      <c r="K1403" s="4" t="str">
        <f>IFERROR(VLOOKUP(B1403,infoTable__11[],4,FALSE),"")</f>
        <v/>
      </c>
      <c r="L1403" s="4" t="str">
        <f>IFERROR(VLOOKUP(B1403,infoTable__12[],4,FALSE),"")</f>
        <v/>
      </c>
      <c r="M1403" s="4" t="str">
        <f>IFERROR(VLOOKUP(B1403,infoTable__13[],4,FALSE),"")</f>
        <v/>
      </c>
      <c r="N1403" s="4" t="str">
        <f>IFERROR(VLOOKUP(B1403,infoTable__14[],4,FALSE),"")</f>
        <v/>
      </c>
      <c r="O1403" s="4" t="str">
        <f>IFERROR(VLOOKUP(B1403,infoTable__15[],4,FALSE),"")</f>
        <v/>
      </c>
      <c r="P1403" s="4" t="str">
        <f>IFERROR(VLOOKUP(B1403,infoTable__16[],4,FALSE),"")</f>
        <v/>
      </c>
    </row>
    <row r="1404" spans="1:16" x14ac:dyDescent="0.55000000000000004">
      <c r="A1404" t="s">
        <v>3503</v>
      </c>
      <c r="B1404" t="s">
        <v>3504</v>
      </c>
      <c r="C1404" s="4" t="str">
        <f>IFERROR(VLOOKUP(B1404,infoTable10[],4,FALSE),"")</f>
        <v/>
      </c>
      <c r="D1404" s="4" t="str">
        <f>IFERROR(VLOOKUP(B1404,infoTable__2[],4,FALSE),"")</f>
        <v/>
      </c>
      <c r="E1404" s="4" t="str">
        <f>IFERROR(VLOOKUP(B1404,infoTable__3[],4,FALSE),"")</f>
        <v/>
      </c>
      <c r="F1404" s="4" t="str">
        <f>IFERROR(VLOOKUP(B1404,infoTable__4[],4,FALSE),"")</f>
        <v/>
      </c>
      <c r="G1404" s="4" t="str">
        <f>IFERROR(VLOOKUP(B1404,infoTable[],4,FALSE),"")</f>
        <v/>
      </c>
      <c r="H1404" s="4" t="str">
        <f>IFERROR(VLOOKUP(B1404,infoTable__6[],4,FALSE),"")</f>
        <v/>
      </c>
      <c r="I1404" s="4" t="str">
        <f>IFERROR(VLOOKUP(B1404,infoTable__28[],4,FALSE),"")</f>
        <v/>
      </c>
      <c r="J1404" s="4" t="str">
        <f>IFERROR(VLOOKUP(B1404,infoTable__10[],4,FALSE),"")</f>
        <v/>
      </c>
      <c r="K1404" s="4" t="str">
        <f>IFERROR(VLOOKUP(B1404,infoTable__11[],4,FALSE),"")</f>
        <v/>
      </c>
      <c r="L1404" s="4" t="str">
        <f>IFERROR(VLOOKUP(B1404,infoTable__12[],4,FALSE),"")</f>
        <v/>
      </c>
      <c r="M1404" s="4" t="str">
        <f>IFERROR(VLOOKUP(B1404,infoTable__13[],4,FALSE),"")</f>
        <v/>
      </c>
      <c r="N1404" s="4" t="str">
        <f>IFERROR(VLOOKUP(B1404,infoTable__14[],4,FALSE),"")</f>
        <v/>
      </c>
      <c r="O1404" s="4" t="str">
        <f>IFERROR(VLOOKUP(B1404,infoTable__15[],4,FALSE),"")</f>
        <v/>
      </c>
      <c r="P1404" s="4">
        <f>IFERROR(VLOOKUP(B1404,infoTable__16[],4,FALSE),"")</f>
        <v>1359018</v>
      </c>
    </row>
    <row r="1405" spans="1:16" x14ac:dyDescent="0.55000000000000004">
      <c r="A1405" t="s">
        <v>1407</v>
      </c>
      <c r="B1405" t="s">
        <v>1408</v>
      </c>
      <c r="C1405" s="4" t="str">
        <f>IFERROR(VLOOKUP(B1405,infoTable10[],4,FALSE),"")</f>
        <v/>
      </c>
      <c r="D1405" s="4" t="str">
        <f>IFERROR(VLOOKUP(B1405,infoTable__2[],4,FALSE),"")</f>
        <v/>
      </c>
      <c r="E1405" s="4" t="str">
        <f>IFERROR(VLOOKUP(B1405,infoTable__3[],4,FALSE),"")</f>
        <v/>
      </c>
      <c r="F1405" s="4" t="str">
        <f>IFERROR(VLOOKUP(B1405,infoTable__4[],4,FALSE),"")</f>
        <v/>
      </c>
      <c r="G1405" s="4" t="str">
        <f>IFERROR(VLOOKUP(B1405,infoTable[],4,FALSE),"")</f>
        <v/>
      </c>
      <c r="H1405" s="4" t="str">
        <f>IFERROR(VLOOKUP(B1405,infoTable__6[],4,FALSE),"")</f>
        <v/>
      </c>
      <c r="I1405" s="4">
        <f>IFERROR(VLOOKUP(B1405,infoTable__28[],4,FALSE),"")</f>
        <v>231893</v>
      </c>
      <c r="J1405" s="4" t="str">
        <f>IFERROR(VLOOKUP(B1405,infoTable__10[],4,FALSE),"")</f>
        <v/>
      </c>
      <c r="K1405" s="4" t="str">
        <f>IFERROR(VLOOKUP(B1405,infoTable__11[],4,FALSE),"")</f>
        <v/>
      </c>
      <c r="L1405" s="4" t="str">
        <f>IFERROR(VLOOKUP(B1405,infoTable__12[],4,FALSE),"")</f>
        <v/>
      </c>
      <c r="M1405" s="4">
        <f>IFERROR(VLOOKUP(B1405,infoTable__13[],4,FALSE),"")</f>
        <v>231600</v>
      </c>
      <c r="N1405" s="4" t="str">
        <f>IFERROR(VLOOKUP(B1405,infoTable__14[],4,FALSE),"")</f>
        <v/>
      </c>
      <c r="O1405" s="4" t="str">
        <f>IFERROR(VLOOKUP(B1405,infoTable__15[],4,FALSE),"")</f>
        <v/>
      </c>
      <c r="P1405" s="4">
        <f>IFERROR(VLOOKUP(B1405,infoTable__16[],4,FALSE),"")</f>
        <v>483722</v>
      </c>
    </row>
    <row r="1406" spans="1:16" x14ac:dyDescent="0.55000000000000004">
      <c r="A1406" t="s">
        <v>909</v>
      </c>
      <c r="B1406" t="s">
        <v>910</v>
      </c>
      <c r="C1406" s="4" t="str">
        <f>IFERROR(VLOOKUP(B1406,infoTable10[],4,FALSE),"")</f>
        <v/>
      </c>
      <c r="D1406" s="4" t="str">
        <f>IFERROR(VLOOKUP(B1406,infoTable__2[],4,FALSE),"")</f>
        <v/>
      </c>
      <c r="E1406" s="4" t="str">
        <f>IFERROR(VLOOKUP(B1406,infoTable__3[],4,FALSE),"")</f>
        <v/>
      </c>
      <c r="F1406" s="4">
        <f>IFERROR(VLOOKUP(B1406,infoTable__4[],4,FALSE),"")</f>
        <v>278427</v>
      </c>
      <c r="G1406" s="4" t="str">
        <f>IFERROR(VLOOKUP(B1406,infoTable[],4,FALSE),"")</f>
        <v/>
      </c>
      <c r="H1406" s="4" t="str">
        <f>IFERROR(VLOOKUP(B1406,infoTable__6[],4,FALSE),"")</f>
        <v/>
      </c>
      <c r="I1406" s="4" t="str">
        <f>IFERROR(VLOOKUP(B1406,infoTable__28[],4,FALSE),"")</f>
        <v/>
      </c>
      <c r="J1406" s="4" t="str">
        <f>IFERROR(VLOOKUP(B1406,infoTable__10[],4,FALSE),"")</f>
        <v/>
      </c>
      <c r="K1406" s="4" t="str">
        <f>IFERROR(VLOOKUP(B1406,infoTable__11[],4,FALSE),"")</f>
        <v/>
      </c>
      <c r="L1406" s="4">
        <f>IFERROR(VLOOKUP(B1406,infoTable__12[],4,FALSE),"")</f>
        <v>331422</v>
      </c>
      <c r="M1406" s="4">
        <f>IFERROR(VLOOKUP(B1406,infoTable__13[],4,FALSE),"")</f>
        <v>463662</v>
      </c>
      <c r="N1406" s="4">
        <f>IFERROR(VLOOKUP(B1406,infoTable__14[],4,FALSE),"")</f>
        <v>489026</v>
      </c>
      <c r="O1406" s="4" t="str">
        <f>IFERROR(VLOOKUP(B1406,infoTable__15[],4,FALSE),"")</f>
        <v/>
      </c>
      <c r="P1406" s="4" t="str">
        <f>IFERROR(VLOOKUP(B1406,infoTable__16[],4,FALSE),"")</f>
        <v/>
      </c>
    </row>
    <row r="1407" spans="1:16" x14ac:dyDescent="0.55000000000000004">
      <c r="A1407" t="s">
        <v>403</v>
      </c>
      <c r="B1407" t="s">
        <v>404</v>
      </c>
      <c r="C1407" s="4" t="str">
        <f>IFERROR(VLOOKUP(B1407,infoTable10[],4,FALSE),"")</f>
        <v/>
      </c>
      <c r="D1407" s="4" t="str">
        <f>IFERROR(VLOOKUP(B1407,infoTable__2[],4,FALSE),"")</f>
        <v/>
      </c>
      <c r="E1407" s="4" t="str">
        <f>IFERROR(VLOOKUP(B1407,infoTable__3[],4,FALSE),"")</f>
        <v/>
      </c>
      <c r="F1407" s="4" t="str">
        <f>IFERROR(VLOOKUP(B1407,infoTable__4[],4,FALSE),"")</f>
        <v/>
      </c>
      <c r="G1407" s="4">
        <f>IFERROR(VLOOKUP(B1407,infoTable[],4,FALSE),"")</f>
        <v>275913</v>
      </c>
      <c r="H1407" s="4" t="str">
        <f>IFERROR(VLOOKUP(B1407,infoTable__6[],4,FALSE),"")</f>
        <v/>
      </c>
      <c r="I1407" s="4" t="str">
        <f>IFERROR(VLOOKUP(B1407,infoTable__28[],4,FALSE),"")</f>
        <v/>
      </c>
      <c r="J1407" s="4" t="str">
        <f>IFERROR(VLOOKUP(B1407,infoTable__10[],4,FALSE),"")</f>
        <v/>
      </c>
      <c r="K1407" s="4" t="str">
        <f>IFERROR(VLOOKUP(B1407,infoTable__11[],4,FALSE),"")</f>
        <v/>
      </c>
      <c r="L1407" s="4" t="str">
        <f>IFERROR(VLOOKUP(B1407,infoTable__12[],4,FALSE),"")</f>
        <v/>
      </c>
      <c r="M1407" s="4" t="str">
        <f>IFERROR(VLOOKUP(B1407,infoTable__13[],4,FALSE),"")</f>
        <v/>
      </c>
      <c r="N1407" s="4" t="str">
        <f>IFERROR(VLOOKUP(B1407,infoTable__14[],4,FALSE),"")</f>
        <v/>
      </c>
      <c r="O1407" s="4" t="str">
        <f>IFERROR(VLOOKUP(B1407,infoTable__15[],4,FALSE),"")</f>
        <v/>
      </c>
      <c r="P1407" s="4" t="str">
        <f>IFERROR(VLOOKUP(B1407,infoTable__16[],4,FALSE),"")</f>
        <v/>
      </c>
    </row>
    <row r="1408" spans="1:16" x14ac:dyDescent="0.55000000000000004">
      <c r="A1408" t="s">
        <v>3506</v>
      </c>
      <c r="B1408" t="s">
        <v>3507</v>
      </c>
      <c r="C1408" s="4" t="str">
        <f>IFERROR(VLOOKUP(B1408,infoTable10[],4,FALSE),"")</f>
        <v/>
      </c>
      <c r="D1408" s="4" t="str">
        <f>IFERROR(VLOOKUP(B1408,infoTable__2[],4,FALSE),"")</f>
        <v/>
      </c>
      <c r="E1408" s="4" t="str">
        <f>IFERROR(VLOOKUP(B1408,infoTable__3[],4,FALSE),"")</f>
        <v/>
      </c>
      <c r="F1408" s="4" t="str">
        <f>IFERROR(VLOOKUP(B1408,infoTable__4[],4,FALSE),"")</f>
        <v/>
      </c>
      <c r="G1408" s="4" t="str">
        <f>IFERROR(VLOOKUP(B1408,infoTable[],4,FALSE),"")</f>
        <v/>
      </c>
      <c r="H1408" s="4" t="str">
        <f>IFERROR(VLOOKUP(B1408,infoTable__6[],4,FALSE),"")</f>
        <v/>
      </c>
      <c r="I1408" s="4" t="str">
        <f>IFERROR(VLOOKUP(B1408,infoTable__28[],4,FALSE),"")</f>
        <v/>
      </c>
      <c r="J1408" s="4" t="str">
        <f>IFERROR(VLOOKUP(B1408,infoTable__10[],4,FALSE),"")</f>
        <v/>
      </c>
      <c r="K1408" s="4" t="str">
        <f>IFERROR(VLOOKUP(B1408,infoTable__11[],4,FALSE),"")</f>
        <v/>
      </c>
      <c r="L1408" s="4" t="str">
        <f>IFERROR(VLOOKUP(B1408,infoTable__12[],4,FALSE),"")</f>
        <v/>
      </c>
      <c r="M1408" s="4" t="str">
        <f>IFERROR(VLOOKUP(B1408,infoTable__13[],4,FALSE),"")</f>
        <v/>
      </c>
      <c r="N1408" s="4" t="str">
        <f>IFERROR(VLOOKUP(B1408,infoTable__14[],4,FALSE),"")</f>
        <v/>
      </c>
      <c r="O1408" s="4" t="str">
        <f>IFERROR(VLOOKUP(B1408,infoTable__15[],4,FALSE),"")</f>
        <v/>
      </c>
      <c r="P1408" s="4">
        <f>IFERROR(VLOOKUP(B1408,infoTable__16[],4,FALSE),"")</f>
        <v>827137</v>
      </c>
    </row>
    <row r="1409" spans="1:16" x14ac:dyDescent="0.55000000000000004">
      <c r="A1409" t="s">
        <v>2333</v>
      </c>
      <c r="B1409" t="s">
        <v>2334</v>
      </c>
      <c r="C1409" s="4" t="str">
        <f>IFERROR(VLOOKUP(B1409,infoTable10[],4,FALSE),"")</f>
        <v/>
      </c>
      <c r="D1409" s="4" t="str">
        <f>IFERROR(VLOOKUP(B1409,infoTable__2[],4,FALSE),"")</f>
        <v/>
      </c>
      <c r="E1409" s="4" t="str">
        <f>IFERROR(VLOOKUP(B1409,infoTable__3[],4,FALSE),"")</f>
        <v/>
      </c>
      <c r="F1409" s="4" t="str">
        <f>IFERROR(VLOOKUP(B1409,infoTable__4[],4,FALSE),"")</f>
        <v/>
      </c>
      <c r="G1409" s="4" t="str">
        <f>IFERROR(VLOOKUP(B1409,infoTable[],4,FALSE),"")</f>
        <v/>
      </c>
      <c r="H1409" s="4" t="str">
        <f>IFERROR(VLOOKUP(B1409,infoTable__6[],4,FALSE),"")</f>
        <v/>
      </c>
      <c r="I1409" s="4" t="str">
        <f>IFERROR(VLOOKUP(B1409,infoTable__28[],4,FALSE),"")</f>
        <v/>
      </c>
      <c r="J1409" s="4" t="str">
        <f>IFERROR(VLOOKUP(B1409,infoTable__10[],4,FALSE),"")</f>
        <v/>
      </c>
      <c r="K1409" s="4" t="str">
        <f>IFERROR(VLOOKUP(B1409,infoTable__11[],4,FALSE),"")</f>
        <v/>
      </c>
      <c r="L1409" s="4">
        <f>IFERROR(VLOOKUP(B1409,infoTable__12[],4,FALSE),"")</f>
        <v>1897408</v>
      </c>
      <c r="M1409" s="4">
        <f>IFERROR(VLOOKUP(B1409,infoTable__13[],4,FALSE),"")</f>
        <v>1422810</v>
      </c>
      <c r="N1409" s="4">
        <f>IFERROR(VLOOKUP(B1409,infoTable__14[],4,FALSE),"")</f>
        <v>486514</v>
      </c>
      <c r="O1409" s="4">
        <f>IFERROR(VLOOKUP(B1409,infoTable__15[],4,FALSE),"")</f>
        <v>8724962</v>
      </c>
      <c r="P1409" s="4">
        <f>IFERROR(VLOOKUP(B1409,infoTable__16[],4,FALSE),"")</f>
        <v>1950452</v>
      </c>
    </row>
    <row r="1410" spans="1:16" x14ac:dyDescent="0.55000000000000004">
      <c r="A1410" t="s">
        <v>1772</v>
      </c>
      <c r="B1410" t="s">
        <v>1773</v>
      </c>
      <c r="C1410" s="4" t="str">
        <f>IFERROR(VLOOKUP(B1410,infoTable10[],4,FALSE),"")</f>
        <v/>
      </c>
      <c r="D1410" s="4" t="str">
        <f>IFERROR(VLOOKUP(B1410,infoTable__2[],4,FALSE),"")</f>
        <v/>
      </c>
      <c r="E1410" s="4" t="str">
        <f>IFERROR(VLOOKUP(B1410,infoTable__3[],4,FALSE),"")</f>
        <v/>
      </c>
      <c r="F1410" s="4" t="str">
        <f>IFERROR(VLOOKUP(B1410,infoTable__4[],4,FALSE),"")</f>
        <v/>
      </c>
      <c r="G1410" s="4" t="str">
        <f>IFERROR(VLOOKUP(B1410,infoTable[],4,FALSE),"")</f>
        <v/>
      </c>
      <c r="H1410" s="4" t="str">
        <f>IFERROR(VLOOKUP(B1410,infoTable__6[],4,FALSE),"")</f>
        <v/>
      </c>
      <c r="I1410" s="4" t="str">
        <f>IFERROR(VLOOKUP(B1410,infoTable__28[],4,FALSE),"")</f>
        <v/>
      </c>
      <c r="J1410" s="4">
        <f>IFERROR(VLOOKUP(B1410,infoTable__10[],4,FALSE),"")</f>
        <v>41456</v>
      </c>
      <c r="K1410" s="4" t="str">
        <f>IFERROR(VLOOKUP(B1410,infoTable__11[],4,FALSE),"")</f>
        <v/>
      </c>
      <c r="L1410" s="4" t="str">
        <f>IFERROR(VLOOKUP(B1410,infoTable__12[],4,FALSE),"")</f>
        <v/>
      </c>
      <c r="M1410" s="4" t="str">
        <f>IFERROR(VLOOKUP(B1410,infoTable__13[],4,FALSE),"")</f>
        <v/>
      </c>
      <c r="N1410" s="4" t="str">
        <f>IFERROR(VLOOKUP(B1410,infoTable__14[],4,FALSE),"")</f>
        <v/>
      </c>
      <c r="O1410" s="4" t="str">
        <f>IFERROR(VLOOKUP(B1410,infoTable__15[],4,FALSE),"")</f>
        <v/>
      </c>
      <c r="P1410" s="4" t="str">
        <f>IFERROR(VLOOKUP(B1410,infoTable__16[],4,FALSE),"")</f>
        <v/>
      </c>
    </row>
    <row r="1411" spans="1:16" x14ac:dyDescent="0.55000000000000004">
      <c r="A1411" t="s">
        <v>688</v>
      </c>
      <c r="B1411" t="s">
        <v>689</v>
      </c>
      <c r="C1411" s="4" t="str">
        <f>IFERROR(VLOOKUP(B1411,infoTable10[],4,FALSE),"")</f>
        <v/>
      </c>
      <c r="D1411" s="4">
        <f>IFERROR(VLOOKUP(B1411,infoTable__2[],4,FALSE),"")</f>
        <v>481107</v>
      </c>
      <c r="E1411" s="4" t="str">
        <f>IFERROR(VLOOKUP(B1411,infoTable__3[],4,FALSE),"")</f>
        <v/>
      </c>
      <c r="F1411" s="4">
        <f>IFERROR(VLOOKUP(B1411,infoTable__4[],4,FALSE),"")</f>
        <v>215935</v>
      </c>
      <c r="G1411" s="4" t="str">
        <f>IFERROR(VLOOKUP(B1411,infoTable[],4,FALSE),"")</f>
        <v/>
      </c>
      <c r="H1411" s="4" t="str">
        <f>IFERROR(VLOOKUP(B1411,infoTable__6[],4,FALSE),"")</f>
        <v/>
      </c>
      <c r="I1411" s="4" t="str">
        <f>IFERROR(VLOOKUP(B1411,infoTable__28[],4,FALSE),"")</f>
        <v/>
      </c>
      <c r="J1411" s="4" t="str">
        <f>IFERROR(VLOOKUP(B1411,infoTable__10[],4,FALSE),"")</f>
        <v/>
      </c>
      <c r="K1411" s="4" t="str">
        <f>IFERROR(VLOOKUP(B1411,infoTable__11[],4,FALSE),"")</f>
        <v/>
      </c>
      <c r="L1411" s="4" t="str">
        <f>IFERROR(VLOOKUP(B1411,infoTable__12[],4,FALSE),"")</f>
        <v/>
      </c>
      <c r="M1411" s="4" t="str">
        <f>IFERROR(VLOOKUP(B1411,infoTable__13[],4,FALSE),"")</f>
        <v/>
      </c>
      <c r="N1411" s="4" t="str">
        <f>IFERROR(VLOOKUP(B1411,infoTable__14[],4,FALSE),"")</f>
        <v/>
      </c>
      <c r="O1411" s="4" t="str">
        <f>IFERROR(VLOOKUP(B1411,infoTable__15[],4,FALSE),"")</f>
        <v/>
      </c>
      <c r="P1411" s="4" t="str">
        <f>IFERROR(VLOOKUP(B1411,infoTable__16[],4,FALSE),"")</f>
        <v/>
      </c>
    </row>
    <row r="1412" spans="1:16" x14ac:dyDescent="0.55000000000000004">
      <c r="A1412" t="s">
        <v>2335</v>
      </c>
      <c r="B1412" t="s">
        <v>2336</v>
      </c>
      <c r="C1412" s="4" t="str">
        <f>IFERROR(VLOOKUP(B1412,infoTable10[],4,FALSE),"")</f>
        <v/>
      </c>
      <c r="D1412" s="4" t="str">
        <f>IFERROR(VLOOKUP(B1412,infoTable__2[],4,FALSE),"")</f>
        <v/>
      </c>
      <c r="E1412" s="4" t="str">
        <f>IFERROR(VLOOKUP(B1412,infoTable__3[],4,FALSE),"")</f>
        <v/>
      </c>
      <c r="F1412" s="4" t="str">
        <f>IFERROR(VLOOKUP(B1412,infoTable__4[],4,FALSE),"")</f>
        <v/>
      </c>
      <c r="G1412" s="4" t="str">
        <f>IFERROR(VLOOKUP(B1412,infoTable[],4,FALSE),"")</f>
        <v/>
      </c>
      <c r="H1412" s="4" t="str">
        <f>IFERROR(VLOOKUP(B1412,infoTable__6[],4,FALSE),"")</f>
        <v/>
      </c>
      <c r="I1412" s="4" t="str">
        <f>IFERROR(VLOOKUP(B1412,infoTable__28[],4,FALSE),"")</f>
        <v/>
      </c>
      <c r="J1412" s="4" t="str">
        <f>IFERROR(VLOOKUP(B1412,infoTable__10[],4,FALSE),"")</f>
        <v/>
      </c>
      <c r="K1412" s="4" t="str">
        <f>IFERROR(VLOOKUP(B1412,infoTable__11[],4,FALSE),"")</f>
        <v/>
      </c>
      <c r="L1412" s="4">
        <f>IFERROR(VLOOKUP(B1412,infoTable__12[],4,FALSE),"")</f>
        <v>916142</v>
      </c>
      <c r="M1412" s="4">
        <f>IFERROR(VLOOKUP(B1412,infoTable__13[],4,FALSE),"")</f>
        <v>575655</v>
      </c>
      <c r="N1412" s="4">
        <f>IFERROR(VLOOKUP(B1412,infoTable__14[],4,FALSE),"")</f>
        <v>699549</v>
      </c>
      <c r="O1412" s="4">
        <f>IFERROR(VLOOKUP(B1412,infoTable__15[],4,FALSE),"")</f>
        <v>857526</v>
      </c>
      <c r="P1412" s="4">
        <f>IFERROR(VLOOKUP(B1412,infoTable__16[],4,FALSE),"")</f>
        <v>295495</v>
      </c>
    </row>
    <row r="1413" spans="1:16" x14ac:dyDescent="0.55000000000000004">
      <c r="A1413" t="s">
        <v>2891</v>
      </c>
      <c r="B1413" t="s">
        <v>2890</v>
      </c>
      <c r="C1413" s="4" t="str">
        <f>IFERROR(VLOOKUP(B1413,infoTable10[],4,FALSE),"")</f>
        <v/>
      </c>
      <c r="D1413" s="4" t="str">
        <f>IFERROR(VLOOKUP(B1413,infoTable__2[],4,FALSE),"")</f>
        <v/>
      </c>
      <c r="E1413" s="4" t="str">
        <f>IFERROR(VLOOKUP(B1413,infoTable__3[],4,FALSE),"")</f>
        <v/>
      </c>
      <c r="F1413" s="4" t="str">
        <f>IFERROR(VLOOKUP(B1413,infoTable__4[],4,FALSE),"")</f>
        <v/>
      </c>
      <c r="G1413" s="4" t="str">
        <f>IFERROR(VLOOKUP(B1413,infoTable[],4,FALSE),"")</f>
        <v/>
      </c>
      <c r="H1413" s="4" t="str">
        <f>IFERROR(VLOOKUP(B1413,infoTable__6[],4,FALSE),"")</f>
        <v/>
      </c>
      <c r="I1413" s="4" t="str">
        <f>IFERROR(VLOOKUP(B1413,infoTable__28[],4,FALSE),"")</f>
        <v/>
      </c>
      <c r="J1413" s="4" t="str">
        <f>IFERROR(VLOOKUP(B1413,infoTable__10[],4,FALSE),"")</f>
        <v/>
      </c>
      <c r="K1413" s="4" t="str">
        <f>IFERROR(VLOOKUP(B1413,infoTable__11[],4,FALSE),"")</f>
        <v/>
      </c>
      <c r="L1413" s="4" t="str">
        <f>IFERROR(VLOOKUP(B1413,infoTable__12[],4,FALSE),"")</f>
        <v/>
      </c>
      <c r="M1413" s="4" t="str">
        <f>IFERROR(VLOOKUP(B1413,infoTable__13[],4,FALSE),"")</f>
        <v/>
      </c>
      <c r="N1413" s="4">
        <f>IFERROR(VLOOKUP(B1413,infoTable__14[],4,FALSE),"")</f>
        <v>175322</v>
      </c>
      <c r="O1413" s="4" t="str">
        <f>IFERROR(VLOOKUP(B1413,infoTable__15[],4,FALSE),"")</f>
        <v/>
      </c>
      <c r="P1413" s="4" t="str">
        <f>IFERROR(VLOOKUP(B1413,infoTable__16[],4,FALSE),"")</f>
        <v/>
      </c>
    </row>
    <row r="1414" spans="1:16" x14ac:dyDescent="0.55000000000000004">
      <c r="A1414" t="s">
        <v>1106</v>
      </c>
      <c r="B1414" t="s">
        <v>1107</v>
      </c>
      <c r="C1414" s="4" t="str">
        <f>IFERROR(VLOOKUP(B1414,infoTable10[],4,FALSE),"")</f>
        <v/>
      </c>
      <c r="D1414" s="4" t="str">
        <f>IFERROR(VLOOKUP(B1414,infoTable__2[],4,FALSE),"")</f>
        <v/>
      </c>
      <c r="E1414" s="4" t="str">
        <f>IFERROR(VLOOKUP(B1414,infoTable__3[],4,FALSE),"")</f>
        <v/>
      </c>
      <c r="F1414" s="4" t="str">
        <f>IFERROR(VLOOKUP(B1414,infoTable__4[],4,FALSE),"")</f>
        <v/>
      </c>
      <c r="G1414" s="4" t="str">
        <f>IFERROR(VLOOKUP(B1414,infoTable[],4,FALSE),"")</f>
        <v/>
      </c>
      <c r="H1414" s="4">
        <f>IFERROR(VLOOKUP(B1414,infoTable__6[],4,FALSE),"")</f>
        <v>211427</v>
      </c>
      <c r="I1414" s="4" t="str">
        <f>IFERROR(VLOOKUP(B1414,infoTable__28[],4,FALSE),"")</f>
        <v/>
      </c>
      <c r="J1414" s="4" t="str">
        <f>IFERROR(VLOOKUP(B1414,infoTable__10[],4,FALSE),"")</f>
        <v/>
      </c>
      <c r="K1414" s="4" t="str">
        <f>IFERROR(VLOOKUP(B1414,infoTable__11[],4,FALSE),"")</f>
        <v/>
      </c>
      <c r="L1414" s="4">
        <f>IFERROR(VLOOKUP(B1414,infoTable__12[],4,FALSE),"")</f>
        <v>468602</v>
      </c>
      <c r="M1414" s="4">
        <f>IFERROR(VLOOKUP(B1414,infoTable__13[],4,FALSE),"")</f>
        <v>2259070</v>
      </c>
      <c r="N1414" s="4">
        <f>IFERROR(VLOOKUP(B1414,infoTable__14[],4,FALSE),"")</f>
        <v>995893</v>
      </c>
      <c r="O1414" s="4">
        <f>IFERROR(VLOOKUP(B1414,infoTable__15[],4,FALSE),"")</f>
        <v>641236</v>
      </c>
      <c r="P1414" s="4" t="str">
        <f>IFERROR(VLOOKUP(B1414,infoTable__16[],4,FALSE),"")</f>
        <v/>
      </c>
    </row>
    <row r="1415" spans="1:16" x14ac:dyDescent="0.55000000000000004">
      <c r="A1415" t="s">
        <v>3509</v>
      </c>
      <c r="B1415" t="s">
        <v>3510</v>
      </c>
      <c r="C1415" s="4" t="str">
        <f>IFERROR(VLOOKUP(B1415,infoTable10[],4,FALSE),"")</f>
        <v/>
      </c>
      <c r="D1415" s="4" t="str">
        <f>IFERROR(VLOOKUP(B1415,infoTable__2[],4,FALSE),"")</f>
        <v/>
      </c>
      <c r="E1415" s="4" t="str">
        <f>IFERROR(VLOOKUP(B1415,infoTable__3[],4,FALSE),"")</f>
        <v/>
      </c>
      <c r="F1415" s="4" t="str">
        <f>IFERROR(VLOOKUP(B1415,infoTable__4[],4,FALSE),"")</f>
        <v/>
      </c>
      <c r="G1415" s="4" t="str">
        <f>IFERROR(VLOOKUP(B1415,infoTable[],4,FALSE),"")</f>
        <v/>
      </c>
      <c r="H1415" s="4" t="str">
        <f>IFERROR(VLOOKUP(B1415,infoTable__6[],4,FALSE),"")</f>
        <v/>
      </c>
      <c r="I1415" s="4" t="str">
        <f>IFERROR(VLOOKUP(B1415,infoTable__28[],4,FALSE),"")</f>
        <v/>
      </c>
      <c r="J1415" s="4" t="str">
        <f>IFERROR(VLOOKUP(B1415,infoTable__10[],4,FALSE),"")</f>
        <v/>
      </c>
      <c r="K1415" s="4" t="str">
        <f>IFERROR(VLOOKUP(B1415,infoTable__11[],4,FALSE),"")</f>
        <v/>
      </c>
      <c r="L1415" s="4" t="str">
        <f>IFERROR(VLOOKUP(B1415,infoTable__12[],4,FALSE),"")</f>
        <v/>
      </c>
      <c r="M1415" s="4" t="str">
        <f>IFERROR(VLOOKUP(B1415,infoTable__13[],4,FALSE),"")</f>
        <v/>
      </c>
      <c r="N1415" s="4" t="str">
        <f>IFERROR(VLOOKUP(B1415,infoTable__14[],4,FALSE),"")</f>
        <v/>
      </c>
      <c r="O1415" s="4" t="str">
        <f>IFERROR(VLOOKUP(B1415,infoTable__15[],4,FALSE),"")</f>
        <v/>
      </c>
      <c r="P1415" s="4">
        <f>IFERROR(VLOOKUP(B1415,infoTable__16[],4,FALSE),"")</f>
        <v>245076</v>
      </c>
    </row>
    <row r="1416" spans="1:16" x14ac:dyDescent="0.55000000000000004">
      <c r="A1416" t="s">
        <v>1108</v>
      </c>
      <c r="B1416" t="s">
        <v>1109</v>
      </c>
      <c r="C1416" s="4" t="str">
        <f>IFERROR(VLOOKUP(B1416,infoTable10[],4,FALSE),"")</f>
        <v/>
      </c>
      <c r="D1416" s="4" t="str">
        <f>IFERROR(VLOOKUP(B1416,infoTable__2[],4,FALSE),"")</f>
        <v/>
      </c>
      <c r="E1416" s="4" t="str">
        <f>IFERROR(VLOOKUP(B1416,infoTable__3[],4,FALSE),"")</f>
        <v/>
      </c>
      <c r="F1416" s="4" t="str">
        <f>IFERROR(VLOOKUP(B1416,infoTable__4[],4,FALSE),"")</f>
        <v/>
      </c>
      <c r="G1416" s="4" t="str">
        <f>IFERROR(VLOOKUP(B1416,infoTable[],4,FALSE),"")</f>
        <v/>
      </c>
      <c r="H1416" s="4">
        <f>IFERROR(VLOOKUP(B1416,infoTable__6[],4,FALSE),"")</f>
        <v>322167</v>
      </c>
      <c r="I1416" s="4" t="str">
        <f>IFERROR(VLOOKUP(B1416,infoTable__28[],4,FALSE),"")</f>
        <v/>
      </c>
      <c r="J1416" s="4" t="str">
        <f>IFERROR(VLOOKUP(B1416,infoTable__10[],4,FALSE),"")</f>
        <v/>
      </c>
      <c r="K1416" s="4" t="str">
        <f>IFERROR(VLOOKUP(B1416,infoTable__11[],4,FALSE),"")</f>
        <v/>
      </c>
      <c r="L1416" s="4" t="str">
        <f>IFERROR(VLOOKUP(B1416,infoTable__12[],4,FALSE),"")</f>
        <v/>
      </c>
      <c r="M1416" s="4" t="str">
        <f>IFERROR(VLOOKUP(B1416,infoTable__13[],4,FALSE),"")</f>
        <v/>
      </c>
      <c r="N1416" s="4" t="str">
        <f>IFERROR(VLOOKUP(B1416,infoTable__14[],4,FALSE),"")</f>
        <v/>
      </c>
      <c r="O1416" s="4">
        <f>IFERROR(VLOOKUP(B1416,infoTable__15[],4,FALSE),"")</f>
        <v>342828</v>
      </c>
      <c r="P1416" s="4">
        <f>IFERROR(VLOOKUP(B1416,infoTable__16[],4,FALSE),"")</f>
        <v>248703</v>
      </c>
    </row>
    <row r="1417" spans="1:16" x14ac:dyDescent="0.55000000000000004">
      <c r="A1417" t="s">
        <v>2893</v>
      </c>
      <c r="B1417" t="s">
        <v>2892</v>
      </c>
      <c r="C1417" s="4" t="str">
        <f>IFERROR(VLOOKUP(B1417,infoTable10[],4,FALSE),"")</f>
        <v/>
      </c>
      <c r="D1417" s="4" t="str">
        <f>IFERROR(VLOOKUP(B1417,infoTable__2[],4,FALSE),"")</f>
        <v/>
      </c>
      <c r="E1417" s="4" t="str">
        <f>IFERROR(VLOOKUP(B1417,infoTable__3[],4,FALSE),"")</f>
        <v/>
      </c>
      <c r="F1417" s="4" t="str">
        <f>IFERROR(VLOOKUP(B1417,infoTable__4[],4,FALSE),"")</f>
        <v/>
      </c>
      <c r="G1417" s="4" t="str">
        <f>IFERROR(VLOOKUP(B1417,infoTable[],4,FALSE),"")</f>
        <v/>
      </c>
      <c r="H1417" s="4" t="str">
        <f>IFERROR(VLOOKUP(B1417,infoTable__6[],4,FALSE),"")</f>
        <v/>
      </c>
      <c r="I1417" s="4" t="str">
        <f>IFERROR(VLOOKUP(B1417,infoTable__28[],4,FALSE),"")</f>
        <v/>
      </c>
      <c r="J1417" s="4" t="str">
        <f>IFERROR(VLOOKUP(B1417,infoTable__10[],4,FALSE),"")</f>
        <v/>
      </c>
      <c r="K1417" s="4" t="str">
        <f>IFERROR(VLOOKUP(B1417,infoTable__11[],4,FALSE),"")</f>
        <v/>
      </c>
      <c r="L1417" s="4" t="str">
        <f>IFERROR(VLOOKUP(B1417,infoTable__12[],4,FALSE),"")</f>
        <v/>
      </c>
      <c r="M1417" s="4" t="str">
        <f>IFERROR(VLOOKUP(B1417,infoTable__13[],4,FALSE),"")</f>
        <v/>
      </c>
      <c r="N1417" s="4">
        <f>IFERROR(VLOOKUP(B1417,infoTable__14[],4,FALSE),"")</f>
        <v>589056</v>
      </c>
      <c r="O1417" s="4">
        <f>IFERROR(VLOOKUP(B1417,infoTable__15[],4,FALSE),"")</f>
        <v>4456359</v>
      </c>
      <c r="P1417" s="4" t="str">
        <f>IFERROR(VLOOKUP(B1417,infoTable__16[],4,FALSE),"")</f>
        <v/>
      </c>
    </row>
    <row r="1418" spans="1:16" x14ac:dyDescent="0.55000000000000004">
      <c r="A1418" t="s">
        <v>3511</v>
      </c>
      <c r="B1418" t="s">
        <v>3512</v>
      </c>
      <c r="C1418" s="4" t="str">
        <f>IFERROR(VLOOKUP(B1418,infoTable10[],4,FALSE),"")</f>
        <v/>
      </c>
      <c r="D1418" s="4" t="str">
        <f>IFERROR(VLOOKUP(B1418,infoTable__2[],4,FALSE),"")</f>
        <v/>
      </c>
      <c r="E1418" s="4" t="str">
        <f>IFERROR(VLOOKUP(B1418,infoTable__3[],4,FALSE),"")</f>
        <v/>
      </c>
      <c r="F1418" s="4" t="str">
        <f>IFERROR(VLOOKUP(B1418,infoTable__4[],4,FALSE),"")</f>
        <v/>
      </c>
      <c r="G1418" s="4" t="str">
        <f>IFERROR(VLOOKUP(B1418,infoTable[],4,FALSE),"")</f>
        <v/>
      </c>
      <c r="H1418" s="4" t="str">
        <f>IFERROR(VLOOKUP(B1418,infoTable__6[],4,FALSE),"")</f>
        <v/>
      </c>
      <c r="I1418" s="4" t="str">
        <f>IFERROR(VLOOKUP(B1418,infoTable__28[],4,FALSE),"")</f>
        <v/>
      </c>
      <c r="J1418" s="4" t="str">
        <f>IFERROR(VLOOKUP(B1418,infoTable__10[],4,FALSE),"")</f>
        <v/>
      </c>
      <c r="K1418" s="4" t="str">
        <f>IFERROR(VLOOKUP(B1418,infoTable__11[],4,FALSE),"")</f>
        <v/>
      </c>
      <c r="L1418" s="4" t="str">
        <f>IFERROR(VLOOKUP(B1418,infoTable__12[],4,FALSE),"")</f>
        <v/>
      </c>
      <c r="M1418" s="4" t="str">
        <f>IFERROR(VLOOKUP(B1418,infoTable__13[],4,FALSE),"")</f>
        <v/>
      </c>
      <c r="N1418" s="4" t="str">
        <f>IFERROR(VLOOKUP(B1418,infoTable__14[],4,FALSE),"")</f>
        <v/>
      </c>
      <c r="O1418" s="4" t="str">
        <f>IFERROR(VLOOKUP(B1418,infoTable__15[],4,FALSE),"")</f>
        <v/>
      </c>
      <c r="P1418" s="4">
        <f>IFERROR(VLOOKUP(B1418,infoTable__16[],4,FALSE),"")</f>
        <v>673097</v>
      </c>
    </row>
    <row r="1419" spans="1:16" x14ac:dyDescent="0.55000000000000004">
      <c r="A1419" t="s">
        <v>3513</v>
      </c>
      <c r="B1419" t="s">
        <v>3514</v>
      </c>
      <c r="C1419" s="4" t="str">
        <f>IFERROR(VLOOKUP(B1419,infoTable10[],4,FALSE),"")</f>
        <v/>
      </c>
      <c r="D1419" s="4" t="str">
        <f>IFERROR(VLOOKUP(B1419,infoTable__2[],4,FALSE),"")</f>
        <v/>
      </c>
      <c r="E1419" s="4" t="str">
        <f>IFERROR(VLOOKUP(B1419,infoTable__3[],4,FALSE),"")</f>
        <v/>
      </c>
      <c r="F1419" s="4" t="str">
        <f>IFERROR(VLOOKUP(B1419,infoTable__4[],4,FALSE),"")</f>
        <v/>
      </c>
      <c r="G1419" s="4" t="str">
        <f>IFERROR(VLOOKUP(B1419,infoTable[],4,FALSE),"")</f>
        <v/>
      </c>
      <c r="H1419" s="4" t="str">
        <f>IFERROR(VLOOKUP(B1419,infoTable__6[],4,FALSE),"")</f>
        <v/>
      </c>
      <c r="I1419" s="4" t="str">
        <f>IFERROR(VLOOKUP(B1419,infoTable__28[],4,FALSE),"")</f>
        <v/>
      </c>
      <c r="J1419" s="4" t="str">
        <f>IFERROR(VLOOKUP(B1419,infoTable__10[],4,FALSE),"")</f>
        <v/>
      </c>
      <c r="K1419" s="4" t="str">
        <f>IFERROR(VLOOKUP(B1419,infoTable__11[],4,FALSE),"")</f>
        <v/>
      </c>
      <c r="L1419" s="4" t="str">
        <f>IFERROR(VLOOKUP(B1419,infoTable__12[],4,FALSE),"")</f>
        <v/>
      </c>
      <c r="M1419" s="4" t="str">
        <f>IFERROR(VLOOKUP(B1419,infoTable__13[],4,FALSE),"")</f>
        <v/>
      </c>
      <c r="N1419" s="4" t="str">
        <f>IFERROR(VLOOKUP(B1419,infoTable__14[],4,FALSE),"")</f>
        <v/>
      </c>
      <c r="O1419" s="4" t="str">
        <f>IFERROR(VLOOKUP(B1419,infoTable__15[],4,FALSE),"")</f>
        <v/>
      </c>
      <c r="P1419" s="4">
        <f>IFERROR(VLOOKUP(B1419,infoTable__16[],4,FALSE),"")</f>
        <v>965460</v>
      </c>
    </row>
    <row r="1420" spans="1:16" x14ac:dyDescent="0.55000000000000004">
      <c r="A1420" t="s">
        <v>690</v>
      </c>
      <c r="B1420" t="s">
        <v>691</v>
      </c>
      <c r="C1420" s="4" t="str">
        <f>IFERROR(VLOOKUP(B1420,infoTable10[],4,FALSE),"")</f>
        <v/>
      </c>
      <c r="D1420" s="4">
        <f>IFERROR(VLOOKUP(B1420,infoTable__2[],4,FALSE),"")</f>
        <v>616481</v>
      </c>
      <c r="E1420" s="4">
        <f>IFERROR(VLOOKUP(B1420,infoTable__3[],4,FALSE),"")</f>
        <v>2227168</v>
      </c>
      <c r="F1420" s="4">
        <f>IFERROR(VLOOKUP(B1420,infoTable__4[],4,FALSE),"")</f>
        <v>753126</v>
      </c>
      <c r="G1420" s="4" t="str">
        <f>IFERROR(VLOOKUP(B1420,infoTable[],4,FALSE),"")</f>
        <v/>
      </c>
      <c r="H1420" s="4" t="str">
        <f>IFERROR(VLOOKUP(B1420,infoTable__6[],4,FALSE),"")</f>
        <v/>
      </c>
      <c r="I1420" s="4" t="str">
        <f>IFERROR(VLOOKUP(B1420,infoTable__28[],4,FALSE),"")</f>
        <v/>
      </c>
      <c r="J1420" s="4" t="str">
        <f>IFERROR(VLOOKUP(B1420,infoTable__10[],4,FALSE),"")</f>
        <v/>
      </c>
      <c r="K1420" s="4" t="str">
        <f>IFERROR(VLOOKUP(B1420,infoTable__11[],4,FALSE),"")</f>
        <v/>
      </c>
      <c r="L1420" s="4" t="str">
        <f>IFERROR(VLOOKUP(B1420,infoTable__12[],4,FALSE),"")</f>
        <v/>
      </c>
      <c r="M1420" s="4" t="str">
        <f>IFERROR(VLOOKUP(B1420,infoTable__13[],4,FALSE),"")</f>
        <v/>
      </c>
      <c r="N1420" s="4">
        <f>IFERROR(VLOOKUP(B1420,infoTable__14[],4,FALSE),"")</f>
        <v>216021</v>
      </c>
      <c r="O1420" s="4" t="str">
        <f>IFERROR(VLOOKUP(B1420,infoTable__15[],4,FALSE),"")</f>
        <v/>
      </c>
      <c r="P1420" s="4" t="str">
        <f>IFERROR(VLOOKUP(B1420,infoTable__16[],4,FALSE),"")</f>
        <v/>
      </c>
    </row>
    <row r="1421" spans="1:16" x14ac:dyDescent="0.55000000000000004">
      <c r="A1421" t="s">
        <v>792</v>
      </c>
      <c r="B1421" t="s">
        <v>793</v>
      </c>
      <c r="C1421" s="4" t="str">
        <f>IFERROR(VLOOKUP(B1421,infoTable10[],4,FALSE),"")</f>
        <v/>
      </c>
      <c r="D1421" s="4" t="str">
        <f>IFERROR(VLOOKUP(B1421,infoTable__2[],4,FALSE),"")</f>
        <v/>
      </c>
      <c r="E1421" s="4">
        <f>IFERROR(VLOOKUP(B1421,infoTable__3[],4,FALSE),"")</f>
        <v>1201825</v>
      </c>
      <c r="F1421" s="4" t="str">
        <f>IFERROR(VLOOKUP(B1421,infoTable__4[],4,FALSE),"")</f>
        <v/>
      </c>
      <c r="G1421" s="4" t="str">
        <f>IFERROR(VLOOKUP(B1421,infoTable[],4,FALSE),"")</f>
        <v/>
      </c>
      <c r="H1421" s="4" t="str">
        <f>IFERROR(VLOOKUP(B1421,infoTable__6[],4,FALSE),"")</f>
        <v/>
      </c>
      <c r="I1421" s="4" t="str">
        <f>IFERROR(VLOOKUP(B1421,infoTable__28[],4,FALSE),"")</f>
        <v/>
      </c>
      <c r="J1421" s="4" t="str">
        <f>IFERROR(VLOOKUP(B1421,infoTable__10[],4,FALSE),"")</f>
        <v/>
      </c>
      <c r="K1421" s="4" t="str">
        <f>IFERROR(VLOOKUP(B1421,infoTable__11[],4,FALSE),"")</f>
        <v/>
      </c>
      <c r="L1421" s="4" t="str">
        <f>IFERROR(VLOOKUP(B1421,infoTable__12[],4,FALSE),"")</f>
        <v/>
      </c>
      <c r="M1421" s="4" t="str">
        <f>IFERROR(VLOOKUP(B1421,infoTable__13[],4,FALSE),"")</f>
        <v/>
      </c>
      <c r="N1421" s="4" t="str">
        <f>IFERROR(VLOOKUP(B1421,infoTable__14[],4,FALSE),"")</f>
        <v/>
      </c>
      <c r="O1421" s="4" t="str">
        <f>IFERROR(VLOOKUP(B1421,infoTable__15[],4,FALSE),"")</f>
        <v/>
      </c>
      <c r="P1421" s="4" t="str">
        <f>IFERROR(VLOOKUP(B1421,infoTable__16[],4,FALSE),"")</f>
        <v/>
      </c>
    </row>
    <row r="1422" spans="1:16" x14ac:dyDescent="0.55000000000000004">
      <c r="A1422" t="s">
        <v>2598</v>
      </c>
      <c r="B1422" t="s">
        <v>2599</v>
      </c>
      <c r="C1422" s="4" t="str">
        <f>IFERROR(VLOOKUP(B1422,infoTable10[],4,FALSE),"")</f>
        <v/>
      </c>
      <c r="D1422" s="4" t="str">
        <f>IFERROR(VLOOKUP(B1422,infoTable__2[],4,FALSE),"")</f>
        <v/>
      </c>
      <c r="E1422" s="4" t="str">
        <f>IFERROR(VLOOKUP(B1422,infoTable__3[],4,FALSE),"")</f>
        <v/>
      </c>
      <c r="F1422" s="4" t="str">
        <f>IFERROR(VLOOKUP(B1422,infoTable__4[],4,FALSE),"")</f>
        <v/>
      </c>
      <c r="G1422" s="4" t="str">
        <f>IFERROR(VLOOKUP(B1422,infoTable[],4,FALSE),"")</f>
        <v/>
      </c>
      <c r="H1422" s="4" t="str">
        <f>IFERROR(VLOOKUP(B1422,infoTable__6[],4,FALSE),"")</f>
        <v/>
      </c>
      <c r="I1422" s="4" t="str">
        <f>IFERROR(VLOOKUP(B1422,infoTable__28[],4,FALSE),"")</f>
        <v/>
      </c>
      <c r="J1422" s="4" t="str">
        <f>IFERROR(VLOOKUP(B1422,infoTable__10[],4,FALSE),"")</f>
        <v/>
      </c>
      <c r="K1422" s="4" t="str">
        <f>IFERROR(VLOOKUP(B1422,infoTable__11[],4,FALSE),"")</f>
        <v/>
      </c>
      <c r="L1422" s="4" t="str">
        <f>IFERROR(VLOOKUP(B1422,infoTable__12[],4,FALSE),"")</f>
        <v/>
      </c>
      <c r="M1422" s="4">
        <f>IFERROR(VLOOKUP(B1422,infoTable__13[],4,FALSE),"")</f>
        <v>276607</v>
      </c>
      <c r="N1422" s="4">
        <f>IFERROR(VLOOKUP(B1422,infoTable__14[],4,FALSE),"")</f>
        <v>383732</v>
      </c>
      <c r="O1422" s="4" t="str">
        <f>IFERROR(VLOOKUP(B1422,infoTable__15[],4,FALSE),"")</f>
        <v/>
      </c>
      <c r="P1422" s="4" t="str">
        <f>IFERROR(VLOOKUP(B1422,infoTable__16[],4,FALSE),"")</f>
        <v/>
      </c>
    </row>
    <row r="1423" spans="1:16" x14ac:dyDescent="0.55000000000000004">
      <c r="A1423" t="s">
        <v>3517</v>
      </c>
      <c r="B1423" t="s">
        <v>3518</v>
      </c>
      <c r="C1423" s="4" t="str">
        <f>IFERROR(VLOOKUP(B1423,infoTable10[],4,FALSE),"")</f>
        <v/>
      </c>
      <c r="D1423" s="4" t="str">
        <f>IFERROR(VLOOKUP(B1423,infoTable__2[],4,FALSE),"")</f>
        <v/>
      </c>
      <c r="E1423" s="4" t="str">
        <f>IFERROR(VLOOKUP(B1423,infoTable__3[],4,FALSE),"")</f>
        <v/>
      </c>
      <c r="F1423" s="4" t="str">
        <f>IFERROR(VLOOKUP(B1423,infoTable__4[],4,FALSE),"")</f>
        <v/>
      </c>
      <c r="G1423" s="4" t="str">
        <f>IFERROR(VLOOKUP(B1423,infoTable[],4,FALSE),"")</f>
        <v/>
      </c>
      <c r="H1423" s="4" t="str">
        <f>IFERROR(VLOOKUP(B1423,infoTable__6[],4,FALSE),"")</f>
        <v/>
      </c>
      <c r="I1423" s="4" t="str">
        <f>IFERROR(VLOOKUP(B1423,infoTable__28[],4,FALSE),"")</f>
        <v/>
      </c>
      <c r="J1423" s="4" t="str">
        <f>IFERROR(VLOOKUP(B1423,infoTable__10[],4,FALSE),"")</f>
        <v/>
      </c>
      <c r="K1423" s="4" t="str">
        <f>IFERROR(VLOOKUP(B1423,infoTable__11[],4,FALSE),"")</f>
        <v/>
      </c>
      <c r="L1423" s="4" t="str">
        <f>IFERROR(VLOOKUP(B1423,infoTable__12[],4,FALSE),"")</f>
        <v/>
      </c>
      <c r="M1423" s="4" t="str">
        <f>IFERROR(VLOOKUP(B1423,infoTable__13[],4,FALSE),"")</f>
        <v/>
      </c>
      <c r="N1423" s="4" t="str">
        <f>IFERROR(VLOOKUP(B1423,infoTable__14[],4,FALSE),"")</f>
        <v/>
      </c>
      <c r="O1423" s="4" t="str">
        <f>IFERROR(VLOOKUP(B1423,infoTable__15[],4,FALSE),"")</f>
        <v/>
      </c>
      <c r="P1423" s="4">
        <f>IFERROR(VLOOKUP(B1423,infoTable__16[],4,FALSE),"")</f>
        <v>752274</v>
      </c>
    </row>
    <row r="1424" spans="1:16" x14ac:dyDescent="0.55000000000000004">
      <c r="A1424" t="s">
        <v>3177</v>
      </c>
      <c r="B1424" t="s">
        <v>3178</v>
      </c>
      <c r="C1424" s="4" t="str">
        <f>IFERROR(VLOOKUP(B1424,infoTable10[],4,FALSE),"")</f>
        <v/>
      </c>
      <c r="D1424" s="4" t="str">
        <f>IFERROR(VLOOKUP(B1424,infoTable__2[],4,FALSE),"")</f>
        <v/>
      </c>
      <c r="E1424" s="4" t="str">
        <f>IFERROR(VLOOKUP(B1424,infoTable__3[],4,FALSE),"")</f>
        <v/>
      </c>
      <c r="F1424" s="4" t="str">
        <f>IFERROR(VLOOKUP(B1424,infoTable__4[],4,FALSE),"")</f>
        <v/>
      </c>
      <c r="G1424" s="4" t="str">
        <f>IFERROR(VLOOKUP(B1424,infoTable[],4,FALSE),"")</f>
        <v/>
      </c>
      <c r="H1424" s="4" t="str">
        <f>IFERROR(VLOOKUP(B1424,infoTable__6[],4,FALSE),"")</f>
        <v/>
      </c>
      <c r="I1424" s="4" t="str">
        <f>IFERROR(VLOOKUP(B1424,infoTable__28[],4,FALSE),"")</f>
        <v/>
      </c>
      <c r="J1424" s="4" t="str">
        <f>IFERROR(VLOOKUP(B1424,infoTable__10[],4,FALSE),"")</f>
        <v/>
      </c>
      <c r="K1424" s="4" t="str">
        <f>IFERROR(VLOOKUP(B1424,infoTable__11[],4,FALSE),"")</f>
        <v/>
      </c>
      <c r="L1424" s="4" t="str">
        <f>IFERROR(VLOOKUP(B1424,infoTable__12[],4,FALSE),"")</f>
        <v/>
      </c>
      <c r="M1424" s="4" t="str">
        <f>IFERROR(VLOOKUP(B1424,infoTable__13[],4,FALSE),"")</f>
        <v/>
      </c>
      <c r="N1424" s="4" t="str">
        <f>IFERROR(VLOOKUP(B1424,infoTable__14[],4,FALSE),"")</f>
        <v/>
      </c>
      <c r="O1424" s="4">
        <f>IFERROR(VLOOKUP(B1424,infoTable__15[],4,FALSE),"")</f>
        <v>2530001</v>
      </c>
      <c r="P1424" s="4">
        <f>IFERROR(VLOOKUP(B1424,infoTable__16[],4,FALSE),"")</f>
        <v>736900</v>
      </c>
    </row>
    <row r="1425" spans="1:16" x14ac:dyDescent="0.55000000000000004">
      <c r="A1425" t="s">
        <v>1774</v>
      </c>
      <c r="B1425" t="s">
        <v>1775</v>
      </c>
      <c r="C1425" s="4" t="str">
        <f>IFERROR(VLOOKUP(B1425,infoTable10[],4,FALSE),"")</f>
        <v/>
      </c>
      <c r="D1425" s="4" t="str">
        <f>IFERROR(VLOOKUP(B1425,infoTable__2[],4,FALSE),"")</f>
        <v/>
      </c>
      <c r="E1425" s="4" t="str">
        <f>IFERROR(VLOOKUP(B1425,infoTable__3[],4,FALSE),"")</f>
        <v/>
      </c>
      <c r="F1425" s="4" t="str">
        <f>IFERROR(VLOOKUP(B1425,infoTable__4[],4,FALSE),"")</f>
        <v/>
      </c>
      <c r="G1425" s="4" t="str">
        <f>IFERROR(VLOOKUP(B1425,infoTable[],4,FALSE),"")</f>
        <v/>
      </c>
      <c r="H1425" s="4" t="str">
        <f>IFERROR(VLOOKUP(B1425,infoTable__6[],4,FALSE),"")</f>
        <v/>
      </c>
      <c r="I1425" s="4" t="str">
        <f>IFERROR(VLOOKUP(B1425,infoTable__28[],4,FALSE),"")</f>
        <v/>
      </c>
      <c r="J1425" s="4">
        <f>IFERROR(VLOOKUP(B1425,infoTable__10[],4,FALSE),"")</f>
        <v>2170128</v>
      </c>
      <c r="K1425" s="4">
        <f>IFERROR(VLOOKUP(B1425,infoTable__11[],4,FALSE),"")</f>
        <v>1939495</v>
      </c>
      <c r="L1425" s="4" t="str">
        <f>IFERROR(VLOOKUP(B1425,infoTable__12[],4,FALSE),"")</f>
        <v/>
      </c>
      <c r="M1425" s="4" t="str">
        <f>IFERROR(VLOOKUP(B1425,infoTable__13[],4,FALSE),"")</f>
        <v/>
      </c>
      <c r="N1425" s="4">
        <f>IFERROR(VLOOKUP(B1425,infoTable__14[],4,FALSE),"")</f>
        <v>938196</v>
      </c>
      <c r="O1425" s="4">
        <f>IFERROR(VLOOKUP(B1425,infoTable__15[],4,FALSE),"")</f>
        <v>2778915</v>
      </c>
      <c r="P1425" s="4">
        <f>IFERROR(VLOOKUP(B1425,infoTable__16[],4,FALSE),"")</f>
        <v>401658</v>
      </c>
    </row>
    <row r="1426" spans="1:16" x14ac:dyDescent="0.55000000000000004">
      <c r="A1426" t="s">
        <v>409</v>
      </c>
      <c r="B1426" t="s">
        <v>411</v>
      </c>
      <c r="C1426" s="4" t="str">
        <f>IFERROR(VLOOKUP(B1426,infoTable10[],4,FALSE),"")</f>
        <v/>
      </c>
      <c r="D1426" s="4">
        <f>IFERROR(VLOOKUP(B1426,infoTable__2[],4,FALSE),"")</f>
        <v>832787</v>
      </c>
      <c r="E1426" s="4">
        <f>IFERROR(VLOOKUP(B1426,infoTable__3[],4,FALSE),"")</f>
        <v>2207422</v>
      </c>
      <c r="F1426" s="4">
        <f>IFERROR(VLOOKUP(B1426,infoTable__4[],4,FALSE),"")</f>
        <v>2083435</v>
      </c>
      <c r="G1426" s="4">
        <f>IFERROR(VLOOKUP(B1426,infoTable[],4,FALSE),"")</f>
        <v>2490935</v>
      </c>
      <c r="H1426" s="4">
        <f>IFERROR(VLOOKUP(B1426,infoTable__6[],4,FALSE),"")</f>
        <v>652932</v>
      </c>
      <c r="I1426" s="4" t="str">
        <f>IFERROR(VLOOKUP(B1426,infoTable__28[],4,FALSE),"")</f>
        <v/>
      </c>
      <c r="J1426" s="4" t="str">
        <f>IFERROR(VLOOKUP(B1426,infoTable__10[],4,FALSE),"")</f>
        <v/>
      </c>
      <c r="K1426" s="4" t="str">
        <f>IFERROR(VLOOKUP(B1426,infoTable__11[],4,FALSE),"")</f>
        <v/>
      </c>
      <c r="L1426" s="4" t="str">
        <f>IFERROR(VLOOKUP(B1426,infoTable__12[],4,FALSE),"")</f>
        <v/>
      </c>
      <c r="M1426" s="4" t="str">
        <f>IFERROR(VLOOKUP(B1426,infoTable__13[],4,FALSE),"")</f>
        <v/>
      </c>
      <c r="N1426" s="4" t="str">
        <f>IFERROR(VLOOKUP(B1426,infoTable__14[],4,FALSE),"")</f>
        <v/>
      </c>
      <c r="O1426" s="4" t="str">
        <f>IFERROR(VLOOKUP(B1426,infoTable__15[],4,FALSE),"")</f>
        <v/>
      </c>
      <c r="P1426" s="4" t="str">
        <f>IFERROR(VLOOKUP(B1426,infoTable__16[],4,FALSE),"")</f>
        <v/>
      </c>
    </row>
    <row r="1427" spans="1:16" x14ac:dyDescent="0.55000000000000004">
      <c r="A1427" t="s">
        <v>1776</v>
      </c>
      <c r="B1427" t="s">
        <v>1777</v>
      </c>
      <c r="C1427" s="4" t="str">
        <f>IFERROR(VLOOKUP(B1427,infoTable10[],4,FALSE),"")</f>
        <v/>
      </c>
      <c r="D1427" s="4" t="str">
        <f>IFERROR(VLOOKUP(B1427,infoTable__2[],4,FALSE),"")</f>
        <v/>
      </c>
      <c r="E1427" s="4" t="str">
        <f>IFERROR(VLOOKUP(B1427,infoTable__3[],4,FALSE),"")</f>
        <v/>
      </c>
      <c r="F1427" s="4" t="str">
        <f>IFERROR(VLOOKUP(B1427,infoTable__4[],4,FALSE),"")</f>
        <v/>
      </c>
      <c r="G1427" s="4" t="str">
        <f>IFERROR(VLOOKUP(B1427,infoTable[],4,FALSE),"")</f>
        <v/>
      </c>
      <c r="H1427" s="4" t="str">
        <f>IFERROR(VLOOKUP(B1427,infoTable__6[],4,FALSE),"")</f>
        <v/>
      </c>
      <c r="I1427" s="4" t="str">
        <f>IFERROR(VLOOKUP(B1427,infoTable__28[],4,FALSE),"")</f>
        <v/>
      </c>
      <c r="J1427" s="4">
        <f>IFERROR(VLOOKUP(B1427,infoTable__10[],4,FALSE),"")</f>
        <v>1818392</v>
      </c>
      <c r="K1427" s="4">
        <f>IFERROR(VLOOKUP(B1427,infoTable__11[],4,FALSE),"")</f>
        <v>3321573</v>
      </c>
      <c r="L1427" s="4">
        <f>IFERROR(VLOOKUP(B1427,infoTable__12[],4,FALSE),"")</f>
        <v>3617457</v>
      </c>
      <c r="M1427" s="4">
        <f>IFERROR(VLOOKUP(B1427,infoTable__13[],4,FALSE),"")</f>
        <v>1868861</v>
      </c>
      <c r="N1427" s="4">
        <f>IFERROR(VLOOKUP(B1427,infoTable__14[],4,FALSE),"")</f>
        <v>1719194</v>
      </c>
      <c r="O1427" s="4" t="str">
        <f>IFERROR(VLOOKUP(B1427,infoTable__15[],4,FALSE),"")</f>
        <v/>
      </c>
      <c r="P1427" s="4">
        <f>IFERROR(VLOOKUP(B1427,infoTable__16[],4,FALSE),"")</f>
        <v>552182</v>
      </c>
    </row>
    <row r="1428" spans="1:16" x14ac:dyDescent="0.55000000000000004">
      <c r="A1428" t="s">
        <v>3521</v>
      </c>
      <c r="B1428" t="s">
        <v>3522</v>
      </c>
      <c r="C1428" s="4" t="str">
        <f>IFERROR(VLOOKUP(B1428,infoTable10[],4,FALSE),"")</f>
        <v/>
      </c>
      <c r="D1428" s="4" t="str">
        <f>IFERROR(VLOOKUP(B1428,infoTable__2[],4,FALSE),"")</f>
        <v/>
      </c>
      <c r="E1428" s="4" t="str">
        <f>IFERROR(VLOOKUP(B1428,infoTable__3[],4,FALSE),"")</f>
        <v/>
      </c>
      <c r="F1428" s="4" t="str">
        <f>IFERROR(VLOOKUP(B1428,infoTable__4[],4,FALSE),"")</f>
        <v/>
      </c>
      <c r="G1428" s="4" t="str">
        <f>IFERROR(VLOOKUP(B1428,infoTable[],4,FALSE),"")</f>
        <v/>
      </c>
      <c r="H1428" s="4" t="str">
        <f>IFERROR(VLOOKUP(B1428,infoTable__6[],4,FALSE),"")</f>
        <v/>
      </c>
      <c r="I1428" s="4" t="str">
        <f>IFERROR(VLOOKUP(B1428,infoTable__28[],4,FALSE),"")</f>
        <v/>
      </c>
      <c r="J1428" s="4" t="str">
        <f>IFERROR(VLOOKUP(B1428,infoTable__10[],4,FALSE),"")</f>
        <v/>
      </c>
      <c r="K1428" s="4" t="str">
        <f>IFERROR(VLOOKUP(B1428,infoTable__11[],4,FALSE),"")</f>
        <v/>
      </c>
      <c r="L1428" s="4" t="str">
        <f>IFERROR(VLOOKUP(B1428,infoTable__12[],4,FALSE),"")</f>
        <v/>
      </c>
      <c r="M1428" s="4" t="str">
        <f>IFERROR(VLOOKUP(B1428,infoTable__13[],4,FALSE),"")</f>
        <v/>
      </c>
      <c r="N1428" s="4" t="str">
        <f>IFERROR(VLOOKUP(B1428,infoTable__14[],4,FALSE),"")</f>
        <v/>
      </c>
      <c r="O1428" s="4" t="str">
        <f>IFERROR(VLOOKUP(B1428,infoTable__15[],4,FALSE),"")</f>
        <v/>
      </c>
      <c r="P1428" s="4">
        <f>IFERROR(VLOOKUP(B1428,infoTable__16[],4,FALSE),"")</f>
        <v>392163</v>
      </c>
    </row>
    <row r="1429" spans="1:16" x14ac:dyDescent="0.55000000000000004">
      <c r="A1429" t="s">
        <v>2011</v>
      </c>
      <c r="B1429" t="s">
        <v>2012</v>
      </c>
      <c r="C1429" s="4" t="str">
        <f>IFERROR(VLOOKUP(B1429,infoTable10[],4,FALSE),"")</f>
        <v/>
      </c>
      <c r="D1429" s="4" t="str">
        <f>IFERROR(VLOOKUP(B1429,infoTable__2[],4,FALSE),"")</f>
        <v/>
      </c>
      <c r="E1429" s="4" t="str">
        <f>IFERROR(VLOOKUP(B1429,infoTable__3[],4,FALSE),"")</f>
        <v/>
      </c>
      <c r="F1429" s="4" t="str">
        <f>IFERROR(VLOOKUP(B1429,infoTable__4[],4,FALSE),"")</f>
        <v/>
      </c>
      <c r="G1429" s="4" t="str">
        <f>IFERROR(VLOOKUP(B1429,infoTable[],4,FALSE),"")</f>
        <v/>
      </c>
      <c r="H1429" s="4" t="str">
        <f>IFERROR(VLOOKUP(B1429,infoTable__6[],4,FALSE),"")</f>
        <v/>
      </c>
      <c r="I1429" s="4" t="str">
        <f>IFERROR(VLOOKUP(B1429,infoTable__28[],4,FALSE),"")</f>
        <v/>
      </c>
      <c r="J1429" s="4" t="str">
        <f>IFERROR(VLOOKUP(B1429,infoTable__10[],4,FALSE),"")</f>
        <v/>
      </c>
      <c r="K1429" s="4">
        <f>IFERROR(VLOOKUP(B1429,infoTable__11[],4,FALSE),"")</f>
        <v>258437</v>
      </c>
      <c r="L1429" s="4" t="str">
        <f>IFERROR(VLOOKUP(B1429,infoTable__12[],4,FALSE),"")</f>
        <v/>
      </c>
      <c r="M1429" s="4" t="str">
        <f>IFERROR(VLOOKUP(B1429,infoTable__13[],4,FALSE),"")</f>
        <v/>
      </c>
      <c r="N1429" s="4" t="str">
        <f>IFERROR(VLOOKUP(B1429,infoTable__14[],4,FALSE),"")</f>
        <v/>
      </c>
      <c r="O1429" s="4" t="str">
        <f>IFERROR(VLOOKUP(B1429,infoTable__15[],4,FALSE),"")</f>
        <v/>
      </c>
      <c r="P1429" s="4" t="str">
        <f>IFERROR(VLOOKUP(B1429,infoTable__16[],4,FALSE),"")</f>
        <v/>
      </c>
    </row>
    <row r="1430" spans="1:16" x14ac:dyDescent="0.55000000000000004">
      <c r="A1430" t="s">
        <v>2895</v>
      </c>
      <c r="B1430" t="s">
        <v>2894</v>
      </c>
      <c r="C1430" s="4" t="str">
        <f>IFERROR(VLOOKUP(B1430,infoTable10[],4,FALSE),"")</f>
        <v/>
      </c>
      <c r="D1430" s="4" t="str">
        <f>IFERROR(VLOOKUP(B1430,infoTable__2[],4,FALSE),"")</f>
        <v/>
      </c>
      <c r="E1430" s="4" t="str">
        <f>IFERROR(VLOOKUP(B1430,infoTable__3[],4,FALSE),"")</f>
        <v/>
      </c>
      <c r="F1430" s="4" t="str">
        <f>IFERROR(VLOOKUP(B1430,infoTable__4[],4,FALSE),"")</f>
        <v/>
      </c>
      <c r="G1430" s="4" t="str">
        <f>IFERROR(VLOOKUP(B1430,infoTable[],4,FALSE),"")</f>
        <v/>
      </c>
      <c r="H1430" s="4" t="str">
        <f>IFERROR(VLOOKUP(B1430,infoTable__6[],4,FALSE),"")</f>
        <v/>
      </c>
      <c r="I1430" s="4" t="str">
        <f>IFERROR(VLOOKUP(B1430,infoTable__28[],4,FALSE),"")</f>
        <v/>
      </c>
      <c r="J1430" s="4" t="str">
        <f>IFERROR(VLOOKUP(B1430,infoTable__10[],4,FALSE),"")</f>
        <v/>
      </c>
      <c r="K1430" s="4" t="str">
        <f>IFERROR(VLOOKUP(B1430,infoTable__11[],4,FALSE),"")</f>
        <v/>
      </c>
      <c r="L1430" s="4" t="str">
        <f>IFERROR(VLOOKUP(B1430,infoTable__12[],4,FALSE),"")</f>
        <v/>
      </c>
      <c r="M1430" s="4" t="str">
        <f>IFERROR(VLOOKUP(B1430,infoTable__13[],4,FALSE),"")</f>
        <v/>
      </c>
      <c r="N1430" s="4">
        <f>IFERROR(VLOOKUP(B1430,infoTable__14[],4,FALSE),"")</f>
        <v>722742</v>
      </c>
      <c r="O1430" s="4" t="str">
        <f>IFERROR(VLOOKUP(B1430,infoTable__15[],4,FALSE),"")</f>
        <v/>
      </c>
      <c r="P1430" s="4" t="str">
        <f>IFERROR(VLOOKUP(B1430,infoTable__16[],4,FALSE),"")</f>
        <v/>
      </c>
    </row>
    <row r="1431" spans="1:16" x14ac:dyDescent="0.55000000000000004">
      <c r="A1431" t="s">
        <v>2346</v>
      </c>
      <c r="B1431" t="s">
        <v>2347</v>
      </c>
      <c r="C1431" s="4" t="str">
        <f>IFERROR(VLOOKUP(B1431,infoTable10[],4,FALSE),"")</f>
        <v/>
      </c>
      <c r="D1431" s="4" t="str">
        <f>IFERROR(VLOOKUP(B1431,infoTable__2[],4,FALSE),"")</f>
        <v/>
      </c>
      <c r="E1431" s="4" t="str">
        <f>IFERROR(VLOOKUP(B1431,infoTable__3[],4,FALSE),"")</f>
        <v/>
      </c>
      <c r="F1431" s="4" t="str">
        <f>IFERROR(VLOOKUP(B1431,infoTable__4[],4,FALSE),"")</f>
        <v/>
      </c>
      <c r="G1431" s="4" t="str">
        <f>IFERROR(VLOOKUP(B1431,infoTable[],4,FALSE),"")</f>
        <v/>
      </c>
      <c r="H1431" s="4" t="str">
        <f>IFERROR(VLOOKUP(B1431,infoTable__6[],4,FALSE),"")</f>
        <v/>
      </c>
      <c r="I1431" s="4" t="str">
        <f>IFERROR(VLOOKUP(B1431,infoTable__28[],4,FALSE),"")</f>
        <v/>
      </c>
      <c r="J1431" s="4" t="str">
        <f>IFERROR(VLOOKUP(B1431,infoTable__10[],4,FALSE),"")</f>
        <v/>
      </c>
      <c r="K1431" s="4" t="str">
        <f>IFERROR(VLOOKUP(B1431,infoTable__11[],4,FALSE),"")</f>
        <v/>
      </c>
      <c r="L1431" s="4">
        <f>IFERROR(VLOOKUP(B1431,infoTable__12[],4,FALSE),"")</f>
        <v>204930</v>
      </c>
      <c r="M1431" s="4">
        <f>IFERROR(VLOOKUP(B1431,infoTable__13[],4,FALSE),"")</f>
        <v>235208</v>
      </c>
      <c r="N1431" s="4">
        <f>IFERROR(VLOOKUP(B1431,infoTable__14[],4,FALSE),"")</f>
        <v>259007</v>
      </c>
      <c r="O1431" s="4">
        <f>IFERROR(VLOOKUP(B1431,infoTable__15[],4,FALSE),"")</f>
        <v>624107</v>
      </c>
      <c r="P1431" s="4" t="str">
        <f>IFERROR(VLOOKUP(B1431,infoTable__16[],4,FALSE),"")</f>
        <v/>
      </c>
    </row>
    <row r="1432" spans="1:16" x14ac:dyDescent="0.55000000000000004">
      <c r="A1432" t="s">
        <v>2013</v>
      </c>
      <c r="B1432" t="s">
        <v>2014</v>
      </c>
      <c r="C1432" s="4" t="str">
        <f>IFERROR(VLOOKUP(B1432,infoTable10[],4,FALSE),"")</f>
        <v/>
      </c>
      <c r="D1432" s="4" t="str">
        <f>IFERROR(VLOOKUP(B1432,infoTable__2[],4,FALSE),"")</f>
        <v/>
      </c>
      <c r="E1432" s="4" t="str">
        <f>IFERROR(VLOOKUP(B1432,infoTable__3[],4,FALSE),"")</f>
        <v/>
      </c>
      <c r="F1432" s="4" t="str">
        <f>IFERROR(VLOOKUP(B1432,infoTable__4[],4,FALSE),"")</f>
        <v/>
      </c>
      <c r="G1432" s="4" t="str">
        <f>IFERROR(VLOOKUP(B1432,infoTable[],4,FALSE),"")</f>
        <v/>
      </c>
      <c r="H1432" s="4" t="str">
        <f>IFERROR(VLOOKUP(B1432,infoTable__6[],4,FALSE),"")</f>
        <v/>
      </c>
      <c r="I1432" s="4" t="str">
        <f>IFERROR(VLOOKUP(B1432,infoTable__28[],4,FALSE),"")</f>
        <v/>
      </c>
      <c r="J1432" s="4" t="str">
        <f>IFERROR(VLOOKUP(B1432,infoTable__10[],4,FALSE),"")</f>
        <v/>
      </c>
      <c r="K1432" s="4">
        <f>IFERROR(VLOOKUP(B1432,infoTable__11[],4,FALSE),"")</f>
        <v>739991</v>
      </c>
      <c r="L1432" s="4">
        <f>IFERROR(VLOOKUP(B1432,infoTable__12[],4,FALSE),"")</f>
        <v>3263544</v>
      </c>
      <c r="M1432" s="4">
        <f>IFERROR(VLOOKUP(B1432,infoTable__13[],4,FALSE),"")</f>
        <v>5789823</v>
      </c>
      <c r="N1432" s="4">
        <f>IFERROR(VLOOKUP(B1432,infoTable__14[],4,FALSE),"")</f>
        <v>1115105</v>
      </c>
      <c r="O1432" s="4" t="str">
        <f>IFERROR(VLOOKUP(B1432,infoTable__15[],4,FALSE),"")</f>
        <v/>
      </c>
      <c r="P1432" s="4" t="str">
        <f>IFERROR(VLOOKUP(B1432,infoTable__16[],4,FALSE),"")</f>
        <v/>
      </c>
    </row>
    <row r="1433" spans="1:16" x14ac:dyDescent="0.55000000000000004">
      <c r="A1433" t="s">
        <v>3181</v>
      </c>
      <c r="B1433" t="s">
        <v>3182</v>
      </c>
      <c r="C1433" s="4" t="str">
        <f>IFERROR(VLOOKUP(B1433,infoTable10[],4,FALSE),"")</f>
        <v/>
      </c>
      <c r="D1433" s="4" t="str">
        <f>IFERROR(VLOOKUP(B1433,infoTable__2[],4,FALSE),"")</f>
        <v/>
      </c>
      <c r="E1433" s="4" t="str">
        <f>IFERROR(VLOOKUP(B1433,infoTable__3[],4,FALSE),"")</f>
        <v/>
      </c>
      <c r="F1433" s="4" t="str">
        <f>IFERROR(VLOOKUP(B1433,infoTable__4[],4,FALSE),"")</f>
        <v/>
      </c>
      <c r="G1433" s="4" t="str">
        <f>IFERROR(VLOOKUP(B1433,infoTable[],4,FALSE),"")</f>
        <v/>
      </c>
      <c r="H1433" s="4" t="str">
        <f>IFERROR(VLOOKUP(B1433,infoTable__6[],4,FALSE),"")</f>
        <v/>
      </c>
      <c r="I1433" s="4" t="str">
        <f>IFERROR(VLOOKUP(B1433,infoTable__28[],4,FALSE),"")</f>
        <v/>
      </c>
      <c r="J1433" s="4" t="str">
        <f>IFERROR(VLOOKUP(B1433,infoTable__10[],4,FALSE),"")</f>
        <v/>
      </c>
      <c r="K1433" s="4" t="str">
        <f>IFERROR(VLOOKUP(B1433,infoTable__11[],4,FALSE),"")</f>
        <v/>
      </c>
      <c r="L1433" s="4" t="str">
        <f>IFERROR(VLOOKUP(B1433,infoTable__12[],4,FALSE),"")</f>
        <v/>
      </c>
      <c r="M1433" s="4" t="str">
        <f>IFERROR(VLOOKUP(B1433,infoTable__13[],4,FALSE),"")</f>
        <v/>
      </c>
      <c r="N1433" s="4" t="str">
        <f>IFERROR(VLOOKUP(B1433,infoTable__14[],4,FALSE),"")</f>
        <v/>
      </c>
      <c r="O1433" s="4">
        <f>IFERROR(VLOOKUP(B1433,infoTable__15[],4,FALSE),"")</f>
        <v>691454</v>
      </c>
      <c r="P1433" s="4" t="str">
        <f>IFERROR(VLOOKUP(B1433,infoTable__16[],4,FALSE),"")</f>
        <v/>
      </c>
    </row>
    <row r="1434" spans="1:16" x14ac:dyDescent="0.55000000000000004">
      <c r="A1434" t="s">
        <v>911</v>
      </c>
      <c r="B1434" t="s">
        <v>912</v>
      </c>
      <c r="C1434" s="4" t="str">
        <f>IFERROR(VLOOKUP(B1434,infoTable10[],4,FALSE),"")</f>
        <v/>
      </c>
      <c r="D1434" s="4" t="str">
        <f>IFERROR(VLOOKUP(B1434,infoTable__2[],4,FALSE),"")</f>
        <v/>
      </c>
      <c r="E1434" s="4" t="str">
        <f>IFERROR(VLOOKUP(B1434,infoTable__3[],4,FALSE),"")</f>
        <v/>
      </c>
      <c r="F1434" s="4">
        <f>IFERROR(VLOOKUP(B1434,infoTable__4[],4,FALSE),"")</f>
        <v>397071</v>
      </c>
      <c r="G1434" s="4" t="str">
        <f>IFERROR(VLOOKUP(B1434,infoTable[],4,FALSE),"")</f>
        <v/>
      </c>
      <c r="H1434" s="4" t="str">
        <f>IFERROR(VLOOKUP(B1434,infoTable__6[],4,FALSE),"")</f>
        <v/>
      </c>
      <c r="I1434" s="4">
        <f>IFERROR(VLOOKUP(B1434,infoTable__28[],4,FALSE),"")</f>
        <v>1107761</v>
      </c>
      <c r="J1434" s="4">
        <f>IFERROR(VLOOKUP(B1434,infoTable__10[],4,FALSE),"")</f>
        <v>1807176</v>
      </c>
      <c r="K1434" s="4" t="str">
        <f>IFERROR(VLOOKUP(B1434,infoTable__11[],4,FALSE),"")</f>
        <v/>
      </c>
      <c r="L1434" s="4" t="str">
        <f>IFERROR(VLOOKUP(B1434,infoTable__12[],4,FALSE),"")</f>
        <v/>
      </c>
      <c r="M1434" s="4" t="str">
        <f>IFERROR(VLOOKUP(B1434,infoTable__13[],4,FALSE),"")</f>
        <v/>
      </c>
      <c r="N1434" s="4" t="str">
        <f>IFERROR(VLOOKUP(B1434,infoTable__14[],4,FALSE),"")</f>
        <v/>
      </c>
      <c r="O1434" s="4" t="str">
        <f>IFERROR(VLOOKUP(B1434,infoTable__15[],4,FALSE),"")</f>
        <v/>
      </c>
      <c r="P1434" s="4" t="str">
        <f>IFERROR(VLOOKUP(B1434,infoTable__16[],4,FALSE),"")</f>
        <v/>
      </c>
    </row>
    <row r="1435" spans="1:16" x14ac:dyDescent="0.55000000000000004">
      <c r="A1435" t="s">
        <v>1426</v>
      </c>
      <c r="B1435" t="s">
        <v>1427</v>
      </c>
      <c r="C1435" s="4" t="str">
        <f>IFERROR(VLOOKUP(B1435,infoTable10[],4,FALSE),"")</f>
        <v/>
      </c>
      <c r="D1435" s="4" t="str">
        <f>IFERROR(VLOOKUP(B1435,infoTable__2[],4,FALSE),"")</f>
        <v/>
      </c>
      <c r="E1435" s="4" t="str">
        <f>IFERROR(VLOOKUP(B1435,infoTable__3[],4,FALSE),"")</f>
        <v/>
      </c>
      <c r="F1435" s="4" t="str">
        <f>IFERROR(VLOOKUP(B1435,infoTable__4[],4,FALSE),"")</f>
        <v/>
      </c>
      <c r="G1435" s="4" t="str">
        <f>IFERROR(VLOOKUP(B1435,infoTable[],4,FALSE),"")</f>
        <v/>
      </c>
      <c r="H1435" s="4" t="str">
        <f>IFERROR(VLOOKUP(B1435,infoTable__6[],4,FALSE),"")</f>
        <v/>
      </c>
      <c r="I1435" s="4">
        <f>IFERROR(VLOOKUP(B1435,infoTable__28[],4,FALSE),"")</f>
        <v>1845924</v>
      </c>
      <c r="J1435" s="4">
        <f>IFERROR(VLOOKUP(B1435,infoTable__10[],4,FALSE),"")</f>
        <v>3244561</v>
      </c>
      <c r="K1435" s="4" t="str">
        <f>IFERROR(VLOOKUP(B1435,infoTable__11[],4,FALSE),"")</f>
        <v/>
      </c>
      <c r="L1435" s="4" t="str">
        <f>IFERROR(VLOOKUP(B1435,infoTable__12[],4,FALSE),"")</f>
        <v/>
      </c>
      <c r="M1435" s="4" t="str">
        <f>IFERROR(VLOOKUP(B1435,infoTable__13[],4,FALSE),"")</f>
        <v/>
      </c>
      <c r="N1435" s="4" t="str">
        <f>IFERROR(VLOOKUP(B1435,infoTable__14[],4,FALSE),"")</f>
        <v/>
      </c>
      <c r="O1435" s="4" t="str">
        <f>IFERROR(VLOOKUP(B1435,infoTable__15[],4,FALSE),"")</f>
        <v/>
      </c>
      <c r="P1435" s="4" t="str">
        <f>IFERROR(VLOOKUP(B1435,infoTable__16[],4,FALSE),"")</f>
        <v/>
      </c>
    </row>
    <row r="1436" spans="1:16" x14ac:dyDescent="0.55000000000000004">
      <c r="A1436" t="s">
        <v>796</v>
      </c>
      <c r="B1436" t="s">
        <v>797</v>
      </c>
      <c r="C1436" s="4" t="str">
        <f>IFERROR(VLOOKUP(B1436,infoTable10[],4,FALSE),"")</f>
        <v/>
      </c>
      <c r="D1436" s="4" t="str">
        <f>IFERROR(VLOOKUP(B1436,infoTable__2[],4,FALSE),"")</f>
        <v/>
      </c>
      <c r="E1436" s="4">
        <f>IFERROR(VLOOKUP(B1436,infoTable__3[],4,FALSE),"")</f>
        <v>9189791</v>
      </c>
      <c r="F1436" s="4">
        <f>IFERROR(VLOOKUP(B1436,infoTable__4[],4,FALSE),"")</f>
        <v>2779437</v>
      </c>
      <c r="G1436" s="4" t="str">
        <f>IFERROR(VLOOKUP(B1436,infoTable[],4,FALSE),"")</f>
        <v/>
      </c>
      <c r="H1436" s="4" t="str">
        <f>IFERROR(VLOOKUP(B1436,infoTable__6[],4,FALSE),"")</f>
        <v/>
      </c>
      <c r="I1436" s="4" t="str">
        <f>IFERROR(VLOOKUP(B1436,infoTable__28[],4,FALSE),"")</f>
        <v/>
      </c>
      <c r="J1436" s="4" t="str">
        <f>IFERROR(VLOOKUP(B1436,infoTable__10[],4,FALSE),"")</f>
        <v/>
      </c>
      <c r="K1436" s="4" t="str">
        <f>IFERROR(VLOOKUP(B1436,infoTable__11[],4,FALSE),"")</f>
        <v/>
      </c>
      <c r="L1436" s="4" t="str">
        <f>IFERROR(VLOOKUP(B1436,infoTable__12[],4,FALSE),"")</f>
        <v/>
      </c>
      <c r="M1436" s="4" t="str">
        <f>IFERROR(VLOOKUP(B1436,infoTable__13[],4,FALSE),"")</f>
        <v/>
      </c>
      <c r="N1436" s="4" t="str">
        <f>IFERROR(VLOOKUP(B1436,infoTable__14[],4,FALSE),"")</f>
        <v/>
      </c>
      <c r="O1436" s="4" t="str">
        <f>IFERROR(VLOOKUP(B1436,infoTable__15[],4,FALSE),"")</f>
        <v/>
      </c>
      <c r="P1436" s="4" t="str">
        <f>IFERROR(VLOOKUP(B1436,infoTable__16[],4,FALSE),"")</f>
        <v/>
      </c>
    </row>
    <row r="1437" spans="1:16" x14ac:dyDescent="0.55000000000000004">
      <c r="A1437" t="s">
        <v>2602</v>
      </c>
      <c r="B1437" t="s">
        <v>2603</v>
      </c>
      <c r="C1437" s="4" t="str">
        <f>IFERROR(VLOOKUP(B1437,infoTable10[],4,FALSE),"")</f>
        <v/>
      </c>
      <c r="D1437" s="4" t="str">
        <f>IFERROR(VLOOKUP(B1437,infoTable__2[],4,FALSE),"")</f>
        <v/>
      </c>
      <c r="E1437" s="4" t="str">
        <f>IFERROR(VLOOKUP(B1437,infoTable__3[],4,FALSE),"")</f>
        <v/>
      </c>
      <c r="F1437" s="4" t="str">
        <f>IFERROR(VLOOKUP(B1437,infoTable__4[],4,FALSE),"")</f>
        <v/>
      </c>
      <c r="G1437" s="4" t="str">
        <f>IFERROR(VLOOKUP(B1437,infoTable[],4,FALSE),"")</f>
        <v/>
      </c>
      <c r="H1437" s="4" t="str">
        <f>IFERROR(VLOOKUP(B1437,infoTable__6[],4,FALSE),"")</f>
        <v/>
      </c>
      <c r="I1437" s="4" t="str">
        <f>IFERROR(VLOOKUP(B1437,infoTable__28[],4,FALSE),"")</f>
        <v/>
      </c>
      <c r="J1437" s="4" t="str">
        <f>IFERROR(VLOOKUP(B1437,infoTable__10[],4,FALSE),"")</f>
        <v/>
      </c>
      <c r="K1437" s="4" t="str">
        <f>IFERROR(VLOOKUP(B1437,infoTable__11[],4,FALSE),"")</f>
        <v/>
      </c>
      <c r="L1437" s="4" t="str">
        <f>IFERROR(VLOOKUP(B1437,infoTable__12[],4,FALSE),"")</f>
        <v/>
      </c>
      <c r="M1437" s="4">
        <f>IFERROR(VLOOKUP(B1437,infoTable__13[],4,FALSE),"")</f>
        <v>468389</v>
      </c>
      <c r="N1437" s="4" t="str">
        <f>IFERROR(VLOOKUP(B1437,infoTable__14[],4,FALSE),"")</f>
        <v/>
      </c>
      <c r="O1437" s="4" t="str">
        <f>IFERROR(VLOOKUP(B1437,infoTable__15[],4,FALSE),"")</f>
        <v/>
      </c>
      <c r="P1437" s="4" t="str">
        <f>IFERROR(VLOOKUP(B1437,infoTable__16[],4,FALSE),"")</f>
        <v/>
      </c>
    </row>
    <row r="1438" spans="1:16" x14ac:dyDescent="0.55000000000000004">
      <c r="A1438" t="s">
        <v>3185</v>
      </c>
      <c r="B1438" t="s">
        <v>3186</v>
      </c>
      <c r="C1438" s="4" t="str">
        <f>IFERROR(VLOOKUP(B1438,infoTable10[],4,FALSE),"")</f>
        <v/>
      </c>
      <c r="D1438" s="4" t="str">
        <f>IFERROR(VLOOKUP(B1438,infoTable__2[],4,FALSE),"")</f>
        <v/>
      </c>
      <c r="E1438" s="4" t="str">
        <f>IFERROR(VLOOKUP(B1438,infoTable__3[],4,FALSE),"")</f>
        <v/>
      </c>
      <c r="F1438" s="4" t="str">
        <f>IFERROR(VLOOKUP(B1438,infoTable__4[],4,FALSE),"")</f>
        <v/>
      </c>
      <c r="G1438" s="4" t="str">
        <f>IFERROR(VLOOKUP(B1438,infoTable[],4,FALSE),"")</f>
        <v/>
      </c>
      <c r="H1438" s="4" t="str">
        <f>IFERROR(VLOOKUP(B1438,infoTable__6[],4,FALSE),"")</f>
        <v/>
      </c>
      <c r="I1438" s="4" t="str">
        <f>IFERROR(VLOOKUP(B1438,infoTable__28[],4,FALSE),"")</f>
        <v/>
      </c>
      <c r="J1438" s="4" t="str">
        <f>IFERROR(VLOOKUP(B1438,infoTable__10[],4,FALSE),"")</f>
        <v/>
      </c>
      <c r="K1438" s="4" t="str">
        <f>IFERROR(VLOOKUP(B1438,infoTable__11[],4,FALSE),"")</f>
        <v/>
      </c>
      <c r="L1438" s="4" t="str">
        <f>IFERROR(VLOOKUP(B1438,infoTable__12[],4,FALSE),"")</f>
        <v/>
      </c>
      <c r="M1438" s="4" t="str">
        <f>IFERROR(VLOOKUP(B1438,infoTable__13[],4,FALSE),"")</f>
        <v/>
      </c>
      <c r="N1438" s="4" t="str">
        <f>IFERROR(VLOOKUP(B1438,infoTable__14[],4,FALSE),"")</f>
        <v/>
      </c>
      <c r="O1438" s="4">
        <f>IFERROR(VLOOKUP(B1438,infoTable__15[],4,FALSE),"")</f>
        <v>280329</v>
      </c>
      <c r="P1438" s="4" t="str">
        <f>IFERROR(VLOOKUP(B1438,infoTable__16[],4,FALSE),"")</f>
        <v/>
      </c>
    </row>
    <row r="1439" spans="1:16" x14ac:dyDescent="0.55000000000000004">
      <c r="A1439" t="s">
        <v>2350</v>
      </c>
      <c r="B1439" t="s">
        <v>2351</v>
      </c>
      <c r="C1439" s="4" t="str">
        <f>IFERROR(VLOOKUP(B1439,infoTable10[],4,FALSE),"")</f>
        <v/>
      </c>
      <c r="D1439" s="4" t="str">
        <f>IFERROR(VLOOKUP(B1439,infoTable__2[],4,FALSE),"")</f>
        <v/>
      </c>
      <c r="E1439" s="4" t="str">
        <f>IFERROR(VLOOKUP(B1439,infoTable__3[],4,FALSE),"")</f>
        <v/>
      </c>
      <c r="F1439" s="4" t="str">
        <f>IFERROR(VLOOKUP(B1439,infoTable__4[],4,FALSE),"")</f>
        <v/>
      </c>
      <c r="G1439" s="4" t="str">
        <f>IFERROR(VLOOKUP(B1439,infoTable[],4,FALSE),"")</f>
        <v/>
      </c>
      <c r="H1439" s="4" t="str">
        <f>IFERROR(VLOOKUP(B1439,infoTable__6[],4,FALSE),"")</f>
        <v/>
      </c>
      <c r="I1439" s="4" t="str">
        <f>IFERROR(VLOOKUP(B1439,infoTable__28[],4,FALSE),"")</f>
        <v/>
      </c>
      <c r="J1439" s="4" t="str">
        <f>IFERROR(VLOOKUP(B1439,infoTable__10[],4,FALSE),"")</f>
        <v/>
      </c>
      <c r="K1439" s="4" t="str">
        <f>IFERROR(VLOOKUP(B1439,infoTable__11[],4,FALSE),"")</f>
        <v/>
      </c>
      <c r="L1439" s="4">
        <f>IFERROR(VLOOKUP(B1439,infoTable__12[],4,FALSE),"")</f>
        <v>413991</v>
      </c>
      <c r="M1439" s="4">
        <f>IFERROR(VLOOKUP(B1439,infoTable__13[],4,FALSE),"")</f>
        <v>5296153</v>
      </c>
      <c r="N1439" s="4">
        <f>IFERROR(VLOOKUP(B1439,infoTable__14[],4,FALSE),"")</f>
        <v>3497934</v>
      </c>
      <c r="O1439" s="4">
        <f>IFERROR(VLOOKUP(B1439,infoTable__15[],4,FALSE),"")</f>
        <v>1224419</v>
      </c>
      <c r="P1439" s="4">
        <f>IFERROR(VLOOKUP(B1439,infoTable__16[],4,FALSE),"")</f>
        <v>1990877</v>
      </c>
    </row>
    <row r="1440" spans="1:16" x14ac:dyDescent="0.55000000000000004">
      <c r="A1440" t="s">
        <v>1555</v>
      </c>
      <c r="B1440" t="s">
        <v>1556</v>
      </c>
      <c r="C1440" s="4">
        <f>IFERROR(VLOOKUP(B1440,infoTable10[],4,FALSE),"")</f>
        <v>4017120</v>
      </c>
      <c r="D1440" s="4" t="str">
        <f>IFERROR(VLOOKUP(B1440,infoTable__2[],4,FALSE),"")</f>
        <v/>
      </c>
      <c r="E1440" s="4" t="str">
        <f>IFERROR(VLOOKUP(B1440,infoTable__3[],4,FALSE),"")</f>
        <v/>
      </c>
      <c r="F1440" s="4" t="str">
        <f>IFERROR(VLOOKUP(B1440,infoTable__4[],4,FALSE),"")</f>
        <v/>
      </c>
      <c r="G1440" s="4" t="str">
        <f>IFERROR(VLOOKUP(B1440,infoTable[],4,FALSE),"")</f>
        <v/>
      </c>
      <c r="H1440" s="4" t="str">
        <f>IFERROR(VLOOKUP(B1440,infoTable__6[],4,FALSE),"")</f>
        <v/>
      </c>
      <c r="I1440" s="4" t="str">
        <f>IFERROR(VLOOKUP(B1440,infoTable__28[],4,FALSE),"")</f>
        <v/>
      </c>
      <c r="J1440" s="4" t="str">
        <f>IFERROR(VLOOKUP(B1440,infoTable__10[],4,FALSE),"")</f>
        <v/>
      </c>
      <c r="K1440" s="4" t="str">
        <f>IFERROR(VLOOKUP(B1440,infoTable__11[],4,FALSE),"")</f>
        <v/>
      </c>
      <c r="L1440" s="4" t="str">
        <f>IFERROR(VLOOKUP(B1440,infoTable__12[],4,FALSE),"")</f>
        <v/>
      </c>
      <c r="M1440" s="4" t="str">
        <f>IFERROR(VLOOKUP(B1440,infoTable__13[],4,FALSE),"")</f>
        <v/>
      </c>
      <c r="N1440" s="4" t="str">
        <f>IFERROR(VLOOKUP(B1440,infoTable__14[],4,FALSE),"")</f>
        <v/>
      </c>
      <c r="O1440" s="4" t="str">
        <f>IFERROR(VLOOKUP(B1440,infoTable__15[],4,FALSE),"")</f>
        <v/>
      </c>
      <c r="P1440" s="4" t="str">
        <f>IFERROR(VLOOKUP(B1440,infoTable__16[],4,FALSE),"")</f>
        <v/>
      </c>
    </row>
    <row r="1441" spans="1:16" x14ac:dyDescent="0.55000000000000004">
      <c r="A1441" t="s">
        <v>1432</v>
      </c>
      <c r="B1441" t="s">
        <v>1433</v>
      </c>
      <c r="C1441" s="4" t="str">
        <f>IFERROR(VLOOKUP(B1441,infoTable10[],4,FALSE),"")</f>
        <v/>
      </c>
      <c r="D1441" s="4" t="str">
        <f>IFERROR(VLOOKUP(B1441,infoTable__2[],4,FALSE),"")</f>
        <v/>
      </c>
      <c r="E1441" s="4" t="str">
        <f>IFERROR(VLOOKUP(B1441,infoTable__3[],4,FALSE),"")</f>
        <v/>
      </c>
      <c r="F1441" s="4" t="str">
        <f>IFERROR(VLOOKUP(B1441,infoTable__4[],4,FALSE),"")</f>
        <v/>
      </c>
      <c r="G1441" s="4" t="str">
        <f>IFERROR(VLOOKUP(B1441,infoTable[],4,FALSE),"")</f>
        <v/>
      </c>
      <c r="H1441" s="4" t="str">
        <f>IFERROR(VLOOKUP(B1441,infoTable__6[],4,FALSE),"")</f>
        <v/>
      </c>
      <c r="I1441" s="4">
        <f>IFERROR(VLOOKUP(B1441,infoTable__28[],4,FALSE),"")</f>
        <v>1105103</v>
      </c>
      <c r="J1441" s="4" t="str">
        <f>IFERROR(VLOOKUP(B1441,infoTable__10[],4,FALSE),"")</f>
        <v/>
      </c>
      <c r="K1441" s="4">
        <f>IFERROR(VLOOKUP(B1441,infoTable__11[],4,FALSE),"")</f>
        <v>710303</v>
      </c>
      <c r="L1441" s="4">
        <f>IFERROR(VLOOKUP(B1441,infoTable__12[],4,FALSE),"")</f>
        <v>5901613</v>
      </c>
      <c r="M1441" s="4">
        <f>IFERROR(VLOOKUP(B1441,infoTable__13[],4,FALSE),"")</f>
        <v>1901183</v>
      </c>
      <c r="N1441" s="4">
        <f>IFERROR(VLOOKUP(B1441,infoTable__14[],4,FALSE),"")</f>
        <v>434400</v>
      </c>
      <c r="O1441" s="4">
        <f>IFERROR(VLOOKUP(B1441,infoTable__15[],4,FALSE),"")</f>
        <v>992263</v>
      </c>
      <c r="P1441" s="4">
        <f>IFERROR(VLOOKUP(B1441,infoTable__16[],4,FALSE),"")</f>
        <v>757803</v>
      </c>
    </row>
    <row r="1442" spans="1:16" x14ac:dyDescent="0.55000000000000004">
      <c r="A1442" t="s">
        <v>1789</v>
      </c>
      <c r="B1442" t="s">
        <v>1790</v>
      </c>
      <c r="C1442" s="4" t="str">
        <f>IFERROR(VLOOKUP(B1442,infoTable10[],4,FALSE),"")</f>
        <v/>
      </c>
      <c r="D1442" s="4" t="str">
        <f>IFERROR(VLOOKUP(B1442,infoTable__2[],4,FALSE),"")</f>
        <v/>
      </c>
      <c r="E1442" s="4" t="str">
        <f>IFERROR(VLOOKUP(B1442,infoTable__3[],4,FALSE),"")</f>
        <v/>
      </c>
      <c r="F1442" s="4" t="str">
        <f>IFERROR(VLOOKUP(B1442,infoTable__4[],4,FALSE),"")</f>
        <v/>
      </c>
      <c r="G1442" s="4" t="str">
        <f>IFERROR(VLOOKUP(B1442,infoTable[],4,FALSE),"")</f>
        <v/>
      </c>
      <c r="H1442" s="4" t="str">
        <f>IFERROR(VLOOKUP(B1442,infoTable__6[],4,FALSE),"")</f>
        <v/>
      </c>
      <c r="I1442" s="4" t="str">
        <f>IFERROR(VLOOKUP(B1442,infoTable__28[],4,FALSE),"")</f>
        <v/>
      </c>
      <c r="J1442" s="4">
        <f>IFERROR(VLOOKUP(B1442,infoTable__10[],4,FALSE),"")</f>
        <v>362099</v>
      </c>
      <c r="K1442" s="4" t="str">
        <f>IFERROR(VLOOKUP(B1442,infoTable__11[],4,FALSE),"")</f>
        <v/>
      </c>
      <c r="L1442" s="4" t="str">
        <f>IFERROR(VLOOKUP(B1442,infoTable__12[],4,FALSE),"")</f>
        <v/>
      </c>
      <c r="M1442" s="4" t="str">
        <f>IFERROR(VLOOKUP(B1442,infoTable__13[],4,FALSE),"")</f>
        <v/>
      </c>
      <c r="N1442" s="4" t="str">
        <f>IFERROR(VLOOKUP(B1442,infoTable__14[],4,FALSE),"")</f>
        <v/>
      </c>
      <c r="O1442" s="4">
        <f>IFERROR(VLOOKUP(B1442,infoTable__15[],4,FALSE),"")</f>
        <v>2042975</v>
      </c>
      <c r="P1442" s="4" t="str">
        <f>IFERROR(VLOOKUP(B1442,infoTable__16[],4,FALSE),"")</f>
        <v/>
      </c>
    </row>
    <row r="1443" spans="1:16" x14ac:dyDescent="0.55000000000000004">
      <c r="A1443" t="s">
        <v>430</v>
      </c>
      <c r="B1443" t="s">
        <v>431</v>
      </c>
      <c r="C1443" s="4" t="str">
        <f>IFERROR(VLOOKUP(B1443,infoTable10[],4,FALSE),"")</f>
        <v/>
      </c>
      <c r="D1443" s="4">
        <f>IFERROR(VLOOKUP(B1443,infoTable__2[],4,FALSE),"")</f>
        <v>446113</v>
      </c>
      <c r="E1443" s="4">
        <f>IFERROR(VLOOKUP(B1443,infoTable__3[],4,FALSE),"")</f>
        <v>1962333</v>
      </c>
      <c r="F1443" s="4">
        <f>IFERROR(VLOOKUP(B1443,infoTable__4[],4,FALSE),"")</f>
        <v>882120</v>
      </c>
      <c r="G1443" s="4">
        <f>IFERROR(VLOOKUP(B1443,infoTable[],4,FALSE),"")</f>
        <v>224507</v>
      </c>
      <c r="H1443" s="4" t="str">
        <f>IFERROR(VLOOKUP(B1443,infoTable__6[],4,FALSE),"")</f>
        <v/>
      </c>
      <c r="I1443" s="4" t="str">
        <f>IFERROR(VLOOKUP(B1443,infoTable__28[],4,FALSE),"")</f>
        <v/>
      </c>
      <c r="J1443" s="4">
        <f>IFERROR(VLOOKUP(B1443,infoTable__10[],4,FALSE),"")</f>
        <v>658762</v>
      </c>
      <c r="K1443" s="4">
        <f>IFERROR(VLOOKUP(B1443,infoTable__11[],4,FALSE),"")</f>
        <v>553400</v>
      </c>
      <c r="L1443" s="4">
        <f>IFERROR(VLOOKUP(B1443,infoTable__12[],4,FALSE),"")</f>
        <v>459456</v>
      </c>
      <c r="M1443" s="4" t="str">
        <f>IFERROR(VLOOKUP(B1443,infoTable__13[],4,FALSE),"")</f>
        <v/>
      </c>
      <c r="N1443" s="4" t="str">
        <f>IFERROR(VLOOKUP(B1443,infoTable__14[],4,FALSE),"")</f>
        <v/>
      </c>
      <c r="O1443" s="4" t="str">
        <f>IFERROR(VLOOKUP(B1443,infoTable__15[],4,FALSE),"")</f>
        <v/>
      </c>
      <c r="P1443" s="4" t="str">
        <f>IFERROR(VLOOKUP(B1443,infoTable__16[],4,FALSE),"")</f>
        <v/>
      </c>
    </row>
    <row r="1444" spans="1:16" x14ac:dyDescent="0.55000000000000004">
      <c r="A1444" t="s">
        <v>3547</v>
      </c>
      <c r="B1444" t="s">
        <v>3548</v>
      </c>
      <c r="C1444" s="4" t="str">
        <f>IFERROR(VLOOKUP(B1444,infoTable10[],4,FALSE),"")</f>
        <v/>
      </c>
      <c r="D1444" s="4" t="str">
        <f>IFERROR(VLOOKUP(B1444,infoTable__2[],4,FALSE),"")</f>
        <v/>
      </c>
      <c r="E1444" s="4" t="str">
        <f>IFERROR(VLOOKUP(B1444,infoTable__3[],4,FALSE),"")</f>
        <v/>
      </c>
      <c r="F1444" s="4" t="str">
        <f>IFERROR(VLOOKUP(B1444,infoTable__4[],4,FALSE),"")</f>
        <v/>
      </c>
      <c r="G1444" s="4" t="str">
        <f>IFERROR(VLOOKUP(B1444,infoTable[],4,FALSE),"")</f>
        <v/>
      </c>
      <c r="H1444" s="4" t="str">
        <f>IFERROR(VLOOKUP(B1444,infoTable__6[],4,FALSE),"")</f>
        <v/>
      </c>
      <c r="I1444" s="4" t="str">
        <f>IFERROR(VLOOKUP(B1444,infoTable__28[],4,FALSE),"")</f>
        <v/>
      </c>
      <c r="J1444" s="4" t="str">
        <f>IFERROR(VLOOKUP(B1444,infoTable__10[],4,FALSE),"")</f>
        <v/>
      </c>
      <c r="K1444" s="4" t="str">
        <f>IFERROR(VLOOKUP(B1444,infoTable__11[],4,FALSE),"")</f>
        <v/>
      </c>
      <c r="L1444" s="4" t="str">
        <f>IFERROR(VLOOKUP(B1444,infoTable__12[],4,FALSE),"")</f>
        <v/>
      </c>
      <c r="M1444" s="4" t="str">
        <f>IFERROR(VLOOKUP(B1444,infoTable__13[],4,FALSE),"")</f>
        <v/>
      </c>
      <c r="N1444" s="4" t="str">
        <f>IFERROR(VLOOKUP(B1444,infoTable__14[],4,FALSE),"")</f>
        <v/>
      </c>
      <c r="O1444" s="4" t="str">
        <f>IFERROR(VLOOKUP(B1444,infoTable__15[],4,FALSE),"")</f>
        <v/>
      </c>
      <c r="P1444" s="4">
        <f>IFERROR(VLOOKUP(B1444,infoTable__16[],4,FALSE),"")</f>
        <v>451542</v>
      </c>
    </row>
    <row r="1445" spans="1:16" x14ac:dyDescent="0.55000000000000004">
      <c r="A1445" t="s">
        <v>694</v>
      </c>
      <c r="B1445" t="s">
        <v>695</v>
      </c>
      <c r="C1445" s="4">
        <f>IFERROR(VLOOKUP(B1445,infoTable10[],4,FALSE),"")</f>
        <v>628094</v>
      </c>
      <c r="D1445" s="4">
        <f>IFERROR(VLOOKUP(B1445,infoTable__2[],4,FALSE),"")</f>
        <v>1332582</v>
      </c>
      <c r="E1445" s="4">
        <f>IFERROR(VLOOKUP(B1445,infoTable__3[],4,FALSE),"")</f>
        <v>1608110</v>
      </c>
      <c r="F1445" s="4" t="str">
        <f>IFERROR(VLOOKUP(B1445,infoTable__4[],4,FALSE),"")</f>
        <v/>
      </c>
      <c r="G1445" s="4" t="str">
        <f>IFERROR(VLOOKUP(B1445,infoTable[],4,FALSE),"")</f>
        <v/>
      </c>
      <c r="H1445" s="4" t="str">
        <f>IFERROR(VLOOKUP(B1445,infoTable__6[],4,FALSE),"")</f>
        <v/>
      </c>
      <c r="I1445" s="4" t="str">
        <f>IFERROR(VLOOKUP(B1445,infoTable__28[],4,FALSE),"")</f>
        <v/>
      </c>
      <c r="J1445" s="4">
        <f>IFERROR(VLOOKUP(B1445,infoTable__10[],4,FALSE),"")</f>
        <v>572712</v>
      </c>
      <c r="K1445" s="4" t="str">
        <f>IFERROR(VLOOKUP(B1445,infoTable__11[],4,FALSE),"")</f>
        <v/>
      </c>
      <c r="L1445" s="4" t="str">
        <f>IFERROR(VLOOKUP(B1445,infoTable__12[],4,FALSE),"")</f>
        <v/>
      </c>
      <c r="M1445" s="4">
        <f>IFERROR(VLOOKUP(B1445,infoTable__13[],4,FALSE),"")</f>
        <v>272938</v>
      </c>
      <c r="N1445" s="4">
        <f>IFERROR(VLOOKUP(B1445,infoTable__14[],4,FALSE),"")</f>
        <v>276385</v>
      </c>
      <c r="O1445" s="4" t="str">
        <f>IFERROR(VLOOKUP(B1445,infoTable__15[],4,FALSE),"")</f>
        <v/>
      </c>
      <c r="P1445" s="4" t="str">
        <f>IFERROR(VLOOKUP(B1445,infoTable__16[],4,FALSE),"")</f>
        <v/>
      </c>
    </row>
    <row r="1446" spans="1:16" x14ac:dyDescent="0.55000000000000004">
      <c r="A1446" t="s">
        <v>2017</v>
      </c>
      <c r="B1446" t="s">
        <v>2018</v>
      </c>
      <c r="C1446" s="4" t="str">
        <f>IFERROR(VLOOKUP(B1446,infoTable10[],4,FALSE),"")</f>
        <v/>
      </c>
      <c r="D1446" s="4" t="str">
        <f>IFERROR(VLOOKUP(B1446,infoTable__2[],4,FALSE),"")</f>
        <v/>
      </c>
      <c r="E1446" s="4" t="str">
        <f>IFERROR(VLOOKUP(B1446,infoTable__3[],4,FALSE),"")</f>
        <v/>
      </c>
      <c r="F1446" s="4" t="str">
        <f>IFERROR(VLOOKUP(B1446,infoTable__4[],4,FALSE),"")</f>
        <v/>
      </c>
      <c r="G1446" s="4" t="str">
        <f>IFERROR(VLOOKUP(B1446,infoTable[],4,FALSE),"")</f>
        <v/>
      </c>
      <c r="H1446" s="4" t="str">
        <f>IFERROR(VLOOKUP(B1446,infoTable__6[],4,FALSE),"")</f>
        <v/>
      </c>
      <c r="I1446" s="4" t="str">
        <f>IFERROR(VLOOKUP(B1446,infoTable__28[],4,FALSE),"")</f>
        <v/>
      </c>
      <c r="J1446" s="4" t="str">
        <f>IFERROR(VLOOKUP(B1446,infoTable__10[],4,FALSE),"")</f>
        <v/>
      </c>
      <c r="K1446" s="4">
        <f>IFERROR(VLOOKUP(B1446,infoTable__11[],4,FALSE),"")</f>
        <v>377030</v>
      </c>
      <c r="L1446" s="4">
        <f>IFERROR(VLOOKUP(B1446,infoTable__12[],4,FALSE),"")</f>
        <v>325134</v>
      </c>
      <c r="M1446" s="4">
        <f>IFERROR(VLOOKUP(B1446,infoTable__13[],4,FALSE),"")</f>
        <v>387561</v>
      </c>
      <c r="N1446" s="4">
        <f>IFERROR(VLOOKUP(B1446,infoTable__14[],4,FALSE),"")</f>
        <v>471195</v>
      </c>
      <c r="O1446" s="4">
        <f>IFERROR(VLOOKUP(B1446,infoTable__15[],4,FALSE),"")</f>
        <v>1948744</v>
      </c>
      <c r="P1446" s="4">
        <f>IFERROR(VLOOKUP(B1446,infoTable__16[],4,FALSE),"")</f>
        <v>2260410</v>
      </c>
    </row>
    <row r="1447" spans="1:16" x14ac:dyDescent="0.55000000000000004">
      <c r="A1447" t="s">
        <v>2606</v>
      </c>
      <c r="B1447" t="s">
        <v>2607</v>
      </c>
      <c r="C1447" s="4" t="str">
        <f>IFERROR(VLOOKUP(B1447,infoTable10[],4,FALSE),"")</f>
        <v/>
      </c>
      <c r="D1447" s="4" t="str">
        <f>IFERROR(VLOOKUP(B1447,infoTable__2[],4,FALSE),"")</f>
        <v/>
      </c>
      <c r="E1447" s="4" t="str">
        <f>IFERROR(VLOOKUP(B1447,infoTable__3[],4,FALSE),"")</f>
        <v/>
      </c>
      <c r="F1447" s="4" t="str">
        <f>IFERROR(VLOOKUP(B1447,infoTable__4[],4,FALSE),"")</f>
        <v/>
      </c>
      <c r="G1447" s="4" t="str">
        <f>IFERROR(VLOOKUP(B1447,infoTable[],4,FALSE),"")</f>
        <v/>
      </c>
      <c r="H1447" s="4" t="str">
        <f>IFERROR(VLOOKUP(B1447,infoTable__6[],4,FALSE),"")</f>
        <v/>
      </c>
      <c r="I1447" s="4" t="str">
        <f>IFERROR(VLOOKUP(B1447,infoTable__28[],4,FALSE),"")</f>
        <v/>
      </c>
      <c r="J1447" s="4" t="str">
        <f>IFERROR(VLOOKUP(B1447,infoTable__10[],4,FALSE),"")</f>
        <v/>
      </c>
      <c r="K1447" s="4" t="str">
        <f>IFERROR(VLOOKUP(B1447,infoTable__11[],4,FALSE),"")</f>
        <v/>
      </c>
      <c r="L1447" s="4" t="str">
        <f>IFERROR(VLOOKUP(B1447,infoTable__12[],4,FALSE),"")</f>
        <v/>
      </c>
      <c r="M1447" s="4">
        <f>IFERROR(VLOOKUP(B1447,infoTable__13[],4,FALSE),"")</f>
        <v>1121597</v>
      </c>
      <c r="N1447" s="4" t="str">
        <f>IFERROR(VLOOKUP(B1447,infoTable__14[],4,FALSE),"")</f>
        <v/>
      </c>
      <c r="O1447" s="4" t="str">
        <f>IFERROR(VLOOKUP(B1447,infoTable__15[],4,FALSE),"")</f>
        <v/>
      </c>
      <c r="P1447" s="4" t="str">
        <f>IFERROR(VLOOKUP(B1447,infoTable__16[],4,FALSE),"")</f>
        <v/>
      </c>
    </row>
    <row r="1448" spans="1:16" x14ac:dyDescent="0.55000000000000004">
      <c r="A1448" t="s">
        <v>1557</v>
      </c>
      <c r="B1448" t="s">
        <v>1558</v>
      </c>
      <c r="C1448" s="4">
        <f>IFERROR(VLOOKUP(B1448,infoTable10[],4,FALSE),"")</f>
        <v>1552077</v>
      </c>
      <c r="D1448" s="4" t="str">
        <f>IFERROR(VLOOKUP(B1448,infoTable__2[],4,FALSE),"")</f>
        <v/>
      </c>
      <c r="E1448" s="4" t="str">
        <f>IFERROR(VLOOKUP(B1448,infoTable__3[],4,FALSE),"")</f>
        <v/>
      </c>
      <c r="F1448" s="4" t="str">
        <f>IFERROR(VLOOKUP(B1448,infoTable__4[],4,FALSE),"")</f>
        <v/>
      </c>
      <c r="G1448" s="4" t="str">
        <f>IFERROR(VLOOKUP(B1448,infoTable[],4,FALSE),"")</f>
        <v/>
      </c>
      <c r="H1448" s="4" t="str">
        <f>IFERROR(VLOOKUP(B1448,infoTable__6[],4,FALSE),"")</f>
        <v/>
      </c>
      <c r="I1448" s="4" t="str">
        <f>IFERROR(VLOOKUP(B1448,infoTable__28[],4,FALSE),"")</f>
        <v/>
      </c>
      <c r="J1448" s="4" t="str">
        <f>IFERROR(VLOOKUP(B1448,infoTable__10[],4,FALSE),"")</f>
        <v/>
      </c>
      <c r="K1448" s="4" t="str">
        <f>IFERROR(VLOOKUP(B1448,infoTable__11[],4,FALSE),"")</f>
        <v/>
      </c>
      <c r="L1448" s="4" t="str">
        <f>IFERROR(VLOOKUP(B1448,infoTable__12[],4,FALSE),"")</f>
        <v/>
      </c>
      <c r="M1448" s="4" t="str">
        <f>IFERROR(VLOOKUP(B1448,infoTable__13[],4,FALSE),"")</f>
        <v/>
      </c>
      <c r="N1448" s="4" t="str">
        <f>IFERROR(VLOOKUP(B1448,infoTable__14[],4,FALSE),"")</f>
        <v/>
      </c>
      <c r="O1448" s="4" t="str">
        <f>IFERROR(VLOOKUP(B1448,infoTable__15[],4,FALSE),"")</f>
        <v/>
      </c>
      <c r="P1448" s="4" t="str">
        <f>IFERROR(VLOOKUP(B1448,infoTable__16[],4,FALSE),"")</f>
        <v/>
      </c>
    </row>
    <row r="1449" spans="1:16" x14ac:dyDescent="0.55000000000000004">
      <c r="A1449" t="s">
        <v>2019</v>
      </c>
      <c r="B1449" t="s">
        <v>2020</v>
      </c>
      <c r="C1449" s="4" t="str">
        <f>IFERROR(VLOOKUP(B1449,infoTable10[],4,FALSE),"")</f>
        <v/>
      </c>
      <c r="D1449" s="4" t="str">
        <f>IFERROR(VLOOKUP(B1449,infoTable__2[],4,FALSE),"")</f>
        <v/>
      </c>
      <c r="E1449" s="4" t="str">
        <f>IFERROR(VLOOKUP(B1449,infoTable__3[],4,FALSE),"")</f>
        <v/>
      </c>
      <c r="F1449" s="4" t="str">
        <f>IFERROR(VLOOKUP(B1449,infoTable__4[],4,FALSE),"")</f>
        <v/>
      </c>
      <c r="G1449" s="4" t="str">
        <f>IFERROR(VLOOKUP(B1449,infoTable[],4,FALSE),"")</f>
        <v/>
      </c>
      <c r="H1449" s="4" t="str">
        <f>IFERROR(VLOOKUP(B1449,infoTable__6[],4,FALSE),"")</f>
        <v/>
      </c>
      <c r="I1449" s="4" t="str">
        <f>IFERROR(VLOOKUP(B1449,infoTable__28[],4,FALSE),"")</f>
        <v/>
      </c>
      <c r="J1449" s="4" t="str">
        <f>IFERROR(VLOOKUP(B1449,infoTable__10[],4,FALSE),"")</f>
        <v/>
      </c>
      <c r="K1449" s="4">
        <f>IFERROR(VLOOKUP(B1449,infoTable__11[],4,FALSE),"")</f>
        <v>1033647</v>
      </c>
      <c r="L1449" s="4">
        <f>IFERROR(VLOOKUP(B1449,infoTable__12[],4,FALSE),"")</f>
        <v>742759</v>
      </c>
      <c r="M1449" s="4" t="str">
        <f>IFERROR(VLOOKUP(B1449,infoTable__13[],4,FALSE),"")</f>
        <v/>
      </c>
      <c r="N1449" s="4" t="str">
        <f>IFERROR(VLOOKUP(B1449,infoTable__14[],4,FALSE),"")</f>
        <v/>
      </c>
      <c r="O1449" s="4" t="str">
        <f>IFERROR(VLOOKUP(B1449,infoTable__15[],4,FALSE),"")</f>
        <v/>
      </c>
      <c r="P1449" s="4" t="str">
        <f>IFERROR(VLOOKUP(B1449,infoTable__16[],4,FALSE),"")</f>
        <v/>
      </c>
    </row>
    <row r="1450" spans="1:16" x14ac:dyDescent="0.55000000000000004">
      <c r="A1450" t="s">
        <v>2358</v>
      </c>
      <c r="B1450" t="s">
        <v>2359</v>
      </c>
      <c r="C1450" s="4" t="str">
        <f>IFERROR(VLOOKUP(B1450,infoTable10[],4,FALSE),"")</f>
        <v/>
      </c>
      <c r="D1450" s="4" t="str">
        <f>IFERROR(VLOOKUP(B1450,infoTable__2[],4,FALSE),"")</f>
        <v/>
      </c>
      <c r="E1450" s="4" t="str">
        <f>IFERROR(VLOOKUP(B1450,infoTable__3[],4,FALSE),"")</f>
        <v/>
      </c>
      <c r="F1450" s="4" t="str">
        <f>IFERROR(VLOOKUP(B1450,infoTable__4[],4,FALSE),"")</f>
        <v/>
      </c>
      <c r="G1450" s="4" t="str">
        <f>IFERROR(VLOOKUP(B1450,infoTable[],4,FALSE),"")</f>
        <v/>
      </c>
      <c r="H1450" s="4" t="str">
        <f>IFERROR(VLOOKUP(B1450,infoTable__6[],4,FALSE),"")</f>
        <v/>
      </c>
      <c r="I1450" s="4" t="str">
        <f>IFERROR(VLOOKUP(B1450,infoTable__28[],4,FALSE),"")</f>
        <v/>
      </c>
      <c r="J1450" s="4" t="str">
        <f>IFERROR(VLOOKUP(B1450,infoTable__10[],4,FALSE),"")</f>
        <v/>
      </c>
      <c r="K1450" s="4" t="str">
        <f>IFERROR(VLOOKUP(B1450,infoTable__11[],4,FALSE),"")</f>
        <v/>
      </c>
      <c r="L1450" s="4">
        <f>IFERROR(VLOOKUP(B1450,infoTable__12[],4,FALSE),"")</f>
        <v>649152</v>
      </c>
      <c r="M1450" s="4">
        <f>IFERROR(VLOOKUP(B1450,infoTable__13[],4,FALSE),"")</f>
        <v>2092334</v>
      </c>
      <c r="N1450" s="4">
        <f>IFERROR(VLOOKUP(B1450,infoTable__14[],4,FALSE),"")</f>
        <v>2059974</v>
      </c>
      <c r="O1450" s="4">
        <f>IFERROR(VLOOKUP(B1450,infoTable__15[],4,FALSE),"")</f>
        <v>1360250</v>
      </c>
      <c r="P1450" s="4">
        <f>IFERROR(VLOOKUP(B1450,infoTable__16[],4,FALSE),"")</f>
        <v>1765080</v>
      </c>
    </row>
    <row r="1451" spans="1:16" x14ac:dyDescent="0.55000000000000004">
      <c r="A1451" t="s">
        <v>696</v>
      </c>
      <c r="B1451" t="s">
        <v>697</v>
      </c>
      <c r="C1451" s="4" t="str">
        <f>IFERROR(VLOOKUP(B1451,infoTable10[],4,FALSE),"")</f>
        <v/>
      </c>
      <c r="D1451" s="4">
        <f>IFERROR(VLOOKUP(B1451,infoTable__2[],4,FALSE),"")</f>
        <v>261292</v>
      </c>
      <c r="E1451" s="4" t="str">
        <f>IFERROR(VLOOKUP(B1451,infoTable__3[],4,FALSE),"")</f>
        <v/>
      </c>
      <c r="F1451" s="4" t="str">
        <f>IFERROR(VLOOKUP(B1451,infoTable__4[],4,FALSE),"")</f>
        <v/>
      </c>
      <c r="G1451" s="4" t="str">
        <f>IFERROR(VLOOKUP(B1451,infoTable[],4,FALSE),"")</f>
        <v/>
      </c>
      <c r="H1451" s="4" t="str">
        <f>IFERROR(VLOOKUP(B1451,infoTable__6[],4,FALSE),"")</f>
        <v/>
      </c>
      <c r="I1451" s="4" t="str">
        <f>IFERROR(VLOOKUP(B1451,infoTable__28[],4,FALSE),"")</f>
        <v/>
      </c>
      <c r="J1451" s="4" t="str">
        <f>IFERROR(VLOOKUP(B1451,infoTable__10[],4,FALSE),"")</f>
        <v/>
      </c>
      <c r="K1451" s="4" t="str">
        <f>IFERROR(VLOOKUP(B1451,infoTable__11[],4,FALSE),"")</f>
        <v/>
      </c>
      <c r="L1451" s="4" t="str">
        <f>IFERROR(VLOOKUP(B1451,infoTable__12[],4,FALSE),"")</f>
        <v/>
      </c>
      <c r="M1451" s="4" t="str">
        <f>IFERROR(VLOOKUP(B1451,infoTable__13[],4,FALSE),"")</f>
        <v/>
      </c>
      <c r="N1451" s="4" t="str">
        <f>IFERROR(VLOOKUP(B1451,infoTable__14[],4,FALSE),"")</f>
        <v/>
      </c>
      <c r="O1451" s="4" t="str">
        <f>IFERROR(VLOOKUP(B1451,infoTable__15[],4,FALSE),"")</f>
        <v/>
      </c>
      <c r="P1451" s="4" t="str">
        <f>IFERROR(VLOOKUP(B1451,infoTable__16[],4,FALSE),"")</f>
        <v/>
      </c>
    </row>
    <row r="1452" spans="1:16" x14ac:dyDescent="0.55000000000000004">
      <c r="A1452" t="s">
        <v>414</v>
      </c>
      <c r="B1452" t="s">
        <v>415</v>
      </c>
      <c r="C1452" s="4">
        <f>IFERROR(VLOOKUP(B1452,infoTable10[],4,FALSE),"")</f>
        <v>501167</v>
      </c>
      <c r="D1452" s="4">
        <f>IFERROR(VLOOKUP(B1452,infoTable__2[],4,FALSE),"")</f>
        <v>4171713</v>
      </c>
      <c r="E1452" s="4">
        <f>IFERROR(VLOOKUP(B1452,infoTable__3[],4,FALSE),"")</f>
        <v>6112501</v>
      </c>
      <c r="F1452" s="4">
        <f>IFERROR(VLOOKUP(B1452,infoTable__4[],4,FALSE),"")</f>
        <v>764941</v>
      </c>
      <c r="G1452" s="4">
        <f>IFERROR(VLOOKUP(B1452,infoTable[],4,FALSE),"")</f>
        <v>359756</v>
      </c>
      <c r="H1452" s="4">
        <f>IFERROR(VLOOKUP(B1452,infoTable__6[],4,FALSE),"")</f>
        <v>277810</v>
      </c>
      <c r="I1452" s="4">
        <f>IFERROR(VLOOKUP(B1452,infoTable__28[],4,FALSE),"")</f>
        <v>236021</v>
      </c>
      <c r="J1452" s="4" t="str">
        <f>IFERROR(VLOOKUP(B1452,infoTable__10[],4,FALSE),"")</f>
        <v/>
      </c>
      <c r="K1452" s="4" t="str">
        <f>IFERROR(VLOOKUP(B1452,infoTable__11[],4,FALSE),"")</f>
        <v/>
      </c>
      <c r="L1452" s="4" t="str">
        <f>IFERROR(VLOOKUP(B1452,infoTable__12[],4,FALSE),"")</f>
        <v/>
      </c>
      <c r="M1452" s="4" t="str">
        <f>IFERROR(VLOOKUP(B1452,infoTable__13[],4,FALSE),"")</f>
        <v/>
      </c>
      <c r="N1452" s="4" t="str">
        <f>IFERROR(VLOOKUP(B1452,infoTable__14[],4,FALSE),"")</f>
        <v/>
      </c>
      <c r="O1452" s="4" t="str">
        <f>IFERROR(VLOOKUP(B1452,infoTable__15[],4,FALSE),"")</f>
        <v/>
      </c>
      <c r="P1452" s="4" t="str">
        <f>IFERROR(VLOOKUP(B1452,infoTable__16[],4,FALSE),"")</f>
        <v/>
      </c>
    </row>
    <row r="1453" spans="1:16" x14ac:dyDescent="0.55000000000000004">
      <c r="A1453" t="s">
        <v>1114</v>
      </c>
      <c r="B1453" t="s">
        <v>1115</v>
      </c>
      <c r="C1453" s="4" t="str">
        <f>IFERROR(VLOOKUP(B1453,infoTable10[],4,FALSE),"")</f>
        <v/>
      </c>
      <c r="D1453" s="4" t="str">
        <f>IFERROR(VLOOKUP(B1453,infoTable__2[],4,FALSE),"")</f>
        <v/>
      </c>
      <c r="E1453" s="4" t="str">
        <f>IFERROR(VLOOKUP(B1453,infoTable__3[],4,FALSE),"")</f>
        <v/>
      </c>
      <c r="F1453" s="4" t="str">
        <f>IFERROR(VLOOKUP(B1453,infoTable__4[],4,FALSE),"")</f>
        <v/>
      </c>
      <c r="G1453" s="4" t="str">
        <f>IFERROR(VLOOKUP(B1453,infoTable[],4,FALSE),"")</f>
        <v/>
      </c>
      <c r="H1453" s="4">
        <f>IFERROR(VLOOKUP(B1453,infoTable__6[],4,FALSE),"")</f>
        <v>298314</v>
      </c>
      <c r="I1453" s="4">
        <f>IFERROR(VLOOKUP(B1453,infoTable__28[],4,FALSE),"")</f>
        <v>434018</v>
      </c>
      <c r="J1453" s="4">
        <f>IFERROR(VLOOKUP(B1453,infoTable__10[],4,FALSE),"")</f>
        <v>920903</v>
      </c>
      <c r="K1453" s="4">
        <f>IFERROR(VLOOKUP(B1453,infoTable__11[],4,FALSE),"")</f>
        <v>376195</v>
      </c>
      <c r="L1453" s="4">
        <f>IFERROR(VLOOKUP(B1453,infoTable__12[],4,FALSE),"")</f>
        <v>434703</v>
      </c>
      <c r="M1453" s="4" t="str">
        <f>IFERROR(VLOOKUP(B1453,infoTable__13[],4,FALSE),"")</f>
        <v/>
      </c>
      <c r="N1453" s="4" t="str">
        <f>IFERROR(VLOOKUP(B1453,infoTable__14[],4,FALSE),"")</f>
        <v/>
      </c>
      <c r="O1453" s="4" t="str">
        <f>IFERROR(VLOOKUP(B1453,infoTable__15[],4,FALSE),"")</f>
        <v/>
      </c>
      <c r="P1453" s="4" t="str">
        <f>IFERROR(VLOOKUP(B1453,infoTable__16[],4,FALSE),"")</f>
        <v/>
      </c>
    </row>
    <row r="1454" spans="1:16" x14ac:dyDescent="0.55000000000000004">
      <c r="A1454" t="s">
        <v>2897</v>
      </c>
      <c r="B1454" t="s">
        <v>2896</v>
      </c>
      <c r="C1454" s="4" t="str">
        <f>IFERROR(VLOOKUP(B1454,infoTable10[],4,FALSE),"")</f>
        <v/>
      </c>
      <c r="D1454" s="4" t="str">
        <f>IFERROR(VLOOKUP(B1454,infoTable__2[],4,FALSE),"")</f>
        <v/>
      </c>
      <c r="E1454" s="4" t="str">
        <f>IFERROR(VLOOKUP(B1454,infoTable__3[],4,FALSE),"")</f>
        <v/>
      </c>
      <c r="F1454" s="4" t="str">
        <f>IFERROR(VLOOKUP(B1454,infoTable__4[],4,FALSE),"")</f>
        <v/>
      </c>
      <c r="G1454" s="4" t="str">
        <f>IFERROR(VLOOKUP(B1454,infoTable[],4,FALSE),"")</f>
        <v/>
      </c>
      <c r="H1454" s="4" t="str">
        <f>IFERROR(VLOOKUP(B1454,infoTable__6[],4,FALSE),"")</f>
        <v/>
      </c>
      <c r="I1454" s="4" t="str">
        <f>IFERROR(VLOOKUP(B1454,infoTable__28[],4,FALSE),"")</f>
        <v/>
      </c>
      <c r="J1454" s="4" t="str">
        <f>IFERROR(VLOOKUP(B1454,infoTable__10[],4,FALSE),"")</f>
        <v/>
      </c>
      <c r="K1454" s="4" t="str">
        <f>IFERROR(VLOOKUP(B1454,infoTable__11[],4,FALSE),"")</f>
        <v/>
      </c>
      <c r="L1454" s="4" t="str">
        <f>IFERROR(VLOOKUP(B1454,infoTable__12[],4,FALSE),"")</f>
        <v/>
      </c>
      <c r="M1454" s="4" t="str">
        <f>IFERROR(VLOOKUP(B1454,infoTable__13[],4,FALSE),"")</f>
        <v/>
      </c>
      <c r="N1454" s="4">
        <f>IFERROR(VLOOKUP(B1454,infoTable__14[],4,FALSE),"")</f>
        <v>1092491</v>
      </c>
      <c r="O1454" s="4">
        <f>IFERROR(VLOOKUP(B1454,infoTable__15[],4,FALSE),"")</f>
        <v>1440289</v>
      </c>
      <c r="P1454" s="4">
        <f>IFERROR(VLOOKUP(B1454,infoTable__16[],4,FALSE),"")</f>
        <v>371121</v>
      </c>
    </row>
    <row r="1455" spans="1:16" x14ac:dyDescent="0.55000000000000004">
      <c r="A1455" t="s">
        <v>2899</v>
      </c>
      <c r="B1455" t="s">
        <v>2898</v>
      </c>
      <c r="C1455" s="4" t="str">
        <f>IFERROR(VLOOKUP(B1455,infoTable10[],4,FALSE),"")</f>
        <v/>
      </c>
      <c r="D1455" s="4" t="str">
        <f>IFERROR(VLOOKUP(B1455,infoTable__2[],4,FALSE),"")</f>
        <v/>
      </c>
      <c r="E1455" s="4" t="str">
        <f>IFERROR(VLOOKUP(B1455,infoTable__3[],4,FALSE),"")</f>
        <v/>
      </c>
      <c r="F1455" s="4" t="str">
        <f>IFERROR(VLOOKUP(B1455,infoTable__4[],4,FALSE),"")</f>
        <v/>
      </c>
      <c r="G1455" s="4" t="str">
        <f>IFERROR(VLOOKUP(B1455,infoTable[],4,FALSE),"")</f>
        <v/>
      </c>
      <c r="H1455" s="4" t="str">
        <f>IFERROR(VLOOKUP(B1455,infoTable__6[],4,FALSE),"")</f>
        <v/>
      </c>
      <c r="I1455" s="4" t="str">
        <f>IFERROR(VLOOKUP(B1455,infoTable__28[],4,FALSE),"")</f>
        <v/>
      </c>
      <c r="J1455" s="4" t="str">
        <f>IFERROR(VLOOKUP(B1455,infoTable__10[],4,FALSE),"")</f>
        <v/>
      </c>
      <c r="K1455" s="4" t="str">
        <f>IFERROR(VLOOKUP(B1455,infoTable__11[],4,FALSE),"")</f>
        <v/>
      </c>
      <c r="L1455" s="4" t="str">
        <f>IFERROR(VLOOKUP(B1455,infoTable__12[],4,FALSE),"")</f>
        <v/>
      </c>
      <c r="M1455" s="4" t="str">
        <f>IFERROR(VLOOKUP(B1455,infoTable__13[],4,FALSE),"")</f>
        <v/>
      </c>
      <c r="N1455" s="4">
        <f>IFERROR(VLOOKUP(B1455,infoTable__14[],4,FALSE),"")</f>
        <v>343054</v>
      </c>
      <c r="O1455" s="4">
        <f>IFERROR(VLOOKUP(B1455,infoTable__15[],4,FALSE),"")</f>
        <v>3521739</v>
      </c>
      <c r="P1455" s="4">
        <f>IFERROR(VLOOKUP(B1455,infoTable__16[],4,FALSE),"")</f>
        <v>3723942</v>
      </c>
    </row>
    <row r="1456" spans="1:16" x14ac:dyDescent="0.55000000000000004">
      <c r="A1456" t="s">
        <v>700</v>
      </c>
      <c r="B1456" t="s">
        <v>701</v>
      </c>
      <c r="C1456" s="4" t="str">
        <f>IFERROR(VLOOKUP(B1456,infoTable10[],4,FALSE),"")</f>
        <v/>
      </c>
      <c r="D1456" s="4">
        <f>IFERROR(VLOOKUP(B1456,infoTable__2[],4,FALSE),"")</f>
        <v>1769272</v>
      </c>
      <c r="E1456" s="4" t="str">
        <f>IFERROR(VLOOKUP(B1456,infoTable__3[],4,FALSE),"")</f>
        <v/>
      </c>
      <c r="F1456" s="4">
        <f>IFERROR(VLOOKUP(B1456,infoTable__4[],4,FALSE),"")</f>
        <v>227942</v>
      </c>
      <c r="G1456" s="4" t="str">
        <f>IFERROR(VLOOKUP(B1456,infoTable[],4,FALSE),"")</f>
        <v/>
      </c>
      <c r="H1456" s="4" t="str">
        <f>IFERROR(VLOOKUP(B1456,infoTable__6[],4,FALSE),"")</f>
        <v/>
      </c>
      <c r="I1456" s="4" t="str">
        <f>IFERROR(VLOOKUP(B1456,infoTable__28[],4,FALSE),"")</f>
        <v/>
      </c>
      <c r="J1456" s="4" t="str">
        <f>IFERROR(VLOOKUP(B1456,infoTable__10[],4,FALSE),"")</f>
        <v/>
      </c>
      <c r="K1456" s="4" t="str">
        <f>IFERROR(VLOOKUP(B1456,infoTable__11[],4,FALSE),"")</f>
        <v/>
      </c>
      <c r="L1456" s="4" t="str">
        <f>IFERROR(VLOOKUP(B1456,infoTable__12[],4,FALSE),"")</f>
        <v/>
      </c>
      <c r="M1456" s="4" t="str">
        <f>IFERROR(VLOOKUP(B1456,infoTable__13[],4,FALSE),"")</f>
        <v/>
      </c>
      <c r="N1456" s="4" t="str">
        <f>IFERROR(VLOOKUP(B1456,infoTable__14[],4,FALSE),"")</f>
        <v/>
      </c>
      <c r="O1456" s="4">
        <f>IFERROR(VLOOKUP(B1456,infoTable__15[],4,FALSE),"")</f>
        <v>261089</v>
      </c>
      <c r="P1456" s="4">
        <f>IFERROR(VLOOKUP(B1456,infoTable__16[],4,FALSE),"")</f>
        <v>309680</v>
      </c>
    </row>
    <row r="1457" spans="1:16" x14ac:dyDescent="0.55000000000000004">
      <c r="A1457" t="s">
        <v>724</v>
      </c>
      <c r="B1457" t="s">
        <v>725</v>
      </c>
      <c r="C1457" s="4" t="str">
        <f>IFERROR(VLOOKUP(B1457,infoTable10[],4,FALSE),"")</f>
        <v/>
      </c>
      <c r="D1457" s="4" t="str">
        <f>IFERROR(VLOOKUP(B1457,infoTable__2[],4,FALSE),"")</f>
        <v/>
      </c>
      <c r="E1457" s="4">
        <f>IFERROR(VLOOKUP(B1457,infoTable__3[],4,FALSE),"")</f>
        <v>5848179</v>
      </c>
      <c r="F1457" s="4">
        <f>IFERROR(VLOOKUP(B1457,infoTable__4[],4,FALSE),"")</f>
        <v>2116249</v>
      </c>
      <c r="G1457" s="4" t="str">
        <f>IFERROR(VLOOKUP(B1457,infoTable[],4,FALSE),"")</f>
        <v/>
      </c>
      <c r="H1457" s="4" t="str">
        <f>IFERROR(VLOOKUP(B1457,infoTable__6[],4,FALSE),"")</f>
        <v/>
      </c>
      <c r="I1457" s="4">
        <f>IFERROR(VLOOKUP(B1457,infoTable__28[],4,FALSE),"")</f>
        <v>905573</v>
      </c>
      <c r="J1457" s="4">
        <f>IFERROR(VLOOKUP(B1457,infoTable__10[],4,FALSE),"")</f>
        <v>2136429</v>
      </c>
      <c r="K1457" s="4">
        <f>IFERROR(VLOOKUP(B1457,infoTable__11[],4,FALSE),"")</f>
        <v>2265893</v>
      </c>
      <c r="L1457" s="4">
        <f>IFERROR(VLOOKUP(B1457,infoTable__12[],4,FALSE),"")</f>
        <v>2463239</v>
      </c>
      <c r="M1457" s="4">
        <f>IFERROR(VLOOKUP(B1457,infoTable__13[],4,FALSE),"")</f>
        <v>2835444</v>
      </c>
      <c r="N1457" s="4">
        <f>IFERROR(VLOOKUP(B1457,infoTable__14[],4,FALSE),"")</f>
        <v>1809904</v>
      </c>
      <c r="O1457" s="4">
        <f>IFERROR(VLOOKUP(B1457,infoTable__15[],4,FALSE),"")</f>
        <v>1506392</v>
      </c>
      <c r="P1457" s="4" t="str">
        <f>IFERROR(VLOOKUP(B1457,infoTable__16[],4,FALSE),"")</f>
        <v/>
      </c>
    </row>
    <row r="1458" spans="1:16" x14ac:dyDescent="0.55000000000000004">
      <c r="A1458" t="s">
        <v>2901</v>
      </c>
      <c r="B1458" t="s">
        <v>2900</v>
      </c>
      <c r="C1458" s="4" t="str">
        <f>IFERROR(VLOOKUP(B1458,infoTable10[],4,FALSE),"")</f>
        <v/>
      </c>
      <c r="D1458" s="4" t="str">
        <f>IFERROR(VLOOKUP(B1458,infoTable__2[],4,FALSE),"")</f>
        <v/>
      </c>
      <c r="E1458" s="4" t="str">
        <f>IFERROR(VLOOKUP(B1458,infoTable__3[],4,FALSE),"")</f>
        <v/>
      </c>
      <c r="F1458" s="4" t="str">
        <f>IFERROR(VLOOKUP(B1458,infoTable__4[],4,FALSE),"")</f>
        <v/>
      </c>
      <c r="G1458" s="4" t="str">
        <f>IFERROR(VLOOKUP(B1458,infoTable[],4,FALSE),"")</f>
        <v/>
      </c>
      <c r="H1458" s="4" t="str">
        <f>IFERROR(VLOOKUP(B1458,infoTable__6[],4,FALSE),"")</f>
        <v/>
      </c>
      <c r="I1458" s="4" t="str">
        <f>IFERROR(VLOOKUP(B1458,infoTable__28[],4,FALSE),"")</f>
        <v/>
      </c>
      <c r="J1458" s="4" t="str">
        <f>IFERROR(VLOOKUP(B1458,infoTable__10[],4,FALSE),"")</f>
        <v/>
      </c>
      <c r="K1458" s="4" t="str">
        <f>IFERROR(VLOOKUP(B1458,infoTable__11[],4,FALSE),"")</f>
        <v/>
      </c>
      <c r="L1458" s="4" t="str">
        <f>IFERROR(VLOOKUP(B1458,infoTable__12[],4,FALSE),"")</f>
        <v/>
      </c>
      <c r="M1458" s="4" t="str">
        <f>IFERROR(VLOOKUP(B1458,infoTable__13[],4,FALSE),"")</f>
        <v/>
      </c>
      <c r="N1458" s="4">
        <f>IFERROR(VLOOKUP(B1458,infoTable__14[],4,FALSE),"")</f>
        <v>777643</v>
      </c>
      <c r="O1458" s="4">
        <f>IFERROR(VLOOKUP(B1458,infoTable__15[],4,FALSE),"")</f>
        <v>948491</v>
      </c>
      <c r="P1458" s="4" t="str">
        <f>IFERROR(VLOOKUP(B1458,infoTable__16[],4,FALSE),"")</f>
        <v/>
      </c>
    </row>
    <row r="1459" spans="1:16" x14ac:dyDescent="0.55000000000000004">
      <c r="A1459" t="s">
        <v>1782</v>
      </c>
      <c r="B1459" t="s">
        <v>1784</v>
      </c>
      <c r="C1459" s="4" t="str">
        <f>IFERROR(VLOOKUP(B1459,infoTable10[],4,FALSE),"")</f>
        <v/>
      </c>
      <c r="D1459" s="4" t="str">
        <f>IFERROR(VLOOKUP(B1459,infoTable__2[],4,FALSE),"")</f>
        <v/>
      </c>
      <c r="E1459" s="4" t="str">
        <f>IFERROR(VLOOKUP(B1459,infoTable__3[],4,FALSE),"")</f>
        <v/>
      </c>
      <c r="F1459" s="4" t="str">
        <f>IFERROR(VLOOKUP(B1459,infoTable__4[],4,FALSE),"")</f>
        <v/>
      </c>
      <c r="G1459" s="4" t="str">
        <f>IFERROR(VLOOKUP(B1459,infoTable[],4,FALSE),"")</f>
        <v/>
      </c>
      <c r="H1459" s="4" t="str">
        <f>IFERROR(VLOOKUP(B1459,infoTable__6[],4,FALSE),"")</f>
        <v/>
      </c>
      <c r="I1459" s="4" t="str">
        <f>IFERROR(VLOOKUP(B1459,infoTable__28[],4,FALSE),"")</f>
        <v/>
      </c>
      <c r="J1459" s="4">
        <f>IFERROR(VLOOKUP(B1459,infoTable__10[],4,FALSE),"")</f>
        <v>3081016</v>
      </c>
      <c r="K1459" s="4">
        <f>IFERROR(VLOOKUP(B1459,infoTable__11[],4,FALSE),"")</f>
        <v>2490417</v>
      </c>
      <c r="L1459" s="4" t="str">
        <f>IFERROR(VLOOKUP(B1459,infoTable__12[],4,FALSE),"")</f>
        <v/>
      </c>
      <c r="M1459" s="4">
        <f>IFERROR(VLOOKUP(B1459,infoTable__13[],4,FALSE),"")</f>
        <v>377580</v>
      </c>
      <c r="N1459" s="4" t="str">
        <f>IFERROR(VLOOKUP(B1459,infoTable__14[],4,FALSE),"")</f>
        <v/>
      </c>
      <c r="O1459" s="4" t="str">
        <f>IFERROR(VLOOKUP(B1459,infoTable__15[],4,FALSE),"")</f>
        <v/>
      </c>
      <c r="P1459" s="4">
        <f>IFERROR(VLOOKUP(B1459,infoTable__16[],4,FALSE),"")</f>
        <v>474700</v>
      </c>
    </row>
    <row r="1460" spans="1:16" x14ac:dyDescent="0.55000000000000004">
      <c r="A1460" t="s">
        <v>2903</v>
      </c>
      <c r="B1460" t="s">
        <v>2902</v>
      </c>
      <c r="C1460" s="4" t="str">
        <f>IFERROR(VLOOKUP(B1460,infoTable10[],4,FALSE),"")</f>
        <v/>
      </c>
      <c r="D1460" s="4" t="str">
        <f>IFERROR(VLOOKUP(B1460,infoTable__2[],4,FALSE),"")</f>
        <v/>
      </c>
      <c r="E1460" s="4" t="str">
        <f>IFERROR(VLOOKUP(B1460,infoTable__3[],4,FALSE),"")</f>
        <v/>
      </c>
      <c r="F1460" s="4" t="str">
        <f>IFERROR(VLOOKUP(B1460,infoTable__4[],4,FALSE),"")</f>
        <v/>
      </c>
      <c r="G1460" s="4" t="str">
        <f>IFERROR(VLOOKUP(B1460,infoTable[],4,FALSE),"")</f>
        <v/>
      </c>
      <c r="H1460" s="4" t="str">
        <f>IFERROR(VLOOKUP(B1460,infoTable__6[],4,FALSE),"")</f>
        <v/>
      </c>
      <c r="I1460" s="4" t="str">
        <f>IFERROR(VLOOKUP(B1460,infoTable__28[],4,FALSE),"")</f>
        <v/>
      </c>
      <c r="J1460" s="4" t="str">
        <f>IFERROR(VLOOKUP(B1460,infoTable__10[],4,FALSE),"")</f>
        <v/>
      </c>
      <c r="K1460" s="4" t="str">
        <f>IFERROR(VLOOKUP(B1460,infoTable__11[],4,FALSE),"")</f>
        <v/>
      </c>
      <c r="L1460" s="4" t="str">
        <f>IFERROR(VLOOKUP(B1460,infoTable__12[],4,FALSE),"")</f>
        <v/>
      </c>
      <c r="M1460" s="4" t="str">
        <f>IFERROR(VLOOKUP(B1460,infoTable__13[],4,FALSE),"")</f>
        <v/>
      </c>
      <c r="N1460" s="4">
        <f>IFERROR(VLOOKUP(B1460,infoTable__14[],4,FALSE),"")</f>
        <v>410092</v>
      </c>
      <c r="O1460" s="4">
        <f>IFERROR(VLOOKUP(B1460,infoTable__15[],4,FALSE),"")</f>
        <v>1467445</v>
      </c>
      <c r="P1460" s="4">
        <f>IFERROR(VLOOKUP(B1460,infoTable__16[],4,FALSE),"")</f>
        <v>1265352</v>
      </c>
    </row>
    <row r="1461" spans="1:16" x14ac:dyDescent="0.55000000000000004">
      <c r="A1461" t="s">
        <v>2024</v>
      </c>
      <c r="B1461" t="s">
        <v>2025</v>
      </c>
      <c r="C1461" s="4" t="str">
        <f>IFERROR(VLOOKUP(B1461,infoTable10[],4,FALSE),"")</f>
        <v/>
      </c>
      <c r="D1461" s="4" t="str">
        <f>IFERROR(VLOOKUP(B1461,infoTable__2[],4,FALSE),"")</f>
        <v/>
      </c>
      <c r="E1461" s="4" t="str">
        <f>IFERROR(VLOOKUP(B1461,infoTable__3[],4,FALSE),"")</f>
        <v/>
      </c>
      <c r="F1461" s="4" t="str">
        <f>IFERROR(VLOOKUP(B1461,infoTable__4[],4,FALSE),"")</f>
        <v/>
      </c>
      <c r="G1461" s="4" t="str">
        <f>IFERROR(VLOOKUP(B1461,infoTable[],4,FALSE),"")</f>
        <v/>
      </c>
      <c r="H1461" s="4" t="str">
        <f>IFERROR(VLOOKUP(B1461,infoTable__6[],4,FALSE),"")</f>
        <v/>
      </c>
      <c r="I1461" s="4" t="str">
        <f>IFERROR(VLOOKUP(B1461,infoTable__28[],4,FALSE),"")</f>
        <v/>
      </c>
      <c r="J1461" s="4" t="str">
        <f>IFERROR(VLOOKUP(B1461,infoTable__10[],4,FALSE),"")</f>
        <v/>
      </c>
      <c r="K1461" s="4">
        <f>IFERROR(VLOOKUP(B1461,infoTable__11[],4,FALSE),"")</f>
        <v>2874533</v>
      </c>
      <c r="L1461" s="4">
        <f>IFERROR(VLOOKUP(B1461,infoTable__12[],4,FALSE),"")</f>
        <v>2249768</v>
      </c>
      <c r="M1461" s="4" t="str">
        <f>IFERROR(VLOOKUP(B1461,infoTable__13[],4,FALSE),"")</f>
        <v/>
      </c>
      <c r="N1461" s="4" t="str">
        <f>IFERROR(VLOOKUP(B1461,infoTable__14[],4,FALSE),"")</f>
        <v/>
      </c>
      <c r="O1461" s="4">
        <f>IFERROR(VLOOKUP(B1461,infoTable__15[],4,FALSE),"")</f>
        <v>2121329</v>
      </c>
      <c r="P1461" s="4" t="str">
        <f>IFERROR(VLOOKUP(B1461,infoTable__16[],4,FALSE),"")</f>
        <v/>
      </c>
    </row>
    <row r="1462" spans="1:16" x14ac:dyDescent="0.55000000000000004">
      <c r="A1462" t="s">
        <v>416</v>
      </c>
      <c r="B1462" t="s">
        <v>417</v>
      </c>
      <c r="C1462" s="4" t="str">
        <f>IFERROR(VLOOKUP(B1462,infoTable10[],4,FALSE),"")</f>
        <v/>
      </c>
      <c r="D1462" s="4" t="str">
        <f>IFERROR(VLOOKUP(B1462,infoTable__2[],4,FALSE),"")</f>
        <v/>
      </c>
      <c r="E1462" s="4" t="str">
        <f>IFERROR(VLOOKUP(B1462,infoTable__3[],4,FALSE),"")</f>
        <v/>
      </c>
      <c r="F1462" s="4">
        <f>IFERROR(VLOOKUP(B1462,infoTable__4[],4,FALSE),"")</f>
        <v>883305</v>
      </c>
      <c r="G1462" s="4">
        <f>IFERROR(VLOOKUP(B1462,infoTable[],4,FALSE),"")</f>
        <v>650179</v>
      </c>
      <c r="H1462" s="4">
        <f>IFERROR(VLOOKUP(B1462,infoTable__6[],4,FALSE),"")</f>
        <v>255952</v>
      </c>
      <c r="I1462" s="4" t="str">
        <f>IFERROR(VLOOKUP(B1462,infoTable__28[],4,FALSE),"")</f>
        <v/>
      </c>
      <c r="J1462" s="4" t="str">
        <f>IFERROR(VLOOKUP(B1462,infoTable__10[],4,FALSE),"")</f>
        <v/>
      </c>
      <c r="K1462" s="4" t="str">
        <f>IFERROR(VLOOKUP(B1462,infoTable__11[],4,FALSE),"")</f>
        <v/>
      </c>
      <c r="L1462" s="4" t="str">
        <f>IFERROR(VLOOKUP(B1462,infoTable__12[],4,FALSE),"")</f>
        <v/>
      </c>
      <c r="M1462" s="4" t="str">
        <f>IFERROR(VLOOKUP(B1462,infoTable__13[],4,FALSE),"")</f>
        <v/>
      </c>
      <c r="N1462" s="4" t="str">
        <f>IFERROR(VLOOKUP(B1462,infoTable__14[],4,FALSE),"")</f>
        <v/>
      </c>
      <c r="O1462" s="4">
        <f>IFERROR(VLOOKUP(B1462,infoTable__15[],4,FALSE),"")</f>
        <v>838212</v>
      </c>
      <c r="P1462" s="4">
        <f>IFERROR(VLOOKUP(B1462,infoTable__16[],4,FALSE),"")</f>
        <v>591654</v>
      </c>
    </row>
    <row r="1463" spans="1:16" x14ac:dyDescent="0.55000000000000004">
      <c r="A1463" t="s">
        <v>2364</v>
      </c>
      <c r="B1463" t="s">
        <v>2365</v>
      </c>
      <c r="C1463" s="4" t="str">
        <f>IFERROR(VLOOKUP(B1463,infoTable10[],4,FALSE),"")</f>
        <v/>
      </c>
      <c r="D1463" s="4" t="str">
        <f>IFERROR(VLOOKUP(B1463,infoTable__2[],4,FALSE),"")</f>
        <v/>
      </c>
      <c r="E1463" s="4" t="str">
        <f>IFERROR(VLOOKUP(B1463,infoTable__3[],4,FALSE),"")</f>
        <v/>
      </c>
      <c r="F1463" s="4" t="str">
        <f>IFERROR(VLOOKUP(B1463,infoTable__4[],4,FALSE),"")</f>
        <v/>
      </c>
      <c r="G1463" s="4" t="str">
        <f>IFERROR(VLOOKUP(B1463,infoTable[],4,FALSE),"")</f>
        <v/>
      </c>
      <c r="H1463" s="4" t="str">
        <f>IFERROR(VLOOKUP(B1463,infoTable__6[],4,FALSE),"")</f>
        <v/>
      </c>
      <c r="I1463" s="4" t="str">
        <f>IFERROR(VLOOKUP(B1463,infoTable__28[],4,FALSE),"")</f>
        <v/>
      </c>
      <c r="J1463" s="4" t="str">
        <f>IFERROR(VLOOKUP(B1463,infoTable__10[],4,FALSE),"")</f>
        <v/>
      </c>
      <c r="K1463" s="4" t="str">
        <f>IFERROR(VLOOKUP(B1463,infoTable__11[],4,FALSE),"")</f>
        <v/>
      </c>
      <c r="L1463" s="4">
        <f>IFERROR(VLOOKUP(B1463,infoTable__12[],4,FALSE),"")</f>
        <v>748010</v>
      </c>
      <c r="M1463" s="4" t="str">
        <f>IFERROR(VLOOKUP(B1463,infoTable__13[],4,FALSE),"")</f>
        <v/>
      </c>
      <c r="N1463" s="4" t="str">
        <f>IFERROR(VLOOKUP(B1463,infoTable__14[],4,FALSE),"")</f>
        <v/>
      </c>
      <c r="O1463" s="4">
        <f>IFERROR(VLOOKUP(B1463,infoTable__15[],4,FALSE),"")</f>
        <v>1775272</v>
      </c>
      <c r="P1463" s="4">
        <f>IFERROR(VLOOKUP(B1463,infoTable__16[],4,FALSE),"")</f>
        <v>696465</v>
      </c>
    </row>
    <row r="1464" spans="1:16" x14ac:dyDescent="0.55000000000000004">
      <c r="A1464" t="s">
        <v>3536</v>
      </c>
      <c r="B1464" t="s">
        <v>3537</v>
      </c>
      <c r="C1464" s="4" t="str">
        <f>IFERROR(VLOOKUP(B1464,infoTable10[],4,FALSE),"")</f>
        <v/>
      </c>
      <c r="D1464" s="4" t="str">
        <f>IFERROR(VLOOKUP(B1464,infoTable__2[],4,FALSE),"")</f>
        <v/>
      </c>
      <c r="E1464" s="4" t="str">
        <f>IFERROR(VLOOKUP(B1464,infoTable__3[],4,FALSE),"")</f>
        <v/>
      </c>
      <c r="F1464" s="4" t="str">
        <f>IFERROR(VLOOKUP(B1464,infoTable__4[],4,FALSE),"")</f>
        <v/>
      </c>
      <c r="G1464" s="4" t="str">
        <f>IFERROR(VLOOKUP(B1464,infoTable[],4,FALSE),"")</f>
        <v/>
      </c>
      <c r="H1464" s="4" t="str">
        <f>IFERROR(VLOOKUP(B1464,infoTable__6[],4,FALSE),"")</f>
        <v/>
      </c>
      <c r="I1464" s="4" t="str">
        <f>IFERROR(VLOOKUP(B1464,infoTable__28[],4,FALSE),"")</f>
        <v/>
      </c>
      <c r="J1464" s="4" t="str">
        <f>IFERROR(VLOOKUP(B1464,infoTable__10[],4,FALSE),"")</f>
        <v/>
      </c>
      <c r="K1464" s="4" t="str">
        <f>IFERROR(VLOOKUP(B1464,infoTable__11[],4,FALSE),"")</f>
        <v/>
      </c>
      <c r="L1464" s="4" t="str">
        <f>IFERROR(VLOOKUP(B1464,infoTable__12[],4,FALSE),"")</f>
        <v/>
      </c>
      <c r="M1464" s="4" t="str">
        <f>IFERROR(VLOOKUP(B1464,infoTable__13[],4,FALSE),"")</f>
        <v/>
      </c>
      <c r="N1464" s="4" t="str">
        <f>IFERROR(VLOOKUP(B1464,infoTable__14[],4,FALSE),"")</f>
        <v/>
      </c>
      <c r="O1464" s="4" t="str">
        <f>IFERROR(VLOOKUP(B1464,infoTable__15[],4,FALSE),"")</f>
        <v/>
      </c>
      <c r="P1464" s="4">
        <f>IFERROR(VLOOKUP(B1464,infoTable__16[],4,FALSE),"")</f>
        <v>1736968</v>
      </c>
    </row>
    <row r="1465" spans="1:16" x14ac:dyDescent="0.55000000000000004">
      <c r="A1465" t="s">
        <v>3538</v>
      </c>
      <c r="B1465" t="s">
        <v>3539</v>
      </c>
      <c r="C1465" s="4" t="str">
        <f>IFERROR(VLOOKUP(B1465,infoTable10[],4,FALSE),"")</f>
        <v/>
      </c>
      <c r="D1465" s="4" t="str">
        <f>IFERROR(VLOOKUP(B1465,infoTable__2[],4,FALSE),"")</f>
        <v/>
      </c>
      <c r="E1465" s="4" t="str">
        <f>IFERROR(VLOOKUP(B1465,infoTable__3[],4,FALSE),"")</f>
        <v/>
      </c>
      <c r="F1465" s="4" t="str">
        <f>IFERROR(VLOOKUP(B1465,infoTable__4[],4,FALSE),"")</f>
        <v/>
      </c>
      <c r="G1465" s="4" t="str">
        <f>IFERROR(VLOOKUP(B1465,infoTable[],4,FALSE),"")</f>
        <v/>
      </c>
      <c r="H1465" s="4" t="str">
        <f>IFERROR(VLOOKUP(B1465,infoTable__6[],4,FALSE),"")</f>
        <v/>
      </c>
      <c r="I1465" s="4" t="str">
        <f>IFERROR(VLOOKUP(B1465,infoTable__28[],4,FALSE),"")</f>
        <v/>
      </c>
      <c r="J1465" s="4" t="str">
        <f>IFERROR(VLOOKUP(B1465,infoTable__10[],4,FALSE),"")</f>
        <v/>
      </c>
      <c r="K1465" s="4" t="str">
        <f>IFERROR(VLOOKUP(B1465,infoTable__11[],4,FALSE),"")</f>
        <v/>
      </c>
      <c r="L1465" s="4" t="str">
        <f>IFERROR(VLOOKUP(B1465,infoTable__12[],4,FALSE),"")</f>
        <v/>
      </c>
      <c r="M1465" s="4" t="str">
        <f>IFERROR(VLOOKUP(B1465,infoTable__13[],4,FALSE),"")</f>
        <v/>
      </c>
      <c r="N1465" s="4" t="str">
        <f>IFERROR(VLOOKUP(B1465,infoTable__14[],4,FALSE),"")</f>
        <v/>
      </c>
      <c r="O1465" s="4" t="str">
        <f>IFERROR(VLOOKUP(B1465,infoTable__15[],4,FALSE),"")</f>
        <v/>
      </c>
      <c r="P1465" s="4">
        <f>IFERROR(VLOOKUP(B1465,infoTable__16[],4,FALSE),"")</f>
        <v>219247</v>
      </c>
    </row>
    <row r="1466" spans="1:16" x14ac:dyDescent="0.55000000000000004">
      <c r="A1466" t="s">
        <v>418</v>
      </c>
      <c r="B1466" t="s">
        <v>419</v>
      </c>
      <c r="C1466" s="4" t="str">
        <f>IFERROR(VLOOKUP(B1466,infoTable10[],4,FALSE),"")</f>
        <v/>
      </c>
      <c r="D1466" s="4" t="str">
        <f>IFERROR(VLOOKUP(B1466,infoTable__2[],4,FALSE),"")</f>
        <v/>
      </c>
      <c r="E1466" s="4" t="str">
        <f>IFERROR(VLOOKUP(B1466,infoTable__3[],4,FALSE),"")</f>
        <v/>
      </c>
      <c r="F1466" s="4" t="str">
        <f>IFERROR(VLOOKUP(B1466,infoTable__4[],4,FALSE),"")</f>
        <v/>
      </c>
      <c r="G1466" s="4">
        <f>IFERROR(VLOOKUP(B1466,infoTable[],4,FALSE),"")</f>
        <v>567276</v>
      </c>
      <c r="H1466" s="4">
        <f>IFERROR(VLOOKUP(B1466,infoTable__6[],4,FALSE),"")</f>
        <v>83561</v>
      </c>
      <c r="I1466" s="4" t="str">
        <f>IFERROR(VLOOKUP(B1466,infoTable__28[],4,FALSE),"")</f>
        <v/>
      </c>
      <c r="J1466" s="4" t="str">
        <f>IFERROR(VLOOKUP(B1466,infoTable__10[],4,FALSE),"")</f>
        <v/>
      </c>
      <c r="K1466" s="4" t="str">
        <f>IFERROR(VLOOKUP(B1466,infoTable__11[],4,FALSE),"")</f>
        <v/>
      </c>
      <c r="L1466" s="4" t="str">
        <f>IFERROR(VLOOKUP(B1466,infoTable__12[],4,FALSE),"")</f>
        <v/>
      </c>
      <c r="M1466" s="4" t="str">
        <f>IFERROR(VLOOKUP(B1466,infoTable__13[],4,FALSE),"")</f>
        <v/>
      </c>
      <c r="N1466" s="4" t="str">
        <f>IFERROR(VLOOKUP(B1466,infoTable__14[],4,FALSE),"")</f>
        <v/>
      </c>
      <c r="O1466" s="4" t="str">
        <f>IFERROR(VLOOKUP(B1466,infoTable__15[],4,FALSE),"")</f>
        <v/>
      </c>
      <c r="P1466" s="4" t="str">
        <f>IFERROR(VLOOKUP(B1466,infoTable__16[],4,FALSE),"")</f>
        <v/>
      </c>
    </row>
    <row r="1467" spans="1:16" x14ac:dyDescent="0.55000000000000004">
      <c r="A1467" t="s">
        <v>798</v>
      </c>
      <c r="B1467" t="s">
        <v>799</v>
      </c>
      <c r="C1467" s="4" t="str">
        <f>IFERROR(VLOOKUP(B1467,infoTable10[],4,FALSE),"")</f>
        <v/>
      </c>
      <c r="D1467" s="4" t="str">
        <f>IFERROR(VLOOKUP(B1467,infoTable__2[],4,FALSE),"")</f>
        <v/>
      </c>
      <c r="E1467" s="4">
        <f>IFERROR(VLOOKUP(B1467,infoTable__3[],4,FALSE),"")</f>
        <v>1920848</v>
      </c>
      <c r="F1467" s="4">
        <f>IFERROR(VLOOKUP(B1467,infoTable__4[],4,FALSE),"")</f>
        <v>1359966</v>
      </c>
      <c r="G1467" s="4" t="str">
        <f>IFERROR(VLOOKUP(B1467,infoTable[],4,FALSE),"")</f>
        <v/>
      </c>
      <c r="H1467" s="4" t="str">
        <f>IFERROR(VLOOKUP(B1467,infoTable__6[],4,FALSE),"")</f>
        <v/>
      </c>
      <c r="I1467" s="4" t="str">
        <f>IFERROR(VLOOKUP(B1467,infoTable__28[],4,FALSE),"")</f>
        <v/>
      </c>
      <c r="J1467" s="4" t="str">
        <f>IFERROR(VLOOKUP(B1467,infoTable__10[],4,FALSE),"")</f>
        <v/>
      </c>
      <c r="K1467" s="4" t="str">
        <f>IFERROR(VLOOKUP(B1467,infoTable__11[],4,FALSE),"")</f>
        <v/>
      </c>
      <c r="L1467" s="4" t="str">
        <f>IFERROR(VLOOKUP(B1467,infoTable__12[],4,FALSE),"")</f>
        <v/>
      </c>
      <c r="M1467" s="4" t="str">
        <f>IFERROR(VLOOKUP(B1467,infoTable__13[],4,FALSE),"")</f>
        <v/>
      </c>
      <c r="N1467" s="4" t="str">
        <f>IFERROR(VLOOKUP(B1467,infoTable__14[],4,FALSE),"")</f>
        <v/>
      </c>
      <c r="O1467" s="4" t="str">
        <f>IFERROR(VLOOKUP(B1467,infoTable__15[],4,FALSE),"")</f>
        <v/>
      </c>
      <c r="P1467" s="4" t="str">
        <f>IFERROR(VLOOKUP(B1467,infoTable__16[],4,FALSE),"")</f>
        <v/>
      </c>
    </row>
    <row r="1468" spans="1:16" x14ac:dyDescent="0.55000000000000004">
      <c r="A1468" t="s">
        <v>2028</v>
      </c>
      <c r="B1468" t="s">
        <v>2029</v>
      </c>
      <c r="C1468" s="4" t="str">
        <f>IFERROR(VLOOKUP(B1468,infoTable10[],4,FALSE),"")</f>
        <v/>
      </c>
      <c r="D1468" s="4" t="str">
        <f>IFERROR(VLOOKUP(B1468,infoTable__2[],4,FALSE),"")</f>
        <v/>
      </c>
      <c r="E1468" s="4" t="str">
        <f>IFERROR(VLOOKUP(B1468,infoTable__3[],4,FALSE),"")</f>
        <v/>
      </c>
      <c r="F1468" s="4" t="str">
        <f>IFERROR(VLOOKUP(B1468,infoTable__4[],4,FALSE),"")</f>
        <v/>
      </c>
      <c r="G1468" s="4" t="str">
        <f>IFERROR(VLOOKUP(B1468,infoTable[],4,FALSE),"")</f>
        <v/>
      </c>
      <c r="H1468" s="4" t="str">
        <f>IFERROR(VLOOKUP(B1468,infoTable__6[],4,FALSE),"")</f>
        <v/>
      </c>
      <c r="I1468" s="4" t="str">
        <f>IFERROR(VLOOKUP(B1468,infoTable__28[],4,FALSE),"")</f>
        <v/>
      </c>
      <c r="J1468" s="4" t="str">
        <f>IFERROR(VLOOKUP(B1468,infoTable__10[],4,FALSE),"")</f>
        <v/>
      </c>
      <c r="K1468" s="4">
        <f>IFERROR(VLOOKUP(B1468,infoTable__11[],4,FALSE),"")</f>
        <v>280551</v>
      </c>
      <c r="L1468" s="4">
        <f>IFERROR(VLOOKUP(B1468,infoTable__12[],4,FALSE),"")</f>
        <v>150704</v>
      </c>
      <c r="M1468" s="4" t="str">
        <f>IFERROR(VLOOKUP(B1468,infoTable__13[],4,FALSE),"")</f>
        <v/>
      </c>
      <c r="N1468" s="4">
        <f>IFERROR(VLOOKUP(B1468,infoTable__14[],4,FALSE),"")</f>
        <v>128644</v>
      </c>
      <c r="O1468" s="4">
        <f>IFERROR(VLOOKUP(B1468,infoTable__15[],4,FALSE),"")</f>
        <v>898624</v>
      </c>
      <c r="P1468" s="4" t="str">
        <f>IFERROR(VLOOKUP(B1468,infoTable__16[],4,FALSE),"")</f>
        <v/>
      </c>
    </row>
    <row r="1469" spans="1:16" x14ac:dyDescent="0.55000000000000004">
      <c r="A1469" t="s">
        <v>2905</v>
      </c>
      <c r="B1469" t="s">
        <v>2904</v>
      </c>
      <c r="C1469" s="4" t="str">
        <f>IFERROR(VLOOKUP(B1469,infoTable10[],4,FALSE),"")</f>
        <v/>
      </c>
      <c r="D1469" s="4" t="str">
        <f>IFERROR(VLOOKUP(B1469,infoTable__2[],4,FALSE),"")</f>
        <v/>
      </c>
      <c r="E1469" s="4" t="str">
        <f>IFERROR(VLOOKUP(B1469,infoTable__3[],4,FALSE),"")</f>
        <v/>
      </c>
      <c r="F1469" s="4" t="str">
        <f>IFERROR(VLOOKUP(B1469,infoTable__4[],4,FALSE),"")</f>
        <v/>
      </c>
      <c r="G1469" s="4" t="str">
        <f>IFERROR(VLOOKUP(B1469,infoTable[],4,FALSE),"")</f>
        <v/>
      </c>
      <c r="H1469" s="4" t="str">
        <f>IFERROR(VLOOKUP(B1469,infoTable__6[],4,FALSE),"")</f>
        <v/>
      </c>
      <c r="I1469" s="4" t="str">
        <f>IFERROR(VLOOKUP(B1469,infoTable__28[],4,FALSE),"")</f>
        <v/>
      </c>
      <c r="J1469" s="4" t="str">
        <f>IFERROR(VLOOKUP(B1469,infoTable__10[],4,FALSE),"")</f>
        <v/>
      </c>
      <c r="K1469" s="4" t="str">
        <f>IFERROR(VLOOKUP(B1469,infoTable__11[],4,FALSE),"")</f>
        <v/>
      </c>
      <c r="L1469" s="4" t="str">
        <f>IFERROR(VLOOKUP(B1469,infoTable__12[],4,FALSE),"")</f>
        <v/>
      </c>
      <c r="M1469" s="4" t="str">
        <f>IFERROR(VLOOKUP(B1469,infoTable__13[],4,FALSE),"")</f>
        <v/>
      </c>
      <c r="N1469" s="4">
        <f>IFERROR(VLOOKUP(B1469,infoTable__14[],4,FALSE),"")</f>
        <v>563578</v>
      </c>
      <c r="O1469" s="4">
        <f>IFERROR(VLOOKUP(B1469,infoTable__15[],4,FALSE),"")</f>
        <v>645135</v>
      </c>
      <c r="P1469" s="4" t="str">
        <f>IFERROR(VLOOKUP(B1469,infoTable__16[],4,FALSE),"")</f>
        <v/>
      </c>
    </row>
    <row r="1470" spans="1:16" x14ac:dyDescent="0.55000000000000004">
      <c r="A1470" t="s">
        <v>2030</v>
      </c>
      <c r="B1470" t="s">
        <v>2031</v>
      </c>
      <c r="C1470" s="4" t="str">
        <f>IFERROR(VLOOKUP(B1470,infoTable10[],4,FALSE),"")</f>
        <v/>
      </c>
      <c r="D1470" s="4" t="str">
        <f>IFERROR(VLOOKUP(B1470,infoTable__2[],4,FALSE),"")</f>
        <v/>
      </c>
      <c r="E1470" s="4" t="str">
        <f>IFERROR(VLOOKUP(B1470,infoTable__3[],4,FALSE),"")</f>
        <v/>
      </c>
      <c r="F1470" s="4" t="str">
        <f>IFERROR(VLOOKUP(B1470,infoTable__4[],4,FALSE),"")</f>
        <v/>
      </c>
      <c r="G1470" s="4" t="str">
        <f>IFERROR(VLOOKUP(B1470,infoTable[],4,FALSE),"")</f>
        <v/>
      </c>
      <c r="H1470" s="4" t="str">
        <f>IFERROR(VLOOKUP(B1470,infoTable__6[],4,FALSE),"")</f>
        <v/>
      </c>
      <c r="I1470" s="4" t="str">
        <f>IFERROR(VLOOKUP(B1470,infoTable__28[],4,FALSE),"")</f>
        <v/>
      </c>
      <c r="J1470" s="4" t="str">
        <f>IFERROR(VLOOKUP(B1470,infoTable__10[],4,FALSE),"")</f>
        <v/>
      </c>
      <c r="K1470" s="4">
        <f>IFERROR(VLOOKUP(B1470,infoTable__11[],4,FALSE),"")</f>
        <v>565946</v>
      </c>
      <c r="L1470" s="4">
        <f>IFERROR(VLOOKUP(B1470,infoTable__12[],4,FALSE),"")</f>
        <v>766576</v>
      </c>
      <c r="M1470" s="4">
        <f>IFERROR(VLOOKUP(B1470,infoTable__13[],4,FALSE),"")</f>
        <v>676596</v>
      </c>
      <c r="N1470" s="4">
        <f>IFERROR(VLOOKUP(B1470,infoTable__14[],4,FALSE),"")</f>
        <v>742427</v>
      </c>
      <c r="O1470" s="4">
        <f>IFERROR(VLOOKUP(B1470,infoTable__15[],4,FALSE),"")</f>
        <v>215707</v>
      </c>
      <c r="P1470" s="4" t="str">
        <f>IFERROR(VLOOKUP(B1470,infoTable__16[],4,FALSE),"")</f>
        <v/>
      </c>
    </row>
    <row r="1471" spans="1:16" x14ac:dyDescent="0.55000000000000004">
      <c r="A1471" t="s">
        <v>809</v>
      </c>
      <c r="B1471" t="s">
        <v>810</v>
      </c>
      <c r="C1471" s="4">
        <f>IFERROR(VLOOKUP(B1471,infoTable10[],4,FALSE),"")</f>
        <v>343937</v>
      </c>
      <c r="D1471" s="4" t="str">
        <f>IFERROR(VLOOKUP(B1471,infoTable__2[],4,FALSE),"")</f>
        <v/>
      </c>
      <c r="E1471" s="4" t="str">
        <f>IFERROR(VLOOKUP(B1471,infoTable__3[],4,FALSE),"")</f>
        <v/>
      </c>
      <c r="F1471" s="4">
        <f>IFERROR(VLOOKUP(B1471,infoTable__4[],4,FALSE),"")</f>
        <v>53249</v>
      </c>
      <c r="G1471" s="4" t="str">
        <f>IFERROR(VLOOKUP(B1471,infoTable[],4,FALSE),"")</f>
        <v/>
      </c>
      <c r="H1471" s="4" t="str">
        <f>IFERROR(VLOOKUP(B1471,infoTable__6[],4,FALSE),"")</f>
        <v/>
      </c>
      <c r="I1471" s="4">
        <f>IFERROR(VLOOKUP(B1471,infoTable__28[],4,FALSE),"")</f>
        <v>144569</v>
      </c>
      <c r="J1471" s="4">
        <f>IFERROR(VLOOKUP(B1471,infoTable__10[],4,FALSE),"")</f>
        <v>114759</v>
      </c>
      <c r="K1471" s="4">
        <f>IFERROR(VLOOKUP(B1471,infoTable__11[],4,FALSE),"")</f>
        <v>55704</v>
      </c>
      <c r="L1471" s="4" t="str">
        <f>IFERROR(VLOOKUP(B1471,infoTable__12[],4,FALSE),"")</f>
        <v/>
      </c>
      <c r="M1471" s="4" t="str">
        <f>IFERROR(VLOOKUP(B1471,infoTable__13[],4,FALSE),"")</f>
        <v/>
      </c>
      <c r="N1471" s="4" t="str">
        <f>IFERROR(VLOOKUP(B1471,infoTable__14[],4,FALSE),"")</f>
        <v/>
      </c>
      <c r="O1471" s="4" t="str">
        <f>IFERROR(VLOOKUP(B1471,infoTable__15[],4,FALSE),"")</f>
        <v/>
      </c>
      <c r="P1471" s="4">
        <f>IFERROR(VLOOKUP(B1471,infoTable__16[],4,FALSE),"")</f>
        <v>51807</v>
      </c>
    </row>
    <row r="1472" spans="1:16" x14ac:dyDescent="0.55000000000000004">
      <c r="A1472" t="s">
        <v>491</v>
      </c>
      <c r="B1472" t="s">
        <v>492</v>
      </c>
      <c r="C1472" s="4" t="str">
        <f>IFERROR(VLOOKUP(B1472,infoTable10[],4,FALSE),"")</f>
        <v/>
      </c>
      <c r="D1472" s="4">
        <f>IFERROR(VLOOKUP(B1472,infoTable__2[],4,FALSE),"")</f>
        <v>2159695</v>
      </c>
      <c r="E1472" s="4">
        <f>IFERROR(VLOOKUP(B1472,infoTable__3[],4,FALSE),"")</f>
        <v>9237606</v>
      </c>
      <c r="F1472" s="4" t="str">
        <f>IFERROR(VLOOKUP(B1472,infoTable__4[],4,FALSE),"")</f>
        <v/>
      </c>
      <c r="G1472" s="4" t="str">
        <f>IFERROR(VLOOKUP(B1472,infoTable[],4,FALSE),"")</f>
        <v/>
      </c>
      <c r="H1472" s="4" t="str">
        <f>IFERROR(VLOOKUP(B1472,infoTable__6[],4,FALSE),"")</f>
        <v/>
      </c>
      <c r="I1472" s="4" t="str">
        <f>IFERROR(VLOOKUP(B1472,infoTable__28[],4,FALSE),"")</f>
        <v/>
      </c>
      <c r="J1472" s="4" t="str">
        <f>IFERROR(VLOOKUP(B1472,infoTable__10[],4,FALSE),"")</f>
        <v/>
      </c>
      <c r="K1472" s="4" t="str">
        <f>IFERROR(VLOOKUP(B1472,infoTable__11[],4,FALSE),"")</f>
        <v/>
      </c>
      <c r="L1472" s="4" t="str">
        <f>IFERROR(VLOOKUP(B1472,infoTable__12[],4,FALSE),"")</f>
        <v/>
      </c>
      <c r="M1472" s="4" t="str">
        <f>IFERROR(VLOOKUP(B1472,infoTable__13[],4,FALSE),"")</f>
        <v/>
      </c>
      <c r="N1472" s="4" t="str">
        <f>IFERROR(VLOOKUP(B1472,infoTable__14[],4,FALSE),"")</f>
        <v/>
      </c>
      <c r="O1472" s="4" t="str">
        <f>IFERROR(VLOOKUP(B1472,infoTable__15[],4,FALSE),"")</f>
        <v/>
      </c>
      <c r="P1472" s="4">
        <f>IFERROR(VLOOKUP(B1472,infoTable__16[],4,FALSE),"")</f>
        <v>570318</v>
      </c>
    </row>
    <row r="1473" spans="1:16" x14ac:dyDescent="0.55000000000000004">
      <c r="A1473" t="s">
        <v>3542</v>
      </c>
      <c r="B1473" t="s">
        <v>3543</v>
      </c>
      <c r="C1473" s="4" t="str">
        <f>IFERROR(VLOOKUP(B1473,infoTable10[],4,FALSE),"")</f>
        <v/>
      </c>
      <c r="D1473" s="4" t="str">
        <f>IFERROR(VLOOKUP(B1473,infoTable__2[],4,FALSE),"")</f>
        <v/>
      </c>
      <c r="E1473" s="4" t="str">
        <f>IFERROR(VLOOKUP(B1473,infoTable__3[],4,FALSE),"")</f>
        <v/>
      </c>
      <c r="F1473" s="4" t="str">
        <f>IFERROR(VLOOKUP(B1473,infoTable__4[],4,FALSE),"")</f>
        <v/>
      </c>
      <c r="G1473" s="4" t="str">
        <f>IFERROR(VLOOKUP(B1473,infoTable[],4,FALSE),"")</f>
        <v/>
      </c>
      <c r="H1473" s="4" t="str">
        <f>IFERROR(VLOOKUP(B1473,infoTable__6[],4,FALSE),"")</f>
        <v/>
      </c>
      <c r="I1473" s="4" t="str">
        <f>IFERROR(VLOOKUP(B1473,infoTable__28[],4,FALSE),"")</f>
        <v/>
      </c>
      <c r="J1473" s="4" t="str">
        <f>IFERROR(VLOOKUP(B1473,infoTable__10[],4,FALSE),"")</f>
        <v/>
      </c>
      <c r="K1473" s="4" t="str">
        <f>IFERROR(VLOOKUP(B1473,infoTable__11[],4,FALSE),"")</f>
        <v/>
      </c>
      <c r="L1473" s="4" t="str">
        <f>IFERROR(VLOOKUP(B1473,infoTable__12[],4,FALSE),"")</f>
        <v/>
      </c>
      <c r="M1473" s="4" t="str">
        <f>IFERROR(VLOOKUP(B1473,infoTable__13[],4,FALSE),"")</f>
        <v/>
      </c>
      <c r="N1473" s="4" t="str">
        <f>IFERROR(VLOOKUP(B1473,infoTable__14[],4,FALSE),"")</f>
        <v/>
      </c>
      <c r="O1473" s="4" t="str">
        <f>IFERROR(VLOOKUP(B1473,infoTable__15[],4,FALSE),"")</f>
        <v/>
      </c>
      <c r="P1473" s="4">
        <f>IFERROR(VLOOKUP(B1473,infoTable__16[],4,FALSE),"")</f>
        <v>380379</v>
      </c>
    </row>
    <row r="1474" spans="1:16" x14ac:dyDescent="0.55000000000000004">
      <c r="A1474" t="s">
        <v>3544</v>
      </c>
      <c r="B1474" t="s">
        <v>3545</v>
      </c>
      <c r="C1474" s="4" t="str">
        <f>IFERROR(VLOOKUP(B1474,infoTable10[],4,FALSE),"")</f>
        <v/>
      </c>
      <c r="D1474" s="4" t="str">
        <f>IFERROR(VLOOKUP(B1474,infoTable__2[],4,FALSE),"")</f>
        <v/>
      </c>
      <c r="E1474" s="4" t="str">
        <f>IFERROR(VLOOKUP(B1474,infoTable__3[],4,FALSE),"")</f>
        <v/>
      </c>
      <c r="F1474" s="4" t="str">
        <f>IFERROR(VLOOKUP(B1474,infoTable__4[],4,FALSE),"")</f>
        <v/>
      </c>
      <c r="G1474" s="4" t="str">
        <f>IFERROR(VLOOKUP(B1474,infoTable[],4,FALSE),"")</f>
        <v/>
      </c>
      <c r="H1474" s="4" t="str">
        <f>IFERROR(VLOOKUP(B1474,infoTable__6[],4,FALSE),"")</f>
        <v/>
      </c>
      <c r="I1474" s="4" t="str">
        <f>IFERROR(VLOOKUP(B1474,infoTable__28[],4,FALSE),"")</f>
        <v/>
      </c>
      <c r="J1474" s="4" t="str">
        <f>IFERROR(VLOOKUP(B1474,infoTable__10[],4,FALSE),"")</f>
        <v/>
      </c>
      <c r="K1474" s="4" t="str">
        <f>IFERROR(VLOOKUP(B1474,infoTable__11[],4,FALSE),"")</f>
        <v/>
      </c>
      <c r="L1474" s="4" t="str">
        <f>IFERROR(VLOOKUP(B1474,infoTable__12[],4,FALSE),"")</f>
        <v/>
      </c>
      <c r="M1474" s="4" t="str">
        <f>IFERROR(VLOOKUP(B1474,infoTable__13[],4,FALSE),"")</f>
        <v/>
      </c>
      <c r="N1474" s="4" t="str">
        <f>IFERROR(VLOOKUP(B1474,infoTable__14[],4,FALSE),"")</f>
        <v/>
      </c>
      <c r="O1474" s="4" t="str">
        <f>IFERROR(VLOOKUP(B1474,infoTable__15[],4,FALSE),"")</f>
        <v/>
      </c>
      <c r="P1474" s="4">
        <f>IFERROR(VLOOKUP(B1474,infoTable__16[],4,FALSE),"")</f>
        <v>612012</v>
      </c>
    </row>
    <row r="1475" spans="1:16" x14ac:dyDescent="0.55000000000000004">
      <c r="A1475" t="s">
        <v>420</v>
      </c>
      <c r="B1475" t="s">
        <v>421</v>
      </c>
      <c r="C1475" s="4" t="str">
        <f>IFERROR(VLOOKUP(B1475,infoTable10[],4,FALSE),"")</f>
        <v/>
      </c>
      <c r="D1475" s="4" t="str">
        <f>IFERROR(VLOOKUP(B1475,infoTable__2[],4,FALSE),"")</f>
        <v/>
      </c>
      <c r="E1475" s="4" t="str">
        <f>IFERROR(VLOOKUP(B1475,infoTable__3[],4,FALSE),"")</f>
        <v/>
      </c>
      <c r="F1475" s="4" t="str">
        <f>IFERROR(VLOOKUP(B1475,infoTable__4[],4,FALSE),"")</f>
        <v/>
      </c>
      <c r="G1475" s="4">
        <f>IFERROR(VLOOKUP(B1475,infoTable[],4,FALSE),"")</f>
        <v>806849</v>
      </c>
      <c r="H1475" s="4">
        <f>IFERROR(VLOOKUP(B1475,infoTable__6[],4,FALSE),"")</f>
        <v>2585748</v>
      </c>
      <c r="I1475" s="4">
        <f>IFERROR(VLOOKUP(B1475,infoTable__28[],4,FALSE),"")</f>
        <v>1162417</v>
      </c>
      <c r="J1475" s="4">
        <f>IFERROR(VLOOKUP(B1475,infoTable__10[],4,FALSE),"")</f>
        <v>588097</v>
      </c>
      <c r="K1475" s="4">
        <f>IFERROR(VLOOKUP(B1475,infoTable__11[],4,FALSE),"")</f>
        <v>341579</v>
      </c>
      <c r="L1475" s="4" t="str">
        <f>IFERROR(VLOOKUP(B1475,infoTable__12[],4,FALSE),"")</f>
        <v/>
      </c>
      <c r="M1475" s="4" t="str">
        <f>IFERROR(VLOOKUP(B1475,infoTable__13[],4,FALSE),"")</f>
        <v/>
      </c>
      <c r="N1475" s="4" t="str">
        <f>IFERROR(VLOOKUP(B1475,infoTable__14[],4,FALSE),"")</f>
        <v/>
      </c>
      <c r="O1475" s="4" t="str">
        <f>IFERROR(VLOOKUP(B1475,infoTable__15[],4,FALSE),"")</f>
        <v/>
      </c>
      <c r="P1475" s="4" t="str">
        <f>IFERROR(VLOOKUP(B1475,infoTable__16[],4,FALSE),"")</f>
        <v/>
      </c>
    </row>
    <row r="1476" spans="1:16" x14ac:dyDescent="0.55000000000000004">
      <c r="A1476" t="s">
        <v>3189</v>
      </c>
      <c r="B1476" t="s">
        <v>3190</v>
      </c>
      <c r="C1476" s="4" t="str">
        <f>IFERROR(VLOOKUP(B1476,infoTable10[],4,FALSE),"")</f>
        <v/>
      </c>
      <c r="D1476" s="4" t="str">
        <f>IFERROR(VLOOKUP(B1476,infoTable__2[],4,FALSE),"")</f>
        <v/>
      </c>
      <c r="E1476" s="4" t="str">
        <f>IFERROR(VLOOKUP(B1476,infoTable__3[],4,FALSE),"")</f>
        <v/>
      </c>
      <c r="F1476" s="4" t="str">
        <f>IFERROR(VLOOKUP(B1476,infoTable__4[],4,FALSE),"")</f>
        <v/>
      </c>
      <c r="G1476" s="4" t="str">
        <f>IFERROR(VLOOKUP(B1476,infoTable[],4,FALSE),"")</f>
        <v/>
      </c>
      <c r="H1476" s="4" t="str">
        <f>IFERROR(VLOOKUP(B1476,infoTable__6[],4,FALSE),"")</f>
        <v/>
      </c>
      <c r="I1476" s="4" t="str">
        <f>IFERROR(VLOOKUP(B1476,infoTable__28[],4,FALSE),"")</f>
        <v/>
      </c>
      <c r="J1476" s="4" t="str">
        <f>IFERROR(VLOOKUP(B1476,infoTable__10[],4,FALSE),"")</f>
        <v/>
      </c>
      <c r="K1476" s="4" t="str">
        <f>IFERROR(VLOOKUP(B1476,infoTable__11[],4,FALSE),"")</f>
        <v/>
      </c>
      <c r="L1476" s="4" t="str">
        <f>IFERROR(VLOOKUP(B1476,infoTable__12[],4,FALSE),"")</f>
        <v/>
      </c>
      <c r="M1476" s="4" t="str">
        <f>IFERROR(VLOOKUP(B1476,infoTable__13[],4,FALSE),"")</f>
        <v/>
      </c>
      <c r="N1476" s="4" t="str">
        <f>IFERROR(VLOOKUP(B1476,infoTable__14[],4,FALSE),"")</f>
        <v/>
      </c>
      <c r="O1476" s="4">
        <f>IFERROR(VLOOKUP(B1476,infoTable__15[],4,FALSE),"")</f>
        <v>1859276</v>
      </c>
      <c r="P1476" s="4">
        <f>IFERROR(VLOOKUP(B1476,infoTable__16[],4,FALSE),"")</f>
        <v>1218719</v>
      </c>
    </row>
    <row r="1477" spans="1:16" x14ac:dyDescent="0.55000000000000004">
      <c r="A1477" t="s">
        <v>426</v>
      </c>
      <c r="B1477" t="s">
        <v>427</v>
      </c>
      <c r="C1477" s="4" t="str">
        <f>IFERROR(VLOOKUP(B1477,infoTable10[],4,FALSE),"")</f>
        <v/>
      </c>
      <c r="D1477" s="4" t="str">
        <f>IFERROR(VLOOKUP(B1477,infoTable__2[],4,FALSE),"")</f>
        <v/>
      </c>
      <c r="E1477" s="4">
        <f>IFERROR(VLOOKUP(B1477,infoTable__3[],4,FALSE),"")</f>
        <v>1656589</v>
      </c>
      <c r="F1477" s="4">
        <f>IFERROR(VLOOKUP(B1477,infoTable__4[],4,FALSE),"")</f>
        <v>320069</v>
      </c>
      <c r="G1477" s="4">
        <f>IFERROR(VLOOKUP(B1477,infoTable[],4,FALSE),"")</f>
        <v>814400</v>
      </c>
      <c r="H1477" s="4" t="str">
        <f>IFERROR(VLOOKUP(B1477,infoTable__6[],4,FALSE),"")</f>
        <v/>
      </c>
      <c r="I1477" s="4" t="str">
        <f>IFERROR(VLOOKUP(B1477,infoTable__28[],4,FALSE),"")</f>
        <v/>
      </c>
      <c r="J1477" s="4">
        <f>IFERROR(VLOOKUP(B1477,infoTable__10[],4,FALSE),"")</f>
        <v>849527</v>
      </c>
      <c r="K1477" s="4" t="str">
        <f>IFERROR(VLOOKUP(B1477,infoTable__11[],4,FALSE),"")</f>
        <v/>
      </c>
      <c r="L1477" s="4" t="str">
        <f>IFERROR(VLOOKUP(B1477,infoTable__12[],4,FALSE),"")</f>
        <v/>
      </c>
      <c r="M1477" s="4" t="str">
        <f>IFERROR(VLOOKUP(B1477,infoTable__13[],4,FALSE),"")</f>
        <v/>
      </c>
      <c r="N1477" s="4" t="str">
        <f>IFERROR(VLOOKUP(B1477,infoTable__14[],4,FALSE),"")</f>
        <v/>
      </c>
      <c r="O1477" s="4" t="str">
        <f>IFERROR(VLOOKUP(B1477,infoTable__15[],4,FALSE),"")</f>
        <v/>
      </c>
      <c r="P1477" s="4" t="str">
        <f>IFERROR(VLOOKUP(B1477,infoTable__16[],4,FALSE),"")</f>
        <v/>
      </c>
    </row>
    <row r="1478" spans="1:16" x14ac:dyDescent="0.55000000000000004">
      <c r="A1478" t="s">
        <v>915</v>
      </c>
      <c r="B1478" t="s">
        <v>916</v>
      </c>
      <c r="C1478" s="4" t="str">
        <f>IFERROR(VLOOKUP(B1478,infoTable10[],4,FALSE),"")</f>
        <v/>
      </c>
      <c r="D1478" s="4" t="str">
        <f>IFERROR(VLOOKUP(B1478,infoTable__2[],4,FALSE),"")</f>
        <v/>
      </c>
      <c r="E1478" s="4" t="str">
        <f>IFERROR(VLOOKUP(B1478,infoTable__3[],4,FALSE),"")</f>
        <v/>
      </c>
      <c r="F1478" s="4">
        <f>IFERROR(VLOOKUP(B1478,infoTable__4[],4,FALSE),"")</f>
        <v>217154</v>
      </c>
      <c r="G1478" s="4" t="str">
        <f>IFERROR(VLOOKUP(B1478,infoTable[],4,FALSE),"")</f>
        <v/>
      </c>
      <c r="H1478" s="4" t="str">
        <f>IFERROR(VLOOKUP(B1478,infoTable__6[],4,FALSE),"")</f>
        <v/>
      </c>
      <c r="I1478" s="4" t="str">
        <f>IFERROR(VLOOKUP(B1478,infoTable__28[],4,FALSE),"")</f>
        <v/>
      </c>
      <c r="J1478" s="4" t="str">
        <f>IFERROR(VLOOKUP(B1478,infoTable__10[],4,FALSE),"")</f>
        <v/>
      </c>
      <c r="K1478" s="4" t="str">
        <f>IFERROR(VLOOKUP(B1478,infoTable__11[],4,FALSE),"")</f>
        <v/>
      </c>
      <c r="L1478" s="4" t="str">
        <f>IFERROR(VLOOKUP(B1478,infoTable__12[],4,FALSE),"")</f>
        <v/>
      </c>
      <c r="M1478" s="4" t="str">
        <f>IFERROR(VLOOKUP(B1478,infoTable__13[],4,FALSE),"")</f>
        <v/>
      </c>
      <c r="N1478" s="4" t="str">
        <f>IFERROR(VLOOKUP(B1478,infoTable__14[],4,FALSE),"")</f>
        <v/>
      </c>
      <c r="O1478" s="4" t="str">
        <f>IFERROR(VLOOKUP(B1478,infoTable__15[],4,FALSE),"")</f>
        <v/>
      </c>
      <c r="P1478" s="4" t="str">
        <f>IFERROR(VLOOKUP(B1478,infoTable__16[],4,FALSE),"")</f>
        <v/>
      </c>
    </row>
    <row r="1479" spans="1:16" x14ac:dyDescent="0.55000000000000004">
      <c r="A1479" t="s">
        <v>1965</v>
      </c>
      <c r="B1479" t="s">
        <v>1967</v>
      </c>
      <c r="C1479" s="4" t="str">
        <f>IFERROR(VLOOKUP(B1479,infoTable10[],4,FALSE),"")</f>
        <v/>
      </c>
      <c r="D1479" s="4" t="str">
        <f>IFERROR(VLOOKUP(B1479,infoTable__2[],4,FALSE),"")</f>
        <v/>
      </c>
      <c r="E1479" s="4" t="str">
        <f>IFERROR(VLOOKUP(B1479,infoTable__3[],4,FALSE),"")</f>
        <v/>
      </c>
      <c r="F1479" s="4" t="str">
        <f>IFERROR(VLOOKUP(B1479,infoTable__4[],4,FALSE),"")</f>
        <v/>
      </c>
      <c r="G1479" s="4" t="str">
        <f>IFERROR(VLOOKUP(B1479,infoTable[],4,FALSE),"")</f>
        <v/>
      </c>
      <c r="H1479" s="4" t="str">
        <f>IFERROR(VLOOKUP(B1479,infoTable__6[],4,FALSE),"")</f>
        <v/>
      </c>
      <c r="I1479" s="4" t="str">
        <f>IFERROR(VLOOKUP(B1479,infoTable__28[],4,FALSE),"")</f>
        <v/>
      </c>
      <c r="J1479" s="4" t="str">
        <f>IFERROR(VLOOKUP(B1479,infoTable__10[],4,FALSE),"")</f>
        <v/>
      </c>
      <c r="K1479" s="4">
        <f>IFERROR(VLOOKUP(B1479,infoTable__11[],4,FALSE),"")</f>
        <v>315440</v>
      </c>
      <c r="L1479" s="4" t="str">
        <f>IFERROR(VLOOKUP(B1479,infoTable__12[],4,FALSE),"")</f>
        <v/>
      </c>
      <c r="M1479" s="4" t="str">
        <f>IFERROR(VLOOKUP(B1479,infoTable__13[],4,FALSE),"")</f>
        <v/>
      </c>
      <c r="N1479" s="4" t="str">
        <f>IFERROR(VLOOKUP(B1479,infoTable__14[],4,FALSE),"")</f>
        <v/>
      </c>
      <c r="O1479" s="4" t="str">
        <f>IFERROR(VLOOKUP(B1479,infoTable__15[],4,FALSE),"")</f>
        <v/>
      </c>
      <c r="P1479" s="4" t="str">
        <f>IFERROR(VLOOKUP(B1479,infoTable__16[],4,FALSE),"")</f>
        <v/>
      </c>
    </row>
    <row r="1480" spans="1:16" x14ac:dyDescent="0.55000000000000004">
      <c r="A1480" t="s">
        <v>428</v>
      </c>
      <c r="B1480" t="s">
        <v>429</v>
      </c>
      <c r="C1480" s="4" t="str">
        <f>IFERROR(VLOOKUP(B1480,infoTable10[],4,FALSE),"")</f>
        <v/>
      </c>
      <c r="D1480" s="4" t="str">
        <f>IFERROR(VLOOKUP(B1480,infoTable__2[],4,FALSE),"")</f>
        <v/>
      </c>
      <c r="E1480" s="4" t="str">
        <f>IFERROR(VLOOKUP(B1480,infoTable__3[],4,FALSE),"")</f>
        <v/>
      </c>
      <c r="F1480" s="4">
        <f>IFERROR(VLOOKUP(B1480,infoTable__4[],4,FALSE),"")</f>
        <v>335329</v>
      </c>
      <c r="G1480" s="4">
        <f>IFERROR(VLOOKUP(B1480,infoTable[],4,FALSE),"")</f>
        <v>436055</v>
      </c>
      <c r="H1480" s="4" t="str">
        <f>IFERROR(VLOOKUP(B1480,infoTable__6[],4,FALSE),"")</f>
        <v/>
      </c>
      <c r="I1480" s="4" t="str">
        <f>IFERROR(VLOOKUP(B1480,infoTable__28[],4,FALSE),"")</f>
        <v/>
      </c>
      <c r="J1480" s="4" t="str">
        <f>IFERROR(VLOOKUP(B1480,infoTable__10[],4,FALSE),"")</f>
        <v/>
      </c>
      <c r="K1480" s="4" t="str">
        <f>IFERROR(VLOOKUP(B1480,infoTable__11[],4,FALSE),"")</f>
        <v/>
      </c>
      <c r="L1480" s="4" t="str">
        <f>IFERROR(VLOOKUP(B1480,infoTable__12[],4,FALSE),"")</f>
        <v/>
      </c>
      <c r="M1480" s="4" t="str">
        <f>IFERROR(VLOOKUP(B1480,infoTable__13[],4,FALSE),"")</f>
        <v/>
      </c>
      <c r="N1480" s="4" t="str">
        <f>IFERROR(VLOOKUP(B1480,infoTable__14[],4,FALSE),"")</f>
        <v/>
      </c>
      <c r="O1480" s="4">
        <f>IFERROR(VLOOKUP(B1480,infoTable__15[],4,FALSE),"")</f>
        <v>1266704</v>
      </c>
      <c r="P1480" s="4" t="str">
        <f>IFERROR(VLOOKUP(B1480,infoTable__16[],4,FALSE),"")</f>
        <v/>
      </c>
    </row>
    <row r="1481" spans="1:16" x14ac:dyDescent="0.55000000000000004">
      <c r="A1481" t="s">
        <v>432</v>
      </c>
      <c r="B1481" t="s">
        <v>433</v>
      </c>
      <c r="C1481" s="4" t="str">
        <f>IFERROR(VLOOKUP(B1481,infoTable10[],4,FALSE),"")</f>
        <v/>
      </c>
      <c r="D1481" s="4">
        <f>IFERROR(VLOOKUP(B1481,infoTable__2[],4,FALSE),"")</f>
        <v>963977</v>
      </c>
      <c r="E1481" s="4">
        <f>IFERROR(VLOOKUP(B1481,infoTable__3[],4,FALSE),"")</f>
        <v>1302216</v>
      </c>
      <c r="F1481" s="4">
        <f>IFERROR(VLOOKUP(B1481,infoTable__4[],4,FALSE),"")</f>
        <v>917520</v>
      </c>
      <c r="G1481" s="4">
        <f>IFERROR(VLOOKUP(B1481,infoTable[],4,FALSE),"")</f>
        <v>1184049</v>
      </c>
      <c r="H1481" s="4">
        <f>IFERROR(VLOOKUP(B1481,infoTable__6[],4,FALSE),"")</f>
        <v>4258853</v>
      </c>
      <c r="I1481" s="4">
        <f>IFERROR(VLOOKUP(B1481,infoTable__28[],4,FALSE),"")</f>
        <v>1427292</v>
      </c>
      <c r="J1481" s="4">
        <f>IFERROR(VLOOKUP(B1481,infoTable__10[],4,FALSE),"")</f>
        <v>1844714</v>
      </c>
      <c r="K1481" s="4">
        <f>IFERROR(VLOOKUP(B1481,infoTable__11[],4,FALSE),"")</f>
        <v>1556436</v>
      </c>
      <c r="L1481" s="4" t="str">
        <f>IFERROR(VLOOKUP(B1481,infoTable__12[],4,FALSE),"")</f>
        <v/>
      </c>
      <c r="M1481" s="4" t="str">
        <f>IFERROR(VLOOKUP(B1481,infoTable__13[],4,FALSE),"")</f>
        <v/>
      </c>
      <c r="N1481" s="4" t="str">
        <f>IFERROR(VLOOKUP(B1481,infoTable__14[],4,FALSE),"")</f>
        <v/>
      </c>
      <c r="O1481" s="4" t="str">
        <f>IFERROR(VLOOKUP(B1481,infoTable__15[],4,FALSE),"")</f>
        <v/>
      </c>
      <c r="P1481" s="4" t="str">
        <f>IFERROR(VLOOKUP(B1481,infoTable__16[],4,FALSE),"")</f>
        <v/>
      </c>
    </row>
    <row r="1482" spans="1:16" x14ac:dyDescent="0.55000000000000004">
      <c r="A1482" t="s">
        <v>706</v>
      </c>
      <c r="B1482" t="s">
        <v>707</v>
      </c>
      <c r="C1482" s="4" t="str">
        <f>IFERROR(VLOOKUP(B1482,infoTable10[],4,FALSE),"")</f>
        <v/>
      </c>
      <c r="D1482" s="4">
        <f>IFERROR(VLOOKUP(B1482,infoTable__2[],4,FALSE),"")</f>
        <v>2506521</v>
      </c>
      <c r="E1482" s="4" t="str">
        <f>IFERROR(VLOOKUP(B1482,infoTable__3[],4,FALSE),"")</f>
        <v/>
      </c>
      <c r="F1482" s="4">
        <f>IFERROR(VLOOKUP(B1482,infoTable__4[],4,FALSE),"")</f>
        <v>3671607</v>
      </c>
      <c r="G1482" s="4" t="str">
        <f>IFERROR(VLOOKUP(B1482,infoTable[],4,FALSE),"")</f>
        <v/>
      </c>
      <c r="H1482" s="4" t="str">
        <f>IFERROR(VLOOKUP(B1482,infoTable__6[],4,FALSE),"")</f>
        <v/>
      </c>
      <c r="I1482" s="4" t="str">
        <f>IFERROR(VLOOKUP(B1482,infoTable__28[],4,FALSE),"")</f>
        <v/>
      </c>
      <c r="J1482" s="4" t="str">
        <f>IFERROR(VLOOKUP(B1482,infoTable__10[],4,FALSE),"")</f>
        <v/>
      </c>
      <c r="K1482" s="4" t="str">
        <f>IFERROR(VLOOKUP(B1482,infoTable__11[],4,FALSE),"")</f>
        <v/>
      </c>
      <c r="L1482" s="4" t="str">
        <f>IFERROR(VLOOKUP(B1482,infoTable__12[],4,FALSE),"")</f>
        <v/>
      </c>
      <c r="M1482" s="4">
        <f>IFERROR(VLOOKUP(B1482,infoTable__13[],4,FALSE),"")</f>
        <v>1059274</v>
      </c>
      <c r="N1482" s="4" t="str">
        <f>IFERROR(VLOOKUP(B1482,infoTable__14[],4,FALSE),"")</f>
        <v/>
      </c>
      <c r="O1482" s="4" t="str">
        <f>IFERROR(VLOOKUP(B1482,infoTable__15[],4,FALSE),"")</f>
        <v/>
      </c>
      <c r="P1482" s="4">
        <f>IFERROR(VLOOKUP(B1482,infoTable__16[],4,FALSE),"")</f>
        <v>1174809</v>
      </c>
    </row>
    <row r="1483" spans="1:16" x14ac:dyDescent="0.55000000000000004">
      <c r="A1483" t="s">
        <v>436</v>
      </c>
      <c r="B1483" t="s">
        <v>437</v>
      </c>
      <c r="C1483" s="4">
        <f>IFERROR(VLOOKUP(B1483,infoTable10[],4,FALSE),"")</f>
        <v>396729</v>
      </c>
      <c r="D1483" s="4">
        <f>IFERROR(VLOOKUP(B1483,infoTable__2[],4,FALSE),"")</f>
        <v>1194376</v>
      </c>
      <c r="E1483" s="4">
        <f>IFERROR(VLOOKUP(B1483,infoTable__3[],4,FALSE),"")</f>
        <v>3528395</v>
      </c>
      <c r="F1483" s="4">
        <f>IFERROR(VLOOKUP(B1483,infoTable__4[],4,FALSE),"")</f>
        <v>2254081</v>
      </c>
      <c r="G1483" s="4">
        <f>IFERROR(VLOOKUP(B1483,infoTable[],4,FALSE),"")</f>
        <v>1124738</v>
      </c>
      <c r="H1483" s="4">
        <f>IFERROR(VLOOKUP(B1483,infoTable__6[],4,FALSE),"")</f>
        <v>325234</v>
      </c>
      <c r="I1483" s="4" t="str">
        <f>IFERROR(VLOOKUP(B1483,infoTable__28[],4,FALSE),"")</f>
        <v/>
      </c>
      <c r="J1483" s="4" t="str">
        <f>IFERROR(VLOOKUP(B1483,infoTable__10[],4,FALSE),"")</f>
        <v/>
      </c>
      <c r="K1483" s="4" t="str">
        <f>IFERROR(VLOOKUP(B1483,infoTable__11[],4,FALSE),"")</f>
        <v/>
      </c>
      <c r="L1483" s="4" t="str">
        <f>IFERROR(VLOOKUP(B1483,infoTable__12[],4,FALSE),"")</f>
        <v/>
      </c>
      <c r="M1483" s="4" t="str">
        <f>IFERROR(VLOOKUP(B1483,infoTable__13[],4,FALSE),"")</f>
        <v/>
      </c>
      <c r="N1483" s="4" t="str">
        <f>IFERROR(VLOOKUP(B1483,infoTable__14[],4,FALSE),"")</f>
        <v/>
      </c>
      <c r="O1483" s="4" t="str">
        <f>IFERROR(VLOOKUP(B1483,infoTable__15[],4,FALSE),"")</f>
        <v/>
      </c>
      <c r="P1483" s="4" t="str">
        <f>IFERROR(VLOOKUP(B1483,infoTable__16[],4,FALSE),"")</f>
        <v/>
      </c>
    </row>
    <row r="1484" spans="1:16" x14ac:dyDescent="0.55000000000000004">
      <c r="A1484" t="s">
        <v>2036</v>
      </c>
      <c r="B1484" t="s">
        <v>2038</v>
      </c>
      <c r="C1484" s="4" t="str">
        <f>IFERROR(VLOOKUP(B1484,infoTable10[],4,FALSE),"")</f>
        <v/>
      </c>
      <c r="D1484" s="4" t="str">
        <f>IFERROR(VLOOKUP(B1484,infoTable__2[],4,FALSE),"")</f>
        <v/>
      </c>
      <c r="E1484" s="4" t="str">
        <f>IFERROR(VLOOKUP(B1484,infoTable__3[],4,FALSE),"")</f>
        <v/>
      </c>
      <c r="F1484" s="4" t="str">
        <f>IFERROR(VLOOKUP(B1484,infoTable__4[],4,FALSE),"")</f>
        <v/>
      </c>
      <c r="G1484" s="4" t="str">
        <f>IFERROR(VLOOKUP(B1484,infoTable[],4,FALSE),"")</f>
        <v/>
      </c>
      <c r="H1484" s="4" t="str">
        <f>IFERROR(VLOOKUP(B1484,infoTable__6[],4,FALSE),"")</f>
        <v/>
      </c>
      <c r="I1484" s="4" t="str">
        <f>IFERROR(VLOOKUP(B1484,infoTable__28[],4,FALSE),"")</f>
        <v/>
      </c>
      <c r="J1484" s="4" t="str">
        <f>IFERROR(VLOOKUP(B1484,infoTable__10[],4,FALSE),"")</f>
        <v/>
      </c>
      <c r="K1484" s="4">
        <f>IFERROR(VLOOKUP(B1484,infoTable__11[],4,FALSE),"")</f>
        <v>41480</v>
      </c>
      <c r="L1484" s="4" t="str">
        <f>IFERROR(VLOOKUP(B1484,infoTable__12[],4,FALSE),"")</f>
        <v/>
      </c>
      <c r="M1484" s="4" t="str">
        <f>IFERROR(VLOOKUP(B1484,infoTable__13[],4,FALSE),"")</f>
        <v/>
      </c>
      <c r="N1484" s="4" t="str">
        <f>IFERROR(VLOOKUP(B1484,infoTable__14[],4,FALSE),"")</f>
        <v/>
      </c>
      <c r="O1484" s="4" t="str">
        <f>IFERROR(VLOOKUP(B1484,infoTable__15[],4,FALSE),"")</f>
        <v/>
      </c>
      <c r="P1484" s="4" t="str">
        <f>IFERROR(VLOOKUP(B1484,infoTable__16[],4,FALSE),"")</f>
        <v/>
      </c>
    </row>
    <row r="1485" spans="1:16" x14ac:dyDescent="0.55000000000000004">
      <c r="A1485" t="s">
        <v>2384</v>
      </c>
      <c r="B1485" t="s">
        <v>2385</v>
      </c>
      <c r="C1485" s="4" t="str">
        <f>IFERROR(VLOOKUP(B1485,infoTable10[],4,FALSE),"")</f>
        <v/>
      </c>
      <c r="D1485" s="4" t="str">
        <f>IFERROR(VLOOKUP(B1485,infoTable__2[],4,FALSE),"")</f>
        <v/>
      </c>
      <c r="E1485" s="4" t="str">
        <f>IFERROR(VLOOKUP(B1485,infoTable__3[],4,FALSE),"")</f>
        <v/>
      </c>
      <c r="F1485" s="4" t="str">
        <f>IFERROR(VLOOKUP(B1485,infoTable__4[],4,FALSE),"")</f>
        <v/>
      </c>
      <c r="G1485" s="4" t="str">
        <f>IFERROR(VLOOKUP(B1485,infoTable[],4,FALSE),"")</f>
        <v/>
      </c>
      <c r="H1485" s="4" t="str">
        <f>IFERROR(VLOOKUP(B1485,infoTable__6[],4,FALSE),"")</f>
        <v/>
      </c>
      <c r="I1485" s="4" t="str">
        <f>IFERROR(VLOOKUP(B1485,infoTable__28[],4,FALSE),"")</f>
        <v/>
      </c>
      <c r="J1485" s="4" t="str">
        <f>IFERROR(VLOOKUP(B1485,infoTable__10[],4,FALSE),"")</f>
        <v/>
      </c>
      <c r="K1485" s="4" t="str">
        <f>IFERROR(VLOOKUP(B1485,infoTable__11[],4,FALSE),"")</f>
        <v/>
      </c>
      <c r="L1485" s="4">
        <f>IFERROR(VLOOKUP(B1485,infoTable__12[],4,FALSE),"")</f>
        <v>147526</v>
      </c>
      <c r="M1485" s="4" t="str">
        <f>IFERROR(VLOOKUP(B1485,infoTable__13[],4,FALSE),"")</f>
        <v/>
      </c>
      <c r="N1485" s="4" t="str">
        <f>IFERROR(VLOOKUP(B1485,infoTable__14[],4,FALSE),"")</f>
        <v/>
      </c>
      <c r="O1485" s="4" t="str">
        <f>IFERROR(VLOOKUP(B1485,infoTable__15[],4,FALSE),"")</f>
        <v/>
      </c>
      <c r="P1485" s="4" t="str">
        <f>IFERROR(VLOOKUP(B1485,infoTable__16[],4,FALSE),"")</f>
        <v/>
      </c>
    </row>
    <row r="1486" spans="1:16" x14ac:dyDescent="0.55000000000000004">
      <c r="A1486" t="s">
        <v>489</v>
      </c>
      <c r="B1486" t="s">
        <v>490</v>
      </c>
      <c r="C1486" s="4" t="str">
        <f>IFERROR(VLOOKUP(B1486,infoTable10[],4,FALSE),"")</f>
        <v/>
      </c>
      <c r="D1486" s="4">
        <f>IFERROR(VLOOKUP(B1486,infoTable__2[],4,FALSE),"")</f>
        <v>53826</v>
      </c>
      <c r="E1486" s="4" t="str">
        <f>IFERROR(VLOOKUP(B1486,infoTable__3[],4,FALSE),"")</f>
        <v/>
      </c>
      <c r="F1486" s="4" t="str">
        <f>IFERROR(VLOOKUP(B1486,infoTable__4[],4,FALSE),"")</f>
        <v/>
      </c>
      <c r="G1486" s="4" t="str">
        <f>IFERROR(VLOOKUP(B1486,infoTable[],4,FALSE),"")</f>
        <v/>
      </c>
      <c r="H1486" s="4" t="str">
        <f>IFERROR(VLOOKUP(B1486,infoTable__6[],4,FALSE),"")</f>
        <v/>
      </c>
      <c r="I1486" s="4" t="str">
        <f>IFERROR(VLOOKUP(B1486,infoTable__28[],4,FALSE),"")</f>
        <v/>
      </c>
      <c r="J1486" s="4" t="str">
        <f>IFERROR(VLOOKUP(B1486,infoTable__10[],4,FALSE),"")</f>
        <v/>
      </c>
      <c r="K1486" s="4" t="str">
        <f>IFERROR(VLOOKUP(B1486,infoTable__11[],4,FALSE),"")</f>
        <v/>
      </c>
      <c r="L1486" s="4" t="str">
        <f>IFERROR(VLOOKUP(B1486,infoTable__12[],4,FALSE),"")</f>
        <v/>
      </c>
      <c r="M1486" s="4" t="str">
        <f>IFERROR(VLOOKUP(B1486,infoTable__13[],4,FALSE),"")</f>
        <v/>
      </c>
      <c r="N1486" s="4" t="str">
        <f>IFERROR(VLOOKUP(B1486,infoTable__14[],4,FALSE),"")</f>
        <v/>
      </c>
      <c r="O1486" s="4" t="str">
        <f>IFERROR(VLOOKUP(B1486,infoTable__15[],4,FALSE),"")</f>
        <v/>
      </c>
      <c r="P1486" s="4" t="str">
        <f>IFERROR(VLOOKUP(B1486,infoTable__16[],4,FALSE),"")</f>
        <v/>
      </c>
    </row>
    <row r="1487" spans="1:16" x14ac:dyDescent="0.55000000000000004">
      <c r="A1487" t="s">
        <v>726</v>
      </c>
      <c r="B1487" t="s">
        <v>727</v>
      </c>
      <c r="C1487" s="4" t="str">
        <f>IFERROR(VLOOKUP(B1487,infoTable10[],4,FALSE),"")</f>
        <v/>
      </c>
      <c r="D1487" s="4" t="str">
        <f>IFERROR(VLOOKUP(B1487,infoTable__2[],4,FALSE),"")</f>
        <v/>
      </c>
      <c r="E1487" s="4">
        <f>IFERROR(VLOOKUP(B1487,infoTable__3[],4,FALSE),"")</f>
        <v>56021</v>
      </c>
      <c r="F1487" s="4" t="str">
        <f>IFERROR(VLOOKUP(B1487,infoTable__4[],4,FALSE),"")</f>
        <v/>
      </c>
      <c r="G1487" s="4" t="str">
        <f>IFERROR(VLOOKUP(B1487,infoTable[],4,FALSE),"")</f>
        <v/>
      </c>
      <c r="H1487" s="4" t="str">
        <f>IFERROR(VLOOKUP(B1487,infoTable__6[],4,FALSE),"")</f>
        <v/>
      </c>
      <c r="I1487" s="4" t="str">
        <f>IFERROR(VLOOKUP(B1487,infoTable__28[],4,FALSE),"")</f>
        <v/>
      </c>
      <c r="J1487" s="4" t="str">
        <f>IFERROR(VLOOKUP(B1487,infoTable__10[],4,FALSE),"")</f>
        <v/>
      </c>
      <c r="K1487" s="4" t="str">
        <f>IFERROR(VLOOKUP(B1487,infoTable__11[],4,FALSE),"")</f>
        <v/>
      </c>
      <c r="L1487" s="4" t="str">
        <f>IFERROR(VLOOKUP(B1487,infoTable__12[],4,FALSE),"")</f>
        <v/>
      </c>
      <c r="M1487" s="4" t="str">
        <f>IFERROR(VLOOKUP(B1487,infoTable__13[],4,FALSE),"")</f>
        <v/>
      </c>
      <c r="N1487" s="4" t="str">
        <f>IFERROR(VLOOKUP(B1487,infoTable__14[],4,FALSE),"")</f>
        <v/>
      </c>
      <c r="O1487" s="4" t="str">
        <f>IFERROR(VLOOKUP(B1487,infoTable__15[],4,FALSE),"")</f>
        <v/>
      </c>
      <c r="P1487" s="4" t="str">
        <f>IFERROR(VLOOKUP(B1487,infoTable__16[],4,FALSE),"")</f>
        <v/>
      </c>
    </row>
    <row r="1488" spans="1:16" x14ac:dyDescent="0.55000000000000004">
      <c r="A1488" t="s">
        <v>2907</v>
      </c>
      <c r="B1488" t="s">
        <v>2906</v>
      </c>
      <c r="C1488" s="4" t="str">
        <f>IFERROR(VLOOKUP(B1488,infoTable10[],4,FALSE),"")</f>
        <v/>
      </c>
      <c r="D1488" s="4" t="str">
        <f>IFERROR(VLOOKUP(B1488,infoTable__2[],4,FALSE),"")</f>
        <v/>
      </c>
      <c r="E1488" s="4" t="str">
        <f>IFERROR(VLOOKUP(B1488,infoTable__3[],4,FALSE),"")</f>
        <v/>
      </c>
      <c r="F1488" s="4" t="str">
        <f>IFERROR(VLOOKUP(B1488,infoTable__4[],4,FALSE),"")</f>
        <v/>
      </c>
      <c r="G1488" s="4" t="str">
        <f>IFERROR(VLOOKUP(B1488,infoTable[],4,FALSE),"")</f>
        <v/>
      </c>
      <c r="H1488" s="4" t="str">
        <f>IFERROR(VLOOKUP(B1488,infoTable__6[],4,FALSE),"")</f>
        <v/>
      </c>
      <c r="I1488" s="4" t="str">
        <f>IFERROR(VLOOKUP(B1488,infoTable__28[],4,FALSE),"")</f>
        <v/>
      </c>
      <c r="J1488" s="4" t="str">
        <f>IFERROR(VLOOKUP(B1488,infoTable__10[],4,FALSE),"")</f>
        <v/>
      </c>
      <c r="K1488" s="4" t="str">
        <f>IFERROR(VLOOKUP(B1488,infoTable__11[],4,FALSE),"")</f>
        <v/>
      </c>
      <c r="L1488" s="4" t="str">
        <f>IFERROR(VLOOKUP(B1488,infoTable__12[],4,FALSE),"")</f>
        <v/>
      </c>
      <c r="M1488" s="4" t="str">
        <f>IFERROR(VLOOKUP(B1488,infoTable__13[],4,FALSE),"")</f>
        <v/>
      </c>
      <c r="N1488" s="4">
        <f>IFERROR(VLOOKUP(B1488,infoTable__14[],4,FALSE),"")</f>
        <v>3561782</v>
      </c>
      <c r="O1488" s="4">
        <f>IFERROR(VLOOKUP(B1488,infoTable__15[],4,FALSE),"")</f>
        <v>3458443</v>
      </c>
      <c r="P1488" s="4" t="str">
        <f>IFERROR(VLOOKUP(B1488,infoTable__16[],4,FALSE),"")</f>
        <v/>
      </c>
    </row>
    <row r="1489" spans="1:16" x14ac:dyDescent="0.55000000000000004">
      <c r="A1489" t="s">
        <v>1801</v>
      </c>
      <c r="B1489" t="s">
        <v>1802</v>
      </c>
      <c r="C1489" s="4" t="str">
        <f>IFERROR(VLOOKUP(B1489,infoTable10[],4,FALSE),"")</f>
        <v/>
      </c>
      <c r="D1489" s="4" t="str">
        <f>IFERROR(VLOOKUP(B1489,infoTable__2[],4,FALSE),"")</f>
        <v/>
      </c>
      <c r="E1489" s="4" t="str">
        <f>IFERROR(VLOOKUP(B1489,infoTable__3[],4,FALSE),"")</f>
        <v/>
      </c>
      <c r="F1489" s="4" t="str">
        <f>IFERROR(VLOOKUP(B1489,infoTable__4[],4,FALSE),"")</f>
        <v/>
      </c>
      <c r="G1489" s="4" t="str">
        <f>IFERROR(VLOOKUP(B1489,infoTable[],4,FALSE),"")</f>
        <v/>
      </c>
      <c r="H1489" s="4" t="str">
        <f>IFERROR(VLOOKUP(B1489,infoTable__6[],4,FALSE),"")</f>
        <v/>
      </c>
      <c r="I1489" s="4" t="str">
        <f>IFERROR(VLOOKUP(B1489,infoTable__28[],4,FALSE),"")</f>
        <v/>
      </c>
      <c r="J1489" s="4">
        <f>IFERROR(VLOOKUP(B1489,infoTable__10[],4,FALSE),"")</f>
        <v>2568397</v>
      </c>
      <c r="K1489" s="4">
        <f>IFERROR(VLOOKUP(B1489,infoTable__11[],4,FALSE),"")</f>
        <v>2306076</v>
      </c>
      <c r="L1489" s="4">
        <f>IFERROR(VLOOKUP(B1489,infoTable__12[],4,FALSE),"")</f>
        <v>593016</v>
      </c>
      <c r="M1489" s="4">
        <f>IFERROR(VLOOKUP(B1489,infoTable__13[],4,FALSE),"")</f>
        <v>348958</v>
      </c>
      <c r="N1489" s="4" t="str">
        <f>IFERROR(VLOOKUP(B1489,infoTable__14[],4,FALSE),"")</f>
        <v/>
      </c>
      <c r="O1489" s="4">
        <f>IFERROR(VLOOKUP(B1489,infoTable__15[],4,FALSE),"")</f>
        <v>1027199</v>
      </c>
      <c r="P1489" s="4">
        <f>IFERROR(VLOOKUP(B1489,infoTable__16[],4,FALSE),"")</f>
        <v>501843</v>
      </c>
    </row>
    <row r="1490" spans="1:16" x14ac:dyDescent="0.55000000000000004">
      <c r="A1490" t="s">
        <v>1797</v>
      </c>
      <c r="B1490" t="s">
        <v>1798</v>
      </c>
      <c r="C1490" s="4" t="str">
        <f>IFERROR(VLOOKUP(B1490,infoTable10[],4,FALSE),"")</f>
        <v/>
      </c>
      <c r="D1490" s="4" t="str">
        <f>IFERROR(VLOOKUP(B1490,infoTable__2[],4,FALSE),"")</f>
        <v/>
      </c>
      <c r="E1490" s="4" t="str">
        <f>IFERROR(VLOOKUP(B1490,infoTable__3[],4,FALSE),"")</f>
        <v/>
      </c>
      <c r="F1490" s="4" t="str">
        <f>IFERROR(VLOOKUP(B1490,infoTable__4[],4,FALSE),"")</f>
        <v/>
      </c>
      <c r="G1490" s="4" t="str">
        <f>IFERROR(VLOOKUP(B1490,infoTable[],4,FALSE),"")</f>
        <v/>
      </c>
      <c r="H1490" s="4" t="str">
        <f>IFERROR(VLOOKUP(B1490,infoTable__6[],4,FALSE),"")</f>
        <v/>
      </c>
      <c r="I1490" s="4" t="str">
        <f>IFERROR(VLOOKUP(B1490,infoTable__28[],4,FALSE),"")</f>
        <v/>
      </c>
      <c r="J1490" s="4">
        <f>IFERROR(VLOOKUP(B1490,infoTable__10[],4,FALSE),"")</f>
        <v>1092827</v>
      </c>
      <c r="K1490" s="4">
        <f>IFERROR(VLOOKUP(B1490,infoTable__11[],4,FALSE),"")</f>
        <v>405405</v>
      </c>
      <c r="L1490" s="4">
        <f>IFERROR(VLOOKUP(B1490,infoTable__12[],4,FALSE),"")</f>
        <v>448632</v>
      </c>
      <c r="M1490" s="4" t="str">
        <f>IFERROR(VLOOKUP(B1490,infoTable__13[],4,FALSE),"")</f>
        <v/>
      </c>
      <c r="N1490" s="4" t="str">
        <f>IFERROR(VLOOKUP(B1490,infoTable__14[],4,FALSE),"")</f>
        <v/>
      </c>
      <c r="O1490" s="4" t="str">
        <f>IFERROR(VLOOKUP(B1490,infoTable__15[],4,FALSE),"")</f>
        <v/>
      </c>
      <c r="P1490" s="4" t="str">
        <f>IFERROR(VLOOKUP(B1490,infoTable__16[],4,FALSE),"")</f>
        <v/>
      </c>
    </row>
    <row r="1491" spans="1:16" x14ac:dyDescent="0.55000000000000004">
      <c r="A1491" t="s">
        <v>1444</v>
      </c>
      <c r="B1491" t="s">
        <v>1445</v>
      </c>
      <c r="C1491" s="4" t="str">
        <f>IFERROR(VLOOKUP(B1491,infoTable10[],4,FALSE),"")</f>
        <v/>
      </c>
      <c r="D1491" s="4" t="str">
        <f>IFERROR(VLOOKUP(B1491,infoTable__2[],4,FALSE),"")</f>
        <v/>
      </c>
      <c r="E1491" s="4" t="str">
        <f>IFERROR(VLOOKUP(B1491,infoTable__3[],4,FALSE),"")</f>
        <v/>
      </c>
      <c r="F1491" s="4" t="str">
        <f>IFERROR(VLOOKUP(B1491,infoTable__4[],4,FALSE),"")</f>
        <v/>
      </c>
      <c r="G1491" s="4" t="str">
        <f>IFERROR(VLOOKUP(B1491,infoTable[],4,FALSE),"")</f>
        <v/>
      </c>
      <c r="H1491" s="4" t="str">
        <f>IFERROR(VLOOKUP(B1491,infoTable__6[],4,FALSE),"")</f>
        <v/>
      </c>
      <c r="I1491" s="4">
        <f>IFERROR(VLOOKUP(B1491,infoTable__28[],4,FALSE),"")</f>
        <v>878521</v>
      </c>
      <c r="J1491" s="4" t="str">
        <f>IFERROR(VLOOKUP(B1491,infoTable__10[],4,FALSE),"")</f>
        <v/>
      </c>
      <c r="K1491" s="4">
        <f>IFERROR(VLOOKUP(B1491,infoTable__11[],4,FALSE),"")</f>
        <v>373356</v>
      </c>
      <c r="L1491" s="4">
        <f>IFERROR(VLOOKUP(B1491,infoTable__12[],4,FALSE),"")</f>
        <v>242956</v>
      </c>
      <c r="M1491" s="4" t="str">
        <f>IFERROR(VLOOKUP(B1491,infoTable__13[],4,FALSE),"")</f>
        <v/>
      </c>
      <c r="N1491" s="4" t="str">
        <f>IFERROR(VLOOKUP(B1491,infoTable__14[],4,FALSE),"")</f>
        <v/>
      </c>
      <c r="O1491" s="4" t="str">
        <f>IFERROR(VLOOKUP(B1491,infoTable__15[],4,FALSE),"")</f>
        <v/>
      </c>
      <c r="P1491" s="4" t="str">
        <f>IFERROR(VLOOKUP(B1491,infoTable__16[],4,FALSE),"")</f>
        <v/>
      </c>
    </row>
    <row r="1492" spans="1:16" x14ac:dyDescent="0.55000000000000004">
      <c r="A1492" t="s">
        <v>2614</v>
      </c>
      <c r="B1492" t="s">
        <v>2615</v>
      </c>
      <c r="C1492" s="4" t="str">
        <f>IFERROR(VLOOKUP(B1492,infoTable10[],4,FALSE),"")</f>
        <v/>
      </c>
      <c r="D1492" s="4" t="str">
        <f>IFERROR(VLOOKUP(B1492,infoTable__2[],4,FALSE),"")</f>
        <v/>
      </c>
      <c r="E1492" s="4" t="str">
        <f>IFERROR(VLOOKUP(B1492,infoTable__3[],4,FALSE),"")</f>
        <v/>
      </c>
      <c r="F1492" s="4" t="str">
        <f>IFERROR(VLOOKUP(B1492,infoTable__4[],4,FALSE),"")</f>
        <v/>
      </c>
      <c r="G1492" s="4" t="str">
        <f>IFERROR(VLOOKUP(B1492,infoTable[],4,FALSE),"")</f>
        <v/>
      </c>
      <c r="H1492" s="4" t="str">
        <f>IFERROR(VLOOKUP(B1492,infoTable__6[],4,FALSE),"")</f>
        <v/>
      </c>
      <c r="I1492" s="4" t="str">
        <f>IFERROR(VLOOKUP(B1492,infoTable__28[],4,FALSE),"")</f>
        <v/>
      </c>
      <c r="J1492" s="4" t="str">
        <f>IFERROR(VLOOKUP(B1492,infoTable__10[],4,FALSE),"")</f>
        <v/>
      </c>
      <c r="K1492" s="4" t="str">
        <f>IFERROR(VLOOKUP(B1492,infoTable__11[],4,FALSE),"")</f>
        <v/>
      </c>
      <c r="L1492" s="4" t="str">
        <f>IFERROR(VLOOKUP(B1492,infoTable__12[],4,FALSE),"")</f>
        <v/>
      </c>
      <c r="M1492" s="4">
        <f>IFERROR(VLOOKUP(B1492,infoTable__13[],4,FALSE),"")</f>
        <v>862422</v>
      </c>
      <c r="N1492" s="4">
        <f>IFERROR(VLOOKUP(B1492,infoTable__14[],4,FALSE),"")</f>
        <v>1350101</v>
      </c>
      <c r="O1492" s="4">
        <f>IFERROR(VLOOKUP(B1492,infoTable__15[],4,FALSE),"")</f>
        <v>311584</v>
      </c>
      <c r="P1492" s="4">
        <f>IFERROR(VLOOKUP(B1492,infoTable__16[],4,FALSE),"")</f>
        <v>507513</v>
      </c>
    </row>
    <row r="1493" spans="1:16" x14ac:dyDescent="0.55000000000000004">
      <c r="A1493" t="s">
        <v>2374</v>
      </c>
      <c r="B1493" t="s">
        <v>2375</v>
      </c>
      <c r="C1493" s="4" t="str">
        <f>IFERROR(VLOOKUP(B1493,infoTable10[],4,FALSE),"")</f>
        <v/>
      </c>
      <c r="D1493" s="4" t="str">
        <f>IFERROR(VLOOKUP(B1493,infoTable__2[],4,FALSE),"")</f>
        <v/>
      </c>
      <c r="E1493" s="4" t="str">
        <f>IFERROR(VLOOKUP(B1493,infoTable__3[],4,FALSE),"")</f>
        <v/>
      </c>
      <c r="F1493" s="4" t="str">
        <f>IFERROR(VLOOKUP(B1493,infoTable__4[],4,FALSE),"")</f>
        <v/>
      </c>
      <c r="G1493" s="4" t="str">
        <f>IFERROR(VLOOKUP(B1493,infoTable[],4,FALSE),"")</f>
        <v/>
      </c>
      <c r="H1493" s="4" t="str">
        <f>IFERROR(VLOOKUP(B1493,infoTable__6[],4,FALSE),"")</f>
        <v/>
      </c>
      <c r="I1493" s="4" t="str">
        <f>IFERROR(VLOOKUP(B1493,infoTable__28[],4,FALSE),"")</f>
        <v/>
      </c>
      <c r="J1493" s="4" t="str">
        <f>IFERROR(VLOOKUP(B1493,infoTable__10[],4,FALSE),"")</f>
        <v/>
      </c>
      <c r="K1493" s="4" t="str">
        <f>IFERROR(VLOOKUP(B1493,infoTable__11[],4,FALSE),"")</f>
        <v/>
      </c>
      <c r="L1493" s="4">
        <f>IFERROR(VLOOKUP(B1493,infoTable__12[],4,FALSE),"")</f>
        <v>1098304</v>
      </c>
      <c r="M1493" s="4" t="str">
        <f>IFERROR(VLOOKUP(B1493,infoTable__13[],4,FALSE),"")</f>
        <v/>
      </c>
      <c r="N1493" s="4" t="str">
        <f>IFERROR(VLOOKUP(B1493,infoTable__14[],4,FALSE),"")</f>
        <v/>
      </c>
      <c r="O1493" s="4" t="str">
        <f>IFERROR(VLOOKUP(B1493,infoTable__15[],4,FALSE),"")</f>
        <v/>
      </c>
      <c r="P1493" s="4">
        <f>IFERROR(VLOOKUP(B1493,infoTable__16[],4,FALSE),"")</f>
        <v>679451</v>
      </c>
    </row>
    <row r="1494" spans="1:16" x14ac:dyDescent="0.55000000000000004">
      <c r="A1494" t="s">
        <v>2909</v>
      </c>
      <c r="B1494" t="s">
        <v>2908</v>
      </c>
      <c r="C1494" s="4" t="str">
        <f>IFERROR(VLOOKUP(B1494,infoTable10[],4,FALSE),"")</f>
        <v/>
      </c>
      <c r="D1494" s="4" t="str">
        <f>IFERROR(VLOOKUP(B1494,infoTable__2[],4,FALSE),"")</f>
        <v/>
      </c>
      <c r="E1494" s="4" t="str">
        <f>IFERROR(VLOOKUP(B1494,infoTable__3[],4,FALSE),"")</f>
        <v/>
      </c>
      <c r="F1494" s="4" t="str">
        <f>IFERROR(VLOOKUP(B1494,infoTable__4[],4,FALSE),"")</f>
        <v/>
      </c>
      <c r="G1494" s="4" t="str">
        <f>IFERROR(VLOOKUP(B1494,infoTable[],4,FALSE),"")</f>
        <v/>
      </c>
      <c r="H1494" s="4" t="str">
        <f>IFERROR(VLOOKUP(B1494,infoTable__6[],4,FALSE),"")</f>
        <v/>
      </c>
      <c r="I1494" s="4" t="str">
        <f>IFERROR(VLOOKUP(B1494,infoTable__28[],4,FALSE),"")</f>
        <v/>
      </c>
      <c r="J1494" s="4" t="str">
        <f>IFERROR(VLOOKUP(B1494,infoTable__10[],4,FALSE),"")</f>
        <v/>
      </c>
      <c r="K1494" s="4" t="str">
        <f>IFERROR(VLOOKUP(B1494,infoTable__11[],4,FALSE),"")</f>
        <v/>
      </c>
      <c r="L1494" s="4" t="str">
        <f>IFERROR(VLOOKUP(B1494,infoTable__12[],4,FALSE),"")</f>
        <v/>
      </c>
      <c r="M1494" s="4" t="str">
        <f>IFERROR(VLOOKUP(B1494,infoTable__13[],4,FALSE),"")</f>
        <v/>
      </c>
      <c r="N1494" s="4">
        <f>IFERROR(VLOOKUP(B1494,infoTable__14[],4,FALSE),"")</f>
        <v>593766</v>
      </c>
      <c r="O1494" s="4">
        <f>IFERROR(VLOOKUP(B1494,infoTable__15[],4,FALSE),"")</f>
        <v>8804161</v>
      </c>
      <c r="P1494" s="4">
        <f>IFERROR(VLOOKUP(B1494,infoTable__16[],4,FALSE),"")</f>
        <v>3388212</v>
      </c>
    </row>
    <row r="1495" spans="1:16" x14ac:dyDescent="0.55000000000000004">
      <c r="A1495" t="s">
        <v>1452</v>
      </c>
      <c r="B1495" t="s">
        <v>1453</v>
      </c>
      <c r="C1495" s="4" t="str">
        <f>IFERROR(VLOOKUP(B1495,infoTable10[],4,FALSE),"")</f>
        <v/>
      </c>
      <c r="D1495" s="4" t="str">
        <f>IFERROR(VLOOKUP(B1495,infoTable__2[],4,FALSE),"")</f>
        <v/>
      </c>
      <c r="E1495" s="4" t="str">
        <f>IFERROR(VLOOKUP(B1495,infoTable__3[],4,FALSE),"")</f>
        <v/>
      </c>
      <c r="F1495" s="4" t="str">
        <f>IFERROR(VLOOKUP(B1495,infoTable__4[],4,FALSE),"")</f>
        <v/>
      </c>
      <c r="G1495" s="4" t="str">
        <f>IFERROR(VLOOKUP(B1495,infoTable[],4,FALSE),"")</f>
        <v/>
      </c>
      <c r="H1495" s="4" t="str">
        <f>IFERROR(VLOOKUP(B1495,infoTable__6[],4,FALSE),"")</f>
        <v/>
      </c>
      <c r="I1495" s="4">
        <f>IFERROR(VLOOKUP(B1495,infoTable__28[],4,FALSE),"")</f>
        <v>743815</v>
      </c>
      <c r="J1495" s="4">
        <f>IFERROR(VLOOKUP(B1495,infoTable__10[],4,FALSE),"")</f>
        <v>1006574</v>
      </c>
      <c r="K1495" s="4">
        <f>IFERROR(VLOOKUP(B1495,infoTable__11[],4,FALSE),"")</f>
        <v>834271</v>
      </c>
      <c r="L1495" s="4">
        <f>IFERROR(VLOOKUP(B1495,infoTable__12[],4,FALSE),"")</f>
        <v>973146</v>
      </c>
      <c r="M1495" s="4" t="str">
        <f>IFERROR(VLOOKUP(B1495,infoTable__13[],4,FALSE),"")</f>
        <v/>
      </c>
      <c r="N1495" s="4" t="str">
        <f>IFERROR(VLOOKUP(B1495,infoTable__14[],4,FALSE),"")</f>
        <v/>
      </c>
      <c r="O1495" s="4" t="str">
        <f>IFERROR(VLOOKUP(B1495,infoTable__15[],4,FALSE),"")</f>
        <v/>
      </c>
      <c r="P1495" s="4" t="str">
        <f>IFERROR(VLOOKUP(B1495,infoTable__16[],4,FALSE),"")</f>
        <v/>
      </c>
    </row>
    <row r="1496" spans="1:16" x14ac:dyDescent="0.55000000000000004">
      <c r="A1496" t="s">
        <v>1454</v>
      </c>
      <c r="B1496" t="s">
        <v>1455</v>
      </c>
      <c r="C1496" s="4" t="str">
        <f>IFERROR(VLOOKUP(B1496,infoTable10[],4,FALSE),"")</f>
        <v/>
      </c>
      <c r="D1496" s="4" t="str">
        <f>IFERROR(VLOOKUP(B1496,infoTable__2[],4,FALSE),"")</f>
        <v/>
      </c>
      <c r="E1496" s="4" t="str">
        <f>IFERROR(VLOOKUP(B1496,infoTable__3[],4,FALSE),"")</f>
        <v/>
      </c>
      <c r="F1496" s="4" t="str">
        <f>IFERROR(VLOOKUP(B1496,infoTable__4[],4,FALSE),"")</f>
        <v/>
      </c>
      <c r="G1496" s="4" t="str">
        <f>IFERROR(VLOOKUP(B1496,infoTable[],4,FALSE),"")</f>
        <v/>
      </c>
      <c r="H1496" s="4" t="str">
        <f>IFERROR(VLOOKUP(B1496,infoTable__6[],4,FALSE),"")</f>
        <v/>
      </c>
      <c r="I1496" s="4">
        <f>IFERROR(VLOOKUP(B1496,infoTable__28[],4,FALSE),"")</f>
        <v>545854</v>
      </c>
      <c r="J1496" s="4">
        <f>IFERROR(VLOOKUP(B1496,infoTable__10[],4,FALSE),"")</f>
        <v>502706</v>
      </c>
      <c r="K1496" s="4">
        <f>IFERROR(VLOOKUP(B1496,infoTable__11[],4,FALSE),"")</f>
        <v>322774</v>
      </c>
      <c r="L1496" s="4">
        <f>IFERROR(VLOOKUP(B1496,infoTable__12[],4,FALSE),"")</f>
        <v>254056</v>
      </c>
      <c r="M1496" s="4" t="str">
        <f>IFERROR(VLOOKUP(B1496,infoTable__13[],4,FALSE),"")</f>
        <v/>
      </c>
      <c r="N1496" s="4" t="str">
        <f>IFERROR(VLOOKUP(B1496,infoTable__14[],4,FALSE),"")</f>
        <v/>
      </c>
      <c r="O1496" s="4" t="str">
        <f>IFERROR(VLOOKUP(B1496,infoTable__15[],4,FALSE),"")</f>
        <v/>
      </c>
      <c r="P1496" s="4" t="str">
        <f>IFERROR(VLOOKUP(B1496,infoTable__16[],4,FALSE),"")</f>
        <v/>
      </c>
    </row>
    <row r="1497" spans="1:16" x14ac:dyDescent="0.55000000000000004">
      <c r="A1497" t="s">
        <v>2911</v>
      </c>
      <c r="B1497" t="s">
        <v>2910</v>
      </c>
      <c r="C1497" s="4" t="str">
        <f>IFERROR(VLOOKUP(B1497,infoTable10[],4,FALSE),"")</f>
        <v/>
      </c>
      <c r="D1497" s="4" t="str">
        <f>IFERROR(VLOOKUP(B1497,infoTable__2[],4,FALSE),"")</f>
        <v/>
      </c>
      <c r="E1497" s="4" t="str">
        <f>IFERROR(VLOOKUP(B1497,infoTable__3[],4,FALSE),"")</f>
        <v/>
      </c>
      <c r="F1497" s="4" t="str">
        <f>IFERROR(VLOOKUP(B1497,infoTable__4[],4,FALSE),"")</f>
        <v/>
      </c>
      <c r="G1497" s="4" t="str">
        <f>IFERROR(VLOOKUP(B1497,infoTable[],4,FALSE),"")</f>
        <v/>
      </c>
      <c r="H1497" s="4" t="str">
        <f>IFERROR(VLOOKUP(B1497,infoTable__6[],4,FALSE),"")</f>
        <v/>
      </c>
      <c r="I1497" s="4" t="str">
        <f>IFERROR(VLOOKUP(B1497,infoTable__28[],4,FALSE),"")</f>
        <v/>
      </c>
      <c r="J1497" s="4" t="str">
        <f>IFERROR(VLOOKUP(B1497,infoTable__10[],4,FALSE),"")</f>
        <v/>
      </c>
      <c r="K1497" s="4" t="str">
        <f>IFERROR(VLOOKUP(B1497,infoTable__11[],4,FALSE),"")</f>
        <v/>
      </c>
      <c r="L1497" s="4" t="str">
        <f>IFERROR(VLOOKUP(B1497,infoTable__12[],4,FALSE),"")</f>
        <v/>
      </c>
      <c r="M1497" s="4" t="str">
        <f>IFERROR(VLOOKUP(B1497,infoTable__13[],4,FALSE),"")</f>
        <v/>
      </c>
      <c r="N1497" s="4">
        <f>IFERROR(VLOOKUP(B1497,infoTable__14[],4,FALSE),"")</f>
        <v>409667</v>
      </c>
      <c r="O1497" s="4">
        <f>IFERROR(VLOOKUP(B1497,infoTable__15[],4,FALSE),"")</f>
        <v>354795</v>
      </c>
      <c r="P1497" s="4">
        <f>IFERROR(VLOOKUP(B1497,infoTable__16[],4,FALSE),"")</f>
        <v>3674285</v>
      </c>
    </row>
    <row r="1498" spans="1:16" x14ac:dyDescent="0.55000000000000004">
      <c r="A1498" t="s">
        <v>2041</v>
      </c>
      <c r="B1498" t="s">
        <v>2042</v>
      </c>
      <c r="C1498" s="4" t="str">
        <f>IFERROR(VLOOKUP(B1498,infoTable10[],4,FALSE),"")</f>
        <v/>
      </c>
      <c r="D1498" s="4" t="str">
        <f>IFERROR(VLOOKUP(B1498,infoTable__2[],4,FALSE),"")</f>
        <v/>
      </c>
      <c r="E1498" s="4" t="str">
        <f>IFERROR(VLOOKUP(B1498,infoTable__3[],4,FALSE),"")</f>
        <v/>
      </c>
      <c r="F1498" s="4" t="str">
        <f>IFERROR(VLOOKUP(B1498,infoTable__4[],4,FALSE),"")</f>
        <v/>
      </c>
      <c r="G1498" s="4" t="str">
        <f>IFERROR(VLOOKUP(B1498,infoTable[],4,FALSE),"")</f>
        <v/>
      </c>
      <c r="H1498" s="4" t="str">
        <f>IFERROR(VLOOKUP(B1498,infoTable__6[],4,FALSE),"")</f>
        <v/>
      </c>
      <c r="I1498" s="4" t="str">
        <f>IFERROR(VLOOKUP(B1498,infoTable__28[],4,FALSE),"")</f>
        <v/>
      </c>
      <c r="J1498" s="4" t="str">
        <f>IFERROR(VLOOKUP(B1498,infoTable__10[],4,FALSE),"")</f>
        <v/>
      </c>
      <c r="K1498" s="4">
        <f>IFERROR(VLOOKUP(B1498,infoTable__11[],4,FALSE),"")</f>
        <v>208664</v>
      </c>
      <c r="L1498" s="4">
        <f>IFERROR(VLOOKUP(B1498,infoTable__12[],4,FALSE),"")</f>
        <v>366595</v>
      </c>
      <c r="M1498" s="4" t="str">
        <f>IFERROR(VLOOKUP(B1498,infoTable__13[],4,FALSE),"")</f>
        <v/>
      </c>
      <c r="N1498" s="4" t="str">
        <f>IFERROR(VLOOKUP(B1498,infoTable__14[],4,FALSE),"")</f>
        <v/>
      </c>
      <c r="O1498" s="4">
        <f>IFERROR(VLOOKUP(B1498,infoTable__15[],4,FALSE),"")</f>
        <v>328778</v>
      </c>
      <c r="P1498" s="4">
        <f>IFERROR(VLOOKUP(B1498,infoTable__16[],4,FALSE),"")</f>
        <v>568216</v>
      </c>
    </row>
    <row r="1499" spans="1:16" x14ac:dyDescent="0.55000000000000004">
      <c r="A1499" t="s">
        <v>450</v>
      </c>
      <c r="B1499" t="s">
        <v>451</v>
      </c>
      <c r="C1499" s="4">
        <f>IFERROR(VLOOKUP(B1499,infoTable10[],4,FALSE),"")</f>
        <v>4549616</v>
      </c>
      <c r="D1499" s="4">
        <f>IFERROR(VLOOKUP(B1499,infoTable__2[],4,FALSE),"")</f>
        <v>5285625</v>
      </c>
      <c r="E1499" s="4">
        <f>IFERROR(VLOOKUP(B1499,infoTable__3[],4,FALSE),"")</f>
        <v>876344</v>
      </c>
      <c r="F1499" s="4" t="str">
        <f>IFERROR(VLOOKUP(B1499,infoTable__4[],4,FALSE),"")</f>
        <v/>
      </c>
      <c r="G1499" s="4">
        <f>IFERROR(VLOOKUP(B1499,infoTable[],4,FALSE),"")</f>
        <v>501312</v>
      </c>
      <c r="H1499" s="4" t="str">
        <f>IFERROR(VLOOKUP(B1499,infoTable__6[],4,FALSE),"")</f>
        <v/>
      </c>
      <c r="I1499" s="4">
        <f>IFERROR(VLOOKUP(B1499,infoTable__28[],4,FALSE),"")</f>
        <v>116939</v>
      </c>
      <c r="J1499" s="4" t="str">
        <f>IFERROR(VLOOKUP(B1499,infoTable__10[],4,FALSE),"")</f>
        <v/>
      </c>
      <c r="K1499" s="4" t="str">
        <f>IFERROR(VLOOKUP(B1499,infoTable__11[],4,FALSE),"")</f>
        <v/>
      </c>
      <c r="L1499" s="4">
        <f>IFERROR(VLOOKUP(B1499,infoTable__12[],4,FALSE),"")</f>
        <v>156313</v>
      </c>
      <c r="M1499" s="4" t="str">
        <f>IFERROR(VLOOKUP(B1499,infoTable__13[],4,FALSE),"")</f>
        <v/>
      </c>
      <c r="N1499" s="4" t="str">
        <f>IFERROR(VLOOKUP(B1499,infoTable__14[],4,FALSE),"")</f>
        <v/>
      </c>
      <c r="O1499" s="4">
        <f>IFERROR(VLOOKUP(B1499,infoTable__15[],4,FALSE),"")</f>
        <v>272763</v>
      </c>
      <c r="P1499" s="4" t="str">
        <f>IFERROR(VLOOKUP(B1499,infoTable__16[],4,FALSE),"")</f>
        <v/>
      </c>
    </row>
    <row r="1500" spans="1:16" x14ac:dyDescent="0.55000000000000004">
      <c r="A1500" t="s">
        <v>1456</v>
      </c>
      <c r="B1500" t="s">
        <v>1457</v>
      </c>
      <c r="C1500" s="4" t="str">
        <f>IFERROR(VLOOKUP(B1500,infoTable10[],4,FALSE),"")</f>
        <v/>
      </c>
      <c r="D1500" s="4" t="str">
        <f>IFERROR(VLOOKUP(B1500,infoTable__2[],4,FALSE),"")</f>
        <v/>
      </c>
      <c r="E1500" s="4" t="str">
        <f>IFERROR(VLOOKUP(B1500,infoTable__3[],4,FALSE),"")</f>
        <v/>
      </c>
      <c r="F1500" s="4" t="str">
        <f>IFERROR(VLOOKUP(B1500,infoTable__4[],4,FALSE),"")</f>
        <v/>
      </c>
      <c r="G1500" s="4" t="str">
        <f>IFERROR(VLOOKUP(B1500,infoTable[],4,FALSE),"")</f>
        <v/>
      </c>
      <c r="H1500" s="4" t="str">
        <f>IFERROR(VLOOKUP(B1500,infoTable__6[],4,FALSE),"")</f>
        <v/>
      </c>
      <c r="I1500" s="4">
        <f>IFERROR(VLOOKUP(B1500,infoTable__28[],4,FALSE),"")</f>
        <v>117394</v>
      </c>
      <c r="J1500" s="4" t="str">
        <f>IFERROR(VLOOKUP(B1500,infoTable__10[],4,FALSE),"")</f>
        <v/>
      </c>
      <c r="K1500" s="4" t="str">
        <f>IFERROR(VLOOKUP(B1500,infoTable__11[],4,FALSE),"")</f>
        <v/>
      </c>
      <c r="L1500" s="4" t="str">
        <f>IFERROR(VLOOKUP(B1500,infoTable__12[],4,FALSE),"")</f>
        <v/>
      </c>
      <c r="M1500" s="4" t="str">
        <f>IFERROR(VLOOKUP(B1500,infoTable__13[],4,FALSE),"")</f>
        <v/>
      </c>
      <c r="N1500" s="4" t="str">
        <f>IFERROR(VLOOKUP(B1500,infoTable__14[],4,FALSE),"")</f>
        <v/>
      </c>
      <c r="O1500" s="4" t="str">
        <f>IFERROR(VLOOKUP(B1500,infoTable__15[],4,FALSE),"")</f>
        <v/>
      </c>
      <c r="P1500" s="4">
        <f>IFERROR(VLOOKUP(B1500,infoTable__16[],4,FALSE),"")</f>
        <v>86663</v>
      </c>
    </row>
    <row r="1501" spans="1:16" x14ac:dyDescent="0.55000000000000004">
      <c r="A1501" t="s">
        <v>1458</v>
      </c>
      <c r="B1501" t="s">
        <v>1459</v>
      </c>
      <c r="C1501" s="4" t="str">
        <f>IFERROR(VLOOKUP(B1501,infoTable10[],4,FALSE),"")</f>
        <v/>
      </c>
      <c r="D1501" s="4" t="str">
        <f>IFERROR(VLOOKUP(B1501,infoTable__2[],4,FALSE),"")</f>
        <v/>
      </c>
      <c r="E1501" s="4" t="str">
        <f>IFERROR(VLOOKUP(B1501,infoTable__3[],4,FALSE),"")</f>
        <v/>
      </c>
      <c r="F1501" s="4" t="str">
        <f>IFERROR(VLOOKUP(B1501,infoTable__4[],4,FALSE),"")</f>
        <v/>
      </c>
      <c r="G1501" s="4" t="str">
        <f>IFERROR(VLOOKUP(B1501,infoTable[],4,FALSE),"")</f>
        <v/>
      </c>
      <c r="H1501" s="4" t="str">
        <f>IFERROR(VLOOKUP(B1501,infoTable__6[],4,FALSE),"")</f>
        <v/>
      </c>
      <c r="I1501" s="4">
        <f>IFERROR(VLOOKUP(B1501,infoTable__28[],4,FALSE),"")</f>
        <v>154392</v>
      </c>
      <c r="J1501" s="4" t="str">
        <f>IFERROR(VLOOKUP(B1501,infoTable__10[],4,FALSE),"")</f>
        <v/>
      </c>
      <c r="K1501" s="4" t="str">
        <f>IFERROR(VLOOKUP(B1501,infoTable__11[],4,FALSE),"")</f>
        <v/>
      </c>
      <c r="L1501" s="4" t="str">
        <f>IFERROR(VLOOKUP(B1501,infoTable__12[],4,FALSE),"")</f>
        <v/>
      </c>
      <c r="M1501" s="4" t="str">
        <f>IFERROR(VLOOKUP(B1501,infoTable__13[],4,FALSE),"")</f>
        <v/>
      </c>
      <c r="N1501" s="4" t="str">
        <f>IFERROR(VLOOKUP(B1501,infoTable__14[],4,FALSE),"")</f>
        <v/>
      </c>
      <c r="O1501" s="4" t="str">
        <f>IFERROR(VLOOKUP(B1501,infoTable__15[],4,FALSE),"")</f>
        <v/>
      </c>
      <c r="P1501" s="4" t="str">
        <f>IFERROR(VLOOKUP(B1501,infoTable__16[],4,FALSE),"")</f>
        <v/>
      </c>
    </row>
    <row r="1502" spans="1:16" x14ac:dyDescent="0.55000000000000004">
      <c r="A1502" t="s">
        <v>1559</v>
      </c>
      <c r="B1502" t="s">
        <v>1560</v>
      </c>
      <c r="C1502" s="4">
        <f>IFERROR(VLOOKUP(B1502,infoTable10[],4,FALSE),"")</f>
        <v>262079</v>
      </c>
      <c r="D1502" s="4" t="str">
        <f>IFERROR(VLOOKUP(B1502,infoTable__2[],4,FALSE),"")</f>
        <v/>
      </c>
      <c r="E1502" s="4" t="str">
        <f>IFERROR(VLOOKUP(B1502,infoTable__3[],4,FALSE),"")</f>
        <v/>
      </c>
      <c r="F1502" s="4" t="str">
        <f>IFERROR(VLOOKUP(B1502,infoTable__4[],4,FALSE),"")</f>
        <v/>
      </c>
      <c r="G1502" s="4" t="str">
        <f>IFERROR(VLOOKUP(B1502,infoTable[],4,FALSE),"")</f>
        <v/>
      </c>
      <c r="H1502" s="4" t="str">
        <f>IFERROR(VLOOKUP(B1502,infoTable__6[],4,FALSE),"")</f>
        <v/>
      </c>
      <c r="I1502" s="4" t="str">
        <f>IFERROR(VLOOKUP(B1502,infoTable__28[],4,FALSE),"")</f>
        <v/>
      </c>
      <c r="J1502" s="4" t="str">
        <f>IFERROR(VLOOKUP(B1502,infoTable__10[],4,FALSE),"")</f>
        <v/>
      </c>
      <c r="K1502" s="4" t="str">
        <f>IFERROR(VLOOKUP(B1502,infoTable__11[],4,FALSE),"")</f>
        <v/>
      </c>
      <c r="L1502" s="4" t="str">
        <f>IFERROR(VLOOKUP(B1502,infoTable__12[],4,FALSE),"")</f>
        <v/>
      </c>
      <c r="M1502" s="4" t="str">
        <f>IFERROR(VLOOKUP(B1502,infoTable__13[],4,FALSE),"")</f>
        <v/>
      </c>
      <c r="N1502" s="4" t="str">
        <f>IFERROR(VLOOKUP(B1502,infoTable__14[],4,FALSE),"")</f>
        <v/>
      </c>
      <c r="O1502" s="4" t="str">
        <f>IFERROR(VLOOKUP(B1502,infoTable__15[],4,FALSE),"")</f>
        <v/>
      </c>
      <c r="P1502" s="4" t="str">
        <f>IFERROR(VLOOKUP(B1502,infoTable__16[],4,FALSE),"")</f>
        <v/>
      </c>
    </row>
    <row r="1503" spans="1:16" x14ac:dyDescent="0.55000000000000004">
      <c r="A1503" t="s">
        <v>3554</v>
      </c>
      <c r="B1503" t="s">
        <v>3555</v>
      </c>
      <c r="C1503" s="4" t="str">
        <f>IFERROR(VLOOKUP(B1503,infoTable10[],4,FALSE),"")</f>
        <v/>
      </c>
      <c r="D1503" s="4" t="str">
        <f>IFERROR(VLOOKUP(B1503,infoTable__2[],4,FALSE),"")</f>
        <v/>
      </c>
      <c r="E1503" s="4" t="str">
        <f>IFERROR(VLOOKUP(B1503,infoTable__3[],4,FALSE),"")</f>
        <v/>
      </c>
      <c r="F1503" s="4" t="str">
        <f>IFERROR(VLOOKUP(B1503,infoTable__4[],4,FALSE),"")</f>
        <v/>
      </c>
      <c r="G1503" s="4" t="str">
        <f>IFERROR(VLOOKUP(B1503,infoTable[],4,FALSE),"")</f>
        <v/>
      </c>
      <c r="H1503" s="4" t="str">
        <f>IFERROR(VLOOKUP(B1503,infoTable__6[],4,FALSE),"")</f>
        <v/>
      </c>
      <c r="I1503" s="4" t="str">
        <f>IFERROR(VLOOKUP(B1503,infoTable__28[],4,FALSE),"")</f>
        <v/>
      </c>
      <c r="J1503" s="4" t="str">
        <f>IFERROR(VLOOKUP(B1503,infoTable__10[],4,FALSE),"")</f>
        <v/>
      </c>
      <c r="K1503" s="4" t="str">
        <f>IFERROR(VLOOKUP(B1503,infoTable__11[],4,FALSE),"")</f>
        <v/>
      </c>
      <c r="L1503" s="4" t="str">
        <f>IFERROR(VLOOKUP(B1503,infoTable__12[],4,FALSE),"")</f>
        <v/>
      </c>
      <c r="M1503" s="4" t="str">
        <f>IFERROR(VLOOKUP(B1503,infoTable__13[],4,FALSE),"")</f>
        <v/>
      </c>
      <c r="N1503" s="4" t="str">
        <f>IFERROR(VLOOKUP(B1503,infoTable__14[],4,FALSE),"")</f>
        <v/>
      </c>
      <c r="O1503" s="4" t="str">
        <f>IFERROR(VLOOKUP(B1503,infoTable__15[],4,FALSE),"")</f>
        <v/>
      </c>
      <c r="P1503" s="4">
        <f>IFERROR(VLOOKUP(B1503,infoTable__16[],4,FALSE),"")</f>
        <v>273322</v>
      </c>
    </row>
    <row r="1504" spans="1:16" x14ac:dyDescent="0.55000000000000004">
      <c r="A1504" t="s">
        <v>2045</v>
      </c>
      <c r="B1504" t="s">
        <v>2046</v>
      </c>
      <c r="C1504" s="4" t="str">
        <f>IFERROR(VLOOKUP(B1504,infoTable10[],4,FALSE),"")</f>
        <v/>
      </c>
      <c r="D1504" s="4" t="str">
        <f>IFERROR(VLOOKUP(B1504,infoTable__2[],4,FALSE),"")</f>
        <v/>
      </c>
      <c r="E1504" s="4" t="str">
        <f>IFERROR(VLOOKUP(B1504,infoTable__3[],4,FALSE),"")</f>
        <v/>
      </c>
      <c r="F1504" s="4" t="str">
        <f>IFERROR(VLOOKUP(B1504,infoTable__4[],4,FALSE),"")</f>
        <v/>
      </c>
      <c r="G1504" s="4" t="str">
        <f>IFERROR(VLOOKUP(B1504,infoTable[],4,FALSE),"")</f>
        <v/>
      </c>
      <c r="H1504" s="4" t="str">
        <f>IFERROR(VLOOKUP(B1504,infoTable__6[],4,FALSE),"")</f>
        <v/>
      </c>
      <c r="I1504" s="4" t="str">
        <f>IFERROR(VLOOKUP(B1504,infoTable__28[],4,FALSE),"")</f>
        <v/>
      </c>
      <c r="J1504" s="4" t="str">
        <f>IFERROR(VLOOKUP(B1504,infoTable__10[],4,FALSE),"")</f>
        <v/>
      </c>
      <c r="K1504" s="4">
        <f>IFERROR(VLOOKUP(B1504,infoTable__11[],4,FALSE),"")</f>
        <v>265530</v>
      </c>
      <c r="L1504" s="4" t="str">
        <f>IFERROR(VLOOKUP(B1504,infoTable__12[],4,FALSE),"")</f>
        <v/>
      </c>
      <c r="M1504" s="4" t="str">
        <f>IFERROR(VLOOKUP(B1504,infoTable__13[],4,FALSE),"")</f>
        <v/>
      </c>
      <c r="N1504" s="4" t="str">
        <f>IFERROR(VLOOKUP(B1504,infoTable__14[],4,FALSE),"")</f>
        <v/>
      </c>
      <c r="O1504" s="4" t="str">
        <f>IFERROR(VLOOKUP(B1504,infoTable__15[],4,FALSE),"")</f>
        <v/>
      </c>
      <c r="P1504" s="4" t="str">
        <f>IFERROR(VLOOKUP(B1504,infoTable__16[],4,FALSE),"")</f>
        <v/>
      </c>
    </row>
    <row r="1505" spans="1:16" x14ac:dyDescent="0.55000000000000004">
      <c r="A1505" t="s">
        <v>454</v>
      </c>
      <c r="B1505" t="s">
        <v>455</v>
      </c>
      <c r="C1505" s="4" t="str">
        <f>IFERROR(VLOOKUP(B1505,infoTable10[],4,FALSE),"")</f>
        <v/>
      </c>
      <c r="D1505" s="4" t="str">
        <f>IFERROR(VLOOKUP(B1505,infoTable__2[],4,FALSE),"")</f>
        <v/>
      </c>
      <c r="E1505" s="4">
        <f>IFERROR(VLOOKUP(B1505,infoTable__3[],4,FALSE),"")</f>
        <v>209042</v>
      </c>
      <c r="F1505" s="4" t="str">
        <f>IFERROR(VLOOKUP(B1505,infoTable__4[],4,FALSE),"")</f>
        <v/>
      </c>
      <c r="G1505" s="4">
        <f>IFERROR(VLOOKUP(B1505,infoTable[],4,FALSE),"")</f>
        <v>348377</v>
      </c>
      <c r="H1505" s="4" t="str">
        <f>IFERROR(VLOOKUP(B1505,infoTable__6[],4,FALSE),"")</f>
        <v/>
      </c>
      <c r="I1505" s="4" t="str">
        <f>IFERROR(VLOOKUP(B1505,infoTable__28[],4,FALSE),"")</f>
        <v/>
      </c>
      <c r="J1505" s="4" t="str">
        <f>IFERROR(VLOOKUP(B1505,infoTable__10[],4,FALSE),"")</f>
        <v/>
      </c>
      <c r="K1505" s="4" t="str">
        <f>IFERROR(VLOOKUP(B1505,infoTable__11[],4,FALSE),"")</f>
        <v/>
      </c>
      <c r="L1505" s="4" t="str">
        <f>IFERROR(VLOOKUP(B1505,infoTable__12[],4,FALSE),"")</f>
        <v/>
      </c>
      <c r="M1505" s="4">
        <f>IFERROR(VLOOKUP(B1505,infoTable__13[],4,FALSE),"")</f>
        <v>1068924</v>
      </c>
      <c r="N1505" s="4">
        <f>IFERROR(VLOOKUP(B1505,infoTable__14[],4,FALSE),"")</f>
        <v>1236454</v>
      </c>
      <c r="O1505" s="4">
        <f>IFERROR(VLOOKUP(B1505,infoTable__15[],4,FALSE),"")</f>
        <v>592903</v>
      </c>
      <c r="P1505" s="4" t="str">
        <f>IFERROR(VLOOKUP(B1505,infoTable__16[],4,FALSE),"")</f>
        <v/>
      </c>
    </row>
    <row r="1506" spans="1:16" x14ac:dyDescent="0.55000000000000004">
      <c r="A1506" t="s">
        <v>2620</v>
      </c>
      <c r="B1506" t="s">
        <v>2621</v>
      </c>
      <c r="C1506" s="4" t="str">
        <f>IFERROR(VLOOKUP(B1506,infoTable10[],4,FALSE),"")</f>
        <v/>
      </c>
      <c r="D1506" s="4" t="str">
        <f>IFERROR(VLOOKUP(B1506,infoTable__2[],4,FALSE),"")</f>
        <v/>
      </c>
      <c r="E1506" s="4" t="str">
        <f>IFERROR(VLOOKUP(B1506,infoTable__3[],4,FALSE),"")</f>
        <v/>
      </c>
      <c r="F1506" s="4" t="str">
        <f>IFERROR(VLOOKUP(B1506,infoTable__4[],4,FALSE),"")</f>
        <v/>
      </c>
      <c r="G1506" s="4" t="str">
        <f>IFERROR(VLOOKUP(B1506,infoTable[],4,FALSE),"")</f>
        <v/>
      </c>
      <c r="H1506" s="4" t="str">
        <f>IFERROR(VLOOKUP(B1506,infoTable__6[],4,FALSE),"")</f>
        <v/>
      </c>
      <c r="I1506" s="4" t="str">
        <f>IFERROR(VLOOKUP(B1506,infoTable__28[],4,FALSE),"")</f>
        <v/>
      </c>
      <c r="J1506" s="4" t="str">
        <f>IFERROR(VLOOKUP(B1506,infoTable__10[],4,FALSE),"")</f>
        <v/>
      </c>
      <c r="K1506" s="4" t="str">
        <f>IFERROR(VLOOKUP(B1506,infoTable__11[],4,FALSE),"")</f>
        <v/>
      </c>
      <c r="L1506" s="4" t="str">
        <f>IFERROR(VLOOKUP(B1506,infoTable__12[],4,FALSE),"")</f>
        <v/>
      </c>
      <c r="M1506" s="4">
        <f>IFERROR(VLOOKUP(B1506,infoTable__13[],4,FALSE),"")</f>
        <v>417239</v>
      </c>
      <c r="N1506" s="4" t="str">
        <f>IFERROR(VLOOKUP(B1506,infoTable__14[],4,FALSE),"")</f>
        <v/>
      </c>
      <c r="O1506" s="4" t="str">
        <f>IFERROR(VLOOKUP(B1506,infoTable__15[],4,FALSE),"")</f>
        <v/>
      </c>
      <c r="P1506" s="4" t="str">
        <f>IFERROR(VLOOKUP(B1506,infoTable__16[],4,FALSE),"")</f>
        <v/>
      </c>
    </row>
    <row r="1507" spans="1:16" x14ac:dyDescent="0.55000000000000004">
      <c r="A1507" t="s">
        <v>2624</v>
      </c>
      <c r="B1507" t="s">
        <v>2625</v>
      </c>
      <c r="C1507" s="4" t="str">
        <f>IFERROR(VLOOKUP(B1507,infoTable10[],4,FALSE),"")</f>
        <v/>
      </c>
      <c r="D1507" s="4" t="str">
        <f>IFERROR(VLOOKUP(B1507,infoTable__2[],4,FALSE),"")</f>
        <v/>
      </c>
      <c r="E1507" s="4" t="str">
        <f>IFERROR(VLOOKUP(B1507,infoTable__3[],4,FALSE),"")</f>
        <v/>
      </c>
      <c r="F1507" s="4" t="str">
        <f>IFERROR(VLOOKUP(B1507,infoTable__4[],4,FALSE),"")</f>
        <v/>
      </c>
      <c r="G1507" s="4" t="str">
        <f>IFERROR(VLOOKUP(B1507,infoTable[],4,FALSE),"")</f>
        <v/>
      </c>
      <c r="H1507" s="4" t="str">
        <f>IFERROR(VLOOKUP(B1507,infoTable__6[],4,FALSE),"")</f>
        <v/>
      </c>
      <c r="I1507" s="4" t="str">
        <f>IFERROR(VLOOKUP(B1507,infoTable__28[],4,FALSE),"")</f>
        <v/>
      </c>
      <c r="J1507" s="4" t="str">
        <f>IFERROR(VLOOKUP(B1507,infoTable__10[],4,FALSE),"")</f>
        <v/>
      </c>
      <c r="K1507" s="4" t="str">
        <f>IFERROR(VLOOKUP(B1507,infoTable__11[],4,FALSE),"")</f>
        <v/>
      </c>
      <c r="L1507" s="4" t="str">
        <f>IFERROR(VLOOKUP(B1507,infoTable__12[],4,FALSE),"")</f>
        <v/>
      </c>
      <c r="M1507" s="4">
        <f>IFERROR(VLOOKUP(B1507,infoTable__13[],4,FALSE),"")</f>
        <v>416116</v>
      </c>
      <c r="N1507" s="4">
        <f>IFERROR(VLOOKUP(B1507,infoTable__14[],4,FALSE),"")</f>
        <v>334222</v>
      </c>
      <c r="O1507" s="4">
        <f>IFERROR(VLOOKUP(B1507,infoTable__15[],4,FALSE),"")</f>
        <v>218917</v>
      </c>
      <c r="P1507" s="4" t="str">
        <f>IFERROR(VLOOKUP(B1507,infoTable__16[],4,FALSE),"")</f>
        <v/>
      </c>
    </row>
    <row r="1508" spans="1:16" x14ac:dyDescent="0.55000000000000004">
      <c r="A1508" t="s">
        <v>3563</v>
      </c>
      <c r="B1508" t="s">
        <v>3564</v>
      </c>
      <c r="C1508" s="4" t="str">
        <f>IFERROR(VLOOKUP(B1508,infoTable10[],4,FALSE),"")</f>
        <v/>
      </c>
      <c r="D1508" s="4" t="str">
        <f>IFERROR(VLOOKUP(B1508,infoTable__2[],4,FALSE),"")</f>
        <v/>
      </c>
      <c r="E1508" s="4" t="str">
        <f>IFERROR(VLOOKUP(B1508,infoTable__3[],4,FALSE),"")</f>
        <v/>
      </c>
      <c r="F1508" s="4" t="str">
        <f>IFERROR(VLOOKUP(B1508,infoTable__4[],4,FALSE),"")</f>
        <v/>
      </c>
      <c r="G1508" s="4" t="str">
        <f>IFERROR(VLOOKUP(B1508,infoTable[],4,FALSE),"")</f>
        <v/>
      </c>
      <c r="H1508" s="4" t="str">
        <f>IFERROR(VLOOKUP(B1508,infoTable__6[],4,FALSE),"")</f>
        <v/>
      </c>
      <c r="I1508" s="4" t="str">
        <f>IFERROR(VLOOKUP(B1508,infoTable__28[],4,FALSE),"")</f>
        <v/>
      </c>
      <c r="J1508" s="4" t="str">
        <f>IFERROR(VLOOKUP(B1508,infoTable__10[],4,FALSE),"")</f>
        <v/>
      </c>
      <c r="K1508" s="4" t="str">
        <f>IFERROR(VLOOKUP(B1508,infoTable__11[],4,FALSE),"")</f>
        <v/>
      </c>
      <c r="L1508" s="4" t="str">
        <f>IFERROR(VLOOKUP(B1508,infoTable__12[],4,FALSE),"")</f>
        <v/>
      </c>
      <c r="M1508" s="4" t="str">
        <f>IFERROR(VLOOKUP(B1508,infoTable__13[],4,FALSE),"")</f>
        <v/>
      </c>
      <c r="N1508" s="4" t="str">
        <f>IFERROR(VLOOKUP(B1508,infoTable__14[],4,FALSE),"")</f>
        <v/>
      </c>
      <c r="O1508" s="4" t="str">
        <f>IFERROR(VLOOKUP(B1508,infoTable__15[],4,FALSE),"")</f>
        <v/>
      </c>
      <c r="P1508" s="4">
        <f>IFERROR(VLOOKUP(B1508,infoTable__16[],4,FALSE),"")</f>
        <v>610995</v>
      </c>
    </row>
    <row r="1509" spans="1:16" x14ac:dyDescent="0.55000000000000004">
      <c r="A1509" t="s">
        <v>460</v>
      </c>
      <c r="B1509" t="s">
        <v>462</v>
      </c>
      <c r="C1509" s="4" t="str">
        <f>IFERROR(VLOOKUP(B1509,infoTable10[],4,FALSE),"")</f>
        <v/>
      </c>
      <c r="D1509" s="4" t="str">
        <f>IFERROR(VLOOKUP(B1509,infoTable__2[],4,FALSE),"")</f>
        <v/>
      </c>
      <c r="E1509" s="4" t="str">
        <f>IFERROR(VLOOKUP(B1509,infoTable__3[],4,FALSE),"")</f>
        <v/>
      </c>
      <c r="F1509" s="4" t="str">
        <f>IFERROR(VLOOKUP(B1509,infoTable__4[],4,FALSE),"")</f>
        <v/>
      </c>
      <c r="G1509" s="4">
        <f>IFERROR(VLOOKUP(B1509,infoTable[],4,FALSE),"")</f>
        <v>238453</v>
      </c>
      <c r="H1509" s="4" t="str">
        <f>IFERROR(VLOOKUP(B1509,infoTable__6[],4,FALSE),"")</f>
        <v/>
      </c>
      <c r="I1509" s="4" t="str">
        <f>IFERROR(VLOOKUP(B1509,infoTable__28[],4,FALSE),"")</f>
        <v/>
      </c>
      <c r="J1509" s="4" t="str">
        <f>IFERROR(VLOOKUP(B1509,infoTable__10[],4,FALSE),"")</f>
        <v/>
      </c>
      <c r="K1509" s="4" t="str">
        <f>IFERROR(VLOOKUP(B1509,infoTable__11[],4,FALSE),"")</f>
        <v/>
      </c>
      <c r="L1509" s="4" t="str">
        <f>IFERROR(VLOOKUP(B1509,infoTable__12[],4,FALSE),"")</f>
        <v/>
      </c>
      <c r="M1509" s="4" t="str">
        <f>IFERROR(VLOOKUP(B1509,infoTable__13[],4,FALSE),"")</f>
        <v/>
      </c>
      <c r="N1509" s="4" t="str">
        <f>IFERROR(VLOOKUP(B1509,infoTable__14[],4,FALSE),"")</f>
        <v/>
      </c>
      <c r="O1509" s="4" t="str">
        <f>IFERROR(VLOOKUP(B1509,infoTable__15[],4,FALSE),"")</f>
        <v/>
      </c>
      <c r="P1509" s="4" t="str">
        <f>IFERROR(VLOOKUP(B1509,infoTable__16[],4,FALSE),"")</f>
        <v/>
      </c>
    </row>
    <row r="1510" spans="1:16" x14ac:dyDescent="0.55000000000000004">
      <c r="A1510" t="s">
        <v>921</v>
      </c>
      <c r="B1510" t="s">
        <v>922</v>
      </c>
      <c r="C1510" s="4" t="str">
        <f>IFERROR(VLOOKUP(B1510,infoTable10[],4,FALSE),"")</f>
        <v/>
      </c>
      <c r="D1510" s="4" t="str">
        <f>IFERROR(VLOOKUP(B1510,infoTable__2[],4,FALSE),"")</f>
        <v/>
      </c>
      <c r="E1510" s="4" t="str">
        <f>IFERROR(VLOOKUP(B1510,infoTable__3[],4,FALSE),"")</f>
        <v/>
      </c>
      <c r="F1510" s="4">
        <f>IFERROR(VLOOKUP(B1510,infoTable__4[],4,FALSE),"")</f>
        <v>78316</v>
      </c>
      <c r="G1510" s="4" t="str">
        <f>IFERROR(VLOOKUP(B1510,infoTable[],4,FALSE),"")</f>
        <v/>
      </c>
      <c r="H1510" s="4" t="str">
        <f>IFERROR(VLOOKUP(B1510,infoTable__6[],4,FALSE),"")</f>
        <v/>
      </c>
      <c r="I1510" s="4" t="str">
        <f>IFERROR(VLOOKUP(B1510,infoTable__28[],4,FALSE),"")</f>
        <v/>
      </c>
      <c r="J1510" s="4" t="str">
        <f>IFERROR(VLOOKUP(B1510,infoTable__10[],4,FALSE),"")</f>
        <v/>
      </c>
      <c r="K1510" s="4" t="str">
        <f>IFERROR(VLOOKUP(B1510,infoTable__11[],4,FALSE),"")</f>
        <v/>
      </c>
      <c r="L1510" s="4" t="str">
        <f>IFERROR(VLOOKUP(B1510,infoTable__12[],4,FALSE),"")</f>
        <v/>
      </c>
      <c r="M1510" s="4" t="str">
        <f>IFERROR(VLOOKUP(B1510,infoTable__13[],4,FALSE),"")</f>
        <v/>
      </c>
      <c r="N1510" s="4" t="str">
        <f>IFERROR(VLOOKUP(B1510,infoTable__14[],4,FALSE),"")</f>
        <v/>
      </c>
      <c r="O1510" s="4" t="str">
        <f>IFERROR(VLOOKUP(B1510,infoTable__15[],4,FALSE),"")</f>
        <v/>
      </c>
      <c r="P1510" s="4" t="str">
        <f>IFERROR(VLOOKUP(B1510,infoTable__16[],4,FALSE),"")</f>
        <v/>
      </c>
    </row>
    <row r="1511" spans="1:16" x14ac:dyDescent="0.55000000000000004">
      <c r="A1511" t="s">
        <v>463</v>
      </c>
      <c r="B1511" t="s">
        <v>464</v>
      </c>
      <c r="C1511" s="4" t="str">
        <f>IFERROR(VLOOKUP(B1511,infoTable10[],4,FALSE),"")</f>
        <v/>
      </c>
      <c r="D1511" s="4">
        <f>IFERROR(VLOOKUP(B1511,infoTable__2[],4,FALSE),"")</f>
        <v>5020950</v>
      </c>
      <c r="E1511" s="4">
        <f>IFERROR(VLOOKUP(B1511,infoTable__3[],4,FALSE),"")</f>
        <v>3489523</v>
      </c>
      <c r="F1511" s="4">
        <f>IFERROR(VLOOKUP(B1511,infoTable__4[],4,FALSE),"")</f>
        <v>4693189</v>
      </c>
      <c r="G1511" s="4">
        <f>IFERROR(VLOOKUP(B1511,infoTable[],4,FALSE),"")</f>
        <v>2940637</v>
      </c>
      <c r="H1511" s="4">
        <f>IFERROR(VLOOKUP(B1511,infoTable__6[],4,FALSE),"")</f>
        <v>2747705</v>
      </c>
      <c r="I1511" s="4">
        <f>IFERROR(VLOOKUP(B1511,infoTable__28[],4,FALSE),"")</f>
        <v>3368006</v>
      </c>
      <c r="J1511" s="4">
        <f>IFERROR(VLOOKUP(B1511,infoTable__10[],4,FALSE),"")</f>
        <v>650466</v>
      </c>
      <c r="K1511" s="4" t="str">
        <f>IFERROR(VLOOKUP(B1511,infoTable__11[],4,FALSE),"")</f>
        <v/>
      </c>
      <c r="L1511" s="4" t="str">
        <f>IFERROR(VLOOKUP(B1511,infoTable__12[],4,FALSE),"")</f>
        <v/>
      </c>
      <c r="M1511" s="4" t="str">
        <f>IFERROR(VLOOKUP(B1511,infoTable__13[],4,FALSE),"")</f>
        <v/>
      </c>
      <c r="N1511" s="4" t="str">
        <f>IFERROR(VLOOKUP(B1511,infoTable__14[],4,FALSE),"")</f>
        <v/>
      </c>
      <c r="O1511" s="4">
        <f>IFERROR(VLOOKUP(B1511,infoTable__15[],4,FALSE),"")</f>
        <v>202188</v>
      </c>
      <c r="P1511" s="4">
        <f>IFERROR(VLOOKUP(B1511,infoTable__16[],4,FALSE),"")</f>
        <v>2579972</v>
      </c>
    </row>
    <row r="1512" spans="1:16" x14ac:dyDescent="0.55000000000000004">
      <c r="A1512" t="s">
        <v>1460</v>
      </c>
      <c r="B1512" t="s">
        <v>1461</v>
      </c>
      <c r="C1512" s="4" t="str">
        <f>IFERROR(VLOOKUP(B1512,infoTable10[],4,FALSE),"")</f>
        <v/>
      </c>
      <c r="D1512" s="4" t="str">
        <f>IFERROR(VLOOKUP(B1512,infoTable__2[],4,FALSE),"")</f>
        <v/>
      </c>
      <c r="E1512" s="4" t="str">
        <f>IFERROR(VLOOKUP(B1512,infoTable__3[],4,FALSE),"")</f>
        <v/>
      </c>
      <c r="F1512" s="4" t="str">
        <f>IFERROR(VLOOKUP(B1512,infoTable__4[],4,FALSE),"")</f>
        <v/>
      </c>
      <c r="G1512" s="4" t="str">
        <f>IFERROR(VLOOKUP(B1512,infoTable[],4,FALSE),"")</f>
        <v/>
      </c>
      <c r="H1512" s="4" t="str">
        <f>IFERROR(VLOOKUP(B1512,infoTable__6[],4,FALSE),"")</f>
        <v/>
      </c>
      <c r="I1512" s="4">
        <f>IFERROR(VLOOKUP(B1512,infoTable__28[],4,FALSE),"")</f>
        <v>686029</v>
      </c>
      <c r="J1512" s="4">
        <f>IFERROR(VLOOKUP(B1512,infoTable__10[],4,FALSE),"")</f>
        <v>555962</v>
      </c>
      <c r="K1512" s="4" t="str">
        <f>IFERROR(VLOOKUP(B1512,infoTable__11[],4,FALSE),"")</f>
        <v/>
      </c>
      <c r="L1512" s="4" t="str">
        <f>IFERROR(VLOOKUP(B1512,infoTable__12[],4,FALSE),"")</f>
        <v/>
      </c>
      <c r="M1512" s="4" t="str">
        <f>IFERROR(VLOOKUP(B1512,infoTable__13[],4,FALSE),"")</f>
        <v/>
      </c>
      <c r="N1512" s="4" t="str">
        <f>IFERROR(VLOOKUP(B1512,infoTable__14[],4,FALSE),"")</f>
        <v/>
      </c>
      <c r="O1512" s="4" t="str">
        <f>IFERROR(VLOOKUP(B1512,infoTable__15[],4,FALSE),"")</f>
        <v/>
      </c>
      <c r="P1512" s="4" t="str">
        <f>IFERROR(VLOOKUP(B1512,infoTable__16[],4,FALSE),"")</f>
        <v/>
      </c>
    </row>
    <row r="1513" spans="1:16" x14ac:dyDescent="0.55000000000000004">
      <c r="A1513" t="s">
        <v>342</v>
      </c>
      <c r="B1513" t="s">
        <v>344</v>
      </c>
      <c r="C1513" s="4" t="str">
        <f>IFERROR(VLOOKUP(B1513,infoTable10[],4,FALSE),"")</f>
        <v/>
      </c>
      <c r="D1513" s="4" t="str">
        <f>IFERROR(VLOOKUP(B1513,infoTable__2[],4,FALSE),"")</f>
        <v/>
      </c>
      <c r="E1513" s="4" t="str">
        <f>IFERROR(VLOOKUP(B1513,infoTable__3[],4,FALSE),"")</f>
        <v/>
      </c>
      <c r="F1513" s="4">
        <f>IFERROR(VLOOKUP(B1513,infoTable__4[],4,FALSE),"")</f>
        <v>396146</v>
      </c>
      <c r="G1513" s="4">
        <f>IFERROR(VLOOKUP(B1513,infoTable[],4,FALSE),"")</f>
        <v>1736272</v>
      </c>
      <c r="H1513" s="4" t="str">
        <f>IFERROR(VLOOKUP(B1513,infoTable__6[],4,FALSE),"")</f>
        <v/>
      </c>
      <c r="I1513" s="4" t="str">
        <f>IFERROR(VLOOKUP(B1513,infoTable__28[],4,FALSE),"")</f>
        <v/>
      </c>
      <c r="J1513" s="4" t="str">
        <f>IFERROR(VLOOKUP(B1513,infoTable__10[],4,FALSE),"")</f>
        <v/>
      </c>
      <c r="K1513" s="4" t="str">
        <f>IFERROR(VLOOKUP(B1513,infoTable__11[],4,FALSE),"")</f>
        <v/>
      </c>
      <c r="L1513" s="4" t="str">
        <f>IFERROR(VLOOKUP(B1513,infoTable__12[],4,FALSE),"")</f>
        <v/>
      </c>
      <c r="M1513" s="4" t="str">
        <f>IFERROR(VLOOKUP(B1513,infoTable__13[],4,FALSE),"")</f>
        <v/>
      </c>
      <c r="N1513" s="4" t="str">
        <f>IFERROR(VLOOKUP(B1513,infoTable__14[],4,FALSE),"")</f>
        <v/>
      </c>
      <c r="O1513" s="4" t="str">
        <f>IFERROR(VLOOKUP(B1513,infoTable__15[],4,FALSE),"")</f>
        <v/>
      </c>
      <c r="P1513" s="4" t="str">
        <f>IFERROR(VLOOKUP(B1513,infoTable__16[],4,FALSE),"")</f>
        <v/>
      </c>
    </row>
    <row r="1514" spans="1:16" x14ac:dyDescent="0.55000000000000004">
      <c r="A1514" t="s">
        <v>3565</v>
      </c>
      <c r="B1514" t="s">
        <v>3566</v>
      </c>
      <c r="C1514" s="4" t="str">
        <f>IFERROR(VLOOKUP(B1514,infoTable10[],4,FALSE),"")</f>
        <v/>
      </c>
      <c r="D1514" s="4" t="str">
        <f>IFERROR(VLOOKUP(B1514,infoTable__2[],4,FALSE),"")</f>
        <v/>
      </c>
      <c r="E1514" s="4" t="str">
        <f>IFERROR(VLOOKUP(B1514,infoTable__3[],4,FALSE),"")</f>
        <v/>
      </c>
      <c r="F1514" s="4" t="str">
        <f>IFERROR(VLOOKUP(B1514,infoTable__4[],4,FALSE),"")</f>
        <v/>
      </c>
      <c r="G1514" s="4" t="str">
        <f>IFERROR(VLOOKUP(B1514,infoTable[],4,FALSE),"")</f>
        <v/>
      </c>
      <c r="H1514" s="4" t="str">
        <f>IFERROR(VLOOKUP(B1514,infoTable__6[],4,FALSE),"")</f>
        <v/>
      </c>
      <c r="I1514" s="4" t="str">
        <f>IFERROR(VLOOKUP(B1514,infoTable__28[],4,FALSE),"")</f>
        <v/>
      </c>
      <c r="J1514" s="4" t="str">
        <f>IFERROR(VLOOKUP(B1514,infoTable__10[],4,FALSE),"")</f>
        <v/>
      </c>
      <c r="K1514" s="4" t="str">
        <f>IFERROR(VLOOKUP(B1514,infoTable__11[],4,FALSE),"")</f>
        <v/>
      </c>
      <c r="L1514" s="4" t="str">
        <f>IFERROR(VLOOKUP(B1514,infoTable__12[],4,FALSE),"")</f>
        <v/>
      </c>
      <c r="M1514" s="4" t="str">
        <f>IFERROR(VLOOKUP(B1514,infoTable__13[],4,FALSE),"")</f>
        <v/>
      </c>
      <c r="N1514" s="4" t="str">
        <f>IFERROR(VLOOKUP(B1514,infoTable__14[],4,FALSE),"")</f>
        <v/>
      </c>
      <c r="O1514" s="4" t="str">
        <f>IFERROR(VLOOKUP(B1514,infoTable__15[],4,FALSE),"")</f>
        <v/>
      </c>
      <c r="P1514" s="4">
        <f>IFERROR(VLOOKUP(B1514,infoTable__16[],4,FALSE),"")</f>
        <v>1293480</v>
      </c>
    </row>
    <row r="1515" spans="1:16" x14ac:dyDescent="0.55000000000000004">
      <c r="A1515" t="s">
        <v>465</v>
      </c>
      <c r="B1515" t="s">
        <v>466</v>
      </c>
      <c r="C1515" s="4">
        <f>IFERROR(VLOOKUP(B1515,infoTable10[],4,FALSE),"")</f>
        <v>4418687</v>
      </c>
      <c r="D1515" s="4">
        <f>IFERROR(VLOOKUP(B1515,infoTable__2[],4,FALSE),"")</f>
        <v>6936762</v>
      </c>
      <c r="E1515" s="4">
        <f>IFERROR(VLOOKUP(B1515,infoTable__3[],4,FALSE),"")</f>
        <v>7508564</v>
      </c>
      <c r="F1515" s="4">
        <f>IFERROR(VLOOKUP(B1515,infoTable__4[],4,FALSE),"")</f>
        <v>3107051</v>
      </c>
      <c r="G1515" s="4">
        <f>IFERROR(VLOOKUP(B1515,infoTable[],4,FALSE),"")</f>
        <v>823753</v>
      </c>
      <c r="H1515" s="4" t="str">
        <f>IFERROR(VLOOKUP(B1515,infoTable__6[],4,FALSE),"")</f>
        <v/>
      </c>
      <c r="I1515" s="4" t="str">
        <f>IFERROR(VLOOKUP(B1515,infoTable__28[],4,FALSE),"")</f>
        <v/>
      </c>
      <c r="J1515" s="4" t="str">
        <f>IFERROR(VLOOKUP(B1515,infoTable__10[],4,FALSE),"")</f>
        <v/>
      </c>
      <c r="K1515" s="4" t="str">
        <f>IFERROR(VLOOKUP(B1515,infoTable__11[],4,FALSE),"")</f>
        <v/>
      </c>
      <c r="L1515" s="4" t="str">
        <f>IFERROR(VLOOKUP(B1515,infoTable__12[],4,FALSE),"")</f>
        <v/>
      </c>
      <c r="M1515" s="4" t="str">
        <f>IFERROR(VLOOKUP(B1515,infoTable__13[],4,FALSE),"")</f>
        <v/>
      </c>
      <c r="N1515" s="4" t="str">
        <f>IFERROR(VLOOKUP(B1515,infoTable__14[],4,FALSE),"")</f>
        <v/>
      </c>
      <c r="O1515" s="4" t="str">
        <f>IFERROR(VLOOKUP(B1515,infoTable__15[],4,FALSE),"")</f>
        <v/>
      </c>
      <c r="P1515" s="4" t="str">
        <f>IFERROR(VLOOKUP(B1515,infoTable__16[],4,FALSE),"")</f>
        <v/>
      </c>
    </row>
    <row r="1516" spans="1:16" x14ac:dyDescent="0.55000000000000004">
      <c r="A1516" t="s">
        <v>807</v>
      </c>
      <c r="B1516" t="s">
        <v>808</v>
      </c>
      <c r="C1516" s="4" t="str">
        <f>IFERROR(VLOOKUP(B1516,infoTable10[],4,FALSE),"")</f>
        <v/>
      </c>
      <c r="D1516" s="4" t="str">
        <f>IFERROR(VLOOKUP(B1516,infoTable__2[],4,FALSE),"")</f>
        <v/>
      </c>
      <c r="E1516" s="4">
        <f>IFERROR(VLOOKUP(B1516,infoTable__3[],4,FALSE),"")</f>
        <v>1478788</v>
      </c>
      <c r="F1516" s="4" t="str">
        <f>IFERROR(VLOOKUP(B1516,infoTable__4[],4,FALSE),"")</f>
        <v/>
      </c>
      <c r="G1516" s="4" t="str">
        <f>IFERROR(VLOOKUP(B1516,infoTable[],4,FALSE),"")</f>
        <v/>
      </c>
      <c r="H1516" s="4" t="str">
        <f>IFERROR(VLOOKUP(B1516,infoTable__6[],4,FALSE),"")</f>
        <v/>
      </c>
      <c r="I1516" s="4" t="str">
        <f>IFERROR(VLOOKUP(B1516,infoTable__28[],4,FALSE),"")</f>
        <v/>
      </c>
      <c r="J1516" s="4" t="str">
        <f>IFERROR(VLOOKUP(B1516,infoTable__10[],4,FALSE),"")</f>
        <v/>
      </c>
      <c r="K1516" s="4" t="str">
        <f>IFERROR(VLOOKUP(B1516,infoTable__11[],4,FALSE),"")</f>
        <v/>
      </c>
      <c r="L1516" s="4" t="str">
        <f>IFERROR(VLOOKUP(B1516,infoTable__12[],4,FALSE),"")</f>
        <v/>
      </c>
      <c r="M1516" s="4" t="str">
        <f>IFERROR(VLOOKUP(B1516,infoTable__13[],4,FALSE),"")</f>
        <v/>
      </c>
      <c r="N1516" s="4" t="str">
        <f>IFERROR(VLOOKUP(B1516,infoTable__14[],4,FALSE),"")</f>
        <v/>
      </c>
      <c r="O1516" s="4" t="str">
        <f>IFERROR(VLOOKUP(B1516,infoTable__15[],4,FALSE),"")</f>
        <v/>
      </c>
      <c r="P1516" s="4" t="str">
        <f>IFERROR(VLOOKUP(B1516,infoTable__16[],4,FALSE),"")</f>
        <v/>
      </c>
    </row>
    <row r="1517" spans="1:16" x14ac:dyDescent="0.55000000000000004">
      <c r="A1517" t="s">
        <v>2378</v>
      </c>
      <c r="B1517" t="s">
        <v>2379</v>
      </c>
      <c r="C1517" s="4" t="str">
        <f>IFERROR(VLOOKUP(B1517,infoTable10[],4,FALSE),"")</f>
        <v/>
      </c>
      <c r="D1517" s="4" t="str">
        <f>IFERROR(VLOOKUP(B1517,infoTable__2[],4,FALSE),"")</f>
        <v/>
      </c>
      <c r="E1517" s="4" t="str">
        <f>IFERROR(VLOOKUP(B1517,infoTable__3[],4,FALSE),"")</f>
        <v/>
      </c>
      <c r="F1517" s="4" t="str">
        <f>IFERROR(VLOOKUP(B1517,infoTable__4[],4,FALSE),"")</f>
        <v/>
      </c>
      <c r="G1517" s="4" t="str">
        <f>IFERROR(VLOOKUP(B1517,infoTable[],4,FALSE),"")</f>
        <v/>
      </c>
      <c r="H1517" s="4" t="str">
        <f>IFERROR(VLOOKUP(B1517,infoTable__6[],4,FALSE),"")</f>
        <v/>
      </c>
      <c r="I1517" s="4" t="str">
        <f>IFERROR(VLOOKUP(B1517,infoTable__28[],4,FALSE),"")</f>
        <v/>
      </c>
      <c r="J1517" s="4" t="str">
        <f>IFERROR(VLOOKUP(B1517,infoTable__10[],4,FALSE),"")</f>
        <v/>
      </c>
      <c r="K1517" s="4" t="str">
        <f>IFERROR(VLOOKUP(B1517,infoTable__11[],4,FALSE),"")</f>
        <v/>
      </c>
      <c r="L1517" s="4">
        <f>IFERROR(VLOOKUP(B1517,infoTable__12[],4,FALSE),"")</f>
        <v>905407</v>
      </c>
      <c r="M1517" s="4">
        <f>IFERROR(VLOOKUP(B1517,infoTable__13[],4,FALSE),"")</f>
        <v>1540993</v>
      </c>
      <c r="N1517" s="4">
        <f>IFERROR(VLOOKUP(B1517,infoTable__14[],4,FALSE),"")</f>
        <v>914804</v>
      </c>
      <c r="O1517" s="4">
        <f>IFERROR(VLOOKUP(B1517,infoTable__15[],4,FALSE),"")</f>
        <v>763216</v>
      </c>
      <c r="P1517" s="4" t="str">
        <f>IFERROR(VLOOKUP(B1517,infoTable__16[],4,FALSE),"")</f>
        <v/>
      </c>
    </row>
    <row r="1518" spans="1:16" x14ac:dyDescent="0.55000000000000004">
      <c r="A1518" t="s">
        <v>467</v>
      </c>
      <c r="B1518" t="s">
        <v>468</v>
      </c>
      <c r="C1518" s="4" t="str">
        <f>IFERROR(VLOOKUP(B1518,infoTable10[],4,FALSE),"")</f>
        <v/>
      </c>
      <c r="D1518" s="4" t="str">
        <f>IFERROR(VLOOKUP(B1518,infoTable__2[],4,FALSE),"")</f>
        <v/>
      </c>
      <c r="E1518" s="4" t="str">
        <f>IFERROR(VLOOKUP(B1518,infoTable__3[],4,FALSE),"")</f>
        <v/>
      </c>
      <c r="F1518" s="4" t="str">
        <f>IFERROR(VLOOKUP(B1518,infoTable__4[],4,FALSE),"")</f>
        <v/>
      </c>
      <c r="G1518" s="4">
        <f>IFERROR(VLOOKUP(B1518,infoTable[],4,FALSE),"")</f>
        <v>251641</v>
      </c>
      <c r="H1518" s="4">
        <f>IFERROR(VLOOKUP(B1518,infoTable__6[],4,FALSE),"")</f>
        <v>252786</v>
      </c>
      <c r="I1518" s="4" t="str">
        <f>IFERROR(VLOOKUP(B1518,infoTable__28[],4,FALSE),"")</f>
        <v/>
      </c>
      <c r="J1518" s="4" t="str">
        <f>IFERROR(VLOOKUP(B1518,infoTable__10[],4,FALSE),"")</f>
        <v/>
      </c>
      <c r="K1518" s="4" t="str">
        <f>IFERROR(VLOOKUP(B1518,infoTable__11[],4,FALSE),"")</f>
        <v/>
      </c>
      <c r="L1518" s="4" t="str">
        <f>IFERROR(VLOOKUP(B1518,infoTable__12[],4,FALSE),"")</f>
        <v/>
      </c>
      <c r="M1518" s="4" t="str">
        <f>IFERROR(VLOOKUP(B1518,infoTable__13[],4,FALSE),"")</f>
        <v/>
      </c>
      <c r="N1518" s="4" t="str">
        <f>IFERROR(VLOOKUP(B1518,infoTable__14[],4,FALSE),"")</f>
        <v/>
      </c>
      <c r="O1518" s="4" t="str">
        <f>IFERROR(VLOOKUP(B1518,infoTable__15[],4,FALSE),"")</f>
        <v/>
      </c>
      <c r="P1518" s="4" t="str">
        <f>IFERROR(VLOOKUP(B1518,infoTable__16[],4,FALSE),"")</f>
        <v/>
      </c>
    </row>
    <row r="1519" spans="1:16" x14ac:dyDescent="0.55000000000000004">
      <c r="A1519" t="s">
        <v>1561</v>
      </c>
      <c r="B1519" t="s">
        <v>1562</v>
      </c>
      <c r="C1519" s="4">
        <f>IFERROR(VLOOKUP(B1519,infoTable10[],4,FALSE),"")</f>
        <v>387616</v>
      </c>
      <c r="D1519" s="4" t="str">
        <f>IFERROR(VLOOKUP(B1519,infoTable__2[],4,FALSE),"")</f>
        <v/>
      </c>
      <c r="E1519" s="4" t="str">
        <f>IFERROR(VLOOKUP(B1519,infoTable__3[],4,FALSE),"")</f>
        <v/>
      </c>
      <c r="F1519" s="4" t="str">
        <f>IFERROR(VLOOKUP(B1519,infoTable__4[],4,FALSE),"")</f>
        <v/>
      </c>
      <c r="G1519" s="4" t="str">
        <f>IFERROR(VLOOKUP(B1519,infoTable[],4,FALSE),"")</f>
        <v/>
      </c>
      <c r="H1519" s="4" t="str">
        <f>IFERROR(VLOOKUP(B1519,infoTable__6[],4,FALSE),"")</f>
        <v/>
      </c>
      <c r="I1519" s="4" t="str">
        <f>IFERROR(VLOOKUP(B1519,infoTable__28[],4,FALSE),"")</f>
        <v/>
      </c>
      <c r="J1519" s="4" t="str">
        <f>IFERROR(VLOOKUP(B1519,infoTable__10[],4,FALSE),"")</f>
        <v/>
      </c>
      <c r="K1519" s="4">
        <f>IFERROR(VLOOKUP(B1519,infoTable__11[],4,FALSE),"")</f>
        <v>862243</v>
      </c>
      <c r="L1519" s="4" t="str">
        <f>IFERROR(VLOOKUP(B1519,infoTable__12[],4,FALSE),"")</f>
        <v/>
      </c>
      <c r="M1519" s="4" t="str">
        <f>IFERROR(VLOOKUP(B1519,infoTable__13[],4,FALSE),"")</f>
        <v/>
      </c>
      <c r="N1519" s="4" t="str">
        <f>IFERROR(VLOOKUP(B1519,infoTable__14[],4,FALSE),"")</f>
        <v/>
      </c>
      <c r="O1519" s="4" t="str">
        <f>IFERROR(VLOOKUP(B1519,infoTable__15[],4,FALSE),"")</f>
        <v/>
      </c>
      <c r="P1519" s="4" t="str">
        <f>IFERROR(VLOOKUP(B1519,infoTable__16[],4,FALSE),"")</f>
        <v/>
      </c>
    </row>
    <row r="1520" spans="1:16" x14ac:dyDescent="0.55000000000000004">
      <c r="A1520" t="s">
        <v>1122</v>
      </c>
      <c r="B1520" t="s">
        <v>1123</v>
      </c>
      <c r="C1520" s="4" t="str">
        <f>IFERROR(VLOOKUP(B1520,infoTable10[],4,FALSE),"")</f>
        <v/>
      </c>
      <c r="D1520" s="4" t="str">
        <f>IFERROR(VLOOKUP(B1520,infoTable__2[],4,FALSE),"")</f>
        <v/>
      </c>
      <c r="E1520" s="4" t="str">
        <f>IFERROR(VLOOKUP(B1520,infoTable__3[],4,FALSE),"")</f>
        <v/>
      </c>
      <c r="F1520" s="4" t="str">
        <f>IFERROR(VLOOKUP(B1520,infoTable__4[],4,FALSE),"")</f>
        <v/>
      </c>
      <c r="G1520" s="4" t="str">
        <f>IFERROR(VLOOKUP(B1520,infoTable[],4,FALSE),"")</f>
        <v/>
      </c>
      <c r="H1520" s="4">
        <f>IFERROR(VLOOKUP(B1520,infoTable__6[],4,FALSE),"")</f>
        <v>807863</v>
      </c>
      <c r="I1520" s="4" t="str">
        <f>IFERROR(VLOOKUP(B1520,infoTable__28[],4,FALSE),"")</f>
        <v/>
      </c>
      <c r="J1520" s="4" t="str">
        <f>IFERROR(VLOOKUP(B1520,infoTable__10[],4,FALSE),"")</f>
        <v/>
      </c>
      <c r="K1520" s="4" t="str">
        <f>IFERROR(VLOOKUP(B1520,infoTable__11[],4,FALSE),"")</f>
        <v/>
      </c>
      <c r="L1520" s="4" t="str">
        <f>IFERROR(VLOOKUP(B1520,infoTable__12[],4,FALSE),"")</f>
        <v/>
      </c>
      <c r="M1520" s="4" t="str">
        <f>IFERROR(VLOOKUP(B1520,infoTable__13[],4,FALSE),"")</f>
        <v/>
      </c>
      <c r="N1520" s="4" t="str">
        <f>IFERROR(VLOOKUP(B1520,infoTable__14[],4,FALSE),"")</f>
        <v/>
      </c>
      <c r="O1520" s="4" t="str">
        <f>IFERROR(VLOOKUP(B1520,infoTable__15[],4,FALSE),"")</f>
        <v/>
      </c>
      <c r="P1520" s="4" t="str">
        <f>IFERROR(VLOOKUP(B1520,infoTable__16[],4,FALSE),"")</f>
        <v/>
      </c>
    </row>
    <row r="1521" spans="1:16" x14ac:dyDescent="0.55000000000000004">
      <c r="A1521" t="s">
        <v>469</v>
      </c>
      <c r="B1521" t="s">
        <v>470</v>
      </c>
      <c r="C1521" s="4" t="str">
        <f>IFERROR(VLOOKUP(B1521,infoTable10[],4,FALSE),"")</f>
        <v/>
      </c>
      <c r="D1521" s="4">
        <f>IFERROR(VLOOKUP(B1521,infoTable__2[],4,FALSE),"")</f>
        <v>429109</v>
      </c>
      <c r="E1521" s="4">
        <f>IFERROR(VLOOKUP(B1521,infoTable__3[],4,FALSE),"")</f>
        <v>8151928</v>
      </c>
      <c r="F1521" s="4">
        <f>IFERROR(VLOOKUP(B1521,infoTable__4[],4,FALSE),"")</f>
        <v>4950282</v>
      </c>
      <c r="G1521" s="4">
        <f>IFERROR(VLOOKUP(B1521,infoTable[],4,FALSE),"")</f>
        <v>2321966</v>
      </c>
      <c r="H1521" s="4" t="str">
        <f>IFERROR(VLOOKUP(B1521,infoTable__6[],4,FALSE),"")</f>
        <v/>
      </c>
      <c r="I1521" s="4" t="str">
        <f>IFERROR(VLOOKUP(B1521,infoTable__28[],4,FALSE),"")</f>
        <v/>
      </c>
      <c r="J1521" s="4" t="str">
        <f>IFERROR(VLOOKUP(B1521,infoTable__10[],4,FALSE),"")</f>
        <v/>
      </c>
      <c r="K1521" s="4" t="str">
        <f>IFERROR(VLOOKUP(B1521,infoTable__11[],4,FALSE),"")</f>
        <v/>
      </c>
      <c r="L1521" s="4" t="str">
        <f>IFERROR(VLOOKUP(B1521,infoTable__12[],4,FALSE),"")</f>
        <v/>
      </c>
      <c r="M1521" s="4" t="str">
        <f>IFERROR(VLOOKUP(B1521,infoTable__13[],4,FALSE),"")</f>
        <v/>
      </c>
      <c r="N1521" s="4" t="str">
        <f>IFERROR(VLOOKUP(B1521,infoTable__14[],4,FALSE),"")</f>
        <v/>
      </c>
      <c r="O1521" s="4">
        <f>IFERROR(VLOOKUP(B1521,infoTable__15[],4,FALSE),"")</f>
        <v>2991354</v>
      </c>
      <c r="P1521" s="4">
        <f>IFERROR(VLOOKUP(B1521,infoTable__16[],4,FALSE),"")</f>
        <v>913308</v>
      </c>
    </row>
    <row r="1522" spans="1:16" x14ac:dyDescent="0.55000000000000004">
      <c r="A1522" t="s">
        <v>712</v>
      </c>
      <c r="B1522" t="s">
        <v>713</v>
      </c>
      <c r="C1522" s="4" t="str">
        <f>IFERROR(VLOOKUP(B1522,infoTable10[],4,FALSE),"")</f>
        <v/>
      </c>
      <c r="D1522" s="4">
        <f>IFERROR(VLOOKUP(B1522,infoTable__2[],4,FALSE),"")</f>
        <v>784079</v>
      </c>
      <c r="E1522" s="4">
        <f>IFERROR(VLOOKUP(B1522,infoTable__3[],4,FALSE),"")</f>
        <v>1013275</v>
      </c>
      <c r="F1522" s="4" t="str">
        <f>IFERROR(VLOOKUP(B1522,infoTable__4[],4,FALSE),"")</f>
        <v/>
      </c>
      <c r="G1522" s="4" t="str">
        <f>IFERROR(VLOOKUP(B1522,infoTable[],4,FALSE),"")</f>
        <v/>
      </c>
      <c r="H1522" s="4" t="str">
        <f>IFERROR(VLOOKUP(B1522,infoTable__6[],4,FALSE),"")</f>
        <v/>
      </c>
      <c r="I1522" s="4">
        <f>IFERROR(VLOOKUP(B1522,infoTable__28[],4,FALSE),"")</f>
        <v>2176535</v>
      </c>
      <c r="J1522" s="4">
        <f>IFERROR(VLOOKUP(B1522,infoTable__10[],4,FALSE),"")</f>
        <v>1658460</v>
      </c>
      <c r="K1522" s="4" t="str">
        <f>IFERROR(VLOOKUP(B1522,infoTable__11[],4,FALSE),"")</f>
        <v/>
      </c>
      <c r="L1522" s="4" t="str">
        <f>IFERROR(VLOOKUP(B1522,infoTable__12[],4,FALSE),"")</f>
        <v/>
      </c>
      <c r="M1522" s="4" t="str">
        <f>IFERROR(VLOOKUP(B1522,infoTable__13[],4,FALSE),"")</f>
        <v/>
      </c>
      <c r="N1522" s="4">
        <f>IFERROR(VLOOKUP(B1522,infoTable__14[],4,FALSE),"")</f>
        <v>1686409</v>
      </c>
      <c r="O1522" s="4" t="str">
        <f>IFERROR(VLOOKUP(B1522,infoTable__15[],4,FALSE),"")</f>
        <v/>
      </c>
      <c r="P1522" s="4" t="str">
        <f>IFERROR(VLOOKUP(B1522,infoTable__16[],4,FALSE),"")</f>
        <v/>
      </c>
    </row>
    <row r="1523" spans="1:16" x14ac:dyDescent="0.55000000000000004">
      <c r="A1523" t="s">
        <v>2380</v>
      </c>
      <c r="B1523" t="s">
        <v>2381</v>
      </c>
      <c r="C1523" s="4" t="str">
        <f>IFERROR(VLOOKUP(B1523,infoTable10[],4,FALSE),"")</f>
        <v/>
      </c>
      <c r="D1523" s="4" t="str">
        <f>IFERROR(VLOOKUP(B1523,infoTable__2[],4,FALSE),"")</f>
        <v/>
      </c>
      <c r="E1523" s="4" t="str">
        <f>IFERROR(VLOOKUP(B1523,infoTable__3[],4,FALSE),"")</f>
        <v/>
      </c>
      <c r="F1523" s="4" t="str">
        <f>IFERROR(VLOOKUP(B1523,infoTable__4[],4,FALSE),"")</f>
        <v/>
      </c>
      <c r="G1523" s="4" t="str">
        <f>IFERROR(VLOOKUP(B1523,infoTable[],4,FALSE),"")</f>
        <v/>
      </c>
      <c r="H1523" s="4" t="str">
        <f>IFERROR(VLOOKUP(B1523,infoTable__6[],4,FALSE),"")</f>
        <v/>
      </c>
      <c r="I1523" s="4" t="str">
        <f>IFERROR(VLOOKUP(B1523,infoTable__28[],4,FALSE),"")</f>
        <v/>
      </c>
      <c r="J1523" s="4" t="str">
        <f>IFERROR(VLOOKUP(B1523,infoTable__10[],4,FALSE),"")</f>
        <v/>
      </c>
      <c r="K1523" s="4" t="str">
        <f>IFERROR(VLOOKUP(B1523,infoTable__11[],4,FALSE),"")</f>
        <v/>
      </c>
      <c r="L1523" s="4">
        <f>IFERROR(VLOOKUP(B1523,infoTable__12[],4,FALSE),"")</f>
        <v>277277</v>
      </c>
      <c r="M1523" s="4">
        <f>IFERROR(VLOOKUP(B1523,infoTable__13[],4,FALSE),"")</f>
        <v>249087</v>
      </c>
      <c r="N1523" s="4" t="str">
        <f>IFERROR(VLOOKUP(B1523,infoTable__14[],4,FALSE),"")</f>
        <v/>
      </c>
      <c r="O1523" s="4" t="str">
        <f>IFERROR(VLOOKUP(B1523,infoTable__15[],4,FALSE),"")</f>
        <v/>
      </c>
      <c r="P1523" s="4">
        <f>IFERROR(VLOOKUP(B1523,infoTable__16[],4,FALSE),"")</f>
        <v>2222711</v>
      </c>
    </row>
    <row r="1524" spans="1:16" x14ac:dyDescent="0.55000000000000004">
      <c r="A1524" t="s">
        <v>2382</v>
      </c>
      <c r="B1524" t="s">
        <v>2383</v>
      </c>
      <c r="C1524" s="4" t="str">
        <f>IFERROR(VLOOKUP(B1524,infoTable10[],4,FALSE),"")</f>
        <v/>
      </c>
      <c r="D1524" s="4" t="str">
        <f>IFERROR(VLOOKUP(B1524,infoTable__2[],4,FALSE),"")</f>
        <v/>
      </c>
      <c r="E1524" s="4" t="str">
        <f>IFERROR(VLOOKUP(B1524,infoTable__3[],4,FALSE),"")</f>
        <v/>
      </c>
      <c r="F1524" s="4" t="str">
        <f>IFERROR(VLOOKUP(B1524,infoTable__4[],4,FALSE),"")</f>
        <v/>
      </c>
      <c r="G1524" s="4" t="str">
        <f>IFERROR(VLOOKUP(B1524,infoTable[],4,FALSE),"")</f>
        <v/>
      </c>
      <c r="H1524" s="4" t="str">
        <f>IFERROR(VLOOKUP(B1524,infoTable__6[],4,FALSE),"")</f>
        <v/>
      </c>
      <c r="I1524" s="4" t="str">
        <f>IFERROR(VLOOKUP(B1524,infoTable__28[],4,FALSE),"")</f>
        <v/>
      </c>
      <c r="J1524" s="4" t="str">
        <f>IFERROR(VLOOKUP(B1524,infoTable__10[],4,FALSE),"")</f>
        <v/>
      </c>
      <c r="K1524" s="4" t="str">
        <f>IFERROR(VLOOKUP(B1524,infoTable__11[],4,FALSE),"")</f>
        <v/>
      </c>
      <c r="L1524" s="4">
        <f>IFERROR(VLOOKUP(B1524,infoTable__12[],4,FALSE),"")</f>
        <v>60097</v>
      </c>
      <c r="M1524" s="4" t="str">
        <f>IFERROR(VLOOKUP(B1524,infoTable__13[],4,FALSE),"")</f>
        <v/>
      </c>
      <c r="N1524" s="4" t="str">
        <f>IFERROR(VLOOKUP(B1524,infoTable__14[],4,FALSE),"")</f>
        <v/>
      </c>
      <c r="O1524" s="4" t="str">
        <f>IFERROR(VLOOKUP(B1524,infoTable__15[],4,FALSE),"")</f>
        <v/>
      </c>
      <c r="P1524" s="4" t="str">
        <f>IFERROR(VLOOKUP(B1524,infoTable__16[],4,FALSE),"")</f>
        <v/>
      </c>
    </row>
    <row r="1525" spans="1:16" x14ac:dyDescent="0.55000000000000004">
      <c r="A1525" t="s">
        <v>2630</v>
      </c>
      <c r="B1525" t="s">
        <v>2631</v>
      </c>
      <c r="C1525" s="4" t="str">
        <f>IFERROR(VLOOKUP(B1525,infoTable10[],4,FALSE),"")</f>
        <v/>
      </c>
      <c r="D1525" s="4" t="str">
        <f>IFERROR(VLOOKUP(B1525,infoTable__2[],4,FALSE),"")</f>
        <v/>
      </c>
      <c r="E1525" s="4" t="str">
        <f>IFERROR(VLOOKUP(B1525,infoTable__3[],4,FALSE),"")</f>
        <v/>
      </c>
      <c r="F1525" s="4" t="str">
        <f>IFERROR(VLOOKUP(B1525,infoTable__4[],4,FALSE),"")</f>
        <v/>
      </c>
      <c r="G1525" s="4" t="str">
        <f>IFERROR(VLOOKUP(B1525,infoTable[],4,FALSE),"")</f>
        <v/>
      </c>
      <c r="H1525" s="4" t="str">
        <f>IFERROR(VLOOKUP(B1525,infoTable__6[],4,FALSE),"")</f>
        <v/>
      </c>
      <c r="I1525" s="4" t="str">
        <f>IFERROR(VLOOKUP(B1525,infoTable__28[],4,FALSE),"")</f>
        <v/>
      </c>
      <c r="J1525" s="4" t="str">
        <f>IFERROR(VLOOKUP(B1525,infoTable__10[],4,FALSE),"")</f>
        <v/>
      </c>
      <c r="K1525" s="4" t="str">
        <f>IFERROR(VLOOKUP(B1525,infoTable__11[],4,FALSE),"")</f>
        <v/>
      </c>
      <c r="L1525" s="4" t="str">
        <f>IFERROR(VLOOKUP(B1525,infoTable__12[],4,FALSE),"")</f>
        <v/>
      </c>
      <c r="M1525" s="4">
        <f>IFERROR(VLOOKUP(B1525,infoTable__13[],4,FALSE),"")</f>
        <v>44748</v>
      </c>
      <c r="N1525" s="4">
        <f>IFERROR(VLOOKUP(B1525,infoTable__14[],4,FALSE),"")</f>
        <v>133173</v>
      </c>
      <c r="O1525" s="4" t="str">
        <f>IFERROR(VLOOKUP(B1525,infoTable__15[],4,FALSE),"")</f>
        <v/>
      </c>
      <c r="P1525" s="4">
        <f>IFERROR(VLOOKUP(B1525,infoTable__16[],4,FALSE),"")</f>
        <v>440903</v>
      </c>
    </row>
    <row r="1526" spans="1:16" x14ac:dyDescent="0.55000000000000004">
      <c r="A1526" t="s">
        <v>2632</v>
      </c>
      <c r="B1526" t="s">
        <v>2633</v>
      </c>
      <c r="C1526" s="4" t="str">
        <f>IFERROR(VLOOKUP(B1526,infoTable10[],4,FALSE),"")</f>
        <v/>
      </c>
      <c r="D1526" s="4" t="str">
        <f>IFERROR(VLOOKUP(B1526,infoTable__2[],4,FALSE),"")</f>
        <v/>
      </c>
      <c r="E1526" s="4" t="str">
        <f>IFERROR(VLOOKUP(B1526,infoTable__3[],4,FALSE),"")</f>
        <v/>
      </c>
      <c r="F1526" s="4" t="str">
        <f>IFERROR(VLOOKUP(B1526,infoTable__4[],4,FALSE),"")</f>
        <v/>
      </c>
      <c r="G1526" s="4" t="str">
        <f>IFERROR(VLOOKUP(B1526,infoTable[],4,FALSE),"")</f>
        <v/>
      </c>
      <c r="H1526" s="4" t="str">
        <f>IFERROR(VLOOKUP(B1526,infoTable__6[],4,FALSE),"")</f>
        <v/>
      </c>
      <c r="I1526" s="4" t="str">
        <f>IFERROR(VLOOKUP(B1526,infoTable__28[],4,FALSE),"")</f>
        <v/>
      </c>
      <c r="J1526" s="4" t="str">
        <f>IFERROR(VLOOKUP(B1526,infoTable__10[],4,FALSE),"")</f>
        <v/>
      </c>
      <c r="K1526" s="4" t="str">
        <f>IFERROR(VLOOKUP(B1526,infoTable__11[],4,FALSE),"")</f>
        <v/>
      </c>
      <c r="L1526" s="4" t="str">
        <f>IFERROR(VLOOKUP(B1526,infoTable__12[],4,FALSE),"")</f>
        <v/>
      </c>
      <c r="M1526" s="4">
        <f>IFERROR(VLOOKUP(B1526,infoTable__13[],4,FALSE),"")</f>
        <v>964589</v>
      </c>
      <c r="N1526" s="4">
        <f>IFERROR(VLOOKUP(B1526,infoTable__14[],4,FALSE),"")</f>
        <v>490180</v>
      </c>
      <c r="O1526" s="4" t="str">
        <f>IFERROR(VLOOKUP(B1526,infoTable__15[],4,FALSE),"")</f>
        <v/>
      </c>
      <c r="P1526" s="4">
        <f>IFERROR(VLOOKUP(B1526,infoTable__16[],4,FALSE),"")</f>
        <v>1585697</v>
      </c>
    </row>
    <row r="1527" spans="1:16" x14ac:dyDescent="0.55000000000000004">
      <c r="A1527" t="s">
        <v>2386</v>
      </c>
      <c r="B1527" t="s">
        <v>2387</v>
      </c>
      <c r="C1527" s="4" t="str">
        <f>IFERROR(VLOOKUP(B1527,infoTable10[],4,FALSE),"")</f>
        <v/>
      </c>
      <c r="D1527" s="4" t="str">
        <f>IFERROR(VLOOKUP(B1527,infoTable__2[],4,FALSE),"")</f>
        <v/>
      </c>
      <c r="E1527" s="4" t="str">
        <f>IFERROR(VLOOKUP(B1527,infoTable__3[],4,FALSE),"")</f>
        <v/>
      </c>
      <c r="F1527" s="4" t="str">
        <f>IFERROR(VLOOKUP(B1527,infoTable__4[],4,FALSE),"")</f>
        <v/>
      </c>
      <c r="G1527" s="4" t="str">
        <f>IFERROR(VLOOKUP(B1527,infoTable[],4,FALSE),"")</f>
        <v/>
      </c>
      <c r="H1527" s="4" t="str">
        <f>IFERROR(VLOOKUP(B1527,infoTable__6[],4,FALSE),"")</f>
        <v/>
      </c>
      <c r="I1527" s="4" t="str">
        <f>IFERROR(VLOOKUP(B1527,infoTable__28[],4,FALSE),"")</f>
        <v/>
      </c>
      <c r="J1527" s="4" t="str">
        <f>IFERROR(VLOOKUP(B1527,infoTable__10[],4,FALSE),"")</f>
        <v/>
      </c>
      <c r="K1527" s="4" t="str">
        <f>IFERROR(VLOOKUP(B1527,infoTable__11[],4,FALSE),"")</f>
        <v/>
      </c>
      <c r="L1527" s="4">
        <f>IFERROR(VLOOKUP(B1527,infoTable__12[],4,FALSE),"")</f>
        <v>835171</v>
      </c>
      <c r="M1527" s="4" t="str">
        <f>IFERROR(VLOOKUP(B1527,infoTable__13[],4,FALSE),"")</f>
        <v/>
      </c>
      <c r="N1527" s="4" t="str">
        <f>IFERROR(VLOOKUP(B1527,infoTable__14[],4,FALSE),"")</f>
        <v/>
      </c>
      <c r="O1527" s="4" t="str">
        <f>IFERROR(VLOOKUP(B1527,infoTable__15[],4,FALSE),"")</f>
        <v/>
      </c>
      <c r="P1527" s="4" t="str">
        <f>IFERROR(VLOOKUP(B1527,infoTable__16[],4,FALSE),"")</f>
        <v/>
      </c>
    </row>
    <row r="1528" spans="1:16" x14ac:dyDescent="0.55000000000000004">
      <c r="A1528" t="s">
        <v>2049</v>
      </c>
      <c r="B1528" t="s">
        <v>2050</v>
      </c>
      <c r="C1528" s="4" t="str">
        <f>IFERROR(VLOOKUP(B1528,infoTable10[],4,FALSE),"")</f>
        <v/>
      </c>
      <c r="D1528" s="4" t="str">
        <f>IFERROR(VLOOKUP(B1528,infoTable__2[],4,FALSE),"")</f>
        <v/>
      </c>
      <c r="E1528" s="4" t="str">
        <f>IFERROR(VLOOKUP(B1528,infoTable__3[],4,FALSE),"")</f>
        <v/>
      </c>
      <c r="F1528" s="4" t="str">
        <f>IFERROR(VLOOKUP(B1528,infoTable__4[],4,FALSE),"")</f>
        <v/>
      </c>
      <c r="G1528" s="4" t="str">
        <f>IFERROR(VLOOKUP(B1528,infoTable[],4,FALSE),"")</f>
        <v/>
      </c>
      <c r="H1528" s="4" t="str">
        <f>IFERROR(VLOOKUP(B1528,infoTable__6[],4,FALSE),"")</f>
        <v/>
      </c>
      <c r="I1528" s="4" t="str">
        <f>IFERROR(VLOOKUP(B1528,infoTable__28[],4,FALSE),"")</f>
        <v/>
      </c>
      <c r="J1528" s="4" t="str">
        <f>IFERROR(VLOOKUP(B1528,infoTable__10[],4,FALSE),"")</f>
        <v/>
      </c>
      <c r="K1528" s="4">
        <f>IFERROR(VLOOKUP(B1528,infoTable__11[],4,FALSE),"")</f>
        <v>401973</v>
      </c>
      <c r="L1528" s="4" t="str">
        <f>IFERROR(VLOOKUP(B1528,infoTable__12[],4,FALSE),"")</f>
        <v/>
      </c>
      <c r="M1528" s="4" t="str">
        <f>IFERROR(VLOOKUP(B1528,infoTable__13[],4,FALSE),"")</f>
        <v/>
      </c>
      <c r="N1528" s="4" t="str">
        <f>IFERROR(VLOOKUP(B1528,infoTable__14[],4,FALSE),"")</f>
        <v/>
      </c>
      <c r="O1528" s="4" t="str">
        <f>IFERROR(VLOOKUP(B1528,infoTable__15[],4,FALSE),"")</f>
        <v/>
      </c>
      <c r="P1528" s="4">
        <f>IFERROR(VLOOKUP(B1528,infoTable__16[],4,FALSE),"")</f>
        <v>674872</v>
      </c>
    </row>
    <row r="1529" spans="1:16" x14ac:dyDescent="0.55000000000000004">
      <c r="A1529" t="s">
        <v>2913</v>
      </c>
      <c r="B1529" t="s">
        <v>2912</v>
      </c>
      <c r="C1529" s="4" t="str">
        <f>IFERROR(VLOOKUP(B1529,infoTable10[],4,FALSE),"")</f>
        <v/>
      </c>
      <c r="D1529" s="4" t="str">
        <f>IFERROR(VLOOKUP(B1529,infoTable__2[],4,FALSE),"")</f>
        <v/>
      </c>
      <c r="E1529" s="4" t="str">
        <f>IFERROR(VLOOKUP(B1529,infoTable__3[],4,FALSE),"")</f>
        <v/>
      </c>
      <c r="F1529" s="4" t="str">
        <f>IFERROR(VLOOKUP(B1529,infoTable__4[],4,FALSE),"")</f>
        <v/>
      </c>
      <c r="G1529" s="4" t="str">
        <f>IFERROR(VLOOKUP(B1529,infoTable[],4,FALSE),"")</f>
        <v/>
      </c>
      <c r="H1529" s="4" t="str">
        <f>IFERROR(VLOOKUP(B1529,infoTable__6[],4,FALSE),"")</f>
        <v/>
      </c>
      <c r="I1529" s="4" t="str">
        <f>IFERROR(VLOOKUP(B1529,infoTable__28[],4,FALSE),"")</f>
        <v/>
      </c>
      <c r="J1529" s="4" t="str">
        <f>IFERROR(VLOOKUP(B1529,infoTable__10[],4,FALSE),"")</f>
        <v/>
      </c>
      <c r="K1529" s="4" t="str">
        <f>IFERROR(VLOOKUP(B1529,infoTable__11[],4,FALSE),"")</f>
        <v/>
      </c>
      <c r="L1529" s="4" t="str">
        <f>IFERROR(VLOOKUP(B1529,infoTable__12[],4,FALSE),"")</f>
        <v/>
      </c>
      <c r="M1529" s="4" t="str">
        <f>IFERROR(VLOOKUP(B1529,infoTable__13[],4,FALSE),"")</f>
        <v/>
      </c>
      <c r="N1529" s="4">
        <f>IFERROR(VLOOKUP(B1529,infoTable__14[],4,FALSE),"")</f>
        <v>508062</v>
      </c>
      <c r="O1529" s="4">
        <f>IFERROR(VLOOKUP(B1529,infoTable__15[],4,FALSE),"")</f>
        <v>557645</v>
      </c>
      <c r="P1529" s="4">
        <f>IFERROR(VLOOKUP(B1529,infoTable__16[],4,FALSE),"")</f>
        <v>475137</v>
      </c>
    </row>
    <row r="1530" spans="1:16" x14ac:dyDescent="0.55000000000000004">
      <c r="A1530" t="s">
        <v>2915</v>
      </c>
      <c r="B1530" t="s">
        <v>2914</v>
      </c>
      <c r="C1530" s="4" t="str">
        <f>IFERROR(VLOOKUP(B1530,infoTable10[],4,FALSE),"")</f>
        <v/>
      </c>
      <c r="D1530" s="4" t="str">
        <f>IFERROR(VLOOKUP(B1530,infoTable__2[],4,FALSE),"")</f>
        <v/>
      </c>
      <c r="E1530" s="4" t="str">
        <f>IFERROR(VLOOKUP(B1530,infoTable__3[],4,FALSE),"")</f>
        <v/>
      </c>
      <c r="F1530" s="4" t="str">
        <f>IFERROR(VLOOKUP(B1530,infoTable__4[],4,FALSE),"")</f>
        <v/>
      </c>
      <c r="G1530" s="4" t="str">
        <f>IFERROR(VLOOKUP(B1530,infoTable[],4,FALSE),"")</f>
        <v/>
      </c>
      <c r="H1530" s="4" t="str">
        <f>IFERROR(VLOOKUP(B1530,infoTable__6[],4,FALSE),"")</f>
        <v/>
      </c>
      <c r="I1530" s="4" t="str">
        <f>IFERROR(VLOOKUP(B1530,infoTable__28[],4,FALSE),"")</f>
        <v/>
      </c>
      <c r="J1530" s="4" t="str">
        <f>IFERROR(VLOOKUP(B1530,infoTable__10[],4,FALSE),"")</f>
        <v/>
      </c>
      <c r="K1530" s="4" t="str">
        <f>IFERROR(VLOOKUP(B1530,infoTable__11[],4,FALSE),"")</f>
        <v/>
      </c>
      <c r="L1530" s="4" t="str">
        <f>IFERROR(VLOOKUP(B1530,infoTable__12[],4,FALSE),"")</f>
        <v/>
      </c>
      <c r="M1530" s="4" t="str">
        <f>IFERROR(VLOOKUP(B1530,infoTable__13[],4,FALSE),"")</f>
        <v/>
      </c>
      <c r="N1530" s="4">
        <f>IFERROR(VLOOKUP(B1530,infoTable__14[],4,FALSE),"")</f>
        <v>1141691</v>
      </c>
      <c r="O1530" s="4">
        <f>IFERROR(VLOOKUP(B1530,infoTable__15[],4,FALSE),"")</f>
        <v>1134802</v>
      </c>
      <c r="P1530" s="4" t="str">
        <f>IFERROR(VLOOKUP(B1530,infoTable__16[],4,FALSE),"")</f>
        <v/>
      </c>
    </row>
    <row r="1531" spans="1:16" x14ac:dyDescent="0.55000000000000004">
      <c r="A1531" t="s">
        <v>1464</v>
      </c>
      <c r="B1531" t="s">
        <v>1465</v>
      </c>
      <c r="C1531" s="4" t="str">
        <f>IFERROR(VLOOKUP(B1531,infoTable10[],4,FALSE),"")</f>
        <v/>
      </c>
      <c r="D1531" s="4" t="str">
        <f>IFERROR(VLOOKUP(B1531,infoTable__2[],4,FALSE),"")</f>
        <v/>
      </c>
      <c r="E1531" s="4" t="str">
        <f>IFERROR(VLOOKUP(B1531,infoTable__3[],4,FALSE),"")</f>
        <v/>
      </c>
      <c r="F1531" s="4" t="str">
        <f>IFERROR(VLOOKUP(B1531,infoTable__4[],4,FALSE),"")</f>
        <v/>
      </c>
      <c r="G1531" s="4" t="str">
        <f>IFERROR(VLOOKUP(B1531,infoTable[],4,FALSE),"")</f>
        <v/>
      </c>
      <c r="H1531" s="4" t="str">
        <f>IFERROR(VLOOKUP(B1531,infoTable__6[],4,FALSE),"")</f>
        <v/>
      </c>
      <c r="I1531" s="4">
        <f>IFERROR(VLOOKUP(B1531,infoTable__28[],4,FALSE),"")</f>
        <v>722770</v>
      </c>
      <c r="J1531" s="4" t="str">
        <f>IFERROR(VLOOKUP(B1531,infoTable__10[],4,FALSE),"")</f>
        <v/>
      </c>
      <c r="K1531" s="4" t="str">
        <f>IFERROR(VLOOKUP(B1531,infoTable__11[],4,FALSE),"")</f>
        <v/>
      </c>
      <c r="L1531" s="4" t="str">
        <f>IFERROR(VLOOKUP(B1531,infoTable__12[],4,FALSE),"")</f>
        <v/>
      </c>
      <c r="M1531" s="4" t="str">
        <f>IFERROR(VLOOKUP(B1531,infoTable__13[],4,FALSE),"")</f>
        <v/>
      </c>
      <c r="N1531" s="4">
        <f>IFERROR(VLOOKUP(B1531,infoTable__14[],4,FALSE),"")</f>
        <v>653628</v>
      </c>
      <c r="O1531" s="4">
        <f>IFERROR(VLOOKUP(B1531,infoTable__15[],4,FALSE),"")</f>
        <v>2411748</v>
      </c>
      <c r="P1531" s="4">
        <f>IFERROR(VLOOKUP(B1531,infoTable__16[],4,FALSE),"")</f>
        <v>933807</v>
      </c>
    </row>
    <row r="1532" spans="1:16" x14ac:dyDescent="0.55000000000000004">
      <c r="A1532" t="s">
        <v>471</v>
      </c>
      <c r="B1532" t="s">
        <v>472</v>
      </c>
      <c r="C1532" s="4" t="str">
        <f>IFERROR(VLOOKUP(B1532,infoTable10[],4,FALSE),"")</f>
        <v/>
      </c>
      <c r="D1532" s="4" t="str">
        <f>IFERROR(VLOOKUP(B1532,infoTable__2[],4,FALSE),"")</f>
        <v/>
      </c>
      <c r="E1532" s="4" t="str">
        <f>IFERROR(VLOOKUP(B1532,infoTable__3[],4,FALSE),"")</f>
        <v/>
      </c>
      <c r="F1532" s="4">
        <f>IFERROR(VLOOKUP(B1532,infoTable__4[],4,FALSE),"")</f>
        <v>107287</v>
      </c>
      <c r="G1532" s="4">
        <f>IFERROR(VLOOKUP(B1532,infoTable[],4,FALSE),"")</f>
        <v>128854</v>
      </c>
      <c r="H1532" s="4">
        <f>IFERROR(VLOOKUP(B1532,infoTable__6[],4,FALSE),"")</f>
        <v>547470</v>
      </c>
      <c r="I1532" s="4">
        <f>IFERROR(VLOOKUP(B1532,infoTable__28[],4,FALSE),"")</f>
        <v>649711</v>
      </c>
      <c r="J1532" s="4">
        <f>IFERROR(VLOOKUP(B1532,infoTable__10[],4,FALSE),"")</f>
        <v>683290</v>
      </c>
      <c r="K1532" s="4" t="str">
        <f>IFERROR(VLOOKUP(B1532,infoTable__11[],4,FALSE),"")</f>
        <v/>
      </c>
      <c r="L1532" s="4" t="str">
        <f>IFERROR(VLOOKUP(B1532,infoTable__12[],4,FALSE),"")</f>
        <v/>
      </c>
      <c r="M1532" s="4" t="str">
        <f>IFERROR(VLOOKUP(B1532,infoTable__13[],4,FALSE),"")</f>
        <v/>
      </c>
      <c r="N1532" s="4" t="str">
        <f>IFERROR(VLOOKUP(B1532,infoTable__14[],4,FALSE),"")</f>
        <v/>
      </c>
      <c r="O1532" s="4" t="str">
        <f>IFERROR(VLOOKUP(B1532,infoTable__15[],4,FALSE),"")</f>
        <v/>
      </c>
      <c r="P1532" s="4" t="str">
        <f>IFERROR(VLOOKUP(B1532,infoTable__16[],4,FALSE),"")</f>
        <v/>
      </c>
    </row>
    <row r="1533" spans="1:16" x14ac:dyDescent="0.55000000000000004">
      <c r="A1533" t="s">
        <v>473</v>
      </c>
      <c r="B1533" t="s">
        <v>474</v>
      </c>
      <c r="C1533" s="4" t="str">
        <f>IFERROR(VLOOKUP(B1533,infoTable10[],4,FALSE),"")</f>
        <v/>
      </c>
      <c r="D1533" s="4" t="str">
        <f>IFERROR(VLOOKUP(B1533,infoTable__2[],4,FALSE),"")</f>
        <v/>
      </c>
      <c r="E1533" s="4" t="str">
        <f>IFERROR(VLOOKUP(B1533,infoTable__3[],4,FALSE),"")</f>
        <v/>
      </c>
      <c r="F1533" s="4" t="str">
        <f>IFERROR(VLOOKUP(B1533,infoTable__4[],4,FALSE),"")</f>
        <v/>
      </c>
      <c r="G1533" s="4">
        <f>IFERROR(VLOOKUP(B1533,infoTable[],4,FALSE),"")</f>
        <v>240812</v>
      </c>
      <c r="H1533" s="4">
        <f>IFERROR(VLOOKUP(B1533,infoTable__6[],4,FALSE),"")</f>
        <v>1379126</v>
      </c>
      <c r="I1533" s="4" t="str">
        <f>IFERROR(VLOOKUP(B1533,infoTable__28[],4,FALSE),"")</f>
        <v/>
      </c>
      <c r="J1533" s="4" t="str">
        <f>IFERROR(VLOOKUP(B1533,infoTable__10[],4,FALSE),"")</f>
        <v/>
      </c>
      <c r="K1533" s="4" t="str">
        <f>IFERROR(VLOOKUP(B1533,infoTable__11[],4,FALSE),"")</f>
        <v/>
      </c>
      <c r="L1533" s="4">
        <f>IFERROR(VLOOKUP(B1533,infoTable__12[],4,FALSE),"")</f>
        <v>342474</v>
      </c>
      <c r="M1533" s="4" t="str">
        <f>IFERROR(VLOOKUP(B1533,infoTable__13[],4,FALSE),"")</f>
        <v/>
      </c>
      <c r="N1533" s="4" t="str">
        <f>IFERROR(VLOOKUP(B1533,infoTable__14[],4,FALSE),"")</f>
        <v/>
      </c>
      <c r="O1533" s="4" t="str">
        <f>IFERROR(VLOOKUP(B1533,infoTable__15[],4,FALSE),"")</f>
        <v/>
      </c>
      <c r="P1533" s="4" t="str">
        <f>IFERROR(VLOOKUP(B1533,infoTable__16[],4,FALSE),"")</f>
        <v/>
      </c>
    </row>
    <row r="1534" spans="1:16" x14ac:dyDescent="0.55000000000000004">
      <c r="A1534" t="s">
        <v>2390</v>
      </c>
      <c r="B1534" t="s">
        <v>2391</v>
      </c>
      <c r="C1534" s="4" t="str">
        <f>IFERROR(VLOOKUP(B1534,infoTable10[],4,FALSE),"")</f>
        <v/>
      </c>
      <c r="D1534" s="4" t="str">
        <f>IFERROR(VLOOKUP(B1534,infoTable__2[],4,FALSE),"")</f>
        <v/>
      </c>
      <c r="E1534" s="4" t="str">
        <f>IFERROR(VLOOKUP(B1534,infoTable__3[],4,FALSE),"")</f>
        <v/>
      </c>
      <c r="F1534" s="4" t="str">
        <f>IFERROR(VLOOKUP(B1534,infoTable__4[],4,FALSE),"")</f>
        <v/>
      </c>
      <c r="G1534" s="4" t="str">
        <f>IFERROR(VLOOKUP(B1534,infoTable[],4,FALSE),"")</f>
        <v/>
      </c>
      <c r="H1534" s="4" t="str">
        <f>IFERROR(VLOOKUP(B1534,infoTable__6[],4,FALSE),"")</f>
        <v/>
      </c>
      <c r="I1534" s="4" t="str">
        <f>IFERROR(VLOOKUP(B1534,infoTable__28[],4,FALSE),"")</f>
        <v/>
      </c>
      <c r="J1534" s="4" t="str">
        <f>IFERROR(VLOOKUP(B1534,infoTable__10[],4,FALSE),"")</f>
        <v/>
      </c>
      <c r="K1534" s="4" t="str">
        <f>IFERROR(VLOOKUP(B1534,infoTable__11[],4,FALSE),"")</f>
        <v/>
      </c>
      <c r="L1534" s="4">
        <f>IFERROR(VLOOKUP(B1534,infoTable__12[],4,FALSE),"")</f>
        <v>360762</v>
      </c>
      <c r="M1534" s="4">
        <f>IFERROR(VLOOKUP(B1534,infoTable__13[],4,FALSE),"")</f>
        <v>377438</v>
      </c>
      <c r="N1534" s="4" t="str">
        <f>IFERROR(VLOOKUP(B1534,infoTable__14[],4,FALSE),"")</f>
        <v/>
      </c>
      <c r="O1534" s="4" t="str">
        <f>IFERROR(VLOOKUP(B1534,infoTable__15[],4,FALSE),"")</f>
        <v/>
      </c>
      <c r="P1534" s="4" t="str">
        <f>IFERROR(VLOOKUP(B1534,infoTable__16[],4,FALSE),"")</f>
        <v/>
      </c>
    </row>
    <row r="1535" spans="1:16" x14ac:dyDescent="0.55000000000000004">
      <c r="A1535" t="s">
        <v>714</v>
      </c>
      <c r="B1535" t="s">
        <v>715</v>
      </c>
      <c r="C1535" s="4" t="str">
        <f>IFERROR(VLOOKUP(B1535,infoTable10[],4,FALSE),"")</f>
        <v/>
      </c>
      <c r="D1535" s="4">
        <f>IFERROR(VLOOKUP(B1535,infoTable__2[],4,FALSE),"")</f>
        <v>2476541</v>
      </c>
      <c r="E1535" s="4">
        <f>IFERROR(VLOOKUP(B1535,infoTable__3[],4,FALSE),"")</f>
        <v>7049795</v>
      </c>
      <c r="F1535" s="4" t="str">
        <f>IFERROR(VLOOKUP(B1535,infoTable__4[],4,FALSE),"")</f>
        <v/>
      </c>
      <c r="G1535" s="4" t="str">
        <f>IFERROR(VLOOKUP(B1535,infoTable[],4,FALSE),"")</f>
        <v/>
      </c>
      <c r="H1535" s="4" t="str">
        <f>IFERROR(VLOOKUP(B1535,infoTable__6[],4,FALSE),"")</f>
        <v/>
      </c>
      <c r="I1535" s="4" t="str">
        <f>IFERROR(VLOOKUP(B1535,infoTable__28[],4,FALSE),"")</f>
        <v/>
      </c>
      <c r="J1535" s="4" t="str">
        <f>IFERROR(VLOOKUP(B1535,infoTable__10[],4,FALSE),"")</f>
        <v/>
      </c>
      <c r="K1535" s="4" t="str">
        <f>IFERROR(VLOOKUP(B1535,infoTable__11[],4,FALSE),"")</f>
        <v/>
      </c>
      <c r="L1535" s="4" t="str">
        <f>IFERROR(VLOOKUP(B1535,infoTable__12[],4,FALSE),"")</f>
        <v/>
      </c>
      <c r="M1535" s="4" t="str">
        <f>IFERROR(VLOOKUP(B1535,infoTable__13[],4,FALSE),"")</f>
        <v/>
      </c>
      <c r="N1535" s="4" t="str">
        <f>IFERROR(VLOOKUP(B1535,infoTable__14[],4,FALSE),"")</f>
        <v/>
      </c>
      <c r="O1535" s="4" t="str">
        <f>IFERROR(VLOOKUP(B1535,infoTable__15[],4,FALSE),"")</f>
        <v/>
      </c>
      <c r="P1535" s="4" t="str">
        <f>IFERROR(VLOOKUP(B1535,infoTable__16[],4,FALSE),"")</f>
        <v/>
      </c>
    </row>
    <row r="1536" spans="1:16" x14ac:dyDescent="0.55000000000000004">
      <c r="A1536" t="s">
        <v>1473</v>
      </c>
      <c r="B1536" t="s">
        <v>1474</v>
      </c>
      <c r="C1536" s="4" t="str">
        <f>IFERROR(VLOOKUP(B1536,infoTable10[],4,FALSE),"")</f>
        <v/>
      </c>
      <c r="D1536" s="4" t="str">
        <f>IFERROR(VLOOKUP(B1536,infoTable__2[],4,FALSE),"")</f>
        <v/>
      </c>
      <c r="E1536" s="4" t="str">
        <f>IFERROR(VLOOKUP(B1536,infoTable__3[],4,FALSE),"")</f>
        <v/>
      </c>
      <c r="F1536" s="4" t="str">
        <f>IFERROR(VLOOKUP(B1536,infoTable__4[],4,FALSE),"")</f>
        <v/>
      </c>
      <c r="G1536" s="4" t="str">
        <f>IFERROR(VLOOKUP(B1536,infoTable[],4,FALSE),"")</f>
        <v/>
      </c>
      <c r="H1536" s="4" t="str">
        <f>IFERROR(VLOOKUP(B1536,infoTable__6[],4,FALSE),"")</f>
        <v/>
      </c>
      <c r="I1536" s="4">
        <f>IFERROR(VLOOKUP(B1536,infoTable__28[],4,FALSE),"")</f>
        <v>296355</v>
      </c>
      <c r="J1536" s="4" t="str">
        <f>IFERROR(VLOOKUP(B1536,infoTable__10[],4,FALSE),"")</f>
        <v/>
      </c>
      <c r="K1536" s="4">
        <f>IFERROR(VLOOKUP(B1536,infoTable__11[],4,FALSE),"")</f>
        <v>1628372</v>
      </c>
      <c r="L1536" s="4">
        <f>IFERROR(VLOOKUP(B1536,infoTable__12[],4,FALSE),"")</f>
        <v>1225698</v>
      </c>
      <c r="M1536" s="4">
        <f>IFERROR(VLOOKUP(B1536,infoTable__13[],4,FALSE),"")</f>
        <v>1999907</v>
      </c>
      <c r="N1536" s="4">
        <f>IFERROR(VLOOKUP(B1536,infoTable__14[],4,FALSE),"")</f>
        <v>364682</v>
      </c>
      <c r="O1536" s="4">
        <f>IFERROR(VLOOKUP(B1536,infoTable__15[],4,FALSE),"")</f>
        <v>945725</v>
      </c>
      <c r="P1536" s="4">
        <f>IFERROR(VLOOKUP(B1536,infoTable__16[],4,FALSE),"")</f>
        <v>827028</v>
      </c>
    </row>
    <row r="1537" spans="1:16" x14ac:dyDescent="0.55000000000000004">
      <c r="A1537" t="s">
        <v>2917</v>
      </c>
      <c r="B1537" t="s">
        <v>2916</v>
      </c>
      <c r="C1537" s="4" t="str">
        <f>IFERROR(VLOOKUP(B1537,infoTable10[],4,FALSE),"")</f>
        <v/>
      </c>
      <c r="D1537" s="4" t="str">
        <f>IFERROR(VLOOKUP(B1537,infoTable__2[],4,FALSE),"")</f>
        <v/>
      </c>
      <c r="E1537" s="4" t="str">
        <f>IFERROR(VLOOKUP(B1537,infoTable__3[],4,FALSE),"")</f>
        <v/>
      </c>
      <c r="F1537" s="4" t="str">
        <f>IFERROR(VLOOKUP(B1537,infoTable__4[],4,FALSE),"")</f>
        <v/>
      </c>
      <c r="G1537" s="4" t="str">
        <f>IFERROR(VLOOKUP(B1537,infoTable[],4,FALSE),"")</f>
        <v/>
      </c>
      <c r="H1537" s="4" t="str">
        <f>IFERROR(VLOOKUP(B1537,infoTable__6[],4,FALSE),"")</f>
        <v/>
      </c>
      <c r="I1537" s="4" t="str">
        <f>IFERROR(VLOOKUP(B1537,infoTable__28[],4,FALSE),"")</f>
        <v/>
      </c>
      <c r="J1537" s="4" t="str">
        <f>IFERROR(VLOOKUP(B1537,infoTable__10[],4,FALSE),"")</f>
        <v/>
      </c>
      <c r="K1537" s="4" t="str">
        <f>IFERROR(VLOOKUP(B1537,infoTable__11[],4,FALSE),"")</f>
        <v/>
      </c>
      <c r="L1537" s="4" t="str">
        <f>IFERROR(VLOOKUP(B1537,infoTable__12[],4,FALSE),"")</f>
        <v/>
      </c>
      <c r="M1537" s="4" t="str">
        <f>IFERROR(VLOOKUP(B1537,infoTable__13[],4,FALSE),"")</f>
        <v/>
      </c>
      <c r="N1537" s="4">
        <f>IFERROR(VLOOKUP(B1537,infoTable__14[],4,FALSE),"")</f>
        <v>518303</v>
      </c>
      <c r="O1537" s="4">
        <f>IFERROR(VLOOKUP(B1537,infoTable__15[],4,FALSE),"")</f>
        <v>937972</v>
      </c>
      <c r="P1537" s="4">
        <f>IFERROR(VLOOKUP(B1537,infoTable__16[],4,FALSE),"")</f>
        <v>1499957</v>
      </c>
    </row>
    <row r="1538" spans="1:16" x14ac:dyDescent="0.55000000000000004">
      <c r="A1538" t="s">
        <v>2057</v>
      </c>
      <c r="B1538" t="s">
        <v>2058</v>
      </c>
      <c r="C1538" s="4" t="str">
        <f>IFERROR(VLOOKUP(B1538,infoTable10[],4,FALSE),"")</f>
        <v/>
      </c>
      <c r="D1538" s="4" t="str">
        <f>IFERROR(VLOOKUP(B1538,infoTable__2[],4,FALSE),"")</f>
        <v/>
      </c>
      <c r="E1538" s="4" t="str">
        <f>IFERROR(VLOOKUP(B1538,infoTable__3[],4,FALSE),"")</f>
        <v/>
      </c>
      <c r="F1538" s="4" t="str">
        <f>IFERROR(VLOOKUP(B1538,infoTable__4[],4,FALSE),"")</f>
        <v/>
      </c>
      <c r="G1538" s="4" t="str">
        <f>IFERROR(VLOOKUP(B1538,infoTable[],4,FALSE),"")</f>
        <v/>
      </c>
      <c r="H1538" s="4" t="str">
        <f>IFERROR(VLOOKUP(B1538,infoTable__6[],4,FALSE),"")</f>
        <v/>
      </c>
      <c r="I1538" s="4" t="str">
        <f>IFERROR(VLOOKUP(B1538,infoTable__28[],4,FALSE),"")</f>
        <v/>
      </c>
      <c r="J1538" s="4" t="str">
        <f>IFERROR(VLOOKUP(B1538,infoTable__10[],4,FALSE),"")</f>
        <v/>
      </c>
      <c r="K1538" s="4">
        <f>IFERROR(VLOOKUP(B1538,infoTable__11[],4,FALSE),"")</f>
        <v>1077275</v>
      </c>
      <c r="L1538" s="4">
        <f>IFERROR(VLOOKUP(B1538,infoTable__12[],4,FALSE),"")</f>
        <v>898857</v>
      </c>
      <c r="M1538" s="4">
        <f>IFERROR(VLOOKUP(B1538,infoTable__13[],4,FALSE),"")</f>
        <v>683040</v>
      </c>
      <c r="N1538" s="4" t="str">
        <f>IFERROR(VLOOKUP(B1538,infoTable__14[],4,FALSE),"")</f>
        <v/>
      </c>
      <c r="O1538" s="4">
        <f>IFERROR(VLOOKUP(B1538,infoTable__15[],4,FALSE),"")</f>
        <v>271267</v>
      </c>
      <c r="P1538" s="4">
        <f>IFERROR(VLOOKUP(B1538,infoTable__16[],4,FALSE),"")</f>
        <v>651159</v>
      </c>
    </row>
    <row r="1539" spans="1:16" x14ac:dyDescent="0.55000000000000004">
      <c r="A1539" t="s">
        <v>477</v>
      </c>
      <c r="B1539" t="s">
        <v>478</v>
      </c>
      <c r="C1539" s="4" t="str">
        <f>IFERROR(VLOOKUP(B1539,infoTable10[],4,FALSE),"")</f>
        <v/>
      </c>
      <c r="D1539" s="4">
        <f>IFERROR(VLOOKUP(B1539,infoTable__2[],4,FALSE),"")</f>
        <v>2913257</v>
      </c>
      <c r="E1539" s="4">
        <f>IFERROR(VLOOKUP(B1539,infoTable__3[],4,FALSE),"")</f>
        <v>7770890</v>
      </c>
      <c r="F1539" s="4">
        <f>IFERROR(VLOOKUP(B1539,infoTable__4[],4,FALSE),"")</f>
        <v>6495894</v>
      </c>
      <c r="G1539" s="4">
        <f>IFERROR(VLOOKUP(B1539,infoTable[],4,FALSE),"")</f>
        <v>4291978</v>
      </c>
      <c r="H1539" s="4">
        <f>IFERROR(VLOOKUP(B1539,infoTable__6[],4,FALSE),"")</f>
        <v>807635</v>
      </c>
      <c r="I1539" s="4" t="str">
        <f>IFERROR(VLOOKUP(B1539,infoTable__28[],4,FALSE),"")</f>
        <v/>
      </c>
      <c r="J1539" s="4" t="str">
        <f>IFERROR(VLOOKUP(B1539,infoTable__10[],4,FALSE),"")</f>
        <v/>
      </c>
      <c r="K1539" s="4" t="str">
        <f>IFERROR(VLOOKUP(B1539,infoTable__11[],4,FALSE),"")</f>
        <v/>
      </c>
      <c r="L1539" s="4" t="str">
        <f>IFERROR(VLOOKUP(B1539,infoTable__12[],4,FALSE),"")</f>
        <v/>
      </c>
      <c r="M1539" s="4" t="str">
        <f>IFERROR(VLOOKUP(B1539,infoTable__13[],4,FALSE),"")</f>
        <v/>
      </c>
      <c r="N1539" s="4" t="str">
        <f>IFERROR(VLOOKUP(B1539,infoTable__14[],4,FALSE),"")</f>
        <v/>
      </c>
      <c r="O1539" s="4" t="str">
        <f>IFERROR(VLOOKUP(B1539,infoTable__15[],4,FALSE),"")</f>
        <v/>
      </c>
      <c r="P1539" s="4" t="str">
        <f>IFERROR(VLOOKUP(B1539,infoTable__16[],4,FALSE),"")</f>
        <v/>
      </c>
    </row>
    <row r="1540" spans="1:16" x14ac:dyDescent="0.55000000000000004">
      <c r="A1540" t="s">
        <v>1565</v>
      </c>
      <c r="B1540" t="s">
        <v>1566</v>
      </c>
      <c r="C1540" s="4">
        <f>IFERROR(VLOOKUP(B1540,infoTable10[],4,FALSE),"")</f>
        <v>1107694</v>
      </c>
      <c r="D1540" s="4" t="str">
        <f>IFERROR(VLOOKUP(B1540,infoTable__2[],4,FALSE),"")</f>
        <v/>
      </c>
      <c r="E1540" s="4" t="str">
        <f>IFERROR(VLOOKUP(B1540,infoTable__3[],4,FALSE),"")</f>
        <v/>
      </c>
      <c r="F1540" s="4" t="str">
        <f>IFERROR(VLOOKUP(B1540,infoTable__4[],4,FALSE),"")</f>
        <v/>
      </c>
      <c r="G1540" s="4" t="str">
        <f>IFERROR(VLOOKUP(B1540,infoTable[],4,FALSE),"")</f>
        <v/>
      </c>
      <c r="H1540" s="4" t="str">
        <f>IFERROR(VLOOKUP(B1540,infoTable__6[],4,FALSE),"")</f>
        <v/>
      </c>
      <c r="I1540" s="4" t="str">
        <f>IFERROR(VLOOKUP(B1540,infoTable__28[],4,FALSE),"")</f>
        <v/>
      </c>
      <c r="J1540" s="4" t="str">
        <f>IFERROR(VLOOKUP(B1540,infoTable__10[],4,FALSE),"")</f>
        <v/>
      </c>
      <c r="K1540" s="4" t="str">
        <f>IFERROR(VLOOKUP(B1540,infoTable__11[],4,FALSE),"")</f>
        <v/>
      </c>
      <c r="L1540" s="4" t="str">
        <f>IFERROR(VLOOKUP(B1540,infoTable__12[],4,FALSE),"")</f>
        <v/>
      </c>
      <c r="M1540" s="4" t="str">
        <f>IFERROR(VLOOKUP(B1540,infoTable__13[],4,FALSE),"")</f>
        <v/>
      </c>
      <c r="N1540" s="4" t="str">
        <f>IFERROR(VLOOKUP(B1540,infoTable__14[],4,FALSE),"")</f>
        <v/>
      </c>
      <c r="O1540" s="4" t="str">
        <f>IFERROR(VLOOKUP(B1540,infoTable__15[],4,FALSE),"")</f>
        <v/>
      </c>
      <c r="P1540" s="4" t="str">
        <f>IFERROR(VLOOKUP(B1540,infoTable__16[],4,FALSE),"")</f>
        <v/>
      </c>
    </row>
    <row r="1541" spans="1:16" x14ac:dyDescent="0.55000000000000004">
      <c r="A1541" t="s">
        <v>2392</v>
      </c>
      <c r="B1541" t="s">
        <v>2393</v>
      </c>
      <c r="C1541" s="4" t="str">
        <f>IFERROR(VLOOKUP(B1541,infoTable10[],4,FALSE),"")</f>
        <v/>
      </c>
      <c r="D1541" s="4" t="str">
        <f>IFERROR(VLOOKUP(B1541,infoTable__2[],4,FALSE),"")</f>
        <v/>
      </c>
      <c r="E1541" s="4" t="str">
        <f>IFERROR(VLOOKUP(B1541,infoTable__3[],4,FALSE),"")</f>
        <v/>
      </c>
      <c r="F1541" s="4" t="str">
        <f>IFERROR(VLOOKUP(B1541,infoTable__4[],4,FALSE),"")</f>
        <v/>
      </c>
      <c r="G1541" s="4" t="str">
        <f>IFERROR(VLOOKUP(B1541,infoTable[],4,FALSE),"")</f>
        <v/>
      </c>
      <c r="H1541" s="4" t="str">
        <f>IFERROR(VLOOKUP(B1541,infoTable__6[],4,FALSE),"")</f>
        <v/>
      </c>
      <c r="I1541" s="4" t="str">
        <f>IFERROR(VLOOKUP(B1541,infoTable__28[],4,FALSE),"")</f>
        <v/>
      </c>
      <c r="J1541" s="4" t="str">
        <f>IFERROR(VLOOKUP(B1541,infoTable__10[],4,FALSE),"")</f>
        <v/>
      </c>
      <c r="K1541" s="4" t="str">
        <f>IFERROR(VLOOKUP(B1541,infoTable__11[],4,FALSE),"")</f>
        <v/>
      </c>
      <c r="L1541" s="4">
        <f>IFERROR(VLOOKUP(B1541,infoTable__12[],4,FALSE),"")</f>
        <v>444495</v>
      </c>
      <c r="M1541" s="4">
        <f>IFERROR(VLOOKUP(B1541,infoTable__13[],4,FALSE),"")</f>
        <v>10578009</v>
      </c>
      <c r="N1541" s="4">
        <f>IFERROR(VLOOKUP(B1541,infoTable__14[],4,FALSE),"")</f>
        <v>6306427</v>
      </c>
      <c r="O1541" s="4">
        <f>IFERROR(VLOOKUP(B1541,infoTable__15[],4,FALSE),"")</f>
        <v>3407529</v>
      </c>
      <c r="P1541" s="4" t="str">
        <f>IFERROR(VLOOKUP(B1541,infoTable__16[],4,FALSE),"")</f>
        <v/>
      </c>
    </row>
    <row r="1542" spans="1:16" x14ac:dyDescent="0.55000000000000004">
      <c r="A1542" t="s">
        <v>718</v>
      </c>
      <c r="B1542" t="s">
        <v>719</v>
      </c>
      <c r="C1542" s="4" t="str">
        <f>IFERROR(VLOOKUP(B1542,infoTable10[],4,FALSE),"")</f>
        <v/>
      </c>
      <c r="D1542" s="4">
        <f>IFERROR(VLOOKUP(B1542,infoTable__2[],4,FALSE),"")</f>
        <v>234292</v>
      </c>
      <c r="E1542" s="4" t="str">
        <f>IFERROR(VLOOKUP(B1542,infoTable__3[],4,FALSE),"")</f>
        <v/>
      </c>
      <c r="F1542" s="4" t="str">
        <f>IFERROR(VLOOKUP(B1542,infoTable__4[],4,FALSE),"")</f>
        <v/>
      </c>
      <c r="G1542" s="4" t="str">
        <f>IFERROR(VLOOKUP(B1542,infoTable[],4,FALSE),"")</f>
        <v/>
      </c>
      <c r="H1542" s="4" t="str">
        <f>IFERROR(VLOOKUP(B1542,infoTable__6[],4,FALSE),"")</f>
        <v/>
      </c>
      <c r="I1542" s="4" t="str">
        <f>IFERROR(VLOOKUP(B1542,infoTable__28[],4,FALSE),"")</f>
        <v/>
      </c>
      <c r="J1542" s="4" t="str">
        <f>IFERROR(VLOOKUP(B1542,infoTable__10[],4,FALSE),"")</f>
        <v/>
      </c>
      <c r="K1542" s="4" t="str">
        <f>IFERROR(VLOOKUP(B1542,infoTable__11[],4,FALSE),"")</f>
        <v/>
      </c>
      <c r="L1542" s="4" t="str">
        <f>IFERROR(VLOOKUP(B1542,infoTable__12[],4,FALSE),"")</f>
        <v/>
      </c>
      <c r="M1542" s="4">
        <f>IFERROR(VLOOKUP(B1542,infoTable__13[],4,FALSE),"")</f>
        <v>356523</v>
      </c>
      <c r="N1542" s="4">
        <f>IFERROR(VLOOKUP(B1542,infoTable__14[],4,FALSE),"")</f>
        <v>250704</v>
      </c>
      <c r="O1542" s="4">
        <f>IFERROR(VLOOKUP(B1542,infoTable__15[],4,FALSE),"")</f>
        <v>439308</v>
      </c>
      <c r="P1542" s="4" t="str">
        <f>IFERROR(VLOOKUP(B1542,infoTable__16[],4,FALSE),"")</f>
        <v/>
      </c>
    </row>
    <row r="1543" spans="1:16" x14ac:dyDescent="0.55000000000000004">
      <c r="A1543" t="s">
        <v>928</v>
      </c>
      <c r="B1543" t="s">
        <v>929</v>
      </c>
      <c r="C1543" s="4" t="str">
        <f>IFERROR(VLOOKUP(B1543,infoTable10[],4,FALSE),"")</f>
        <v/>
      </c>
      <c r="D1543" s="4" t="str">
        <f>IFERROR(VLOOKUP(B1543,infoTable__2[],4,FALSE),"")</f>
        <v/>
      </c>
      <c r="E1543" s="4" t="str">
        <f>IFERROR(VLOOKUP(B1543,infoTable__3[],4,FALSE),"")</f>
        <v/>
      </c>
      <c r="F1543" s="4">
        <f>IFERROR(VLOOKUP(B1543,infoTable__4[],4,FALSE),"")</f>
        <v>640750</v>
      </c>
      <c r="G1543" s="4" t="str">
        <f>IFERROR(VLOOKUP(B1543,infoTable[],4,FALSE),"")</f>
        <v/>
      </c>
      <c r="H1543" s="4">
        <f>IFERROR(VLOOKUP(B1543,infoTable__6[],4,FALSE),"")</f>
        <v>211936</v>
      </c>
      <c r="I1543" s="4" t="str">
        <f>IFERROR(VLOOKUP(B1543,infoTable__28[],4,FALSE),"")</f>
        <v/>
      </c>
      <c r="J1543" s="4" t="str">
        <f>IFERROR(VLOOKUP(B1543,infoTable__10[],4,FALSE),"")</f>
        <v/>
      </c>
      <c r="K1543" s="4" t="str">
        <f>IFERROR(VLOOKUP(B1543,infoTable__11[],4,FALSE),"")</f>
        <v/>
      </c>
      <c r="L1543" s="4" t="str">
        <f>IFERROR(VLOOKUP(B1543,infoTable__12[],4,FALSE),"")</f>
        <v/>
      </c>
      <c r="M1543" s="4" t="str">
        <f>IFERROR(VLOOKUP(B1543,infoTable__13[],4,FALSE),"")</f>
        <v/>
      </c>
      <c r="N1543" s="4" t="str">
        <f>IFERROR(VLOOKUP(B1543,infoTable__14[],4,FALSE),"")</f>
        <v/>
      </c>
      <c r="O1543" s="4" t="str">
        <f>IFERROR(VLOOKUP(B1543,infoTable__15[],4,FALSE),"")</f>
        <v/>
      </c>
      <c r="P1543" s="4" t="str">
        <f>IFERROR(VLOOKUP(B1543,infoTable__16[],4,FALSE),"")</f>
        <v/>
      </c>
    </row>
    <row r="1544" spans="1:16" x14ac:dyDescent="0.55000000000000004">
      <c r="A1544" t="s">
        <v>3571</v>
      </c>
      <c r="B1544" t="s">
        <v>3572</v>
      </c>
      <c r="C1544" s="4" t="str">
        <f>IFERROR(VLOOKUP(B1544,infoTable10[],4,FALSE),"")</f>
        <v/>
      </c>
      <c r="D1544" s="4" t="str">
        <f>IFERROR(VLOOKUP(B1544,infoTable__2[],4,FALSE),"")</f>
        <v/>
      </c>
      <c r="E1544" s="4" t="str">
        <f>IFERROR(VLOOKUP(B1544,infoTable__3[],4,FALSE),"")</f>
        <v/>
      </c>
      <c r="F1544" s="4" t="str">
        <f>IFERROR(VLOOKUP(B1544,infoTable__4[],4,FALSE),"")</f>
        <v/>
      </c>
      <c r="G1544" s="4" t="str">
        <f>IFERROR(VLOOKUP(B1544,infoTable[],4,FALSE),"")</f>
        <v/>
      </c>
      <c r="H1544" s="4" t="str">
        <f>IFERROR(VLOOKUP(B1544,infoTable__6[],4,FALSE),"")</f>
        <v/>
      </c>
      <c r="I1544" s="4" t="str">
        <f>IFERROR(VLOOKUP(B1544,infoTable__28[],4,FALSE),"")</f>
        <v/>
      </c>
      <c r="J1544" s="4" t="str">
        <f>IFERROR(VLOOKUP(B1544,infoTable__10[],4,FALSE),"")</f>
        <v/>
      </c>
      <c r="K1544" s="4" t="str">
        <f>IFERROR(VLOOKUP(B1544,infoTable__11[],4,FALSE),"")</f>
        <v/>
      </c>
      <c r="L1544" s="4" t="str">
        <f>IFERROR(VLOOKUP(B1544,infoTable__12[],4,FALSE),"")</f>
        <v/>
      </c>
      <c r="M1544" s="4" t="str">
        <f>IFERROR(VLOOKUP(B1544,infoTable__13[],4,FALSE),"")</f>
        <v/>
      </c>
      <c r="N1544" s="4" t="str">
        <f>IFERROR(VLOOKUP(B1544,infoTable__14[],4,FALSE),"")</f>
        <v/>
      </c>
      <c r="O1544" s="4" t="str">
        <f>IFERROR(VLOOKUP(B1544,infoTable__15[],4,FALSE),"")</f>
        <v/>
      </c>
      <c r="P1544" s="4">
        <f>IFERROR(VLOOKUP(B1544,infoTable__16[],4,FALSE),"")</f>
        <v>2442938</v>
      </c>
    </row>
    <row r="1545" spans="1:16" x14ac:dyDescent="0.55000000000000004">
      <c r="A1545" t="s">
        <v>2919</v>
      </c>
      <c r="B1545" t="s">
        <v>2918</v>
      </c>
      <c r="C1545" s="4" t="str">
        <f>IFERROR(VLOOKUP(B1545,infoTable10[],4,FALSE),"")</f>
        <v/>
      </c>
      <c r="D1545" s="4" t="str">
        <f>IFERROR(VLOOKUP(B1545,infoTable__2[],4,FALSE),"")</f>
        <v/>
      </c>
      <c r="E1545" s="4" t="str">
        <f>IFERROR(VLOOKUP(B1545,infoTable__3[],4,FALSE),"")</f>
        <v/>
      </c>
      <c r="F1545" s="4" t="str">
        <f>IFERROR(VLOOKUP(B1545,infoTable__4[],4,FALSE),"")</f>
        <v/>
      </c>
      <c r="G1545" s="4" t="str">
        <f>IFERROR(VLOOKUP(B1545,infoTable[],4,FALSE),"")</f>
        <v/>
      </c>
      <c r="H1545" s="4" t="str">
        <f>IFERROR(VLOOKUP(B1545,infoTable__6[],4,FALSE),"")</f>
        <v/>
      </c>
      <c r="I1545" s="4" t="str">
        <f>IFERROR(VLOOKUP(B1545,infoTable__28[],4,FALSE),"")</f>
        <v/>
      </c>
      <c r="J1545" s="4" t="str">
        <f>IFERROR(VLOOKUP(B1545,infoTable__10[],4,FALSE),"")</f>
        <v/>
      </c>
      <c r="K1545" s="4" t="str">
        <f>IFERROR(VLOOKUP(B1545,infoTable__11[],4,FALSE),"")</f>
        <v/>
      </c>
      <c r="L1545" s="4" t="str">
        <f>IFERROR(VLOOKUP(B1545,infoTable__12[],4,FALSE),"")</f>
        <v/>
      </c>
      <c r="M1545" s="4" t="str">
        <f>IFERROR(VLOOKUP(B1545,infoTable__13[],4,FALSE),"")</f>
        <v/>
      </c>
      <c r="N1545" s="4">
        <f>IFERROR(VLOOKUP(B1545,infoTable__14[],4,FALSE),"")</f>
        <v>205717</v>
      </c>
      <c r="O1545" s="4" t="str">
        <f>IFERROR(VLOOKUP(B1545,infoTable__15[],4,FALSE),"")</f>
        <v/>
      </c>
      <c r="P1545" s="4" t="str">
        <f>IFERROR(VLOOKUP(B1545,infoTable__16[],4,FALSE),"")</f>
        <v/>
      </c>
    </row>
    <row r="1546" spans="1:16" x14ac:dyDescent="0.55000000000000004">
      <c r="A1546" t="s">
        <v>720</v>
      </c>
      <c r="B1546" t="s">
        <v>721</v>
      </c>
      <c r="C1546" s="4">
        <f>IFERROR(VLOOKUP(B1546,infoTable10[],4,FALSE),"")</f>
        <v>2221986</v>
      </c>
      <c r="D1546" s="4">
        <f>IFERROR(VLOOKUP(B1546,infoTable__2[],4,FALSE),"")</f>
        <v>5345327</v>
      </c>
      <c r="E1546" s="4">
        <f>IFERROR(VLOOKUP(B1546,infoTable__3[],4,FALSE),"")</f>
        <v>5585740</v>
      </c>
      <c r="F1546" s="4">
        <f>IFERROR(VLOOKUP(B1546,infoTable__4[],4,FALSE),"")</f>
        <v>1755065</v>
      </c>
      <c r="G1546" s="4" t="str">
        <f>IFERROR(VLOOKUP(B1546,infoTable[],4,FALSE),"")</f>
        <v/>
      </c>
      <c r="H1546" s="4" t="str">
        <f>IFERROR(VLOOKUP(B1546,infoTable__6[],4,FALSE),"")</f>
        <v/>
      </c>
      <c r="I1546" s="4" t="str">
        <f>IFERROR(VLOOKUP(B1546,infoTable__28[],4,FALSE),"")</f>
        <v/>
      </c>
      <c r="J1546" s="4" t="str">
        <f>IFERROR(VLOOKUP(B1546,infoTable__10[],4,FALSE),"")</f>
        <v/>
      </c>
      <c r="K1546" s="4" t="str">
        <f>IFERROR(VLOOKUP(B1546,infoTable__11[],4,FALSE),"")</f>
        <v/>
      </c>
      <c r="L1546" s="4" t="str">
        <f>IFERROR(VLOOKUP(B1546,infoTable__12[],4,FALSE),"")</f>
        <v/>
      </c>
      <c r="M1546" s="4" t="str">
        <f>IFERROR(VLOOKUP(B1546,infoTable__13[],4,FALSE),"")</f>
        <v/>
      </c>
      <c r="N1546" s="4" t="str">
        <f>IFERROR(VLOOKUP(B1546,infoTable__14[],4,FALSE),"")</f>
        <v/>
      </c>
      <c r="O1546" s="4" t="str">
        <f>IFERROR(VLOOKUP(B1546,infoTable__15[],4,FALSE),"")</f>
        <v/>
      </c>
      <c r="P1546" s="4" t="str">
        <f>IFERROR(VLOOKUP(B1546,infoTable__16[],4,FALSE),"")</f>
        <v/>
      </c>
    </row>
    <row r="1547" spans="1:16" x14ac:dyDescent="0.55000000000000004">
      <c r="A1547" t="s">
        <v>2921</v>
      </c>
      <c r="B1547" t="s">
        <v>2920</v>
      </c>
      <c r="C1547" s="4" t="str">
        <f>IFERROR(VLOOKUP(B1547,infoTable10[],4,FALSE),"")</f>
        <v/>
      </c>
      <c r="D1547" s="4" t="str">
        <f>IFERROR(VLOOKUP(B1547,infoTable__2[],4,FALSE),"")</f>
        <v/>
      </c>
      <c r="E1547" s="4" t="str">
        <f>IFERROR(VLOOKUP(B1547,infoTable__3[],4,FALSE),"")</f>
        <v/>
      </c>
      <c r="F1547" s="4" t="str">
        <f>IFERROR(VLOOKUP(B1547,infoTable__4[],4,FALSE),"")</f>
        <v/>
      </c>
      <c r="G1547" s="4" t="str">
        <f>IFERROR(VLOOKUP(B1547,infoTable[],4,FALSE),"")</f>
        <v/>
      </c>
      <c r="H1547" s="4" t="str">
        <f>IFERROR(VLOOKUP(B1547,infoTable__6[],4,FALSE),"")</f>
        <v/>
      </c>
      <c r="I1547" s="4" t="str">
        <f>IFERROR(VLOOKUP(B1547,infoTable__28[],4,FALSE),"")</f>
        <v/>
      </c>
      <c r="J1547" s="4" t="str">
        <f>IFERROR(VLOOKUP(B1547,infoTable__10[],4,FALSE),"")</f>
        <v/>
      </c>
      <c r="K1547" s="4" t="str">
        <f>IFERROR(VLOOKUP(B1547,infoTable__11[],4,FALSE),"")</f>
        <v/>
      </c>
      <c r="L1547" s="4" t="str">
        <f>IFERROR(VLOOKUP(B1547,infoTable__12[],4,FALSE),"")</f>
        <v/>
      </c>
      <c r="M1547" s="4" t="str">
        <f>IFERROR(VLOOKUP(B1547,infoTable__13[],4,FALSE),"")</f>
        <v/>
      </c>
      <c r="N1547" s="4">
        <f>IFERROR(VLOOKUP(B1547,infoTable__14[],4,FALSE),"")</f>
        <v>328073</v>
      </c>
      <c r="O1547" s="4">
        <f>IFERROR(VLOOKUP(B1547,infoTable__15[],4,FALSE),"")</f>
        <v>446620</v>
      </c>
      <c r="P1547" s="4" t="str">
        <f>IFERROR(VLOOKUP(B1547,infoTable__16[],4,FALSE),"")</f>
        <v/>
      </c>
    </row>
    <row r="1548" spans="1:16" x14ac:dyDescent="0.55000000000000004">
      <c r="A1548" t="s">
        <v>2394</v>
      </c>
      <c r="B1548" t="s">
        <v>2395</v>
      </c>
      <c r="C1548" s="4" t="str">
        <f>IFERROR(VLOOKUP(B1548,infoTable10[],4,FALSE),"")</f>
        <v/>
      </c>
      <c r="D1548" s="4" t="str">
        <f>IFERROR(VLOOKUP(B1548,infoTable__2[],4,FALSE),"")</f>
        <v/>
      </c>
      <c r="E1548" s="4" t="str">
        <f>IFERROR(VLOOKUP(B1548,infoTable__3[],4,FALSE),"")</f>
        <v/>
      </c>
      <c r="F1548" s="4" t="str">
        <f>IFERROR(VLOOKUP(B1548,infoTable__4[],4,FALSE),"")</f>
        <v/>
      </c>
      <c r="G1548" s="4" t="str">
        <f>IFERROR(VLOOKUP(B1548,infoTable[],4,FALSE),"")</f>
        <v/>
      </c>
      <c r="H1548" s="4" t="str">
        <f>IFERROR(VLOOKUP(B1548,infoTable__6[],4,FALSE),"")</f>
        <v/>
      </c>
      <c r="I1548" s="4" t="str">
        <f>IFERROR(VLOOKUP(B1548,infoTable__28[],4,FALSE),"")</f>
        <v/>
      </c>
      <c r="J1548" s="4" t="str">
        <f>IFERROR(VLOOKUP(B1548,infoTable__10[],4,FALSE),"")</f>
        <v/>
      </c>
      <c r="K1548" s="4" t="str">
        <f>IFERROR(VLOOKUP(B1548,infoTable__11[],4,FALSE),"")</f>
        <v/>
      </c>
      <c r="L1548" s="4">
        <f>IFERROR(VLOOKUP(B1548,infoTable__12[],4,FALSE),"")</f>
        <v>138163</v>
      </c>
      <c r="M1548" s="4">
        <f>IFERROR(VLOOKUP(B1548,infoTable__13[],4,FALSE),"")</f>
        <v>664708</v>
      </c>
      <c r="N1548" s="4" t="str">
        <f>IFERROR(VLOOKUP(B1548,infoTable__14[],4,FALSE),"")</f>
        <v/>
      </c>
      <c r="O1548" s="4" t="str">
        <f>IFERROR(VLOOKUP(B1548,infoTable__15[],4,FALSE),"")</f>
        <v/>
      </c>
      <c r="P1548" s="4" t="str">
        <f>IFERROR(VLOOKUP(B1548,infoTable__16[],4,FALSE),"")</f>
        <v/>
      </c>
    </row>
    <row r="1549" spans="1:16" x14ac:dyDescent="0.55000000000000004">
      <c r="A1549" t="s">
        <v>3208</v>
      </c>
      <c r="B1549" t="s">
        <v>3209</v>
      </c>
      <c r="C1549" s="4" t="str">
        <f>IFERROR(VLOOKUP(B1549,infoTable10[],4,FALSE),"")</f>
        <v/>
      </c>
      <c r="D1549" s="4" t="str">
        <f>IFERROR(VLOOKUP(B1549,infoTable__2[],4,FALSE),"")</f>
        <v/>
      </c>
      <c r="E1549" s="4" t="str">
        <f>IFERROR(VLOOKUP(B1549,infoTable__3[],4,FALSE),"")</f>
        <v/>
      </c>
      <c r="F1549" s="4" t="str">
        <f>IFERROR(VLOOKUP(B1549,infoTable__4[],4,FALSE),"")</f>
        <v/>
      </c>
      <c r="G1549" s="4" t="str">
        <f>IFERROR(VLOOKUP(B1549,infoTable[],4,FALSE),"")</f>
        <v/>
      </c>
      <c r="H1549" s="4" t="str">
        <f>IFERROR(VLOOKUP(B1549,infoTable__6[],4,FALSE),"")</f>
        <v/>
      </c>
      <c r="I1549" s="4" t="str">
        <f>IFERROR(VLOOKUP(B1549,infoTable__28[],4,FALSE),"")</f>
        <v/>
      </c>
      <c r="J1549" s="4" t="str">
        <f>IFERROR(VLOOKUP(B1549,infoTable__10[],4,FALSE),"")</f>
        <v/>
      </c>
      <c r="K1549" s="4" t="str">
        <f>IFERROR(VLOOKUP(B1549,infoTable__11[],4,FALSE),"")</f>
        <v/>
      </c>
      <c r="L1549" s="4" t="str">
        <f>IFERROR(VLOOKUP(B1549,infoTable__12[],4,FALSE),"")</f>
        <v/>
      </c>
      <c r="M1549" s="4" t="str">
        <f>IFERROR(VLOOKUP(B1549,infoTable__13[],4,FALSE),"")</f>
        <v/>
      </c>
      <c r="N1549" s="4" t="str">
        <f>IFERROR(VLOOKUP(B1549,infoTable__14[],4,FALSE),"")</f>
        <v/>
      </c>
      <c r="O1549" s="4">
        <f>IFERROR(VLOOKUP(B1549,infoTable__15[],4,FALSE),"")</f>
        <v>250223</v>
      </c>
      <c r="P1549" s="4" t="str">
        <f>IFERROR(VLOOKUP(B1549,infoTable__16[],4,FALSE),"")</f>
        <v/>
      </c>
    </row>
    <row r="1550" spans="1:16" x14ac:dyDescent="0.55000000000000004">
      <c r="A1550" t="s">
        <v>2396</v>
      </c>
      <c r="B1550" t="s">
        <v>2397</v>
      </c>
      <c r="C1550" s="4" t="str">
        <f>IFERROR(VLOOKUP(B1550,infoTable10[],4,FALSE),"")</f>
        <v/>
      </c>
      <c r="D1550" s="4" t="str">
        <f>IFERROR(VLOOKUP(B1550,infoTable__2[],4,FALSE),"")</f>
        <v/>
      </c>
      <c r="E1550" s="4" t="str">
        <f>IFERROR(VLOOKUP(B1550,infoTable__3[],4,FALSE),"")</f>
        <v/>
      </c>
      <c r="F1550" s="4" t="str">
        <f>IFERROR(VLOOKUP(B1550,infoTable__4[],4,FALSE),"")</f>
        <v/>
      </c>
      <c r="G1550" s="4" t="str">
        <f>IFERROR(VLOOKUP(B1550,infoTable[],4,FALSE),"")</f>
        <v/>
      </c>
      <c r="H1550" s="4" t="str">
        <f>IFERROR(VLOOKUP(B1550,infoTable__6[],4,FALSE),"")</f>
        <v/>
      </c>
      <c r="I1550" s="4" t="str">
        <f>IFERROR(VLOOKUP(B1550,infoTable__28[],4,FALSE),"")</f>
        <v/>
      </c>
      <c r="J1550" s="4" t="str">
        <f>IFERROR(VLOOKUP(B1550,infoTable__10[],4,FALSE),"")</f>
        <v/>
      </c>
      <c r="K1550" s="4" t="str">
        <f>IFERROR(VLOOKUP(B1550,infoTable__11[],4,FALSE),"")</f>
        <v/>
      </c>
      <c r="L1550" s="4">
        <f>IFERROR(VLOOKUP(B1550,infoTable__12[],4,FALSE),"")</f>
        <v>276601</v>
      </c>
      <c r="M1550" s="4">
        <f>IFERROR(VLOOKUP(B1550,infoTable__13[],4,FALSE),"")</f>
        <v>741412</v>
      </c>
      <c r="N1550" s="4" t="str">
        <f>IFERROR(VLOOKUP(B1550,infoTable__14[],4,FALSE),"")</f>
        <v/>
      </c>
      <c r="O1550" s="4" t="str">
        <f>IFERROR(VLOOKUP(B1550,infoTable__15[],4,FALSE),"")</f>
        <v/>
      </c>
      <c r="P1550" s="4" t="str">
        <f>IFERROR(VLOOKUP(B1550,infoTable__16[],4,FALSE),"")</f>
        <v/>
      </c>
    </row>
    <row r="1551" spans="1:16" x14ac:dyDescent="0.55000000000000004">
      <c r="A1551" t="s">
        <v>483</v>
      </c>
      <c r="B1551" t="s">
        <v>484</v>
      </c>
      <c r="C1551" s="4">
        <f>IFERROR(VLOOKUP(B1551,infoTable10[],4,FALSE),"")</f>
        <v>5217909</v>
      </c>
      <c r="D1551" s="4">
        <f>IFERROR(VLOOKUP(B1551,infoTable__2[],4,FALSE),"")</f>
        <v>8819909</v>
      </c>
      <c r="E1551" s="4">
        <f>IFERROR(VLOOKUP(B1551,infoTable__3[],4,FALSE),"")</f>
        <v>7015354</v>
      </c>
      <c r="F1551" s="4">
        <f>IFERROR(VLOOKUP(B1551,infoTable__4[],4,FALSE),"")</f>
        <v>4978161</v>
      </c>
      <c r="G1551" s="4">
        <f>IFERROR(VLOOKUP(B1551,infoTable[],4,FALSE),"")</f>
        <v>3050997</v>
      </c>
      <c r="H1551" s="4">
        <f>IFERROR(VLOOKUP(B1551,infoTable__6[],4,FALSE),"")</f>
        <v>801060</v>
      </c>
      <c r="I1551" s="4">
        <f>IFERROR(VLOOKUP(B1551,infoTable__28[],4,FALSE),"")</f>
        <v>1809160</v>
      </c>
      <c r="J1551" s="4">
        <f>IFERROR(VLOOKUP(B1551,infoTable__10[],4,FALSE),"")</f>
        <v>1026599</v>
      </c>
      <c r="K1551" s="4" t="str">
        <f>IFERROR(VLOOKUP(B1551,infoTable__11[],4,FALSE),"")</f>
        <v/>
      </c>
      <c r="L1551" s="4" t="str">
        <f>IFERROR(VLOOKUP(B1551,infoTable__12[],4,FALSE),"")</f>
        <v/>
      </c>
      <c r="M1551" s="4" t="str">
        <f>IFERROR(VLOOKUP(B1551,infoTable__13[],4,FALSE),"")</f>
        <v/>
      </c>
      <c r="N1551" s="4" t="str">
        <f>IFERROR(VLOOKUP(B1551,infoTable__14[],4,FALSE),"")</f>
        <v/>
      </c>
      <c r="O1551" s="4" t="str">
        <f>IFERROR(VLOOKUP(B1551,infoTable__15[],4,FALSE),"")</f>
        <v/>
      </c>
      <c r="P1551" s="4" t="str">
        <f>IFERROR(VLOOKUP(B1551,infoTable__16[],4,FALSE),"")</f>
        <v/>
      </c>
    </row>
    <row r="1552" spans="1:16" x14ac:dyDescent="0.55000000000000004">
      <c r="A1552" t="s">
        <v>3210</v>
      </c>
      <c r="B1552" t="s">
        <v>3211</v>
      </c>
      <c r="C1552" s="4" t="str">
        <f>IFERROR(VLOOKUP(B1552,infoTable10[],4,FALSE),"")</f>
        <v/>
      </c>
      <c r="D1552" s="4" t="str">
        <f>IFERROR(VLOOKUP(B1552,infoTable__2[],4,FALSE),"")</f>
        <v/>
      </c>
      <c r="E1552" s="4" t="str">
        <f>IFERROR(VLOOKUP(B1552,infoTable__3[],4,FALSE),"")</f>
        <v/>
      </c>
      <c r="F1552" s="4" t="str">
        <f>IFERROR(VLOOKUP(B1552,infoTable__4[],4,FALSE),"")</f>
        <v/>
      </c>
      <c r="G1552" s="4" t="str">
        <f>IFERROR(VLOOKUP(B1552,infoTable[],4,FALSE),"")</f>
        <v/>
      </c>
      <c r="H1552" s="4" t="str">
        <f>IFERROR(VLOOKUP(B1552,infoTable__6[],4,FALSE),"")</f>
        <v/>
      </c>
      <c r="I1552" s="4" t="str">
        <f>IFERROR(VLOOKUP(B1552,infoTable__28[],4,FALSE),"")</f>
        <v/>
      </c>
      <c r="J1552" s="4" t="str">
        <f>IFERROR(VLOOKUP(B1552,infoTable__10[],4,FALSE),"")</f>
        <v/>
      </c>
      <c r="K1552" s="4" t="str">
        <f>IFERROR(VLOOKUP(B1552,infoTable__11[],4,FALSE),"")</f>
        <v/>
      </c>
      <c r="L1552" s="4" t="str">
        <f>IFERROR(VLOOKUP(B1552,infoTable__12[],4,FALSE),"")</f>
        <v/>
      </c>
      <c r="M1552" s="4" t="str">
        <f>IFERROR(VLOOKUP(B1552,infoTable__13[],4,FALSE),"")</f>
        <v/>
      </c>
      <c r="N1552" s="4" t="str">
        <f>IFERROR(VLOOKUP(B1552,infoTable__14[],4,FALSE),"")</f>
        <v/>
      </c>
      <c r="O1552" s="4">
        <f>IFERROR(VLOOKUP(B1552,infoTable__15[],4,FALSE),"")</f>
        <v>509127</v>
      </c>
      <c r="P1552" s="4" t="str">
        <f>IFERROR(VLOOKUP(B1552,infoTable__16[],4,FALSE),"")</f>
        <v/>
      </c>
    </row>
    <row r="1553" spans="1:16" x14ac:dyDescent="0.55000000000000004">
      <c r="A1553" t="s">
        <v>2059</v>
      </c>
      <c r="B1553" t="s">
        <v>2060</v>
      </c>
      <c r="C1553" s="4" t="str">
        <f>IFERROR(VLOOKUP(B1553,infoTable10[],4,FALSE),"")</f>
        <v/>
      </c>
      <c r="D1553" s="4" t="str">
        <f>IFERROR(VLOOKUP(B1553,infoTable__2[],4,FALSE),"")</f>
        <v/>
      </c>
      <c r="E1553" s="4" t="str">
        <f>IFERROR(VLOOKUP(B1553,infoTable__3[],4,FALSE),"")</f>
        <v/>
      </c>
      <c r="F1553" s="4" t="str">
        <f>IFERROR(VLOOKUP(B1553,infoTable__4[],4,FALSE),"")</f>
        <v/>
      </c>
      <c r="G1553" s="4" t="str">
        <f>IFERROR(VLOOKUP(B1553,infoTable[],4,FALSE),"")</f>
        <v/>
      </c>
      <c r="H1553" s="4" t="str">
        <f>IFERROR(VLOOKUP(B1553,infoTable__6[],4,FALSE),"")</f>
        <v/>
      </c>
      <c r="I1553" s="4" t="str">
        <f>IFERROR(VLOOKUP(B1553,infoTable__28[],4,FALSE),"")</f>
        <v/>
      </c>
      <c r="J1553" s="4" t="str">
        <f>IFERROR(VLOOKUP(B1553,infoTable__10[],4,FALSE),"")</f>
        <v/>
      </c>
      <c r="K1553" s="4">
        <f>IFERROR(VLOOKUP(B1553,infoTable__11[],4,FALSE),"")</f>
        <v>1224093</v>
      </c>
      <c r="L1553" s="4">
        <f>IFERROR(VLOOKUP(B1553,infoTable__12[],4,FALSE),"")</f>
        <v>2410476</v>
      </c>
      <c r="M1553" s="4" t="str">
        <f>IFERROR(VLOOKUP(B1553,infoTable__13[],4,FALSE),"")</f>
        <v/>
      </c>
      <c r="N1553" s="4" t="str">
        <f>IFERROR(VLOOKUP(B1553,infoTable__14[],4,FALSE),"")</f>
        <v/>
      </c>
      <c r="O1553" s="4">
        <f>IFERROR(VLOOKUP(B1553,infoTable__15[],4,FALSE),"")</f>
        <v>2768543</v>
      </c>
      <c r="P1553" s="4">
        <f>IFERROR(VLOOKUP(B1553,infoTable__16[],4,FALSE),"")</f>
        <v>2132627</v>
      </c>
    </row>
    <row r="1554" spans="1:16" x14ac:dyDescent="0.55000000000000004">
      <c r="A1554" t="s">
        <v>1813</v>
      </c>
      <c r="B1554" t="s">
        <v>1815</v>
      </c>
      <c r="C1554" s="4" t="str">
        <f>IFERROR(VLOOKUP(B1554,infoTable10[],4,FALSE),"")</f>
        <v/>
      </c>
      <c r="D1554" s="4" t="str">
        <f>IFERROR(VLOOKUP(B1554,infoTable__2[],4,FALSE),"")</f>
        <v/>
      </c>
      <c r="E1554" s="4" t="str">
        <f>IFERROR(VLOOKUP(B1554,infoTable__3[],4,FALSE),"")</f>
        <v/>
      </c>
      <c r="F1554" s="4" t="str">
        <f>IFERROR(VLOOKUP(B1554,infoTable__4[],4,FALSE),"")</f>
        <v/>
      </c>
      <c r="G1554" s="4" t="str">
        <f>IFERROR(VLOOKUP(B1554,infoTable[],4,FALSE),"")</f>
        <v/>
      </c>
      <c r="H1554" s="4" t="str">
        <f>IFERROR(VLOOKUP(B1554,infoTable__6[],4,FALSE),"")</f>
        <v/>
      </c>
      <c r="I1554" s="4" t="str">
        <f>IFERROR(VLOOKUP(B1554,infoTable__28[],4,FALSE),"")</f>
        <v/>
      </c>
      <c r="J1554" s="4">
        <f>IFERROR(VLOOKUP(B1554,infoTable__10[],4,FALSE),"")</f>
        <v>322753</v>
      </c>
      <c r="K1554" s="4" t="str">
        <f>IFERROR(VLOOKUP(B1554,infoTable__11[],4,FALSE),"")</f>
        <v/>
      </c>
      <c r="L1554" s="4" t="str">
        <f>IFERROR(VLOOKUP(B1554,infoTable__12[],4,FALSE),"")</f>
        <v/>
      </c>
      <c r="M1554" s="4" t="str">
        <f>IFERROR(VLOOKUP(B1554,infoTable__13[],4,FALSE),"")</f>
        <v/>
      </c>
      <c r="N1554" s="4" t="str">
        <f>IFERROR(VLOOKUP(B1554,infoTable__14[],4,FALSE),"")</f>
        <v/>
      </c>
      <c r="O1554" s="4" t="str">
        <f>IFERROR(VLOOKUP(B1554,infoTable__15[],4,FALSE),"")</f>
        <v/>
      </c>
      <c r="P1554" s="4" t="str">
        <f>IFERROR(VLOOKUP(B1554,infoTable__16[],4,FALSE),"")</f>
        <v/>
      </c>
    </row>
    <row r="1555" spans="1:16" x14ac:dyDescent="0.55000000000000004">
      <c r="A1555" t="s">
        <v>3212</v>
      </c>
      <c r="B1555" t="s">
        <v>3213</v>
      </c>
      <c r="C1555" s="4" t="str">
        <f>IFERROR(VLOOKUP(B1555,infoTable10[],4,FALSE),"")</f>
        <v/>
      </c>
      <c r="D1555" s="4" t="str">
        <f>IFERROR(VLOOKUP(B1555,infoTable__2[],4,FALSE),"")</f>
        <v/>
      </c>
      <c r="E1555" s="4" t="str">
        <f>IFERROR(VLOOKUP(B1555,infoTable__3[],4,FALSE),"")</f>
        <v/>
      </c>
      <c r="F1555" s="4" t="str">
        <f>IFERROR(VLOOKUP(B1555,infoTable__4[],4,FALSE),"")</f>
        <v/>
      </c>
      <c r="G1555" s="4" t="str">
        <f>IFERROR(VLOOKUP(B1555,infoTable[],4,FALSE),"")</f>
        <v/>
      </c>
      <c r="H1555" s="4" t="str">
        <f>IFERROR(VLOOKUP(B1555,infoTable__6[],4,FALSE),"")</f>
        <v/>
      </c>
      <c r="I1555" s="4" t="str">
        <f>IFERROR(VLOOKUP(B1555,infoTable__28[],4,FALSE),"")</f>
        <v/>
      </c>
      <c r="J1555" s="4" t="str">
        <f>IFERROR(VLOOKUP(B1555,infoTable__10[],4,FALSE),"")</f>
        <v/>
      </c>
      <c r="K1555" s="4" t="str">
        <f>IFERROR(VLOOKUP(B1555,infoTable__11[],4,FALSE),"")</f>
        <v/>
      </c>
      <c r="L1555" s="4" t="str">
        <f>IFERROR(VLOOKUP(B1555,infoTable__12[],4,FALSE),"")</f>
        <v/>
      </c>
      <c r="M1555" s="4" t="str">
        <f>IFERROR(VLOOKUP(B1555,infoTable__13[],4,FALSE),"")</f>
        <v/>
      </c>
      <c r="N1555" s="4" t="str">
        <f>IFERROR(VLOOKUP(B1555,infoTable__14[],4,FALSE),"")</f>
        <v/>
      </c>
      <c r="O1555" s="4">
        <f>IFERROR(VLOOKUP(B1555,infoTable__15[],4,FALSE),"")</f>
        <v>604484</v>
      </c>
      <c r="P1555" s="4" t="str">
        <f>IFERROR(VLOOKUP(B1555,infoTable__16[],4,FALSE),"")</f>
        <v/>
      </c>
    </row>
    <row r="1556" spans="1:16" x14ac:dyDescent="0.55000000000000004">
      <c r="A1556" t="s">
        <v>485</v>
      </c>
      <c r="B1556" t="s">
        <v>486</v>
      </c>
      <c r="C1556" s="4" t="str">
        <f>IFERROR(VLOOKUP(B1556,infoTable10[],4,FALSE),"")</f>
        <v/>
      </c>
      <c r="D1556" s="4">
        <f>IFERROR(VLOOKUP(B1556,infoTable__2[],4,FALSE),"")</f>
        <v>1113803</v>
      </c>
      <c r="E1556" s="4" t="str">
        <f>IFERROR(VLOOKUP(B1556,infoTable__3[],4,FALSE),"")</f>
        <v/>
      </c>
      <c r="F1556" s="4" t="str">
        <f>IFERROR(VLOOKUP(B1556,infoTable__4[],4,FALSE),"")</f>
        <v/>
      </c>
      <c r="G1556" s="4">
        <f>IFERROR(VLOOKUP(B1556,infoTable[],4,FALSE),"")</f>
        <v>1692075</v>
      </c>
      <c r="H1556" s="4">
        <f>IFERROR(VLOOKUP(B1556,infoTable__6[],4,FALSE),"")</f>
        <v>939679</v>
      </c>
      <c r="I1556" s="4" t="str">
        <f>IFERROR(VLOOKUP(B1556,infoTable__28[],4,FALSE),"")</f>
        <v/>
      </c>
      <c r="J1556" s="4">
        <f>IFERROR(VLOOKUP(B1556,infoTable__10[],4,FALSE),"")</f>
        <v>178237</v>
      </c>
      <c r="K1556" s="4" t="str">
        <f>IFERROR(VLOOKUP(B1556,infoTable__11[],4,FALSE),"")</f>
        <v/>
      </c>
      <c r="L1556" s="4" t="str">
        <f>IFERROR(VLOOKUP(B1556,infoTable__12[],4,FALSE),"")</f>
        <v/>
      </c>
      <c r="M1556" s="4" t="str">
        <f>IFERROR(VLOOKUP(B1556,infoTable__13[],4,FALSE),"")</f>
        <v/>
      </c>
      <c r="N1556" s="4" t="str">
        <f>IFERROR(VLOOKUP(B1556,infoTable__14[],4,FALSE),"")</f>
        <v/>
      </c>
      <c r="O1556" s="4" t="str">
        <f>IFERROR(VLOOKUP(B1556,infoTable__15[],4,FALSE),"")</f>
        <v/>
      </c>
      <c r="P1556" s="4" t="str">
        <f>IFERROR(VLOOKUP(B1556,infoTable__16[],4,FALSE),"")</f>
        <v/>
      </c>
    </row>
    <row r="1557" spans="1:16" x14ac:dyDescent="0.55000000000000004">
      <c r="A1557" t="s">
        <v>487</v>
      </c>
      <c r="B1557" t="s">
        <v>488</v>
      </c>
      <c r="C1557" s="4" t="str">
        <f>IFERROR(VLOOKUP(B1557,infoTable10[],4,FALSE),"")</f>
        <v/>
      </c>
      <c r="D1557" s="4" t="str">
        <f>IFERROR(VLOOKUP(B1557,infoTable__2[],4,FALSE),"")</f>
        <v/>
      </c>
      <c r="E1557" s="4" t="str">
        <f>IFERROR(VLOOKUP(B1557,infoTable__3[],4,FALSE),"")</f>
        <v/>
      </c>
      <c r="F1557" s="4" t="str">
        <f>IFERROR(VLOOKUP(B1557,infoTable__4[],4,FALSE),"")</f>
        <v/>
      </c>
      <c r="G1557" s="4">
        <f>IFERROR(VLOOKUP(B1557,infoTable[],4,FALSE),"")</f>
        <v>340759</v>
      </c>
      <c r="H1557" s="4">
        <f>IFERROR(VLOOKUP(B1557,infoTable__6[],4,FALSE),"")</f>
        <v>1063318</v>
      </c>
      <c r="I1557" s="4" t="str">
        <f>IFERROR(VLOOKUP(B1557,infoTable__28[],4,FALSE),"")</f>
        <v/>
      </c>
      <c r="J1557" s="4" t="str">
        <f>IFERROR(VLOOKUP(B1557,infoTable__10[],4,FALSE),"")</f>
        <v/>
      </c>
      <c r="K1557" s="4" t="str">
        <f>IFERROR(VLOOKUP(B1557,infoTable__11[],4,FALSE),"")</f>
        <v/>
      </c>
      <c r="L1557" s="4" t="str">
        <f>IFERROR(VLOOKUP(B1557,infoTable__12[],4,FALSE),"")</f>
        <v/>
      </c>
      <c r="M1557" s="4">
        <f>IFERROR(VLOOKUP(B1557,infoTable__13[],4,FALSE),"")</f>
        <v>534326</v>
      </c>
      <c r="N1557" s="4">
        <f>IFERROR(VLOOKUP(B1557,infoTable__14[],4,FALSE),"")</f>
        <v>2091627</v>
      </c>
      <c r="O1557" s="4">
        <f>IFERROR(VLOOKUP(B1557,infoTable__15[],4,FALSE),"")</f>
        <v>547230</v>
      </c>
      <c r="P1557" s="4">
        <f>IFERROR(VLOOKUP(B1557,infoTable__16[],4,FALSE),"")</f>
        <v>606474</v>
      </c>
    </row>
    <row r="1558" spans="1:16" x14ac:dyDescent="0.55000000000000004">
      <c r="A1558" t="s">
        <v>930</v>
      </c>
      <c r="B1558" t="s">
        <v>931</v>
      </c>
      <c r="C1558" s="4" t="str">
        <f>IFERROR(VLOOKUP(B1558,infoTable10[],4,FALSE),"")</f>
        <v/>
      </c>
      <c r="D1558" s="4" t="str">
        <f>IFERROR(VLOOKUP(B1558,infoTable__2[],4,FALSE),"")</f>
        <v/>
      </c>
      <c r="E1558" s="4" t="str">
        <f>IFERROR(VLOOKUP(B1558,infoTable__3[],4,FALSE),"")</f>
        <v/>
      </c>
      <c r="F1558" s="4">
        <f>IFERROR(VLOOKUP(B1558,infoTable__4[],4,FALSE),"")</f>
        <v>769737</v>
      </c>
      <c r="G1558" s="4" t="str">
        <f>IFERROR(VLOOKUP(B1558,infoTable[],4,FALSE),"")</f>
        <v/>
      </c>
      <c r="H1558" s="4" t="str">
        <f>IFERROR(VLOOKUP(B1558,infoTable__6[],4,FALSE),"")</f>
        <v/>
      </c>
      <c r="I1558" s="4" t="str">
        <f>IFERROR(VLOOKUP(B1558,infoTable__28[],4,FALSE),"")</f>
        <v/>
      </c>
      <c r="J1558" s="4" t="str">
        <f>IFERROR(VLOOKUP(B1558,infoTable__10[],4,FALSE),"")</f>
        <v/>
      </c>
      <c r="K1558" s="4" t="str">
        <f>IFERROR(VLOOKUP(B1558,infoTable__11[],4,FALSE),"")</f>
        <v/>
      </c>
      <c r="L1558" s="4" t="str">
        <f>IFERROR(VLOOKUP(B1558,infoTable__12[],4,FALSE),"")</f>
        <v/>
      </c>
      <c r="M1558" s="4" t="str">
        <f>IFERROR(VLOOKUP(B1558,infoTable__13[],4,FALSE),"")</f>
        <v/>
      </c>
      <c r="N1558" s="4" t="str">
        <f>IFERROR(VLOOKUP(B1558,infoTable__14[],4,FALSE),"")</f>
        <v/>
      </c>
      <c r="O1558" s="4" t="str">
        <f>IFERROR(VLOOKUP(B1558,infoTable__15[],4,FALSE),"")</f>
        <v/>
      </c>
      <c r="P1558" s="4" t="str">
        <f>IFERROR(VLOOKUP(B1558,infoTable__16[],4,FALSE),"")</f>
        <v/>
      </c>
    </row>
    <row r="1559" spans="1:16" x14ac:dyDescent="0.55000000000000004">
      <c r="A1559" t="s">
        <v>1816</v>
      </c>
      <c r="B1559" t="s">
        <v>1817</v>
      </c>
      <c r="C1559" s="4" t="str">
        <f>IFERROR(VLOOKUP(B1559,infoTable10[],4,FALSE),"")</f>
        <v/>
      </c>
      <c r="D1559" s="4" t="str">
        <f>IFERROR(VLOOKUP(B1559,infoTable__2[],4,FALSE),"")</f>
        <v/>
      </c>
      <c r="E1559" s="4" t="str">
        <f>IFERROR(VLOOKUP(B1559,infoTable__3[],4,FALSE),"")</f>
        <v/>
      </c>
      <c r="F1559" s="4" t="str">
        <f>IFERROR(VLOOKUP(B1559,infoTable__4[],4,FALSE),"")</f>
        <v/>
      </c>
      <c r="G1559" s="4" t="str">
        <f>IFERROR(VLOOKUP(B1559,infoTable[],4,FALSE),"")</f>
        <v/>
      </c>
      <c r="H1559" s="4" t="str">
        <f>IFERROR(VLOOKUP(B1559,infoTable__6[],4,FALSE),"")</f>
        <v/>
      </c>
      <c r="I1559" s="4" t="str">
        <f>IFERROR(VLOOKUP(B1559,infoTable__28[],4,FALSE),"")</f>
        <v/>
      </c>
      <c r="J1559" s="4">
        <f>IFERROR(VLOOKUP(B1559,infoTable__10[],4,FALSE),"")</f>
        <v>1085465</v>
      </c>
      <c r="K1559" s="4" t="str">
        <f>IFERROR(VLOOKUP(B1559,infoTable__11[],4,FALSE),"")</f>
        <v/>
      </c>
      <c r="L1559" s="4" t="str">
        <f>IFERROR(VLOOKUP(B1559,infoTable__12[],4,FALSE),"")</f>
        <v/>
      </c>
      <c r="M1559" s="4" t="str">
        <f>IFERROR(VLOOKUP(B1559,infoTable__13[],4,FALSE),"")</f>
        <v/>
      </c>
      <c r="N1559" s="4" t="str">
        <f>IFERROR(VLOOKUP(B1559,infoTable__14[],4,FALSE),"")</f>
        <v/>
      </c>
      <c r="O1559" s="4" t="str">
        <f>IFERROR(VLOOKUP(B1559,infoTable__15[],4,FALSE),"")</f>
        <v/>
      </c>
      <c r="P1559" s="4" t="str">
        <f>IFERROR(VLOOKUP(B1559,infoTable__16[],4,FALSE),"")</f>
        <v/>
      </c>
    </row>
    <row r="1560" spans="1:16" x14ac:dyDescent="0.55000000000000004">
      <c r="A1560" t="s">
        <v>3303</v>
      </c>
      <c r="B1560" t="s">
        <v>3304</v>
      </c>
      <c r="C1560" s="4" t="str">
        <f>IFERROR(VLOOKUP(B1560,infoTable10[],4,FALSE),"")</f>
        <v/>
      </c>
      <c r="D1560" s="4" t="str">
        <f>IFERROR(VLOOKUP(B1560,infoTable__2[],4,FALSE),"")</f>
        <v/>
      </c>
      <c r="E1560" s="4" t="str">
        <f>IFERROR(VLOOKUP(B1560,infoTable__3[],4,FALSE),"")</f>
        <v/>
      </c>
      <c r="F1560" s="4" t="str">
        <f>IFERROR(VLOOKUP(B1560,infoTable__4[],4,FALSE),"")</f>
        <v/>
      </c>
      <c r="G1560" s="4" t="str">
        <f>IFERROR(VLOOKUP(B1560,infoTable[],4,FALSE),"")</f>
        <v/>
      </c>
      <c r="H1560" s="4" t="str">
        <f>IFERROR(VLOOKUP(B1560,infoTable__6[],4,FALSE),"")</f>
        <v/>
      </c>
      <c r="I1560" s="4" t="str">
        <f>IFERROR(VLOOKUP(B1560,infoTable__28[],4,FALSE),"")</f>
        <v/>
      </c>
      <c r="J1560" s="4" t="str">
        <f>IFERROR(VLOOKUP(B1560,infoTable__10[],4,FALSE),"")</f>
        <v/>
      </c>
      <c r="K1560" s="4" t="str">
        <f>IFERROR(VLOOKUP(B1560,infoTable__11[],4,FALSE),"")</f>
        <v/>
      </c>
      <c r="L1560" s="4" t="str">
        <f>IFERROR(VLOOKUP(B1560,infoTable__12[],4,FALSE),"")</f>
        <v/>
      </c>
      <c r="M1560" s="4" t="str">
        <f>IFERROR(VLOOKUP(B1560,infoTable__13[],4,FALSE),"")</f>
        <v/>
      </c>
      <c r="N1560" s="4" t="str">
        <f>IFERROR(VLOOKUP(B1560,infoTable__14[],4,FALSE),"")</f>
        <v/>
      </c>
      <c r="O1560" s="4" t="str">
        <f>IFERROR(VLOOKUP(B1560,infoTable__15[],4,FALSE),"")</f>
        <v/>
      </c>
      <c r="P1560" s="4">
        <f>IFERROR(VLOOKUP(B1560,infoTable__16[],4,FALSE),"")</f>
        <v>1351045</v>
      </c>
    </row>
    <row r="1561" spans="1:16" x14ac:dyDescent="0.55000000000000004">
      <c r="A1561" t="s">
        <v>3187</v>
      </c>
      <c r="B1561" t="s">
        <v>3188</v>
      </c>
      <c r="C1561" s="4" t="str">
        <f>IFERROR(VLOOKUP(B1561,infoTable10[],4,FALSE),"")</f>
        <v/>
      </c>
      <c r="D1561" s="4" t="str">
        <f>IFERROR(VLOOKUP(B1561,infoTable__2[],4,FALSE),"")</f>
        <v/>
      </c>
      <c r="E1561" s="4" t="str">
        <f>IFERROR(VLOOKUP(B1561,infoTable__3[],4,FALSE),"")</f>
        <v/>
      </c>
      <c r="F1561" s="4" t="str">
        <f>IFERROR(VLOOKUP(B1561,infoTable__4[],4,FALSE),"")</f>
        <v/>
      </c>
      <c r="G1561" s="4" t="str">
        <f>IFERROR(VLOOKUP(B1561,infoTable[],4,FALSE),"")</f>
        <v/>
      </c>
      <c r="H1561" s="4" t="str">
        <f>IFERROR(VLOOKUP(B1561,infoTable__6[],4,FALSE),"")</f>
        <v/>
      </c>
      <c r="I1561" s="4" t="str">
        <f>IFERROR(VLOOKUP(B1561,infoTable__28[],4,FALSE),"")</f>
        <v/>
      </c>
      <c r="J1561" s="4" t="str">
        <f>IFERROR(VLOOKUP(B1561,infoTable__10[],4,FALSE),"")</f>
        <v/>
      </c>
      <c r="K1561" s="4" t="str">
        <f>IFERROR(VLOOKUP(B1561,infoTable__11[],4,FALSE),"")</f>
        <v/>
      </c>
      <c r="L1561" s="4" t="str">
        <f>IFERROR(VLOOKUP(B1561,infoTable__12[],4,FALSE),"")</f>
        <v/>
      </c>
      <c r="M1561" s="4" t="str">
        <f>IFERROR(VLOOKUP(B1561,infoTable__13[],4,FALSE),"")</f>
        <v/>
      </c>
      <c r="N1561" s="4" t="str">
        <f>IFERROR(VLOOKUP(B1561,infoTable__14[],4,FALSE),"")</f>
        <v/>
      </c>
      <c r="O1561" s="4">
        <f>IFERROR(VLOOKUP(B1561,infoTable__15[],4,FALSE),"")</f>
        <v>453249</v>
      </c>
      <c r="P1561" s="4" t="str">
        <f>IFERROR(VLOOKUP(B1561,infoTable__16[],4,FALSE),"")</f>
        <v/>
      </c>
    </row>
    <row r="1562" spans="1:16" x14ac:dyDescent="0.55000000000000004">
      <c r="A1562" t="s">
        <v>1232</v>
      </c>
      <c r="B1562" t="s">
        <v>1234</v>
      </c>
      <c r="C1562" s="4" t="str">
        <f>IFERROR(VLOOKUP(B1562,infoTable10[],4,FALSE),"")</f>
        <v/>
      </c>
      <c r="D1562" s="4" t="str">
        <f>IFERROR(VLOOKUP(B1562,infoTable__2[],4,FALSE),"")</f>
        <v/>
      </c>
      <c r="E1562" s="4" t="str">
        <f>IFERROR(VLOOKUP(B1562,infoTable__3[],4,FALSE),"")</f>
        <v/>
      </c>
      <c r="F1562" s="4" t="str">
        <f>IFERROR(VLOOKUP(B1562,infoTable__4[],4,FALSE),"")</f>
        <v/>
      </c>
      <c r="G1562" s="4" t="str">
        <f>IFERROR(VLOOKUP(B1562,infoTable[],4,FALSE),"")</f>
        <v/>
      </c>
      <c r="H1562" s="4" t="str">
        <f>IFERROR(VLOOKUP(B1562,infoTable__6[],4,FALSE),"")</f>
        <v/>
      </c>
      <c r="I1562" s="4">
        <f>IFERROR(VLOOKUP(B1562,infoTable__28[],4,FALSE),"")</f>
        <v>214855</v>
      </c>
      <c r="J1562" s="4">
        <f>IFERROR(VLOOKUP(B1562,infoTable__10[],4,FALSE),"")</f>
        <v>187363</v>
      </c>
      <c r="K1562" s="4" t="str">
        <f>IFERROR(VLOOKUP(B1562,infoTable__11[],4,FALSE),"")</f>
        <v/>
      </c>
      <c r="L1562" s="4" t="str">
        <f>IFERROR(VLOOKUP(B1562,infoTable__12[],4,FALSE),"")</f>
        <v/>
      </c>
      <c r="M1562" s="4" t="str">
        <f>IFERROR(VLOOKUP(B1562,infoTable__13[],4,FALSE),"")</f>
        <v/>
      </c>
      <c r="N1562" s="4" t="str">
        <f>IFERROR(VLOOKUP(B1562,infoTable__14[],4,FALSE),"")</f>
        <v/>
      </c>
      <c r="O1562" s="4" t="str">
        <f>IFERROR(VLOOKUP(B1562,infoTable__15[],4,FALSE),"")</f>
        <v/>
      </c>
      <c r="P1562" s="4">
        <f>IFERROR(VLOOKUP(B1562,infoTable__16[],4,FALSE),"")</f>
        <v>1857200</v>
      </c>
    </row>
    <row r="1563" spans="1:16" x14ac:dyDescent="0.55000000000000004">
      <c r="A1563" t="s">
        <v>1862</v>
      </c>
      <c r="B1563" t="s">
        <v>1863</v>
      </c>
      <c r="C1563" s="4" t="str">
        <f>IFERROR(VLOOKUP(B1563,infoTable10[],4,FALSE),"")</f>
        <v/>
      </c>
      <c r="D1563" s="4" t="str">
        <f>IFERROR(VLOOKUP(B1563,infoTable__2[],4,FALSE),"")</f>
        <v/>
      </c>
      <c r="E1563" s="4" t="str">
        <f>IFERROR(VLOOKUP(B1563,infoTable__3[],4,FALSE),"")</f>
        <v/>
      </c>
      <c r="F1563" s="4" t="str">
        <f>IFERROR(VLOOKUP(B1563,infoTable__4[],4,FALSE),"")</f>
        <v/>
      </c>
      <c r="G1563" s="4" t="str">
        <f>IFERROR(VLOOKUP(B1563,infoTable[],4,FALSE),"")</f>
        <v/>
      </c>
      <c r="H1563" s="4" t="str">
        <f>IFERROR(VLOOKUP(B1563,infoTable__6[],4,FALSE),"")</f>
        <v/>
      </c>
      <c r="I1563" s="4" t="str">
        <f>IFERROR(VLOOKUP(B1563,infoTable__28[],4,FALSE),"")</f>
        <v/>
      </c>
      <c r="J1563" s="4" t="str">
        <f>IFERROR(VLOOKUP(B1563,infoTable__10[],4,FALSE),"")</f>
        <v/>
      </c>
      <c r="K1563" s="4">
        <f>IFERROR(VLOOKUP(B1563,infoTable__11[],4,FALSE),"")</f>
        <v>427201</v>
      </c>
      <c r="L1563" s="4">
        <f>IFERROR(VLOOKUP(B1563,infoTable__12[],4,FALSE),"")</f>
        <v>268101</v>
      </c>
      <c r="M1563" s="4" t="str">
        <f>IFERROR(VLOOKUP(B1563,infoTable__13[],4,FALSE),"")</f>
        <v/>
      </c>
      <c r="N1563" s="4">
        <f>IFERROR(VLOOKUP(B1563,infoTable__14[],4,FALSE),"")</f>
        <v>154187</v>
      </c>
      <c r="O1563" s="4">
        <f>IFERROR(VLOOKUP(B1563,infoTable__15[],4,FALSE),"")</f>
        <v>777148</v>
      </c>
      <c r="P1563" s="4">
        <f>IFERROR(VLOOKUP(B1563,infoTable__16[],4,FALSE),"")</f>
        <v>2452740</v>
      </c>
    </row>
    <row r="1564" spans="1:16" x14ac:dyDescent="0.55000000000000004">
      <c r="A1564" t="s">
        <v>2076</v>
      </c>
      <c r="B1564" t="s">
        <v>2077</v>
      </c>
      <c r="C1564" s="4" t="str">
        <f>IFERROR(VLOOKUP(B1564,infoTable10[],4,FALSE),"")</f>
        <v/>
      </c>
      <c r="D1564" s="4" t="str">
        <f>IFERROR(VLOOKUP(B1564,infoTable__2[],4,FALSE),"")</f>
        <v/>
      </c>
      <c r="E1564" s="4" t="str">
        <f>IFERROR(VLOOKUP(B1564,infoTable__3[],4,FALSE),"")</f>
        <v/>
      </c>
      <c r="F1564" s="4" t="str">
        <f>IFERROR(VLOOKUP(B1564,infoTable__4[],4,FALSE),"")</f>
        <v/>
      </c>
      <c r="G1564" s="4" t="str">
        <f>IFERROR(VLOOKUP(B1564,infoTable[],4,FALSE),"")</f>
        <v/>
      </c>
      <c r="H1564" s="4" t="str">
        <f>IFERROR(VLOOKUP(B1564,infoTable__6[],4,FALSE),"")</f>
        <v/>
      </c>
      <c r="I1564" s="4" t="str">
        <f>IFERROR(VLOOKUP(B1564,infoTable__28[],4,FALSE),"")</f>
        <v/>
      </c>
      <c r="J1564" s="4" t="str">
        <f>IFERROR(VLOOKUP(B1564,infoTable__10[],4,FALSE),"")</f>
        <v/>
      </c>
      <c r="K1564" s="4" t="str">
        <f>IFERROR(VLOOKUP(B1564,infoTable__11[],4,FALSE),"")</f>
        <v/>
      </c>
      <c r="L1564" s="4">
        <f>IFERROR(VLOOKUP(B1564,infoTable__12[],4,FALSE),"")</f>
        <v>662476</v>
      </c>
      <c r="M1564" s="4" t="str">
        <f>IFERROR(VLOOKUP(B1564,infoTable__13[],4,FALSE),"")</f>
        <v/>
      </c>
      <c r="N1564" s="4" t="str">
        <f>IFERROR(VLOOKUP(B1564,infoTable__14[],4,FALSE),"")</f>
        <v/>
      </c>
      <c r="O1564" s="4" t="str">
        <f>IFERROR(VLOOKUP(B1564,infoTable__15[],4,FALSE),"")</f>
        <v/>
      </c>
      <c r="P1564" s="4">
        <f>IFERROR(VLOOKUP(B1564,infoTable__16[],4,FALSE),"")</f>
        <v>451852</v>
      </c>
    </row>
    <row r="1565" spans="1:16" x14ac:dyDescent="0.55000000000000004">
      <c r="A1565" t="s">
        <v>2965</v>
      </c>
      <c r="B1565" t="s">
        <v>2966</v>
      </c>
      <c r="C1565" s="4" t="str">
        <f>IFERROR(VLOOKUP(B1565,infoTable10[],4,FALSE),"")</f>
        <v/>
      </c>
      <c r="D1565" s="4" t="str">
        <f>IFERROR(VLOOKUP(B1565,infoTable__2[],4,FALSE),"")</f>
        <v/>
      </c>
      <c r="E1565" s="4" t="str">
        <f>IFERROR(VLOOKUP(B1565,infoTable__3[],4,FALSE),"")</f>
        <v/>
      </c>
      <c r="F1565" s="4" t="str">
        <f>IFERROR(VLOOKUP(B1565,infoTable__4[],4,FALSE),"")</f>
        <v/>
      </c>
      <c r="G1565" s="4" t="str">
        <f>IFERROR(VLOOKUP(B1565,infoTable[],4,FALSE),"")</f>
        <v/>
      </c>
      <c r="H1565" s="4" t="str">
        <f>IFERROR(VLOOKUP(B1565,infoTable__6[],4,FALSE),"")</f>
        <v/>
      </c>
      <c r="I1565" s="4" t="str">
        <f>IFERROR(VLOOKUP(B1565,infoTable__28[],4,FALSE),"")</f>
        <v/>
      </c>
      <c r="J1565" s="4" t="str">
        <f>IFERROR(VLOOKUP(B1565,infoTable__10[],4,FALSE),"")</f>
        <v/>
      </c>
      <c r="K1565" s="4" t="str">
        <f>IFERROR(VLOOKUP(B1565,infoTable__11[],4,FALSE),"")</f>
        <v/>
      </c>
      <c r="L1565" s="4" t="str">
        <f>IFERROR(VLOOKUP(B1565,infoTable__12[],4,FALSE),"")</f>
        <v/>
      </c>
      <c r="M1565" s="4" t="str">
        <f>IFERROR(VLOOKUP(B1565,infoTable__13[],4,FALSE),"")</f>
        <v/>
      </c>
      <c r="N1565" s="4" t="str">
        <f>IFERROR(VLOOKUP(B1565,infoTable__14[],4,FALSE),"")</f>
        <v/>
      </c>
      <c r="O1565" s="4">
        <f>IFERROR(VLOOKUP(B1565,infoTable__15[],4,FALSE),"")</f>
        <v>4407037</v>
      </c>
      <c r="P1565" s="4">
        <f>IFERROR(VLOOKUP(B1565,infoTable__16[],4,FALSE),"")</f>
        <v>1698326</v>
      </c>
    </row>
    <row r="1566" spans="1:16" x14ac:dyDescent="0.55000000000000004">
      <c r="A1566" t="s">
        <v>1824</v>
      </c>
      <c r="B1566" t="s">
        <v>1825</v>
      </c>
      <c r="C1566" s="4" t="str">
        <f>IFERROR(VLOOKUP(B1566,infoTable10[],4,FALSE),"")</f>
        <v/>
      </c>
      <c r="D1566" s="4" t="str">
        <f>IFERROR(VLOOKUP(B1566,infoTable__2[],4,FALSE),"")</f>
        <v/>
      </c>
      <c r="E1566" s="4" t="str">
        <f>IFERROR(VLOOKUP(B1566,infoTable__3[],4,FALSE),"")</f>
        <v/>
      </c>
      <c r="F1566" s="4" t="str">
        <f>IFERROR(VLOOKUP(B1566,infoTable__4[],4,FALSE),"")</f>
        <v/>
      </c>
      <c r="G1566" s="4" t="str">
        <f>IFERROR(VLOOKUP(B1566,infoTable[],4,FALSE),"")</f>
        <v/>
      </c>
      <c r="H1566" s="4" t="str">
        <f>IFERROR(VLOOKUP(B1566,infoTable__6[],4,FALSE),"")</f>
        <v/>
      </c>
      <c r="I1566" s="4" t="str">
        <f>IFERROR(VLOOKUP(B1566,infoTable__28[],4,FALSE),"")</f>
        <v/>
      </c>
      <c r="J1566" s="4" t="str">
        <f>IFERROR(VLOOKUP(B1566,infoTable__10[],4,FALSE),"")</f>
        <v/>
      </c>
      <c r="K1566" s="4">
        <f>IFERROR(VLOOKUP(B1566,infoTable__11[],4,FALSE),"")</f>
        <v>527717</v>
      </c>
      <c r="L1566" s="4">
        <f>IFERROR(VLOOKUP(B1566,infoTable__12[],4,FALSE),"")</f>
        <v>1310866</v>
      </c>
      <c r="M1566" s="4">
        <f>IFERROR(VLOOKUP(B1566,infoTable__13[],4,FALSE),"")</f>
        <v>1248731</v>
      </c>
      <c r="N1566" s="4">
        <f>IFERROR(VLOOKUP(B1566,infoTable__14[],4,FALSE),"")</f>
        <v>1107795</v>
      </c>
      <c r="O1566" s="4">
        <f>IFERROR(VLOOKUP(B1566,infoTable__15[],4,FALSE),"")</f>
        <v>293496</v>
      </c>
      <c r="P1566" s="4" t="str">
        <f>IFERROR(VLOOKUP(B1566,infoTable__16[],4,FALSE),"")</f>
        <v/>
      </c>
    </row>
    <row r="1567" spans="1:16" x14ac:dyDescent="0.55000000000000004">
      <c r="A1567" t="s">
        <v>23</v>
      </c>
      <c r="B1567" t="s">
        <v>24</v>
      </c>
      <c r="C1567" s="4" t="str">
        <f>IFERROR(VLOOKUP(B1567,infoTable10[],4,FALSE),"")</f>
        <v/>
      </c>
      <c r="D1567" s="4" t="str">
        <f>IFERROR(VLOOKUP(B1567,infoTable__2[],4,FALSE),"")</f>
        <v/>
      </c>
      <c r="E1567" s="4" t="str">
        <f>IFERROR(VLOOKUP(B1567,infoTable__3[],4,FALSE),"")</f>
        <v/>
      </c>
      <c r="F1567" s="4" t="str">
        <f>IFERROR(VLOOKUP(B1567,infoTable__4[],4,FALSE),"")</f>
        <v/>
      </c>
      <c r="G1567" s="4">
        <f>IFERROR(VLOOKUP(B1567,infoTable[],4,FALSE),"")</f>
        <v>1324538</v>
      </c>
      <c r="H1567" s="4">
        <f>IFERROR(VLOOKUP(B1567,infoTable__6[],4,FALSE),"")</f>
        <v>1635708</v>
      </c>
      <c r="I1567" s="4">
        <f>IFERROR(VLOOKUP(B1567,infoTable__28[],4,FALSE),"")</f>
        <v>2745084</v>
      </c>
      <c r="J1567" s="4">
        <f>IFERROR(VLOOKUP(B1567,infoTable__10[],4,FALSE),"")</f>
        <v>2409960</v>
      </c>
      <c r="K1567" s="4">
        <f>IFERROR(VLOOKUP(B1567,infoTable__11[],4,FALSE),"")</f>
        <v>1182752</v>
      </c>
      <c r="L1567" s="4">
        <f>IFERROR(VLOOKUP(B1567,infoTable__12[],4,FALSE),"")</f>
        <v>284767</v>
      </c>
      <c r="M1567" s="4" t="str">
        <f>IFERROR(VLOOKUP(B1567,infoTable__13[],4,FALSE),"")</f>
        <v/>
      </c>
      <c r="N1567" s="4" t="str">
        <f>IFERROR(VLOOKUP(B1567,infoTable__14[],4,FALSE),"")</f>
        <v/>
      </c>
      <c r="O1567" s="4" t="str">
        <f>IFERROR(VLOOKUP(B1567,infoTable__15[],4,FALSE),"")</f>
        <v/>
      </c>
      <c r="P1567" s="4" t="str">
        <f>IFERROR(VLOOKUP(B1567,infoTable__16[],4,FALSE),"")</f>
        <v/>
      </c>
    </row>
    <row r="1568" spans="1:16" x14ac:dyDescent="0.55000000000000004">
      <c r="A1568" t="s">
        <v>1155</v>
      </c>
      <c r="B1568" t="s">
        <v>1156</v>
      </c>
      <c r="C1568" s="4" t="str">
        <f>IFERROR(VLOOKUP(B1568,infoTable10[],4,FALSE),"")</f>
        <v/>
      </c>
      <c r="D1568" s="4" t="str">
        <f>IFERROR(VLOOKUP(B1568,infoTable__2[],4,FALSE),"")</f>
        <v/>
      </c>
      <c r="E1568" s="4" t="str">
        <f>IFERROR(VLOOKUP(B1568,infoTable__3[],4,FALSE),"")</f>
        <v/>
      </c>
      <c r="F1568" s="4" t="str">
        <f>IFERROR(VLOOKUP(B1568,infoTable__4[],4,FALSE),"")</f>
        <v/>
      </c>
      <c r="G1568" s="4" t="str">
        <f>IFERROR(VLOOKUP(B1568,infoTable[],4,FALSE),"")</f>
        <v/>
      </c>
      <c r="H1568" s="4" t="str">
        <f>IFERROR(VLOOKUP(B1568,infoTable__6[],4,FALSE),"")</f>
        <v/>
      </c>
      <c r="I1568" s="4">
        <f>IFERROR(VLOOKUP(B1568,infoTable__28[],4,FALSE),"")</f>
        <v>418645</v>
      </c>
      <c r="J1568" s="4" t="str">
        <f>IFERROR(VLOOKUP(B1568,infoTable__10[],4,FALSE),"")</f>
        <v/>
      </c>
      <c r="K1568" s="4" t="str">
        <f>IFERROR(VLOOKUP(B1568,infoTable__11[],4,FALSE),"")</f>
        <v/>
      </c>
      <c r="L1568" s="4" t="str">
        <f>IFERROR(VLOOKUP(B1568,infoTable__12[],4,FALSE),"")</f>
        <v/>
      </c>
      <c r="M1568" s="4" t="str">
        <f>IFERROR(VLOOKUP(B1568,infoTable__13[],4,FALSE),"")</f>
        <v/>
      </c>
      <c r="N1568" s="4" t="str">
        <f>IFERROR(VLOOKUP(B1568,infoTable__14[],4,FALSE),"")</f>
        <v/>
      </c>
      <c r="O1568" s="4" t="str">
        <f>IFERROR(VLOOKUP(B1568,infoTable__15[],4,FALSE),"")</f>
        <v/>
      </c>
      <c r="P1568" s="4" t="str">
        <f>IFERROR(VLOOKUP(B1568,infoTable__16[],4,FALSE),"")</f>
        <v/>
      </c>
    </row>
    <row r="1569" spans="1:16" x14ac:dyDescent="0.55000000000000004">
      <c r="A1569" t="s">
        <v>2923</v>
      </c>
      <c r="B1569" t="s">
        <v>2922</v>
      </c>
      <c r="C1569" s="4" t="str">
        <f>IFERROR(VLOOKUP(B1569,infoTable10[],4,FALSE),"")</f>
        <v/>
      </c>
      <c r="D1569" s="4" t="str">
        <f>IFERROR(VLOOKUP(B1569,infoTable__2[],4,FALSE),"")</f>
        <v/>
      </c>
      <c r="E1569" s="4" t="str">
        <f>IFERROR(VLOOKUP(B1569,infoTable__3[],4,FALSE),"")</f>
        <v/>
      </c>
      <c r="F1569" s="4" t="str">
        <f>IFERROR(VLOOKUP(B1569,infoTable__4[],4,FALSE),"")</f>
        <v/>
      </c>
      <c r="G1569" s="4" t="str">
        <f>IFERROR(VLOOKUP(B1569,infoTable[],4,FALSE),"")</f>
        <v/>
      </c>
      <c r="H1569" s="4" t="str">
        <f>IFERROR(VLOOKUP(B1569,infoTable__6[],4,FALSE),"")</f>
        <v/>
      </c>
      <c r="I1569" s="4" t="str">
        <f>IFERROR(VLOOKUP(B1569,infoTable__28[],4,FALSE),"")</f>
        <v/>
      </c>
      <c r="J1569" s="4" t="str">
        <f>IFERROR(VLOOKUP(B1569,infoTable__10[],4,FALSE),"")</f>
        <v/>
      </c>
      <c r="K1569" s="4" t="str">
        <f>IFERROR(VLOOKUP(B1569,infoTable__11[],4,FALSE),"")</f>
        <v/>
      </c>
      <c r="L1569" s="4" t="str">
        <f>IFERROR(VLOOKUP(B1569,infoTable__12[],4,FALSE),"")</f>
        <v/>
      </c>
      <c r="M1569" s="4" t="str">
        <f>IFERROR(VLOOKUP(B1569,infoTable__13[],4,FALSE),"")</f>
        <v/>
      </c>
      <c r="N1569" s="4">
        <f>IFERROR(VLOOKUP(B1569,infoTable__14[],4,FALSE),"")</f>
        <v>200241</v>
      </c>
      <c r="O1569" s="4">
        <f>IFERROR(VLOOKUP(B1569,infoTable__15[],4,FALSE),"")</f>
        <v>3155864</v>
      </c>
      <c r="P1569" s="4">
        <f>IFERROR(VLOOKUP(B1569,infoTable__16[],4,FALSE),"")</f>
        <v>5214177</v>
      </c>
    </row>
    <row r="1570" spans="1:16" x14ac:dyDescent="0.55000000000000004">
      <c r="A1570" t="s">
        <v>3244</v>
      </c>
      <c r="B1570" t="s">
        <v>3245</v>
      </c>
      <c r="C1570" s="4" t="str">
        <f>IFERROR(VLOOKUP(B1570,infoTable10[],4,FALSE),"")</f>
        <v/>
      </c>
      <c r="D1570" s="4" t="str">
        <f>IFERROR(VLOOKUP(B1570,infoTable__2[],4,FALSE),"")</f>
        <v/>
      </c>
      <c r="E1570" s="4" t="str">
        <f>IFERROR(VLOOKUP(B1570,infoTable__3[],4,FALSE),"")</f>
        <v/>
      </c>
      <c r="F1570" s="4" t="str">
        <f>IFERROR(VLOOKUP(B1570,infoTable__4[],4,FALSE),"")</f>
        <v/>
      </c>
      <c r="G1570" s="4" t="str">
        <f>IFERROR(VLOOKUP(B1570,infoTable[],4,FALSE),"")</f>
        <v/>
      </c>
      <c r="H1570" s="4" t="str">
        <f>IFERROR(VLOOKUP(B1570,infoTable__6[],4,FALSE),"")</f>
        <v/>
      </c>
      <c r="I1570" s="4" t="str">
        <f>IFERROR(VLOOKUP(B1570,infoTable__28[],4,FALSE),"")</f>
        <v/>
      </c>
      <c r="J1570" s="4" t="str">
        <f>IFERROR(VLOOKUP(B1570,infoTable__10[],4,FALSE),"")</f>
        <v/>
      </c>
      <c r="K1570" s="4" t="str">
        <f>IFERROR(VLOOKUP(B1570,infoTable__11[],4,FALSE),"")</f>
        <v/>
      </c>
      <c r="L1570" s="4" t="str">
        <f>IFERROR(VLOOKUP(B1570,infoTable__12[],4,FALSE),"")</f>
        <v/>
      </c>
      <c r="M1570" s="4" t="str">
        <f>IFERROR(VLOOKUP(B1570,infoTable__13[],4,FALSE),"")</f>
        <v/>
      </c>
      <c r="N1570" s="4" t="str">
        <f>IFERROR(VLOOKUP(B1570,infoTable__14[],4,FALSE),"")</f>
        <v/>
      </c>
      <c r="O1570" s="4" t="str">
        <f>IFERROR(VLOOKUP(B1570,infoTable__15[],4,FALSE),"")</f>
        <v/>
      </c>
      <c r="P1570" s="4">
        <f>IFERROR(VLOOKUP(B1570,infoTable__16[],4,FALSE),"")</f>
        <v>1346815</v>
      </c>
    </row>
    <row r="1571" spans="1:16" x14ac:dyDescent="0.55000000000000004">
      <c r="A1571" t="s">
        <v>65</v>
      </c>
      <c r="B1571" t="s">
        <v>66</v>
      </c>
      <c r="C1571" s="4" t="str">
        <f>IFERROR(VLOOKUP(B1571,infoTable10[],4,FALSE),"")</f>
        <v/>
      </c>
      <c r="D1571" s="4" t="str">
        <f>IFERROR(VLOOKUP(B1571,infoTable__2[],4,FALSE),"")</f>
        <v/>
      </c>
      <c r="E1571" s="4" t="str">
        <f>IFERROR(VLOOKUP(B1571,infoTable__3[],4,FALSE),"")</f>
        <v/>
      </c>
      <c r="F1571" s="4" t="str">
        <f>IFERROR(VLOOKUP(B1571,infoTable__4[],4,FALSE),"")</f>
        <v/>
      </c>
      <c r="G1571" s="4">
        <f>IFERROR(VLOOKUP(B1571,infoTable[],4,FALSE),"")</f>
        <v>685591</v>
      </c>
      <c r="H1571" s="4">
        <f>IFERROR(VLOOKUP(B1571,infoTable__6[],4,FALSE),"")</f>
        <v>202147</v>
      </c>
      <c r="I1571" s="4" t="str">
        <f>IFERROR(VLOOKUP(B1571,infoTable__28[],4,FALSE),"")</f>
        <v/>
      </c>
      <c r="J1571" s="4" t="str">
        <f>IFERROR(VLOOKUP(B1571,infoTable__10[],4,FALSE),"")</f>
        <v/>
      </c>
      <c r="K1571" s="4" t="str">
        <f>IFERROR(VLOOKUP(B1571,infoTable__11[],4,FALSE),"")</f>
        <v/>
      </c>
      <c r="L1571" s="4" t="str">
        <f>IFERROR(VLOOKUP(B1571,infoTable__12[],4,FALSE),"")</f>
        <v/>
      </c>
      <c r="M1571" s="4" t="str">
        <f>IFERROR(VLOOKUP(B1571,infoTable__13[],4,FALSE),"")</f>
        <v/>
      </c>
      <c r="N1571" s="4">
        <f>IFERROR(VLOOKUP(B1571,infoTable__14[],4,FALSE),"")</f>
        <v>3371298</v>
      </c>
      <c r="O1571" s="4">
        <f>IFERROR(VLOOKUP(B1571,infoTable__15[],4,FALSE),"")</f>
        <v>2860267</v>
      </c>
      <c r="P1571" s="4">
        <f>IFERROR(VLOOKUP(B1571,infoTable__16[],4,FALSE),"")</f>
        <v>2453108</v>
      </c>
    </row>
    <row r="1572" spans="1:16" x14ac:dyDescent="0.55000000000000004">
      <c r="A1572" t="s">
        <v>1835</v>
      </c>
      <c r="B1572" t="s">
        <v>1836</v>
      </c>
      <c r="C1572" s="4" t="str">
        <f>IFERROR(VLOOKUP(B1572,infoTable10[],4,FALSE),"")</f>
        <v/>
      </c>
      <c r="D1572" s="4" t="str">
        <f>IFERROR(VLOOKUP(B1572,infoTable__2[],4,FALSE),"")</f>
        <v/>
      </c>
      <c r="E1572" s="4" t="str">
        <f>IFERROR(VLOOKUP(B1572,infoTable__3[],4,FALSE),"")</f>
        <v/>
      </c>
      <c r="F1572" s="4" t="str">
        <f>IFERROR(VLOOKUP(B1572,infoTable__4[],4,FALSE),"")</f>
        <v/>
      </c>
      <c r="G1572" s="4" t="str">
        <f>IFERROR(VLOOKUP(B1572,infoTable[],4,FALSE),"")</f>
        <v/>
      </c>
      <c r="H1572" s="4" t="str">
        <f>IFERROR(VLOOKUP(B1572,infoTable__6[],4,FALSE),"")</f>
        <v/>
      </c>
      <c r="I1572" s="4" t="str">
        <f>IFERROR(VLOOKUP(B1572,infoTable__28[],4,FALSE),"")</f>
        <v/>
      </c>
      <c r="J1572" s="4" t="str">
        <f>IFERROR(VLOOKUP(B1572,infoTable__10[],4,FALSE),"")</f>
        <v/>
      </c>
      <c r="K1572" s="4">
        <f>IFERROR(VLOOKUP(B1572,infoTable__11[],4,FALSE),"")</f>
        <v>309751</v>
      </c>
      <c r="L1572" s="4" t="str">
        <f>IFERROR(VLOOKUP(B1572,infoTable__12[],4,FALSE),"")</f>
        <v/>
      </c>
      <c r="M1572" s="4" t="str">
        <f>IFERROR(VLOOKUP(B1572,infoTable__13[],4,FALSE),"")</f>
        <v/>
      </c>
      <c r="N1572" s="4" t="str">
        <f>IFERROR(VLOOKUP(B1572,infoTable__14[],4,FALSE),"")</f>
        <v/>
      </c>
      <c r="O1572" s="4" t="str">
        <f>IFERROR(VLOOKUP(B1572,infoTable__15[],4,FALSE),"")</f>
        <v/>
      </c>
      <c r="P1572" s="4">
        <f>IFERROR(VLOOKUP(B1572,infoTable__16[],4,FALSE),"")</f>
        <v>340861</v>
      </c>
    </row>
    <row r="1573" spans="1:16" x14ac:dyDescent="0.55000000000000004">
      <c r="A1573" t="s">
        <v>1138</v>
      </c>
      <c r="B1573" t="s">
        <v>1140</v>
      </c>
      <c r="C1573" s="4" t="str">
        <f>IFERROR(VLOOKUP(B1573,infoTable10[],4,FALSE),"")</f>
        <v/>
      </c>
      <c r="D1573" s="4" t="str">
        <f>IFERROR(VLOOKUP(B1573,infoTable__2[],4,FALSE),"")</f>
        <v/>
      </c>
      <c r="E1573" s="4" t="str">
        <f>IFERROR(VLOOKUP(B1573,infoTable__3[],4,FALSE),"")</f>
        <v/>
      </c>
      <c r="F1573" s="4" t="str">
        <f>IFERROR(VLOOKUP(B1573,infoTable__4[],4,FALSE),"")</f>
        <v/>
      </c>
      <c r="G1573" s="4" t="str">
        <f>IFERROR(VLOOKUP(B1573,infoTable[],4,FALSE),"")</f>
        <v/>
      </c>
      <c r="H1573" s="4" t="str">
        <f>IFERROR(VLOOKUP(B1573,infoTable__6[],4,FALSE),"")</f>
        <v/>
      </c>
      <c r="I1573" s="4">
        <f>IFERROR(VLOOKUP(B1573,infoTable__28[],4,FALSE),"")</f>
        <v>3721627</v>
      </c>
      <c r="J1573" s="4" t="str">
        <f>IFERROR(VLOOKUP(B1573,infoTable__10[],4,FALSE),"")</f>
        <v/>
      </c>
      <c r="K1573" s="4" t="str">
        <f>IFERROR(VLOOKUP(B1573,infoTable__11[],4,FALSE),"")</f>
        <v/>
      </c>
      <c r="L1573" s="4">
        <f>IFERROR(VLOOKUP(B1573,infoTable__12[],4,FALSE),"")</f>
        <v>407836</v>
      </c>
      <c r="M1573" s="4">
        <f>IFERROR(VLOOKUP(B1573,infoTable__13[],4,FALSE),"")</f>
        <v>2089540</v>
      </c>
      <c r="N1573" s="4">
        <f>IFERROR(VLOOKUP(B1573,infoTable__14[],4,FALSE),"")</f>
        <v>1512398</v>
      </c>
      <c r="O1573" s="4" t="str">
        <f>IFERROR(VLOOKUP(B1573,infoTable__15[],4,FALSE),"")</f>
        <v/>
      </c>
      <c r="P1573" s="4">
        <f>IFERROR(VLOOKUP(B1573,infoTable__16[],4,FALSE),"")</f>
        <v>1201043</v>
      </c>
    </row>
    <row r="1574" spans="1:16" x14ac:dyDescent="0.55000000000000004">
      <c r="A1574" t="s">
        <v>532</v>
      </c>
      <c r="B1574" t="s">
        <v>533</v>
      </c>
      <c r="C1574" s="4" t="str">
        <f>IFERROR(VLOOKUP(B1574,infoTable10[],4,FALSE),"")</f>
        <v/>
      </c>
      <c r="D1574" s="4">
        <f>IFERROR(VLOOKUP(B1574,infoTable__2[],4,FALSE),"")</f>
        <v>1633846</v>
      </c>
      <c r="E1574" s="4">
        <f>IFERROR(VLOOKUP(B1574,infoTable__3[],4,FALSE),"")</f>
        <v>3827612</v>
      </c>
      <c r="F1574" s="4">
        <f>IFERROR(VLOOKUP(B1574,infoTable__4[],4,FALSE),"")</f>
        <v>353126</v>
      </c>
      <c r="G1574" s="4" t="str">
        <f>IFERROR(VLOOKUP(B1574,infoTable[],4,FALSE),"")</f>
        <v/>
      </c>
      <c r="H1574" s="4" t="str">
        <f>IFERROR(VLOOKUP(B1574,infoTable__6[],4,FALSE),"")</f>
        <v/>
      </c>
      <c r="I1574" s="4" t="str">
        <f>IFERROR(VLOOKUP(B1574,infoTable__28[],4,FALSE),"")</f>
        <v/>
      </c>
      <c r="J1574" s="4" t="str">
        <f>IFERROR(VLOOKUP(B1574,infoTable__10[],4,FALSE),"")</f>
        <v/>
      </c>
      <c r="K1574" s="4" t="str">
        <f>IFERROR(VLOOKUP(B1574,infoTable__11[],4,FALSE),"")</f>
        <v/>
      </c>
      <c r="L1574" s="4" t="str">
        <f>IFERROR(VLOOKUP(B1574,infoTable__12[],4,FALSE),"")</f>
        <v/>
      </c>
      <c r="M1574" s="4" t="str">
        <f>IFERROR(VLOOKUP(B1574,infoTable__13[],4,FALSE),"")</f>
        <v/>
      </c>
      <c r="N1574" s="4" t="str">
        <f>IFERROR(VLOOKUP(B1574,infoTable__14[],4,FALSE),"")</f>
        <v/>
      </c>
      <c r="O1574" s="4">
        <f>IFERROR(VLOOKUP(B1574,infoTable__15[],4,FALSE),"")</f>
        <v>229569</v>
      </c>
      <c r="P1574" s="4">
        <f>IFERROR(VLOOKUP(B1574,infoTable__16[],4,FALSE),"")</f>
        <v>1884770</v>
      </c>
    </row>
    <row r="1575" spans="1:16" x14ac:dyDescent="0.55000000000000004">
      <c r="A1575" t="s">
        <v>1487</v>
      </c>
      <c r="B1575" t="s">
        <v>1489</v>
      </c>
      <c r="C1575" s="4">
        <f>IFERROR(VLOOKUP(B1575,infoTable10[],4,FALSE),"")</f>
        <v>1109442</v>
      </c>
      <c r="D1575" s="4" t="str">
        <f>IFERROR(VLOOKUP(B1575,infoTable__2[],4,FALSE),"")</f>
        <v/>
      </c>
      <c r="E1575" s="4" t="str">
        <f>IFERROR(VLOOKUP(B1575,infoTable__3[],4,FALSE),"")</f>
        <v/>
      </c>
      <c r="F1575" s="4" t="str">
        <f>IFERROR(VLOOKUP(B1575,infoTable__4[],4,FALSE),"")</f>
        <v/>
      </c>
      <c r="G1575" s="4" t="str">
        <f>IFERROR(VLOOKUP(B1575,infoTable[],4,FALSE),"")</f>
        <v/>
      </c>
      <c r="H1575" s="4" t="str">
        <f>IFERROR(VLOOKUP(B1575,infoTable__6[],4,FALSE),"")</f>
        <v/>
      </c>
      <c r="I1575" s="4" t="str">
        <f>IFERROR(VLOOKUP(B1575,infoTable__28[],4,FALSE),"")</f>
        <v/>
      </c>
      <c r="J1575" s="4" t="str">
        <f>IFERROR(VLOOKUP(B1575,infoTable__10[],4,FALSE),"")</f>
        <v/>
      </c>
      <c r="K1575" s="4" t="str">
        <f>IFERROR(VLOOKUP(B1575,infoTable__11[],4,FALSE),"")</f>
        <v/>
      </c>
      <c r="L1575" s="4" t="str">
        <f>IFERROR(VLOOKUP(B1575,infoTable__12[],4,FALSE),"")</f>
        <v/>
      </c>
      <c r="M1575" s="4" t="str">
        <f>IFERROR(VLOOKUP(B1575,infoTable__13[],4,FALSE),"")</f>
        <v/>
      </c>
      <c r="N1575" s="4" t="str">
        <f>IFERROR(VLOOKUP(B1575,infoTable__14[],4,FALSE),"")</f>
        <v/>
      </c>
      <c r="O1575" s="4" t="str">
        <f>IFERROR(VLOOKUP(B1575,infoTable__15[],4,FALSE),"")</f>
        <v/>
      </c>
      <c r="P1575" s="4" t="str">
        <f>IFERROR(VLOOKUP(B1575,infoTable__16[],4,FALSE),"")</f>
        <v/>
      </c>
    </row>
    <row r="1576" spans="1:16" x14ac:dyDescent="0.55000000000000004">
      <c r="A1576" t="s">
        <v>2434</v>
      </c>
      <c r="B1576" t="s">
        <v>2435</v>
      </c>
      <c r="C1576" s="4" t="str">
        <f>IFERROR(VLOOKUP(B1576,infoTable10[],4,FALSE),"")</f>
        <v/>
      </c>
      <c r="D1576" s="4" t="str">
        <f>IFERROR(VLOOKUP(B1576,infoTable__2[],4,FALSE),"")</f>
        <v/>
      </c>
      <c r="E1576" s="4" t="str">
        <f>IFERROR(VLOOKUP(B1576,infoTable__3[],4,FALSE),"")</f>
        <v/>
      </c>
      <c r="F1576" s="4" t="str">
        <f>IFERROR(VLOOKUP(B1576,infoTable__4[],4,FALSE),"")</f>
        <v/>
      </c>
      <c r="G1576" s="4" t="str">
        <f>IFERROR(VLOOKUP(B1576,infoTable[],4,FALSE),"")</f>
        <v/>
      </c>
      <c r="H1576" s="4" t="str">
        <f>IFERROR(VLOOKUP(B1576,infoTable__6[],4,FALSE),"")</f>
        <v/>
      </c>
      <c r="I1576" s="4" t="str">
        <f>IFERROR(VLOOKUP(B1576,infoTable__28[],4,FALSE),"")</f>
        <v/>
      </c>
      <c r="J1576" s="4" t="str">
        <f>IFERROR(VLOOKUP(B1576,infoTable__10[],4,FALSE),"")</f>
        <v/>
      </c>
      <c r="K1576" s="4" t="str">
        <f>IFERROR(VLOOKUP(B1576,infoTable__11[],4,FALSE),"")</f>
        <v/>
      </c>
      <c r="L1576" s="4" t="str">
        <f>IFERROR(VLOOKUP(B1576,infoTable__12[],4,FALSE),"")</f>
        <v/>
      </c>
      <c r="M1576" s="4">
        <f>IFERROR(VLOOKUP(B1576,infoTable__13[],4,FALSE),"")</f>
        <v>358367</v>
      </c>
      <c r="N1576" s="4" t="str">
        <f>IFERROR(VLOOKUP(B1576,infoTable__14[],4,FALSE),"")</f>
        <v/>
      </c>
      <c r="O1576" s="4" t="str">
        <f>IFERROR(VLOOKUP(B1576,infoTable__15[],4,FALSE),"")</f>
        <v/>
      </c>
      <c r="P1576" s="4" t="str">
        <f>IFERROR(VLOOKUP(B1576,infoTable__16[],4,FALSE),"")</f>
        <v/>
      </c>
    </row>
    <row r="1577" spans="1:16" x14ac:dyDescent="0.55000000000000004">
      <c r="A1577" t="s">
        <v>2441</v>
      </c>
      <c r="B1577" t="s">
        <v>2442</v>
      </c>
      <c r="C1577" s="4" t="str">
        <f>IFERROR(VLOOKUP(B1577,infoTable10[],4,FALSE),"")</f>
        <v/>
      </c>
      <c r="D1577" s="4" t="str">
        <f>IFERROR(VLOOKUP(B1577,infoTable__2[],4,FALSE),"")</f>
        <v/>
      </c>
      <c r="E1577" s="4" t="str">
        <f>IFERROR(VLOOKUP(B1577,infoTable__3[],4,FALSE),"")</f>
        <v/>
      </c>
      <c r="F1577" s="4" t="str">
        <f>IFERROR(VLOOKUP(B1577,infoTable__4[],4,FALSE),"")</f>
        <v/>
      </c>
      <c r="G1577" s="4" t="str">
        <f>IFERROR(VLOOKUP(B1577,infoTable[],4,FALSE),"")</f>
        <v/>
      </c>
      <c r="H1577" s="4" t="str">
        <f>IFERROR(VLOOKUP(B1577,infoTable__6[],4,FALSE),"")</f>
        <v/>
      </c>
      <c r="I1577" s="4" t="str">
        <f>IFERROR(VLOOKUP(B1577,infoTable__28[],4,FALSE),"")</f>
        <v/>
      </c>
      <c r="J1577" s="4" t="str">
        <f>IFERROR(VLOOKUP(B1577,infoTable__10[],4,FALSE),"")</f>
        <v/>
      </c>
      <c r="K1577" s="4" t="str">
        <f>IFERROR(VLOOKUP(B1577,infoTable__11[],4,FALSE),"")</f>
        <v/>
      </c>
      <c r="L1577" s="4" t="str">
        <f>IFERROR(VLOOKUP(B1577,infoTable__12[],4,FALSE),"")</f>
        <v/>
      </c>
      <c r="M1577" s="4">
        <f>IFERROR(VLOOKUP(B1577,infoTable__13[],4,FALSE),"")</f>
        <v>253287</v>
      </c>
      <c r="N1577" s="4" t="str">
        <f>IFERROR(VLOOKUP(B1577,infoTable__14[],4,FALSE),"")</f>
        <v/>
      </c>
      <c r="O1577" s="4" t="str">
        <f>IFERROR(VLOOKUP(B1577,infoTable__15[],4,FALSE),"")</f>
        <v/>
      </c>
      <c r="P1577" s="4" t="str">
        <f>IFERROR(VLOOKUP(B1577,infoTable__16[],4,FALSE),"")</f>
        <v/>
      </c>
    </row>
    <row r="1578" spans="1:16" x14ac:dyDescent="0.55000000000000004">
      <c r="A1578" t="s">
        <v>137</v>
      </c>
      <c r="B1578" t="s">
        <v>139</v>
      </c>
      <c r="C1578" s="4" t="str">
        <f>IFERROR(VLOOKUP(B1578,infoTable10[],4,FALSE),"")</f>
        <v/>
      </c>
      <c r="D1578" s="4" t="str">
        <f>IFERROR(VLOOKUP(B1578,infoTable__2[],4,FALSE),"")</f>
        <v/>
      </c>
      <c r="E1578" s="4" t="str">
        <f>IFERROR(VLOOKUP(B1578,infoTable__3[],4,FALSE),"")</f>
        <v/>
      </c>
      <c r="F1578" s="4" t="str">
        <f>IFERROR(VLOOKUP(B1578,infoTable__4[],4,FALSE),"")</f>
        <v/>
      </c>
      <c r="G1578" s="4">
        <f>IFERROR(VLOOKUP(B1578,infoTable[],4,FALSE),"")</f>
        <v>1354645</v>
      </c>
      <c r="H1578" s="4">
        <f>IFERROR(VLOOKUP(B1578,infoTable__6[],4,FALSE),"")</f>
        <v>3572740</v>
      </c>
      <c r="I1578" s="4">
        <f>IFERROR(VLOOKUP(B1578,infoTable__28[],4,FALSE),"")</f>
        <v>3292247</v>
      </c>
      <c r="J1578" s="4">
        <f>IFERROR(VLOOKUP(B1578,infoTable__10[],4,FALSE),"")</f>
        <v>3818461</v>
      </c>
      <c r="K1578" s="4">
        <f>IFERROR(VLOOKUP(B1578,infoTable__11[],4,FALSE),"")</f>
        <v>1036042</v>
      </c>
      <c r="L1578" s="4">
        <f>IFERROR(VLOOKUP(B1578,infoTable__12[],4,FALSE),"")</f>
        <v>252847</v>
      </c>
      <c r="M1578" s="4">
        <f>IFERROR(VLOOKUP(B1578,infoTable__13[],4,FALSE),"")</f>
        <v>1096173</v>
      </c>
      <c r="N1578" s="4">
        <f>IFERROR(VLOOKUP(B1578,infoTable__14[],4,FALSE),"")</f>
        <v>1137068</v>
      </c>
      <c r="O1578" s="4" t="str">
        <f>IFERROR(VLOOKUP(B1578,infoTable__15[],4,FALSE),"")</f>
        <v/>
      </c>
      <c r="P1578" s="4" t="str">
        <f>IFERROR(VLOOKUP(B1578,infoTable__16[],4,FALSE),"")</f>
        <v/>
      </c>
    </row>
    <row r="1579" spans="1:16" x14ac:dyDescent="0.55000000000000004">
      <c r="A1579" t="s">
        <v>3327</v>
      </c>
      <c r="B1579" t="s">
        <v>3328</v>
      </c>
      <c r="C1579" s="4" t="str">
        <f>IFERROR(VLOOKUP(B1579,infoTable10[],4,FALSE),"")</f>
        <v/>
      </c>
      <c r="D1579" s="4" t="str">
        <f>IFERROR(VLOOKUP(B1579,infoTable__2[],4,FALSE),"")</f>
        <v/>
      </c>
      <c r="E1579" s="4" t="str">
        <f>IFERROR(VLOOKUP(B1579,infoTable__3[],4,FALSE),"")</f>
        <v/>
      </c>
      <c r="F1579" s="4" t="str">
        <f>IFERROR(VLOOKUP(B1579,infoTable__4[],4,FALSE),"")</f>
        <v/>
      </c>
      <c r="G1579" s="4" t="str">
        <f>IFERROR(VLOOKUP(B1579,infoTable[],4,FALSE),"")</f>
        <v/>
      </c>
      <c r="H1579" s="4" t="str">
        <f>IFERROR(VLOOKUP(B1579,infoTable__6[],4,FALSE),"")</f>
        <v/>
      </c>
      <c r="I1579" s="4" t="str">
        <f>IFERROR(VLOOKUP(B1579,infoTable__28[],4,FALSE),"")</f>
        <v/>
      </c>
      <c r="J1579" s="4" t="str">
        <f>IFERROR(VLOOKUP(B1579,infoTable__10[],4,FALSE),"")</f>
        <v/>
      </c>
      <c r="K1579" s="4" t="str">
        <f>IFERROR(VLOOKUP(B1579,infoTable__11[],4,FALSE),"")</f>
        <v/>
      </c>
      <c r="L1579" s="4" t="str">
        <f>IFERROR(VLOOKUP(B1579,infoTable__12[],4,FALSE),"")</f>
        <v/>
      </c>
      <c r="M1579" s="4" t="str">
        <f>IFERROR(VLOOKUP(B1579,infoTable__13[],4,FALSE),"")</f>
        <v/>
      </c>
      <c r="N1579" s="4" t="str">
        <f>IFERROR(VLOOKUP(B1579,infoTable__14[],4,FALSE),"")</f>
        <v/>
      </c>
      <c r="O1579" s="4" t="str">
        <f>IFERROR(VLOOKUP(B1579,infoTable__15[],4,FALSE),"")</f>
        <v/>
      </c>
      <c r="P1579" s="4">
        <f>IFERROR(VLOOKUP(B1579,infoTable__16[],4,FALSE),"")</f>
        <v>606833</v>
      </c>
    </row>
    <row r="1580" spans="1:16" x14ac:dyDescent="0.55000000000000004">
      <c r="A1580" t="s">
        <v>1879</v>
      </c>
      <c r="B1580" t="s">
        <v>1880</v>
      </c>
      <c r="C1580" s="4" t="str">
        <f>IFERROR(VLOOKUP(B1580,infoTable10[],4,FALSE),"")</f>
        <v/>
      </c>
      <c r="D1580" s="4" t="str">
        <f>IFERROR(VLOOKUP(B1580,infoTable__2[],4,FALSE),"")</f>
        <v/>
      </c>
      <c r="E1580" s="4" t="str">
        <f>IFERROR(VLOOKUP(B1580,infoTable__3[],4,FALSE),"")</f>
        <v/>
      </c>
      <c r="F1580" s="4" t="str">
        <f>IFERROR(VLOOKUP(B1580,infoTable__4[],4,FALSE),"")</f>
        <v/>
      </c>
      <c r="G1580" s="4" t="str">
        <f>IFERROR(VLOOKUP(B1580,infoTable[],4,FALSE),"")</f>
        <v/>
      </c>
      <c r="H1580" s="4" t="str">
        <f>IFERROR(VLOOKUP(B1580,infoTable__6[],4,FALSE),"")</f>
        <v/>
      </c>
      <c r="I1580" s="4" t="str">
        <f>IFERROR(VLOOKUP(B1580,infoTable__28[],4,FALSE),"")</f>
        <v/>
      </c>
      <c r="J1580" s="4" t="str">
        <f>IFERROR(VLOOKUP(B1580,infoTable__10[],4,FALSE),"")</f>
        <v/>
      </c>
      <c r="K1580" s="4">
        <f>IFERROR(VLOOKUP(B1580,infoTable__11[],4,FALSE),"")</f>
        <v>870660</v>
      </c>
      <c r="L1580" s="4">
        <f>IFERROR(VLOOKUP(B1580,infoTable__12[],4,FALSE),"")</f>
        <v>1257495</v>
      </c>
      <c r="M1580" s="4">
        <f>IFERROR(VLOOKUP(B1580,infoTable__13[],4,FALSE),"")</f>
        <v>2514849</v>
      </c>
      <c r="N1580" s="4">
        <f>IFERROR(VLOOKUP(B1580,infoTable__14[],4,FALSE),"")</f>
        <v>1740224</v>
      </c>
      <c r="O1580" s="4" t="str">
        <f>IFERROR(VLOOKUP(B1580,infoTable__15[],4,FALSE),"")</f>
        <v/>
      </c>
      <c r="P1580" s="4" t="str">
        <f>IFERROR(VLOOKUP(B1580,infoTable__16[],4,FALSE),"")</f>
        <v/>
      </c>
    </row>
    <row r="1581" spans="1:16" x14ac:dyDescent="0.55000000000000004">
      <c r="A1581" t="s">
        <v>3042</v>
      </c>
      <c r="B1581" t="s">
        <v>3043</v>
      </c>
      <c r="C1581" s="4" t="str">
        <f>IFERROR(VLOOKUP(B1581,infoTable10[],4,FALSE),"")</f>
        <v/>
      </c>
      <c r="D1581" s="4" t="str">
        <f>IFERROR(VLOOKUP(B1581,infoTable__2[],4,FALSE),"")</f>
        <v/>
      </c>
      <c r="E1581" s="4" t="str">
        <f>IFERROR(VLOOKUP(B1581,infoTable__3[],4,FALSE),"")</f>
        <v/>
      </c>
      <c r="F1581" s="4" t="str">
        <f>IFERROR(VLOOKUP(B1581,infoTable__4[],4,FALSE),"")</f>
        <v/>
      </c>
      <c r="G1581" s="4" t="str">
        <f>IFERROR(VLOOKUP(B1581,infoTable[],4,FALSE),"")</f>
        <v/>
      </c>
      <c r="H1581" s="4" t="str">
        <f>IFERROR(VLOOKUP(B1581,infoTable__6[],4,FALSE),"")</f>
        <v/>
      </c>
      <c r="I1581" s="4" t="str">
        <f>IFERROR(VLOOKUP(B1581,infoTable__28[],4,FALSE),"")</f>
        <v/>
      </c>
      <c r="J1581" s="4" t="str">
        <f>IFERROR(VLOOKUP(B1581,infoTable__10[],4,FALSE),"")</f>
        <v/>
      </c>
      <c r="K1581" s="4" t="str">
        <f>IFERROR(VLOOKUP(B1581,infoTable__11[],4,FALSE),"")</f>
        <v/>
      </c>
      <c r="L1581" s="4" t="str">
        <f>IFERROR(VLOOKUP(B1581,infoTable__12[],4,FALSE),"")</f>
        <v/>
      </c>
      <c r="M1581" s="4" t="str">
        <f>IFERROR(VLOOKUP(B1581,infoTable__13[],4,FALSE),"")</f>
        <v/>
      </c>
      <c r="N1581" s="4" t="str">
        <f>IFERROR(VLOOKUP(B1581,infoTable__14[],4,FALSE),"")</f>
        <v/>
      </c>
      <c r="O1581" s="4">
        <f>IFERROR(VLOOKUP(B1581,infoTable__15[],4,FALSE),"")</f>
        <v>1002669</v>
      </c>
      <c r="P1581" s="4" t="str">
        <f>IFERROR(VLOOKUP(B1581,infoTable__16[],4,FALSE),"")</f>
        <v/>
      </c>
    </row>
    <row r="1582" spans="1:16" x14ac:dyDescent="0.55000000000000004">
      <c r="A1582" t="s">
        <v>2925</v>
      </c>
      <c r="B1582" t="s">
        <v>2924</v>
      </c>
      <c r="C1582" s="4" t="str">
        <f>IFERROR(VLOOKUP(B1582,infoTable10[],4,FALSE),"")</f>
        <v/>
      </c>
      <c r="D1582" s="4" t="str">
        <f>IFERROR(VLOOKUP(B1582,infoTable__2[],4,FALSE),"")</f>
        <v/>
      </c>
      <c r="E1582" s="4" t="str">
        <f>IFERROR(VLOOKUP(B1582,infoTable__3[],4,FALSE),"")</f>
        <v/>
      </c>
      <c r="F1582" s="4" t="str">
        <f>IFERROR(VLOOKUP(B1582,infoTable__4[],4,FALSE),"")</f>
        <v/>
      </c>
      <c r="G1582" s="4" t="str">
        <f>IFERROR(VLOOKUP(B1582,infoTable[],4,FALSE),"")</f>
        <v/>
      </c>
      <c r="H1582" s="4" t="str">
        <f>IFERROR(VLOOKUP(B1582,infoTable__6[],4,FALSE),"")</f>
        <v/>
      </c>
      <c r="I1582" s="4" t="str">
        <f>IFERROR(VLOOKUP(B1582,infoTable__28[],4,FALSE),"")</f>
        <v/>
      </c>
      <c r="J1582" s="4" t="str">
        <f>IFERROR(VLOOKUP(B1582,infoTable__10[],4,FALSE),"")</f>
        <v/>
      </c>
      <c r="K1582" s="4" t="str">
        <f>IFERROR(VLOOKUP(B1582,infoTable__11[],4,FALSE),"")</f>
        <v/>
      </c>
      <c r="L1582" s="4" t="str">
        <f>IFERROR(VLOOKUP(B1582,infoTable__12[],4,FALSE),"")</f>
        <v/>
      </c>
      <c r="M1582" s="4" t="str">
        <f>IFERROR(VLOOKUP(B1582,infoTable__13[],4,FALSE),"")</f>
        <v/>
      </c>
      <c r="N1582" s="4">
        <f>IFERROR(VLOOKUP(B1582,infoTable__14[],4,FALSE),"")</f>
        <v>532862</v>
      </c>
      <c r="O1582" s="4" t="str">
        <f>IFERROR(VLOOKUP(B1582,infoTable__15[],4,FALSE),"")</f>
        <v/>
      </c>
      <c r="P1582" s="4" t="str">
        <f>IFERROR(VLOOKUP(B1582,infoTable__16[],4,FALSE),"")</f>
        <v/>
      </c>
    </row>
    <row r="1583" spans="1:16" x14ac:dyDescent="0.55000000000000004">
      <c r="A1583" t="s">
        <v>1237</v>
      </c>
      <c r="B1583" t="s">
        <v>1238</v>
      </c>
      <c r="C1583" s="4" t="str">
        <f>IFERROR(VLOOKUP(B1583,infoTable10[],4,FALSE),"")</f>
        <v/>
      </c>
      <c r="D1583" s="4" t="str">
        <f>IFERROR(VLOOKUP(B1583,infoTable__2[],4,FALSE),"")</f>
        <v/>
      </c>
      <c r="E1583" s="4" t="str">
        <f>IFERROR(VLOOKUP(B1583,infoTable__3[],4,FALSE),"")</f>
        <v/>
      </c>
      <c r="F1583" s="4" t="str">
        <f>IFERROR(VLOOKUP(B1583,infoTable__4[],4,FALSE),"")</f>
        <v/>
      </c>
      <c r="G1583" s="4" t="str">
        <f>IFERROR(VLOOKUP(B1583,infoTable[],4,FALSE),"")</f>
        <v/>
      </c>
      <c r="H1583" s="4" t="str">
        <f>IFERROR(VLOOKUP(B1583,infoTable__6[],4,FALSE),"")</f>
        <v/>
      </c>
      <c r="I1583" s="4">
        <f>IFERROR(VLOOKUP(B1583,infoTable__28[],4,FALSE),"")</f>
        <v>498597</v>
      </c>
      <c r="J1583" s="4" t="str">
        <f>IFERROR(VLOOKUP(B1583,infoTable__10[],4,FALSE),"")</f>
        <v/>
      </c>
      <c r="K1583" s="4" t="str">
        <f>IFERROR(VLOOKUP(B1583,infoTable__11[],4,FALSE),"")</f>
        <v/>
      </c>
      <c r="L1583" s="4" t="str">
        <f>IFERROR(VLOOKUP(B1583,infoTable__12[],4,FALSE),"")</f>
        <v/>
      </c>
      <c r="M1583" s="4" t="str">
        <f>IFERROR(VLOOKUP(B1583,infoTable__13[],4,FALSE),"")</f>
        <v/>
      </c>
      <c r="N1583" s="4" t="str">
        <f>IFERROR(VLOOKUP(B1583,infoTable__14[],4,FALSE),"")</f>
        <v/>
      </c>
      <c r="O1583" s="4" t="str">
        <f>IFERROR(VLOOKUP(B1583,infoTable__15[],4,FALSE),"")</f>
        <v/>
      </c>
      <c r="P1583" s="4" t="str">
        <f>IFERROR(VLOOKUP(B1583,infoTable__16[],4,FALSE),"")</f>
        <v/>
      </c>
    </row>
    <row r="1584" spans="1:16" x14ac:dyDescent="0.55000000000000004">
      <c r="A1584" t="s">
        <v>1885</v>
      </c>
      <c r="B1584" t="s">
        <v>1886</v>
      </c>
      <c r="C1584" s="4" t="str">
        <f>IFERROR(VLOOKUP(B1584,infoTable10[],4,FALSE),"")</f>
        <v/>
      </c>
      <c r="D1584" s="4" t="str">
        <f>IFERROR(VLOOKUP(B1584,infoTable__2[],4,FALSE),"")</f>
        <v/>
      </c>
      <c r="E1584" s="4" t="str">
        <f>IFERROR(VLOOKUP(B1584,infoTable__3[],4,FALSE),"")</f>
        <v/>
      </c>
      <c r="F1584" s="4" t="str">
        <f>IFERROR(VLOOKUP(B1584,infoTable__4[],4,FALSE),"")</f>
        <v/>
      </c>
      <c r="G1584" s="4" t="str">
        <f>IFERROR(VLOOKUP(B1584,infoTable[],4,FALSE),"")</f>
        <v/>
      </c>
      <c r="H1584" s="4" t="str">
        <f>IFERROR(VLOOKUP(B1584,infoTable__6[],4,FALSE),"")</f>
        <v/>
      </c>
      <c r="I1584" s="4" t="str">
        <f>IFERROR(VLOOKUP(B1584,infoTable__28[],4,FALSE),"")</f>
        <v/>
      </c>
      <c r="J1584" s="4" t="str">
        <f>IFERROR(VLOOKUP(B1584,infoTable__10[],4,FALSE),"")</f>
        <v/>
      </c>
      <c r="K1584" s="4">
        <f>IFERROR(VLOOKUP(B1584,infoTable__11[],4,FALSE),"")</f>
        <v>4936343</v>
      </c>
      <c r="L1584" s="4">
        <f>IFERROR(VLOOKUP(B1584,infoTable__12[],4,FALSE),"")</f>
        <v>6606429</v>
      </c>
      <c r="M1584" s="4">
        <f>IFERROR(VLOOKUP(B1584,infoTable__13[],4,FALSE),"")</f>
        <v>1344447</v>
      </c>
      <c r="N1584" s="4">
        <f>IFERROR(VLOOKUP(B1584,infoTable__14[],4,FALSE),"")</f>
        <v>1326671</v>
      </c>
      <c r="O1584" s="4">
        <f>IFERROR(VLOOKUP(B1584,infoTable__15[],4,FALSE),"")</f>
        <v>322722</v>
      </c>
      <c r="P1584" s="4">
        <f>IFERROR(VLOOKUP(B1584,infoTable__16[],4,FALSE),"")</f>
        <v>482757</v>
      </c>
    </row>
    <row r="1585" spans="1:16" x14ac:dyDescent="0.55000000000000004">
      <c r="A1585" t="s">
        <v>1889</v>
      </c>
      <c r="B1585" t="s">
        <v>1890</v>
      </c>
      <c r="C1585" s="4" t="str">
        <f>IFERROR(VLOOKUP(B1585,infoTable10[],4,FALSE),"")</f>
        <v/>
      </c>
      <c r="D1585" s="4" t="str">
        <f>IFERROR(VLOOKUP(B1585,infoTable__2[],4,FALSE),"")</f>
        <v/>
      </c>
      <c r="E1585" s="4" t="str">
        <f>IFERROR(VLOOKUP(B1585,infoTable__3[],4,FALSE),"")</f>
        <v/>
      </c>
      <c r="F1585" s="4" t="str">
        <f>IFERROR(VLOOKUP(B1585,infoTable__4[],4,FALSE),"")</f>
        <v/>
      </c>
      <c r="G1585" s="4" t="str">
        <f>IFERROR(VLOOKUP(B1585,infoTable[],4,FALSE),"")</f>
        <v/>
      </c>
      <c r="H1585" s="4" t="str">
        <f>IFERROR(VLOOKUP(B1585,infoTable__6[],4,FALSE),"")</f>
        <v/>
      </c>
      <c r="I1585" s="4" t="str">
        <f>IFERROR(VLOOKUP(B1585,infoTable__28[],4,FALSE),"")</f>
        <v/>
      </c>
      <c r="J1585" s="4" t="str">
        <f>IFERROR(VLOOKUP(B1585,infoTable__10[],4,FALSE),"")</f>
        <v/>
      </c>
      <c r="K1585" s="4">
        <f>IFERROR(VLOOKUP(B1585,infoTable__11[],4,FALSE),"")</f>
        <v>345304</v>
      </c>
      <c r="L1585" s="4">
        <f>IFERROR(VLOOKUP(B1585,infoTable__12[],4,FALSE),"")</f>
        <v>753494</v>
      </c>
      <c r="M1585" s="4" t="str">
        <f>IFERROR(VLOOKUP(B1585,infoTable__13[],4,FALSE),"")</f>
        <v/>
      </c>
      <c r="N1585" s="4" t="str">
        <f>IFERROR(VLOOKUP(B1585,infoTable__14[],4,FALSE),"")</f>
        <v/>
      </c>
      <c r="O1585" s="4" t="str">
        <f>IFERROR(VLOOKUP(B1585,infoTable__15[],4,FALSE),"")</f>
        <v/>
      </c>
      <c r="P1585" s="4" t="str">
        <f>IFERROR(VLOOKUP(B1585,infoTable__16[],4,FALSE),"")</f>
        <v/>
      </c>
    </row>
    <row r="1586" spans="1:16" x14ac:dyDescent="0.55000000000000004">
      <c r="A1586" t="s">
        <v>1502</v>
      </c>
      <c r="B1586" t="s">
        <v>1503</v>
      </c>
      <c r="C1586" s="4">
        <f>IFERROR(VLOOKUP(B1586,infoTable10[],4,FALSE),"")</f>
        <v>3208092</v>
      </c>
      <c r="D1586" s="4" t="str">
        <f>IFERROR(VLOOKUP(B1586,infoTable__2[],4,FALSE),"")</f>
        <v/>
      </c>
      <c r="E1586" s="4" t="str">
        <f>IFERROR(VLOOKUP(B1586,infoTable__3[],4,FALSE),"")</f>
        <v/>
      </c>
      <c r="F1586" s="4" t="str">
        <f>IFERROR(VLOOKUP(B1586,infoTable__4[],4,FALSE),"")</f>
        <v/>
      </c>
      <c r="G1586" s="4" t="str">
        <f>IFERROR(VLOOKUP(B1586,infoTable[],4,FALSE),"")</f>
        <v/>
      </c>
      <c r="H1586" s="4" t="str">
        <f>IFERROR(VLOOKUP(B1586,infoTable__6[],4,FALSE),"")</f>
        <v/>
      </c>
      <c r="I1586" s="4" t="str">
        <f>IFERROR(VLOOKUP(B1586,infoTable__28[],4,FALSE),"")</f>
        <v/>
      </c>
      <c r="J1586" s="4" t="str">
        <f>IFERROR(VLOOKUP(B1586,infoTable__10[],4,FALSE),"")</f>
        <v/>
      </c>
      <c r="K1586" s="4" t="str">
        <f>IFERROR(VLOOKUP(B1586,infoTable__11[],4,FALSE),"")</f>
        <v/>
      </c>
      <c r="L1586" s="4" t="str">
        <f>IFERROR(VLOOKUP(B1586,infoTable__12[],4,FALSE),"")</f>
        <v/>
      </c>
      <c r="M1586" s="4" t="str">
        <f>IFERROR(VLOOKUP(B1586,infoTable__13[],4,FALSE),"")</f>
        <v/>
      </c>
      <c r="N1586" s="4" t="str">
        <f>IFERROR(VLOOKUP(B1586,infoTable__14[],4,FALSE),"")</f>
        <v/>
      </c>
      <c r="O1586" s="4" t="str">
        <f>IFERROR(VLOOKUP(B1586,infoTable__15[],4,FALSE),"")</f>
        <v/>
      </c>
      <c r="P1586" s="4" t="str">
        <f>IFERROR(VLOOKUP(B1586,infoTable__16[],4,FALSE),"")</f>
        <v/>
      </c>
    </row>
    <row r="1587" spans="1:16" x14ac:dyDescent="0.55000000000000004">
      <c r="A1587" t="s">
        <v>1265</v>
      </c>
      <c r="B1587" t="s">
        <v>1267</v>
      </c>
      <c r="C1587" s="4" t="str">
        <f>IFERROR(VLOOKUP(B1587,infoTable10[],4,FALSE),"")</f>
        <v/>
      </c>
      <c r="D1587" s="4" t="str">
        <f>IFERROR(VLOOKUP(B1587,infoTable__2[],4,FALSE),"")</f>
        <v/>
      </c>
      <c r="E1587" s="4" t="str">
        <f>IFERROR(VLOOKUP(B1587,infoTable__3[],4,FALSE),"")</f>
        <v/>
      </c>
      <c r="F1587" s="4" t="str">
        <f>IFERROR(VLOOKUP(B1587,infoTable__4[],4,FALSE),"")</f>
        <v/>
      </c>
      <c r="G1587" s="4" t="str">
        <f>IFERROR(VLOOKUP(B1587,infoTable[],4,FALSE),"")</f>
        <v/>
      </c>
      <c r="H1587" s="4" t="str">
        <f>IFERROR(VLOOKUP(B1587,infoTable__6[],4,FALSE),"")</f>
        <v/>
      </c>
      <c r="I1587" s="4">
        <f>IFERROR(VLOOKUP(B1587,infoTable__28[],4,FALSE),"")</f>
        <v>302877</v>
      </c>
      <c r="J1587" s="4">
        <f>IFERROR(VLOOKUP(B1587,infoTable__10[],4,FALSE),"")</f>
        <v>125865</v>
      </c>
      <c r="K1587" s="4">
        <f>IFERROR(VLOOKUP(B1587,infoTable__11[],4,FALSE),"")</f>
        <v>315736</v>
      </c>
      <c r="L1587" s="4">
        <f>IFERROR(VLOOKUP(B1587,infoTable__12[],4,FALSE),"")</f>
        <v>431044</v>
      </c>
      <c r="M1587" s="4">
        <f>IFERROR(VLOOKUP(B1587,infoTable__13[],4,FALSE),"")</f>
        <v>381811</v>
      </c>
      <c r="N1587" s="4" t="str">
        <f>IFERROR(VLOOKUP(B1587,infoTable__14[],4,FALSE),"")</f>
        <v/>
      </c>
      <c r="O1587" s="4" t="str">
        <f>IFERROR(VLOOKUP(B1587,infoTable__15[],4,FALSE),"")</f>
        <v/>
      </c>
      <c r="P1587" s="4" t="str">
        <f>IFERROR(VLOOKUP(B1587,infoTable__16[],4,FALSE),"")</f>
        <v/>
      </c>
    </row>
    <row r="1588" spans="1:16" x14ac:dyDescent="0.55000000000000004">
      <c r="A1588" t="s">
        <v>2209</v>
      </c>
      <c r="B1588" t="s">
        <v>2211</v>
      </c>
      <c r="C1588" s="4" t="str">
        <f>IFERROR(VLOOKUP(B1588,infoTable10[],4,FALSE),"")</f>
        <v/>
      </c>
      <c r="D1588" s="4" t="str">
        <f>IFERROR(VLOOKUP(B1588,infoTable__2[],4,FALSE),"")</f>
        <v/>
      </c>
      <c r="E1588" s="4" t="str">
        <f>IFERROR(VLOOKUP(B1588,infoTable__3[],4,FALSE),"")</f>
        <v/>
      </c>
      <c r="F1588" s="4" t="str">
        <f>IFERROR(VLOOKUP(B1588,infoTable__4[],4,FALSE),"")</f>
        <v/>
      </c>
      <c r="G1588" s="4" t="str">
        <f>IFERROR(VLOOKUP(B1588,infoTable[],4,FALSE),"")</f>
        <v/>
      </c>
      <c r="H1588" s="4" t="str">
        <f>IFERROR(VLOOKUP(B1588,infoTable__6[],4,FALSE),"")</f>
        <v/>
      </c>
      <c r="I1588" s="4" t="str">
        <f>IFERROR(VLOOKUP(B1588,infoTable__28[],4,FALSE),"")</f>
        <v/>
      </c>
      <c r="J1588" s="4" t="str">
        <f>IFERROR(VLOOKUP(B1588,infoTable__10[],4,FALSE),"")</f>
        <v/>
      </c>
      <c r="K1588" s="4" t="str">
        <f>IFERROR(VLOOKUP(B1588,infoTable__11[],4,FALSE),"")</f>
        <v/>
      </c>
      <c r="L1588" s="4">
        <f>IFERROR(VLOOKUP(B1588,infoTable__12[],4,FALSE),"")</f>
        <v>1058768</v>
      </c>
      <c r="M1588" s="4" t="str">
        <f>IFERROR(VLOOKUP(B1588,infoTable__13[],4,FALSE),"")</f>
        <v/>
      </c>
      <c r="N1588" s="4">
        <f>IFERROR(VLOOKUP(B1588,infoTable__14[],4,FALSE),"")</f>
        <v>579471</v>
      </c>
      <c r="O1588" s="4">
        <f>IFERROR(VLOOKUP(B1588,infoTable__15[],4,FALSE),"")</f>
        <v>678887</v>
      </c>
      <c r="P1588" s="4">
        <f>IFERROR(VLOOKUP(B1588,infoTable__16[],4,FALSE),"")</f>
        <v>421466</v>
      </c>
    </row>
    <row r="1589" spans="1:16" x14ac:dyDescent="0.55000000000000004">
      <c r="A1589" t="s">
        <v>1273</v>
      </c>
      <c r="B1589" t="s">
        <v>1274</v>
      </c>
      <c r="C1589" s="4" t="str">
        <f>IFERROR(VLOOKUP(B1589,infoTable10[],4,FALSE),"")</f>
        <v/>
      </c>
      <c r="D1589" s="4" t="str">
        <f>IFERROR(VLOOKUP(B1589,infoTable__2[],4,FALSE),"")</f>
        <v/>
      </c>
      <c r="E1589" s="4" t="str">
        <f>IFERROR(VLOOKUP(B1589,infoTable__3[],4,FALSE),"")</f>
        <v/>
      </c>
      <c r="F1589" s="4" t="str">
        <f>IFERROR(VLOOKUP(B1589,infoTable__4[],4,FALSE),"")</f>
        <v/>
      </c>
      <c r="G1589" s="4" t="str">
        <f>IFERROR(VLOOKUP(B1589,infoTable[],4,FALSE),"")</f>
        <v/>
      </c>
      <c r="H1589" s="4" t="str">
        <f>IFERROR(VLOOKUP(B1589,infoTable__6[],4,FALSE),"")</f>
        <v/>
      </c>
      <c r="I1589" s="4">
        <f>IFERROR(VLOOKUP(B1589,infoTable__28[],4,FALSE),"")</f>
        <v>414541</v>
      </c>
      <c r="J1589" s="4" t="str">
        <f>IFERROR(VLOOKUP(B1589,infoTable__10[],4,FALSE),"")</f>
        <v/>
      </c>
      <c r="K1589" s="4" t="str">
        <f>IFERROR(VLOOKUP(B1589,infoTable__11[],4,FALSE),"")</f>
        <v/>
      </c>
      <c r="L1589" s="4" t="str">
        <f>IFERROR(VLOOKUP(B1589,infoTable__12[],4,FALSE),"")</f>
        <v/>
      </c>
      <c r="M1589" s="4" t="str">
        <f>IFERROR(VLOOKUP(B1589,infoTable__13[],4,FALSE),"")</f>
        <v/>
      </c>
      <c r="N1589" s="4">
        <f>IFERROR(VLOOKUP(B1589,infoTable__14[],4,FALSE),"")</f>
        <v>246579</v>
      </c>
      <c r="O1589" s="4">
        <f>IFERROR(VLOOKUP(B1589,infoTable__15[],4,FALSE),"")</f>
        <v>1303529</v>
      </c>
      <c r="P1589" s="4" t="str">
        <f>IFERROR(VLOOKUP(B1589,infoTable__16[],4,FALSE),"")</f>
        <v/>
      </c>
    </row>
    <row r="1590" spans="1:16" x14ac:dyDescent="0.55000000000000004">
      <c r="A1590" t="s">
        <v>214</v>
      </c>
      <c r="B1590" t="s">
        <v>216</v>
      </c>
      <c r="C1590" s="4" t="str">
        <f>IFERROR(VLOOKUP(B1590,infoTable10[],4,FALSE),"")</f>
        <v/>
      </c>
      <c r="D1590" s="4" t="str">
        <f>IFERROR(VLOOKUP(B1590,infoTable__2[],4,FALSE),"")</f>
        <v/>
      </c>
      <c r="E1590" s="4" t="str">
        <f>IFERROR(VLOOKUP(B1590,infoTable__3[],4,FALSE),"")</f>
        <v/>
      </c>
      <c r="F1590" s="4" t="str">
        <f>IFERROR(VLOOKUP(B1590,infoTable__4[],4,FALSE),"")</f>
        <v/>
      </c>
      <c r="G1590" s="4">
        <f>IFERROR(VLOOKUP(B1590,infoTable[],4,FALSE),"")</f>
        <v>137577</v>
      </c>
      <c r="H1590" s="4">
        <f>IFERROR(VLOOKUP(B1590,infoTable__6[],4,FALSE),"")</f>
        <v>854479</v>
      </c>
      <c r="I1590" s="4">
        <f>IFERROR(VLOOKUP(B1590,infoTable__28[],4,FALSE),"")</f>
        <v>3671642</v>
      </c>
      <c r="J1590" s="4">
        <f>IFERROR(VLOOKUP(B1590,infoTable__10[],4,FALSE),"")</f>
        <v>2566311</v>
      </c>
      <c r="K1590" s="4">
        <f>IFERROR(VLOOKUP(B1590,infoTable__11[],4,FALSE),"")</f>
        <v>447104</v>
      </c>
      <c r="L1590" s="4" t="str">
        <f>IFERROR(VLOOKUP(B1590,infoTable__12[],4,FALSE),"")</f>
        <v/>
      </c>
      <c r="M1590" s="4" t="str">
        <f>IFERROR(VLOOKUP(B1590,infoTable__13[],4,FALSE),"")</f>
        <v/>
      </c>
      <c r="N1590" s="4" t="str">
        <f>IFERROR(VLOOKUP(B1590,infoTable__14[],4,FALSE),"")</f>
        <v/>
      </c>
      <c r="O1590" s="4" t="str">
        <f>IFERROR(VLOOKUP(B1590,infoTable__15[],4,FALSE),"")</f>
        <v/>
      </c>
      <c r="P1590" s="4" t="str">
        <f>IFERROR(VLOOKUP(B1590,infoTable__16[],4,FALSE),"")</f>
        <v/>
      </c>
    </row>
    <row r="1591" spans="1:16" x14ac:dyDescent="0.55000000000000004">
      <c r="A1591" t="s">
        <v>1895</v>
      </c>
      <c r="B1591" t="s">
        <v>1896</v>
      </c>
      <c r="C1591" s="4" t="str">
        <f>IFERROR(VLOOKUP(B1591,infoTable10[],4,FALSE),"")</f>
        <v/>
      </c>
      <c r="D1591" s="4" t="str">
        <f>IFERROR(VLOOKUP(B1591,infoTable__2[],4,FALSE),"")</f>
        <v/>
      </c>
      <c r="E1591" s="4" t="str">
        <f>IFERROR(VLOOKUP(B1591,infoTable__3[],4,FALSE),"")</f>
        <v/>
      </c>
      <c r="F1591" s="4" t="str">
        <f>IFERROR(VLOOKUP(B1591,infoTable__4[],4,FALSE),"")</f>
        <v/>
      </c>
      <c r="G1591" s="4" t="str">
        <f>IFERROR(VLOOKUP(B1591,infoTable[],4,FALSE),"")</f>
        <v/>
      </c>
      <c r="H1591" s="4" t="str">
        <f>IFERROR(VLOOKUP(B1591,infoTable__6[],4,FALSE),"")</f>
        <v/>
      </c>
      <c r="I1591" s="4" t="str">
        <f>IFERROR(VLOOKUP(B1591,infoTable__28[],4,FALSE),"")</f>
        <v/>
      </c>
      <c r="J1591" s="4" t="str">
        <f>IFERROR(VLOOKUP(B1591,infoTable__10[],4,FALSE),"")</f>
        <v/>
      </c>
      <c r="K1591" s="4">
        <f>IFERROR(VLOOKUP(B1591,infoTable__11[],4,FALSE),"")</f>
        <v>727218</v>
      </c>
      <c r="L1591" s="4">
        <f>IFERROR(VLOOKUP(B1591,infoTable__12[],4,FALSE),"")</f>
        <v>878201</v>
      </c>
      <c r="M1591" s="4" t="str">
        <f>IFERROR(VLOOKUP(B1591,infoTable__13[],4,FALSE),"")</f>
        <v/>
      </c>
      <c r="N1591" s="4" t="str">
        <f>IFERROR(VLOOKUP(B1591,infoTable__14[],4,FALSE),"")</f>
        <v/>
      </c>
      <c r="O1591" s="4" t="str">
        <f>IFERROR(VLOOKUP(B1591,infoTable__15[],4,FALSE),"")</f>
        <v/>
      </c>
      <c r="P1591" s="4" t="str">
        <f>IFERROR(VLOOKUP(B1591,infoTable__16[],4,FALSE),"")</f>
        <v/>
      </c>
    </row>
    <row r="1592" spans="1:16" x14ac:dyDescent="0.55000000000000004">
      <c r="A1592" t="s">
        <v>1281</v>
      </c>
      <c r="B1592" t="s">
        <v>1283</v>
      </c>
      <c r="C1592" s="4" t="str">
        <f>IFERROR(VLOOKUP(B1592,infoTable10[],4,FALSE),"")</f>
        <v/>
      </c>
      <c r="D1592" s="4" t="str">
        <f>IFERROR(VLOOKUP(B1592,infoTable__2[],4,FALSE),"")</f>
        <v/>
      </c>
      <c r="E1592" s="4" t="str">
        <f>IFERROR(VLOOKUP(B1592,infoTable__3[],4,FALSE),"")</f>
        <v/>
      </c>
      <c r="F1592" s="4" t="str">
        <f>IFERROR(VLOOKUP(B1592,infoTable__4[],4,FALSE),"")</f>
        <v/>
      </c>
      <c r="G1592" s="4" t="str">
        <f>IFERROR(VLOOKUP(B1592,infoTable[],4,FALSE),"")</f>
        <v/>
      </c>
      <c r="H1592" s="4" t="str">
        <f>IFERROR(VLOOKUP(B1592,infoTable__6[],4,FALSE),"")</f>
        <v/>
      </c>
      <c r="I1592" s="4">
        <f>IFERROR(VLOOKUP(B1592,infoTable__28[],4,FALSE),"")</f>
        <v>73627</v>
      </c>
      <c r="J1592" s="4" t="str">
        <f>IFERROR(VLOOKUP(B1592,infoTable__10[],4,FALSE),"")</f>
        <v/>
      </c>
      <c r="K1592" s="4">
        <f>IFERROR(VLOOKUP(B1592,infoTable__11[],4,FALSE),"")</f>
        <v>331854</v>
      </c>
      <c r="L1592" s="4">
        <f>IFERROR(VLOOKUP(B1592,infoTable__12[],4,FALSE),"")</f>
        <v>582961</v>
      </c>
      <c r="M1592" s="4">
        <f>IFERROR(VLOOKUP(B1592,infoTable__13[],4,FALSE),"")</f>
        <v>400821</v>
      </c>
      <c r="N1592" s="4">
        <f>IFERROR(VLOOKUP(B1592,infoTable__14[],4,FALSE),"")</f>
        <v>891857</v>
      </c>
      <c r="O1592" s="4">
        <f>IFERROR(VLOOKUP(B1592,infoTable__15[],4,FALSE),"")</f>
        <v>363197</v>
      </c>
      <c r="P1592" s="4" t="str">
        <f>IFERROR(VLOOKUP(B1592,infoTable__16[],4,FALSE),"")</f>
        <v/>
      </c>
    </row>
    <row r="1593" spans="1:16" x14ac:dyDescent="0.55000000000000004">
      <c r="A1593" t="s">
        <v>1290</v>
      </c>
      <c r="B1593" t="s">
        <v>1291</v>
      </c>
      <c r="C1593" s="4" t="str">
        <f>IFERROR(VLOOKUP(B1593,infoTable10[],4,FALSE),"")</f>
        <v/>
      </c>
      <c r="D1593" s="4" t="str">
        <f>IFERROR(VLOOKUP(B1593,infoTable__2[],4,FALSE),"")</f>
        <v/>
      </c>
      <c r="E1593" s="4" t="str">
        <f>IFERROR(VLOOKUP(B1593,infoTable__3[],4,FALSE),"")</f>
        <v/>
      </c>
      <c r="F1593" s="4" t="str">
        <f>IFERROR(VLOOKUP(B1593,infoTable__4[],4,FALSE),"")</f>
        <v/>
      </c>
      <c r="G1593" s="4" t="str">
        <f>IFERROR(VLOOKUP(B1593,infoTable[],4,FALSE),"")</f>
        <v/>
      </c>
      <c r="H1593" s="4" t="str">
        <f>IFERROR(VLOOKUP(B1593,infoTable__6[],4,FALSE),"")</f>
        <v/>
      </c>
      <c r="I1593" s="4">
        <f>IFERROR(VLOOKUP(B1593,infoTable__28[],4,FALSE),"")</f>
        <v>185461</v>
      </c>
      <c r="J1593" s="4" t="str">
        <f>IFERROR(VLOOKUP(B1593,infoTable__10[],4,FALSE),"")</f>
        <v/>
      </c>
      <c r="K1593" s="4" t="str">
        <f>IFERROR(VLOOKUP(B1593,infoTable__11[],4,FALSE),"")</f>
        <v/>
      </c>
      <c r="L1593" s="4" t="str">
        <f>IFERROR(VLOOKUP(B1593,infoTable__12[],4,FALSE),"")</f>
        <v/>
      </c>
      <c r="M1593" s="4" t="str">
        <f>IFERROR(VLOOKUP(B1593,infoTable__13[],4,FALSE),"")</f>
        <v/>
      </c>
      <c r="N1593" s="4" t="str">
        <f>IFERROR(VLOOKUP(B1593,infoTable__14[],4,FALSE),"")</f>
        <v/>
      </c>
      <c r="O1593" s="4" t="str">
        <f>IFERROR(VLOOKUP(B1593,infoTable__15[],4,FALSE),"")</f>
        <v/>
      </c>
      <c r="P1593" s="4" t="str">
        <f>IFERROR(VLOOKUP(B1593,infoTable__16[],4,FALSE),"")</f>
        <v/>
      </c>
    </row>
    <row r="1594" spans="1:16" x14ac:dyDescent="0.55000000000000004">
      <c r="A1594" t="s">
        <v>3383</v>
      </c>
      <c r="B1594" t="s">
        <v>3384</v>
      </c>
      <c r="C1594" s="4" t="str">
        <f>IFERROR(VLOOKUP(B1594,infoTable10[],4,FALSE),"")</f>
        <v/>
      </c>
      <c r="D1594" s="4" t="str">
        <f>IFERROR(VLOOKUP(B1594,infoTable__2[],4,FALSE),"")</f>
        <v/>
      </c>
      <c r="E1594" s="4" t="str">
        <f>IFERROR(VLOOKUP(B1594,infoTable__3[],4,FALSE),"")</f>
        <v/>
      </c>
      <c r="F1594" s="4" t="str">
        <f>IFERROR(VLOOKUP(B1594,infoTable__4[],4,FALSE),"")</f>
        <v/>
      </c>
      <c r="G1594" s="4" t="str">
        <f>IFERROR(VLOOKUP(B1594,infoTable[],4,FALSE),"")</f>
        <v/>
      </c>
      <c r="H1594" s="4" t="str">
        <f>IFERROR(VLOOKUP(B1594,infoTable__6[],4,FALSE),"")</f>
        <v/>
      </c>
      <c r="I1594" s="4" t="str">
        <f>IFERROR(VLOOKUP(B1594,infoTable__28[],4,FALSE),"")</f>
        <v/>
      </c>
      <c r="J1594" s="4" t="str">
        <f>IFERROR(VLOOKUP(B1594,infoTable__10[],4,FALSE),"")</f>
        <v/>
      </c>
      <c r="K1594" s="4" t="str">
        <f>IFERROR(VLOOKUP(B1594,infoTable__11[],4,FALSE),"")</f>
        <v/>
      </c>
      <c r="L1594" s="4" t="str">
        <f>IFERROR(VLOOKUP(B1594,infoTable__12[],4,FALSE),"")</f>
        <v/>
      </c>
      <c r="M1594" s="4" t="str">
        <f>IFERROR(VLOOKUP(B1594,infoTable__13[],4,FALSE),"")</f>
        <v/>
      </c>
      <c r="N1594" s="4" t="str">
        <f>IFERROR(VLOOKUP(B1594,infoTable__14[],4,FALSE),"")</f>
        <v/>
      </c>
      <c r="O1594" s="4" t="str">
        <f>IFERROR(VLOOKUP(B1594,infoTable__15[],4,FALSE),"")</f>
        <v/>
      </c>
      <c r="P1594" s="4">
        <f>IFERROR(VLOOKUP(B1594,infoTable__16[],4,FALSE),"")</f>
        <v>2532358</v>
      </c>
    </row>
    <row r="1595" spans="1:16" x14ac:dyDescent="0.55000000000000004">
      <c r="A1595" t="s">
        <v>1517</v>
      </c>
      <c r="B1595" t="s">
        <v>1518</v>
      </c>
      <c r="C1595" s="4">
        <f>IFERROR(VLOOKUP(B1595,infoTable10[],4,FALSE),"")</f>
        <v>925324</v>
      </c>
      <c r="D1595" s="4" t="str">
        <f>IFERROR(VLOOKUP(B1595,infoTable__2[],4,FALSE),"")</f>
        <v/>
      </c>
      <c r="E1595" s="4" t="str">
        <f>IFERROR(VLOOKUP(B1595,infoTable__3[],4,FALSE),"")</f>
        <v/>
      </c>
      <c r="F1595" s="4" t="str">
        <f>IFERROR(VLOOKUP(B1595,infoTable__4[],4,FALSE),"")</f>
        <v/>
      </c>
      <c r="G1595" s="4" t="str">
        <f>IFERROR(VLOOKUP(B1595,infoTable[],4,FALSE),"")</f>
        <v/>
      </c>
      <c r="H1595" s="4" t="str">
        <f>IFERROR(VLOOKUP(B1595,infoTable__6[],4,FALSE),"")</f>
        <v/>
      </c>
      <c r="I1595" s="4" t="str">
        <f>IFERROR(VLOOKUP(B1595,infoTable__28[],4,FALSE),"")</f>
        <v/>
      </c>
      <c r="J1595" s="4" t="str">
        <f>IFERROR(VLOOKUP(B1595,infoTable__10[],4,FALSE),"")</f>
        <v/>
      </c>
      <c r="K1595" s="4" t="str">
        <f>IFERROR(VLOOKUP(B1595,infoTable__11[],4,FALSE),"")</f>
        <v/>
      </c>
      <c r="L1595" s="4" t="str">
        <f>IFERROR(VLOOKUP(B1595,infoTable__12[],4,FALSE),"")</f>
        <v/>
      </c>
      <c r="M1595" s="4" t="str">
        <f>IFERROR(VLOOKUP(B1595,infoTable__13[],4,FALSE),"")</f>
        <v/>
      </c>
      <c r="N1595" s="4" t="str">
        <f>IFERROR(VLOOKUP(B1595,infoTable__14[],4,FALSE),"")</f>
        <v/>
      </c>
      <c r="O1595" s="4" t="str">
        <f>IFERROR(VLOOKUP(B1595,infoTable__15[],4,FALSE),"")</f>
        <v/>
      </c>
      <c r="P1595" s="4" t="str">
        <f>IFERROR(VLOOKUP(B1595,infoTable__16[],4,FALSE),"")</f>
        <v/>
      </c>
    </row>
    <row r="1596" spans="1:16" x14ac:dyDescent="0.55000000000000004">
      <c r="A1596" t="s">
        <v>3075</v>
      </c>
      <c r="B1596" t="s">
        <v>3076</v>
      </c>
      <c r="C1596" s="4" t="str">
        <f>IFERROR(VLOOKUP(B1596,infoTable10[],4,FALSE),"")</f>
        <v/>
      </c>
      <c r="D1596" s="4" t="str">
        <f>IFERROR(VLOOKUP(B1596,infoTable__2[],4,FALSE),"")</f>
        <v/>
      </c>
      <c r="E1596" s="4" t="str">
        <f>IFERROR(VLOOKUP(B1596,infoTable__3[],4,FALSE),"")</f>
        <v/>
      </c>
      <c r="F1596" s="4" t="str">
        <f>IFERROR(VLOOKUP(B1596,infoTable__4[],4,FALSE),"")</f>
        <v/>
      </c>
      <c r="G1596" s="4" t="str">
        <f>IFERROR(VLOOKUP(B1596,infoTable[],4,FALSE),"")</f>
        <v/>
      </c>
      <c r="H1596" s="4" t="str">
        <f>IFERROR(VLOOKUP(B1596,infoTable__6[],4,FALSE),"")</f>
        <v/>
      </c>
      <c r="I1596" s="4" t="str">
        <f>IFERROR(VLOOKUP(B1596,infoTable__28[],4,FALSE),"")</f>
        <v/>
      </c>
      <c r="J1596" s="4" t="str">
        <f>IFERROR(VLOOKUP(B1596,infoTable__10[],4,FALSE),"")</f>
        <v/>
      </c>
      <c r="K1596" s="4" t="str">
        <f>IFERROR(VLOOKUP(B1596,infoTable__11[],4,FALSE),"")</f>
        <v/>
      </c>
      <c r="L1596" s="4" t="str">
        <f>IFERROR(VLOOKUP(B1596,infoTable__12[],4,FALSE),"")</f>
        <v/>
      </c>
      <c r="M1596" s="4" t="str">
        <f>IFERROR(VLOOKUP(B1596,infoTable__13[],4,FALSE),"")</f>
        <v/>
      </c>
      <c r="N1596" s="4" t="str">
        <f>IFERROR(VLOOKUP(B1596,infoTable__14[],4,FALSE),"")</f>
        <v/>
      </c>
      <c r="O1596" s="4">
        <f>IFERROR(VLOOKUP(B1596,infoTable__15[],4,FALSE),"")</f>
        <v>460615</v>
      </c>
      <c r="P1596" s="4">
        <f>IFERROR(VLOOKUP(B1596,infoTable__16[],4,FALSE),"")</f>
        <v>856986</v>
      </c>
    </row>
    <row r="1597" spans="1:16" x14ac:dyDescent="0.55000000000000004">
      <c r="A1597" t="s">
        <v>2228</v>
      </c>
      <c r="B1597" t="s">
        <v>2229</v>
      </c>
      <c r="C1597" s="4" t="str">
        <f>IFERROR(VLOOKUP(B1597,infoTable10[],4,FALSE),"")</f>
        <v/>
      </c>
      <c r="D1597" s="4" t="str">
        <f>IFERROR(VLOOKUP(B1597,infoTable__2[],4,FALSE),"")</f>
        <v/>
      </c>
      <c r="E1597" s="4" t="str">
        <f>IFERROR(VLOOKUP(B1597,infoTable__3[],4,FALSE),"")</f>
        <v/>
      </c>
      <c r="F1597" s="4" t="str">
        <f>IFERROR(VLOOKUP(B1597,infoTable__4[],4,FALSE),"")</f>
        <v/>
      </c>
      <c r="G1597" s="4" t="str">
        <f>IFERROR(VLOOKUP(B1597,infoTable[],4,FALSE),"")</f>
        <v/>
      </c>
      <c r="H1597" s="4" t="str">
        <f>IFERROR(VLOOKUP(B1597,infoTable__6[],4,FALSE),"")</f>
        <v/>
      </c>
      <c r="I1597" s="4" t="str">
        <f>IFERROR(VLOOKUP(B1597,infoTable__28[],4,FALSE),"")</f>
        <v/>
      </c>
      <c r="J1597" s="4" t="str">
        <f>IFERROR(VLOOKUP(B1597,infoTable__10[],4,FALSE),"")</f>
        <v/>
      </c>
      <c r="K1597" s="4" t="str">
        <f>IFERROR(VLOOKUP(B1597,infoTable__11[],4,FALSE),"")</f>
        <v/>
      </c>
      <c r="L1597" s="4">
        <f>IFERROR(VLOOKUP(B1597,infoTable__12[],4,FALSE),"")</f>
        <v>369682</v>
      </c>
      <c r="M1597" s="4" t="str">
        <f>IFERROR(VLOOKUP(B1597,infoTable__13[],4,FALSE),"")</f>
        <v/>
      </c>
      <c r="N1597" s="4" t="str">
        <f>IFERROR(VLOOKUP(B1597,infoTable__14[],4,FALSE),"")</f>
        <v/>
      </c>
      <c r="O1597" s="4" t="str">
        <f>IFERROR(VLOOKUP(B1597,infoTable__15[],4,FALSE),"")</f>
        <v/>
      </c>
      <c r="P1597" s="4" t="str">
        <f>IFERROR(VLOOKUP(B1597,infoTable__16[],4,FALSE),"")</f>
        <v/>
      </c>
    </row>
    <row r="1598" spans="1:16" x14ac:dyDescent="0.55000000000000004">
      <c r="A1598" t="s">
        <v>2232</v>
      </c>
      <c r="B1598" t="s">
        <v>2233</v>
      </c>
      <c r="C1598" s="4" t="str">
        <f>IFERROR(VLOOKUP(B1598,infoTable10[],4,FALSE),"")</f>
        <v/>
      </c>
      <c r="D1598" s="4" t="str">
        <f>IFERROR(VLOOKUP(B1598,infoTable__2[],4,FALSE),"")</f>
        <v/>
      </c>
      <c r="E1598" s="4" t="str">
        <f>IFERROR(VLOOKUP(B1598,infoTable__3[],4,FALSE),"")</f>
        <v/>
      </c>
      <c r="F1598" s="4" t="str">
        <f>IFERROR(VLOOKUP(B1598,infoTable__4[],4,FALSE),"")</f>
        <v/>
      </c>
      <c r="G1598" s="4" t="str">
        <f>IFERROR(VLOOKUP(B1598,infoTable[],4,FALSE),"")</f>
        <v/>
      </c>
      <c r="H1598" s="4" t="str">
        <f>IFERROR(VLOOKUP(B1598,infoTable__6[],4,FALSE),"")</f>
        <v/>
      </c>
      <c r="I1598" s="4" t="str">
        <f>IFERROR(VLOOKUP(B1598,infoTable__28[],4,FALSE),"")</f>
        <v/>
      </c>
      <c r="J1598" s="4" t="str">
        <f>IFERROR(VLOOKUP(B1598,infoTable__10[],4,FALSE),"")</f>
        <v/>
      </c>
      <c r="K1598" s="4" t="str">
        <f>IFERROR(VLOOKUP(B1598,infoTable__11[],4,FALSE),"")</f>
        <v/>
      </c>
      <c r="L1598" s="4">
        <f>IFERROR(VLOOKUP(B1598,infoTable__12[],4,FALSE),"")</f>
        <v>84606</v>
      </c>
      <c r="M1598" s="4">
        <f>IFERROR(VLOOKUP(B1598,infoTable__13[],4,FALSE),"")</f>
        <v>467785</v>
      </c>
      <c r="N1598" s="4">
        <f>IFERROR(VLOOKUP(B1598,infoTable__14[],4,FALSE),"")</f>
        <v>536645</v>
      </c>
      <c r="O1598" s="4">
        <f>IFERROR(VLOOKUP(B1598,infoTable__15[],4,FALSE),"")</f>
        <v>927114</v>
      </c>
      <c r="P1598" s="4">
        <f>IFERROR(VLOOKUP(B1598,infoTable__16[],4,FALSE),"")</f>
        <v>453160</v>
      </c>
    </row>
    <row r="1599" spans="1:16" x14ac:dyDescent="0.55000000000000004">
      <c r="A1599" t="s">
        <v>3400</v>
      </c>
      <c r="B1599" t="s">
        <v>3401</v>
      </c>
      <c r="C1599" s="4" t="str">
        <f>IFERROR(VLOOKUP(B1599,infoTable10[],4,FALSE),"")</f>
        <v/>
      </c>
      <c r="D1599" s="4" t="str">
        <f>IFERROR(VLOOKUP(B1599,infoTable__2[],4,FALSE),"")</f>
        <v/>
      </c>
      <c r="E1599" s="4" t="str">
        <f>IFERROR(VLOOKUP(B1599,infoTable__3[],4,FALSE),"")</f>
        <v/>
      </c>
      <c r="F1599" s="4" t="str">
        <f>IFERROR(VLOOKUP(B1599,infoTable__4[],4,FALSE),"")</f>
        <v/>
      </c>
      <c r="G1599" s="4" t="str">
        <f>IFERROR(VLOOKUP(B1599,infoTable[],4,FALSE),"")</f>
        <v/>
      </c>
      <c r="H1599" s="4" t="str">
        <f>IFERROR(VLOOKUP(B1599,infoTable__6[],4,FALSE),"")</f>
        <v/>
      </c>
      <c r="I1599" s="4" t="str">
        <f>IFERROR(VLOOKUP(B1599,infoTable__28[],4,FALSE),"")</f>
        <v/>
      </c>
      <c r="J1599" s="4" t="str">
        <f>IFERROR(VLOOKUP(B1599,infoTable__10[],4,FALSE),"")</f>
        <v/>
      </c>
      <c r="K1599" s="4" t="str">
        <f>IFERROR(VLOOKUP(B1599,infoTable__11[],4,FALSE),"")</f>
        <v/>
      </c>
      <c r="L1599" s="4" t="str">
        <f>IFERROR(VLOOKUP(B1599,infoTable__12[],4,FALSE),"")</f>
        <v/>
      </c>
      <c r="M1599" s="4" t="str">
        <f>IFERROR(VLOOKUP(B1599,infoTable__13[],4,FALSE),"")</f>
        <v/>
      </c>
      <c r="N1599" s="4" t="str">
        <f>IFERROR(VLOOKUP(B1599,infoTable__14[],4,FALSE),"")</f>
        <v/>
      </c>
      <c r="O1599" s="4" t="str">
        <f>IFERROR(VLOOKUP(B1599,infoTable__15[],4,FALSE),"")</f>
        <v/>
      </c>
      <c r="P1599" s="4">
        <f>IFERROR(VLOOKUP(B1599,infoTable__16[],4,FALSE),"")</f>
        <v>1238949</v>
      </c>
    </row>
    <row r="1600" spans="1:16" x14ac:dyDescent="0.55000000000000004">
      <c r="A1600" t="s">
        <v>2927</v>
      </c>
      <c r="B1600" t="s">
        <v>2926</v>
      </c>
      <c r="C1600" s="4" t="str">
        <f>IFERROR(VLOOKUP(B1600,infoTable10[],4,FALSE),"")</f>
        <v/>
      </c>
      <c r="D1600" s="4" t="str">
        <f>IFERROR(VLOOKUP(B1600,infoTable__2[],4,FALSE),"")</f>
        <v/>
      </c>
      <c r="E1600" s="4" t="str">
        <f>IFERROR(VLOOKUP(B1600,infoTable__3[],4,FALSE),"")</f>
        <v/>
      </c>
      <c r="F1600" s="4" t="str">
        <f>IFERROR(VLOOKUP(B1600,infoTable__4[],4,FALSE),"")</f>
        <v/>
      </c>
      <c r="G1600" s="4" t="str">
        <f>IFERROR(VLOOKUP(B1600,infoTable[],4,FALSE),"")</f>
        <v/>
      </c>
      <c r="H1600" s="4" t="str">
        <f>IFERROR(VLOOKUP(B1600,infoTable__6[],4,FALSE),"")</f>
        <v/>
      </c>
      <c r="I1600" s="4" t="str">
        <f>IFERROR(VLOOKUP(B1600,infoTable__28[],4,FALSE),"")</f>
        <v/>
      </c>
      <c r="J1600" s="4" t="str">
        <f>IFERROR(VLOOKUP(B1600,infoTable__10[],4,FALSE),"")</f>
        <v/>
      </c>
      <c r="K1600" s="4" t="str">
        <f>IFERROR(VLOOKUP(B1600,infoTable__11[],4,FALSE),"")</f>
        <v/>
      </c>
      <c r="L1600" s="4" t="str">
        <f>IFERROR(VLOOKUP(B1600,infoTable__12[],4,FALSE),"")</f>
        <v/>
      </c>
      <c r="M1600" s="4" t="str">
        <f>IFERROR(VLOOKUP(B1600,infoTable__13[],4,FALSE),"")</f>
        <v/>
      </c>
      <c r="N1600" s="4">
        <f>IFERROR(VLOOKUP(B1600,infoTable__14[],4,FALSE),"")</f>
        <v>494204</v>
      </c>
      <c r="O1600" s="4">
        <f>IFERROR(VLOOKUP(B1600,infoTable__15[],4,FALSE),"")</f>
        <v>667664</v>
      </c>
      <c r="P1600" s="4">
        <f>IFERROR(VLOOKUP(B1600,infoTable__16[],4,FALSE),"")</f>
        <v>509074</v>
      </c>
    </row>
    <row r="1601" spans="1:16" x14ac:dyDescent="0.55000000000000004">
      <c r="A1601" t="s">
        <v>2929</v>
      </c>
      <c r="B1601" t="s">
        <v>2928</v>
      </c>
      <c r="C1601" s="4" t="str">
        <f>IFERROR(VLOOKUP(B1601,infoTable10[],4,FALSE),"")</f>
        <v/>
      </c>
      <c r="D1601" s="4" t="str">
        <f>IFERROR(VLOOKUP(B1601,infoTable__2[],4,FALSE),"")</f>
        <v/>
      </c>
      <c r="E1601" s="4" t="str">
        <f>IFERROR(VLOOKUP(B1601,infoTable__3[],4,FALSE),"")</f>
        <v/>
      </c>
      <c r="F1601" s="4" t="str">
        <f>IFERROR(VLOOKUP(B1601,infoTable__4[],4,FALSE),"")</f>
        <v/>
      </c>
      <c r="G1601" s="4" t="str">
        <f>IFERROR(VLOOKUP(B1601,infoTable[],4,FALSE),"")</f>
        <v/>
      </c>
      <c r="H1601" s="4" t="str">
        <f>IFERROR(VLOOKUP(B1601,infoTable__6[],4,FALSE),"")</f>
        <v/>
      </c>
      <c r="I1601" s="4" t="str">
        <f>IFERROR(VLOOKUP(B1601,infoTable__28[],4,FALSE),"")</f>
        <v/>
      </c>
      <c r="J1601" s="4" t="str">
        <f>IFERROR(VLOOKUP(B1601,infoTable__10[],4,FALSE),"")</f>
        <v/>
      </c>
      <c r="K1601" s="4" t="str">
        <f>IFERROR(VLOOKUP(B1601,infoTable__11[],4,FALSE),"")</f>
        <v/>
      </c>
      <c r="L1601" s="4" t="str">
        <f>IFERROR(VLOOKUP(B1601,infoTable__12[],4,FALSE),"")</f>
        <v/>
      </c>
      <c r="M1601" s="4" t="str">
        <f>IFERROR(VLOOKUP(B1601,infoTable__13[],4,FALSE),"")</f>
        <v/>
      </c>
      <c r="N1601" s="4">
        <f>IFERROR(VLOOKUP(B1601,infoTable__14[],4,FALSE),"")</f>
        <v>799222</v>
      </c>
      <c r="O1601" s="4" t="str">
        <f>IFERROR(VLOOKUP(B1601,infoTable__15[],4,FALSE),"")</f>
        <v/>
      </c>
      <c r="P1601" s="4" t="str">
        <f>IFERROR(VLOOKUP(B1601,infoTable__16[],4,FALSE),"")</f>
        <v/>
      </c>
    </row>
    <row r="1602" spans="1:16" x14ac:dyDescent="0.55000000000000004">
      <c r="A1602" t="s">
        <v>925</v>
      </c>
      <c r="B1602" t="s">
        <v>927</v>
      </c>
      <c r="C1602" s="4" t="str">
        <f>IFERROR(VLOOKUP(B1602,infoTable10[],4,FALSE),"")</f>
        <v/>
      </c>
      <c r="D1602" s="4" t="str">
        <f>IFERROR(VLOOKUP(B1602,infoTable__2[],4,FALSE),"")</f>
        <v/>
      </c>
      <c r="E1602" s="4" t="str">
        <f>IFERROR(VLOOKUP(B1602,infoTable__3[],4,FALSE),"")</f>
        <v/>
      </c>
      <c r="F1602" s="4">
        <f>IFERROR(VLOOKUP(B1602,infoTable__4[],4,FALSE),"")</f>
        <v>746668</v>
      </c>
      <c r="G1602" s="4" t="str">
        <f>IFERROR(VLOOKUP(B1602,infoTable[],4,FALSE),"")</f>
        <v/>
      </c>
      <c r="H1602" s="4" t="str">
        <f>IFERROR(VLOOKUP(B1602,infoTable__6[],4,FALSE),"")</f>
        <v/>
      </c>
      <c r="I1602" s="4" t="str">
        <f>IFERROR(VLOOKUP(B1602,infoTable__28[],4,FALSE),"")</f>
        <v/>
      </c>
      <c r="J1602" s="4" t="str">
        <f>IFERROR(VLOOKUP(B1602,infoTable__10[],4,FALSE),"")</f>
        <v/>
      </c>
      <c r="K1602" s="4" t="str">
        <f>IFERROR(VLOOKUP(B1602,infoTable__11[],4,FALSE),"")</f>
        <v/>
      </c>
      <c r="L1602" s="4" t="str">
        <f>IFERROR(VLOOKUP(B1602,infoTable__12[],4,FALSE),"")</f>
        <v/>
      </c>
      <c r="M1602" s="4" t="str">
        <f>IFERROR(VLOOKUP(B1602,infoTable__13[],4,FALSE),"")</f>
        <v/>
      </c>
      <c r="N1602" s="4" t="str">
        <f>IFERROR(VLOOKUP(B1602,infoTable__14[],4,FALSE),"")</f>
        <v/>
      </c>
      <c r="O1602" s="4" t="str">
        <f>IFERROR(VLOOKUP(B1602,infoTable__15[],4,FALSE),"")</f>
        <v/>
      </c>
      <c r="P1602" s="4" t="str">
        <f>IFERROR(VLOOKUP(B1602,infoTable__16[],4,FALSE),"")</f>
        <v/>
      </c>
    </row>
    <row r="1603" spans="1:16" x14ac:dyDescent="0.55000000000000004">
      <c r="A1603" t="s">
        <v>1036</v>
      </c>
      <c r="B1603" t="s">
        <v>1037</v>
      </c>
      <c r="C1603" s="4" t="str">
        <f>IFERROR(VLOOKUP(B1603,infoTable10[],4,FALSE),"")</f>
        <v/>
      </c>
      <c r="D1603" s="4" t="str">
        <f>IFERROR(VLOOKUP(B1603,infoTable__2[],4,FALSE),"")</f>
        <v/>
      </c>
      <c r="E1603" s="4" t="str">
        <f>IFERROR(VLOOKUP(B1603,infoTable__3[],4,FALSE),"")</f>
        <v/>
      </c>
      <c r="F1603" s="4" t="str">
        <f>IFERROR(VLOOKUP(B1603,infoTable__4[],4,FALSE),"")</f>
        <v/>
      </c>
      <c r="G1603" s="4" t="str">
        <f>IFERROR(VLOOKUP(B1603,infoTable[],4,FALSE),"")</f>
        <v/>
      </c>
      <c r="H1603" s="4">
        <f>IFERROR(VLOOKUP(B1603,infoTable__6[],4,FALSE),"")</f>
        <v>1113371</v>
      </c>
      <c r="I1603" s="4">
        <f>IFERROR(VLOOKUP(B1603,infoTable__28[],4,FALSE),"")</f>
        <v>400748</v>
      </c>
      <c r="J1603" s="4">
        <f>IFERROR(VLOOKUP(B1603,infoTable__10[],4,FALSE),"")</f>
        <v>409833</v>
      </c>
      <c r="K1603" s="4">
        <f>IFERROR(VLOOKUP(B1603,infoTable__11[],4,FALSE),"")</f>
        <v>295185</v>
      </c>
      <c r="L1603" s="4">
        <f>IFERROR(VLOOKUP(B1603,infoTable__12[],4,FALSE),"")</f>
        <v>227687</v>
      </c>
      <c r="M1603" s="4" t="str">
        <f>IFERROR(VLOOKUP(B1603,infoTable__13[],4,FALSE),"")</f>
        <v/>
      </c>
      <c r="N1603" s="4" t="str">
        <f>IFERROR(VLOOKUP(B1603,infoTable__14[],4,FALSE),"")</f>
        <v/>
      </c>
      <c r="O1603" s="4" t="str">
        <f>IFERROR(VLOOKUP(B1603,infoTable__15[],4,FALSE),"")</f>
        <v/>
      </c>
      <c r="P1603" s="4" t="str">
        <f>IFERROR(VLOOKUP(B1603,infoTable__16[],4,FALSE),"")</f>
        <v/>
      </c>
    </row>
    <row r="1604" spans="1:16" x14ac:dyDescent="0.55000000000000004">
      <c r="A1604" t="s">
        <v>2242</v>
      </c>
      <c r="B1604" t="s">
        <v>2243</v>
      </c>
      <c r="C1604" s="4" t="str">
        <f>IFERROR(VLOOKUP(B1604,infoTable10[],4,FALSE),"")</f>
        <v/>
      </c>
      <c r="D1604" s="4" t="str">
        <f>IFERROR(VLOOKUP(B1604,infoTable__2[],4,FALSE),"")</f>
        <v/>
      </c>
      <c r="E1604" s="4" t="str">
        <f>IFERROR(VLOOKUP(B1604,infoTable__3[],4,FALSE),"")</f>
        <v/>
      </c>
      <c r="F1604" s="4" t="str">
        <f>IFERROR(VLOOKUP(B1604,infoTable__4[],4,FALSE),"")</f>
        <v/>
      </c>
      <c r="G1604" s="4" t="str">
        <f>IFERROR(VLOOKUP(B1604,infoTable[],4,FALSE),"")</f>
        <v/>
      </c>
      <c r="H1604" s="4" t="str">
        <f>IFERROR(VLOOKUP(B1604,infoTable__6[],4,FALSE),"")</f>
        <v/>
      </c>
      <c r="I1604" s="4" t="str">
        <f>IFERROR(VLOOKUP(B1604,infoTable__28[],4,FALSE),"")</f>
        <v/>
      </c>
      <c r="J1604" s="4" t="str">
        <f>IFERROR(VLOOKUP(B1604,infoTable__10[],4,FALSE),"")</f>
        <v/>
      </c>
      <c r="K1604" s="4" t="str">
        <f>IFERROR(VLOOKUP(B1604,infoTable__11[],4,FALSE),"")</f>
        <v/>
      </c>
      <c r="L1604" s="4">
        <f>IFERROR(VLOOKUP(B1604,infoTable__12[],4,FALSE),"")</f>
        <v>933980</v>
      </c>
      <c r="M1604" s="4" t="str">
        <f>IFERROR(VLOOKUP(B1604,infoTable__13[],4,FALSE),"")</f>
        <v/>
      </c>
      <c r="N1604" s="4" t="str">
        <f>IFERROR(VLOOKUP(B1604,infoTable__14[],4,FALSE),"")</f>
        <v/>
      </c>
      <c r="O1604" s="4" t="str">
        <f>IFERROR(VLOOKUP(B1604,infoTable__15[],4,FALSE),"")</f>
        <v/>
      </c>
      <c r="P1604" s="4">
        <f>IFERROR(VLOOKUP(B1604,infoTable__16[],4,FALSE),"")</f>
        <v>2643675</v>
      </c>
    </row>
    <row r="1605" spans="1:16" x14ac:dyDescent="0.55000000000000004">
      <c r="A1605" t="s">
        <v>276</v>
      </c>
      <c r="B1605" t="s">
        <v>277</v>
      </c>
      <c r="C1605" s="4" t="str">
        <f>IFERROR(VLOOKUP(B1605,infoTable10[],4,FALSE),"")</f>
        <v/>
      </c>
      <c r="D1605" s="4" t="str">
        <f>IFERROR(VLOOKUP(B1605,infoTable__2[],4,FALSE),"")</f>
        <v/>
      </c>
      <c r="E1605" s="4" t="str">
        <f>IFERROR(VLOOKUP(B1605,infoTable__3[],4,FALSE),"")</f>
        <v/>
      </c>
      <c r="F1605" s="4" t="str">
        <f>IFERROR(VLOOKUP(B1605,infoTable__4[],4,FALSE),"")</f>
        <v/>
      </c>
      <c r="G1605" s="4">
        <f>IFERROR(VLOOKUP(B1605,infoTable[],4,FALSE),"")</f>
        <v>2899119</v>
      </c>
      <c r="H1605" s="4" t="str">
        <f>IFERROR(VLOOKUP(B1605,infoTable__6[],4,FALSE),"")</f>
        <v/>
      </c>
      <c r="I1605" s="4" t="str">
        <f>IFERROR(VLOOKUP(B1605,infoTable__28[],4,FALSE),"")</f>
        <v/>
      </c>
      <c r="J1605" s="4" t="str">
        <f>IFERROR(VLOOKUP(B1605,infoTable__10[],4,FALSE),"")</f>
        <v/>
      </c>
      <c r="K1605" s="4" t="str">
        <f>IFERROR(VLOOKUP(B1605,infoTable__11[],4,FALSE),"")</f>
        <v/>
      </c>
      <c r="L1605" s="4" t="str">
        <f>IFERROR(VLOOKUP(B1605,infoTable__12[],4,FALSE),"")</f>
        <v/>
      </c>
      <c r="M1605" s="4" t="str">
        <f>IFERROR(VLOOKUP(B1605,infoTable__13[],4,FALSE),"")</f>
        <v/>
      </c>
      <c r="N1605" s="4" t="str">
        <f>IFERROR(VLOOKUP(B1605,infoTable__14[],4,FALSE),"")</f>
        <v/>
      </c>
      <c r="O1605" s="4" t="str">
        <f>IFERROR(VLOOKUP(B1605,infoTable__15[],4,FALSE),"")</f>
        <v/>
      </c>
      <c r="P1605" s="4" t="str">
        <f>IFERROR(VLOOKUP(B1605,infoTable__16[],4,FALSE),"")</f>
        <v/>
      </c>
    </row>
    <row r="1606" spans="1:16" x14ac:dyDescent="0.55000000000000004">
      <c r="A1606" t="s">
        <v>862</v>
      </c>
      <c r="B1606" t="s">
        <v>864</v>
      </c>
      <c r="C1606" s="4" t="str">
        <f>IFERROR(VLOOKUP(B1606,infoTable10[],4,FALSE),"")</f>
        <v/>
      </c>
      <c r="D1606" s="4" t="str">
        <f>IFERROR(VLOOKUP(B1606,infoTable__2[],4,FALSE),"")</f>
        <v/>
      </c>
      <c r="E1606" s="4" t="str">
        <f>IFERROR(VLOOKUP(B1606,infoTable__3[],4,FALSE),"")</f>
        <v/>
      </c>
      <c r="F1606" s="4">
        <f>IFERROR(VLOOKUP(B1606,infoTable__4[],4,FALSE),"")</f>
        <v>338846</v>
      </c>
      <c r="G1606" s="4" t="str">
        <f>IFERROR(VLOOKUP(B1606,infoTable[],4,FALSE),"")</f>
        <v/>
      </c>
      <c r="H1606" s="4" t="str">
        <f>IFERROR(VLOOKUP(B1606,infoTable__6[],4,FALSE),"")</f>
        <v/>
      </c>
      <c r="I1606" s="4" t="str">
        <f>IFERROR(VLOOKUP(B1606,infoTable__28[],4,FALSE),"")</f>
        <v/>
      </c>
      <c r="J1606" s="4" t="str">
        <f>IFERROR(VLOOKUP(B1606,infoTable__10[],4,FALSE),"")</f>
        <v/>
      </c>
      <c r="K1606" s="4" t="str">
        <f>IFERROR(VLOOKUP(B1606,infoTable__11[],4,FALSE),"")</f>
        <v/>
      </c>
      <c r="L1606" s="4" t="str">
        <f>IFERROR(VLOOKUP(B1606,infoTable__12[],4,FALSE),"")</f>
        <v/>
      </c>
      <c r="M1606" s="4" t="str">
        <f>IFERROR(VLOOKUP(B1606,infoTable__13[],4,FALSE),"")</f>
        <v/>
      </c>
      <c r="N1606" s="4" t="str">
        <f>IFERROR(VLOOKUP(B1606,infoTable__14[],4,FALSE),"")</f>
        <v/>
      </c>
      <c r="O1606" s="4" t="str">
        <f>IFERROR(VLOOKUP(B1606,infoTable__15[],4,FALSE),"")</f>
        <v/>
      </c>
      <c r="P1606" s="4" t="str">
        <f>IFERROR(VLOOKUP(B1606,infoTable__16[],4,FALSE),"")</f>
        <v/>
      </c>
    </row>
    <row r="1607" spans="1:16" x14ac:dyDescent="0.55000000000000004">
      <c r="A1607" t="s">
        <v>2515</v>
      </c>
      <c r="B1607" t="s">
        <v>2516</v>
      </c>
      <c r="C1607" s="4" t="str">
        <f>IFERROR(VLOOKUP(B1607,infoTable10[],4,FALSE),"")</f>
        <v/>
      </c>
      <c r="D1607" s="4" t="str">
        <f>IFERROR(VLOOKUP(B1607,infoTable__2[],4,FALSE),"")</f>
        <v/>
      </c>
      <c r="E1607" s="4" t="str">
        <f>IFERROR(VLOOKUP(B1607,infoTable__3[],4,FALSE),"")</f>
        <v/>
      </c>
      <c r="F1607" s="4" t="str">
        <f>IFERROR(VLOOKUP(B1607,infoTable__4[],4,FALSE),"")</f>
        <v/>
      </c>
      <c r="G1607" s="4" t="str">
        <f>IFERROR(VLOOKUP(B1607,infoTable[],4,FALSE),"")</f>
        <v/>
      </c>
      <c r="H1607" s="4" t="str">
        <f>IFERROR(VLOOKUP(B1607,infoTable__6[],4,FALSE),"")</f>
        <v/>
      </c>
      <c r="I1607" s="4" t="str">
        <f>IFERROR(VLOOKUP(B1607,infoTable__28[],4,FALSE),"")</f>
        <v/>
      </c>
      <c r="J1607" s="4" t="str">
        <f>IFERROR(VLOOKUP(B1607,infoTable__10[],4,FALSE),"")</f>
        <v/>
      </c>
      <c r="K1607" s="4" t="str">
        <f>IFERROR(VLOOKUP(B1607,infoTable__11[],4,FALSE),"")</f>
        <v/>
      </c>
      <c r="L1607" s="4" t="str">
        <f>IFERROR(VLOOKUP(B1607,infoTable__12[],4,FALSE),"")</f>
        <v/>
      </c>
      <c r="M1607" s="4">
        <f>IFERROR(VLOOKUP(B1607,infoTable__13[],4,FALSE),"")</f>
        <v>473160</v>
      </c>
      <c r="N1607" s="4" t="str">
        <f>IFERROR(VLOOKUP(B1607,infoTable__14[],4,FALSE),"")</f>
        <v/>
      </c>
      <c r="O1607" s="4" t="str">
        <f>IFERROR(VLOOKUP(B1607,infoTable__15[],4,FALSE),"")</f>
        <v/>
      </c>
      <c r="P1607" s="4" t="str">
        <f>IFERROR(VLOOKUP(B1607,infoTable__16[],4,FALSE),"")</f>
        <v/>
      </c>
    </row>
    <row r="1608" spans="1:16" x14ac:dyDescent="0.55000000000000004">
      <c r="A1608" t="s">
        <v>1335</v>
      </c>
      <c r="B1608" t="s">
        <v>1336</v>
      </c>
      <c r="C1608" s="4" t="str">
        <f>IFERROR(VLOOKUP(B1608,infoTable10[],4,FALSE),"")</f>
        <v/>
      </c>
      <c r="D1608" s="4" t="str">
        <f>IFERROR(VLOOKUP(B1608,infoTable__2[],4,FALSE),"")</f>
        <v/>
      </c>
      <c r="E1608" s="4" t="str">
        <f>IFERROR(VLOOKUP(B1608,infoTable__3[],4,FALSE),"")</f>
        <v/>
      </c>
      <c r="F1608" s="4" t="str">
        <f>IFERROR(VLOOKUP(B1608,infoTable__4[],4,FALSE),"")</f>
        <v/>
      </c>
      <c r="G1608" s="4" t="str">
        <f>IFERROR(VLOOKUP(B1608,infoTable[],4,FALSE),"")</f>
        <v/>
      </c>
      <c r="H1608" s="4" t="str">
        <f>IFERROR(VLOOKUP(B1608,infoTable__6[],4,FALSE),"")</f>
        <v/>
      </c>
      <c r="I1608" s="4">
        <f>IFERROR(VLOOKUP(B1608,infoTable__28[],4,FALSE),"")</f>
        <v>191687</v>
      </c>
      <c r="J1608" s="4">
        <f>IFERROR(VLOOKUP(B1608,infoTable__10[],4,FALSE),"")</f>
        <v>193331</v>
      </c>
      <c r="K1608" s="4">
        <f>IFERROR(VLOOKUP(B1608,infoTable__11[],4,FALSE),"")</f>
        <v>195421</v>
      </c>
      <c r="L1608" s="4" t="str">
        <f>IFERROR(VLOOKUP(B1608,infoTable__12[],4,FALSE),"")</f>
        <v/>
      </c>
      <c r="M1608" s="4" t="str">
        <f>IFERROR(VLOOKUP(B1608,infoTable__13[],4,FALSE),"")</f>
        <v/>
      </c>
      <c r="N1608" s="4" t="str">
        <f>IFERROR(VLOOKUP(B1608,infoTable__14[],4,FALSE),"")</f>
        <v/>
      </c>
      <c r="O1608" s="4" t="str">
        <f>IFERROR(VLOOKUP(B1608,infoTable__15[],4,FALSE),"")</f>
        <v/>
      </c>
      <c r="P1608" s="4" t="str">
        <f>IFERROR(VLOOKUP(B1608,infoTable__16[],4,FALSE),"")</f>
        <v/>
      </c>
    </row>
    <row r="1609" spans="1:16" x14ac:dyDescent="0.55000000000000004">
      <c r="A1609" t="s">
        <v>3432</v>
      </c>
      <c r="B1609" t="s">
        <v>3434</v>
      </c>
      <c r="C1609" s="4" t="str">
        <f>IFERROR(VLOOKUP(B1609,infoTable10[],4,FALSE),"")</f>
        <v/>
      </c>
      <c r="D1609" s="4" t="str">
        <f>IFERROR(VLOOKUP(B1609,infoTable__2[],4,FALSE),"")</f>
        <v/>
      </c>
      <c r="E1609" s="4" t="str">
        <f>IFERROR(VLOOKUP(B1609,infoTable__3[],4,FALSE),"")</f>
        <v/>
      </c>
      <c r="F1609" s="4" t="str">
        <f>IFERROR(VLOOKUP(B1609,infoTable__4[],4,FALSE),"")</f>
        <v/>
      </c>
      <c r="G1609" s="4" t="str">
        <f>IFERROR(VLOOKUP(B1609,infoTable[],4,FALSE),"")</f>
        <v/>
      </c>
      <c r="H1609" s="4" t="str">
        <f>IFERROR(VLOOKUP(B1609,infoTable__6[],4,FALSE),"")</f>
        <v/>
      </c>
      <c r="I1609" s="4" t="str">
        <f>IFERROR(VLOOKUP(B1609,infoTable__28[],4,FALSE),"")</f>
        <v/>
      </c>
      <c r="J1609" s="4" t="str">
        <f>IFERROR(VLOOKUP(B1609,infoTable__10[],4,FALSE),"")</f>
        <v/>
      </c>
      <c r="K1609" s="4" t="str">
        <f>IFERROR(VLOOKUP(B1609,infoTable__11[],4,FALSE),"")</f>
        <v/>
      </c>
      <c r="L1609" s="4" t="str">
        <f>IFERROR(VLOOKUP(B1609,infoTable__12[],4,FALSE),"")</f>
        <v/>
      </c>
      <c r="M1609" s="4" t="str">
        <f>IFERROR(VLOOKUP(B1609,infoTable__13[],4,FALSE),"")</f>
        <v/>
      </c>
      <c r="N1609" s="4" t="str">
        <f>IFERROR(VLOOKUP(B1609,infoTable__14[],4,FALSE),"")</f>
        <v/>
      </c>
      <c r="O1609" s="4" t="str">
        <f>IFERROR(VLOOKUP(B1609,infoTable__15[],4,FALSE),"")</f>
        <v/>
      </c>
      <c r="P1609" s="4">
        <f>IFERROR(VLOOKUP(B1609,infoTable__16[],4,FALSE),"")</f>
        <v>364725</v>
      </c>
    </row>
    <row r="1610" spans="1:16" x14ac:dyDescent="0.55000000000000004">
      <c r="A1610" t="s">
        <v>2259</v>
      </c>
      <c r="B1610" t="s">
        <v>2261</v>
      </c>
      <c r="C1610" s="4" t="str">
        <f>IFERROR(VLOOKUP(B1610,infoTable10[],4,FALSE),"")</f>
        <v/>
      </c>
      <c r="D1610" s="4" t="str">
        <f>IFERROR(VLOOKUP(B1610,infoTable__2[],4,FALSE),"")</f>
        <v/>
      </c>
      <c r="E1610" s="4" t="str">
        <f>IFERROR(VLOOKUP(B1610,infoTable__3[],4,FALSE),"")</f>
        <v/>
      </c>
      <c r="F1610" s="4" t="str">
        <f>IFERROR(VLOOKUP(B1610,infoTable__4[],4,FALSE),"")</f>
        <v/>
      </c>
      <c r="G1610" s="4" t="str">
        <f>IFERROR(VLOOKUP(B1610,infoTable[],4,FALSE),"")</f>
        <v/>
      </c>
      <c r="H1610" s="4" t="str">
        <f>IFERROR(VLOOKUP(B1610,infoTable__6[],4,FALSE),"")</f>
        <v/>
      </c>
      <c r="I1610" s="4" t="str">
        <f>IFERROR(VLOOKUP(B1610,infoTable__28[],4,FALSE),"")</f>
        <v/>
      </c>
      <c r="J1610" s="4" t="str">
        <f>IFERROR(VLOOKUP(B1610,infoTable__10[],4,FALSE),"")</f>
        <v/>
      </c>
      <c r="K1610" s="4" t="str">
        <f>IFERROR(VLOOKUP(B1610,infoTable__11[],4,FALSE),"")</f>
        <v/>
      </c>
      <c r="L1610" s="4">
        <f>IFERROR(VLOOKUP(B1610,infoTable__12[],4,FALSE),"")</f>
        <v>207999</v>
      </c>
      <c r="M1610" s="4">
        <f>IFERROR(VLOOKUP(B1610,infoTable__13[],4,FALSE),"")</f>
        <v>1613455</v>
      </c>
      <c r="N1610" s="4">
        <f>IFERROR(VLOOKUP(B1610,infoTable__14[],4,FALSE),"")</f>
        <v>630711</v>
      </c>
      <c r="O1610" s="4" t="str">
        <f>IFERROR(VLOOKUP(B1610,infoTable__15[],4,FALSE),"")</f>
        <v/>
      </c>
      <c r="P1610" s="4" t="str">
        <f>IFERROR(VLOOKUP(B1610,infoTable__16[],4,FALSE),"")</f>
        <v/>
      </c>
    </row>
    <row r="1611" spans="1:16" x14ac:dyDescent="0.55000000000000004">
      <c r="A1611" t="s">
        <v>948</v>
      </c>
      <c r="B1611" t="s">
        <v>949</v>
      </c>
      <c r="C1611" s="4" t="str">
        <f>IFERROR(VLOOKUP(B1611,infoTable10[],4,FALSE),"")</f>
        <v/>
      </c>
      <c r="D1611" s="4" t="str">
        <f>IFERROR(VLOOKUP(B1611,infoTable__2[],4,FALSE),"")</f>
        <v/>
      </c>
      <c r="E1611" s="4" t="str">
        <f>IFERROR(VLOOKUP(B1611,infoTable__3[],4,FALSE),"")</f>
        <v/>
      </c>
      <c r="F1611" s="4" t="str">
        <f>IFERROR(VLOOKUP(B1611,infoTable__4[],4,FALSE),"")</f>
        <v/>
      </c>
      <c r="G1611" s="4" t="str">
        <f>IFERROR(VLOOKUP(B1611,infoTable[],4,FALSE),"")</f>
        <v/>
      </c>
      <c r="H1611" s="4">
        <f>IFERROR(VLOOKUP(B1611,infoTable__6[],4,FALSE),"")</f>
        <v>550939</v>
      </c>
      <c r="I1611" s="4" t="str">
        <f>IFERROR(VLOOKUP(B1611,infoTable__28[],4,FALSE),"")</f>
        <v/>
      </c>
      <c r="J1611" s="4" t="str">
        <f>IFERROR(VLOOKUP(B1611,infoTable__10[],4,FALSE),"")</f>
        <v/>
      </c>
      <c r="K1611" s="4" t="str">
        <f>IFERROR(VLOOKUP(B1611,infoTable__11[],4,FALSE),"")</f>
        <v/>
      </c>
      <c r="L1611" s="4" t="str">
        <f>IFERROR(VLOOKUP(B1611,infoTable__12[],4,FALSE),"")</f>
        <v/>
      </c>
      <c r="M1611" s="4" t="str">
        <f>IFERROR(VLOOKUP(B1611,infoTable__13[],4,FALSE),"")</f>
        <v/>
      </c>
      <c r="N1611" s="4" t="str">
        <f>IFERROR(VLOOKUP(B1611,infoTable__14[],4,FALSE),"")</f>
        <v/>
      </c>
      <c r="O1611" s="4" t="str">
        <f>IFERROR(VLOOKUP(B1611,infoTable__15[],4,FALSE),"")</f>
        <v/>
      </c>
      <c r="P1611" s="4" t="str">
        <f>IFERROR(VLOOKUP(B1611,infoTable__16[],4,FALSE),"")</f>
        <v/>
      </c>
    </row>
    <row r="1612" spans="1:16" x14ac:dyDescent="0.55000000000000004">
      <c r="A1612" t="s">
        <v>17</v>
      </c>
      <c r="B1612" t="s">
        <v>19</v>
      </c>
      <c r="C1612" s="4" t="str">
        <f>IFERROR(VLOOKUP(B1612,infoTable10[],4,FALSE),"")</f>
        <v/>
      </c>
      <c r="D1612" s="4">
        <f>IFERROR(VLOOKUP(B1612,infoTable__2[],4,FALSE),"")</f>
        <v>2104121</v>
      </c>
      <c r="E1612" s="4">
        <f>IFERROR(VLOOKUP(B1612,infoTable__3[],4,FALSE),"")</f>
        <v>4598626</v>
      </c>
      <c r="F1612" s="4">
        <f>IFERROR(VLOOKUP(B1612,infoTable__4[],4,FALSE),"")</f>
        <v>416417</v>
      </c>
      <c r="G1612" s="4">
        <f>IFERROR(VLOOKUP(B1612,infoTable[],4,FALSE),"")</f>
        <v>411826</v>
      </c>
      <c r="H1612" s="4">
        <f>IFERROR(VLOOKUP(B1612,infoTable__6[],4,FALSE),"")</f>
        <v>496385</v>
      </c>
      <c r="I1612" s="4" t="str">
        <f>IFERROR(VLOOKUP(B1612,infoTable__28[],4,FALSE),"")</f>
        <v/>
      </c>
      <c r="J1612" s="4" t="str">
        <f>IFERROR(VLOOKUP(B1612,infoTable__10[],4,FALSE),"")</f>
        <v/>
      </c>
      <c r="K1612" s="4" t="str">
        <f>IFERROR(VLOOKUP(B1612,infoTable__11[],4,FALSE),"")</f>
        <v/>
      </c>
      <c r="L1612" s="4" t="str">
        <f>IFERROR(VLOOKUP(B1612,infoTable__12[],4,FALSE),"")</f>
        <v/>
      </c>
      <c r="M1612" s="4">
        <f>IFERROR(VLOOKUP(B1612,infoTable__13[],4,FALSE),"")</f>
        <v>1673109</v>
      </c>
      <c r="N1612" s="4">
        <f>IFERROR(VLOOKUP(B1612,infoTable__14[],4,FALSE),"")</f>
        <v>2507872</v>
      </c>
      <c r="O1612" s="4">
        <f>IFERROR(VLOOKUP(B1612,infoTable__15[],4,FALSE),"")</f>
        <v>2380271</v>
      </c>
      <c r="P1612" s="4">
        <f>IFERROR(VLOOKUP(B1612,infoTable__16[],4,FALSE),"")</f>
        <v>2171104</v>
      </c>
    </row>
    <row r="1613" spans="1:16" x14ac:dyDescent="0.55000000000000004">
      <c r="A1613" t="s">
        <v>638</v>
      </c>
      <c r="B1613" t="s">
        <v>639</v>
      </c>
      <c r="C1613" s="4" t="str">
        <f>IFERROR(VLOOKUP(B1613,infoTable10[],4,FALSE),"")</f>
        <v/>
      </c>
      <c r="D1613" s="4">
        <f>IFERROR(VLOOKUP(B1613,infoTable__2[],4,FALSE),"")</f>
        <v>1750993</v>
      </c>
      <c r="E1613" s="4" t="str">
        <f>IFERROR(VLOOKUP(B1613,infoTable__3[],4,FALSE),"")</f>
        <v/>
      </c>
      <c r="F1613" s="4" t="str">
        <f>IFERROR(VLOOKUP(B1613,infoTable__4[],4,FALSE),"")</f>
        <v/>
      </c>
      <c r="G1613" s="4" t="str">
        <f>IFERROR(VLOOKUP(B1613,infoTable[],4,FALSE),"")</f>
        <v/>
      </c>
      <c r="H1613" s="4" t="str">
        <f>IFERROR(VLOOKUP(B1613,infoTable__6[],4,FALSE),"")</f>
        <v/>
      </c>
      <c r="I1613" s="4" t="str">
        <f>IFERROR(VLOOKUP(B1613,infoTable__28[],4,FALSE),"")</f>
        <v/>
      </c>
      <c r="J1613" s="4" t="str">
        <f>IFERROR(VLOOKUP(B1613,infoTable__10[],4,FALSE),"")</f>
        <v/>
      </c>
      <c r="K1613" s="4">
        <f>IFERROR(VLOOKUP(B1613,infoTable__11[],4,FALSE),"")</f>
        <v>599027</v>
      </c>
      <c r="L1613" s="4">
        <f>IFERROR(VLOOKUP(B1613,infoTable__12[],4,FALSE),"")</f>
        <v>471448</v>
      </c>
      <c r="M1613" s="4">
        <f>IFERROR(VLOOKUP(B1613,infoTable__13[],4,FALSE),"")</f>
        <v>549752</v>
      </c>
      <c r="N1613" s="4" t="str">
        <f>IFERROR(VLOOKUP(B1613,infoTable__14[],4,FALSE),"")</f>
        <v/>
      </c>
      <c r="O1613" s="4">
        <f>IFERROR(VLOOKUP(B1613,infoTable__15[],4,FALSE),"")</f>
        <v>1136553</v>
      </c>
      <c r="P1613" s="4">
        <f>IFERROR(VLOOKUP(B1613,infoTable__16[],4,FALSE),"")</f>
        <v>2280246</v>
      </c>
    </row>
    <row r="1614" spans="1:16" x14ac:dyDescent="0.55000000000000004">
      <c r="A1614" t="s">
        <v>1312</v>
      </c>
      <c r="B1614" t="s">
        <v>1313</v>
      </c>
      <c r="C1614" s="4" t="str">
        <f>IFERROR(VLOOKUP(B1614,infoTable10[],4,FALSE),"")</f>
        <v/>
      </c>
      <c r="D1614" s="4" t="str">
        <f>IFERROR(VLOOKUP(B1614,infoTable__2[],4,FALSE),"")</f>
        <v/>
      </c>
      <c r="E1614" s="4" t="str">
        <f>IFERROR(VLOOKUP(B1614,infoTable__3[],4,FALSE),"")</f>
        <v/>
      </c>
      <c r="F1614" s="4" t="str">
        <f>IFERROR(VLOOKUP(B1614,infoTable__4[],4,FALSE),"")</f>
        <v/>
      </c>
      <c r="G1614" s="4" t="str">
        <f>IFERROR(VLOOKUP(B1614,infoTable[],4,FALSE),"")</f>
        <v/>
      </c>
      <c r="H1614" s="4" t="str">
        <f>IFERROR(VLOOKUP(B1614,infoTable__6[],4,FALSE),"")</f>
        <v/>
      </c>
      <c r="I1614" s="4">
        <f>IFERROR(VLOOKUP(B1614,infoTable__28[],4,FALSE),"")</f>
        <v>84369</v>
      </c>
      <c r="J1614" s="4">
        <f>IFERROR(VLOOKUP(B1614,infoTable__10[],4,FALSE),"")</f>
        <v>991393</v>
      </c>
      <c r="K1614" s="4">
        <f>IFERROR(VLOOKUP(B1614,infoTable__11[],4,FALSE),"")</f>
        <v>90999</v>
      </c>
      <c r="L1614" s="4" t="str">
        <f>IFERROR(VLOOKUP(B1614,infoTable__12[],4,FALSE),"")</f>
        <v/>
      </c>
      <c r="M1614" s="4" t="str">
        <f>IFERROR(VLOOKUP(B1614,infoTable__13[],4,FALSE),"")</f>
        <v/>
      </c>
      <c r="N1614" s="4" t="str">
        <f>IFERROR(VLOOKUP(B1614,infoTable__14[],4,FALSE),"")</f>
        <v/>
      </c>
      <c r="O1614" s="4" t="str">
        <f>IFERROR(VLOOKUP(B1614,infoTable__15[],4,FALSE),"")</f>
        <v/>
      </c>
      <c r="P1614" s="4" t="str">
        <f>IFERROR(VLOOKUP(B1614,infoTable__16[],4,FALSE),"")</f>
        <v/>
      </c>
    </row>
    <row r="1615" spans="1:16" x14ac:dyDescent="0.55000000000000004">
      <c r="A1615" t="s">
        <v>320</v>
      </c>
      <c r="B1615" t="s">
        <v>321</v>
      </c>
      <c r="C1615" s="4">
        <f>IFERROR(VLOOKUP(B1615,infoTable10[],4,FALSE),"")</f>
        <v>4913081</v>
      </c>
      <c r="D1615" s="4">
        <f>IFERROR(VLOOKUP(B1615,infoTable__2[],4,FALSE),"")</f>
        <v>7150010</v>
      </c>
      <c r="E1615" s="4">
        <f>IFERROR(VLOOKUP(B1615,infoTable__3[],4,FALSE),"")</f>
        <v>5571266</v>
      </c>
      <c r="F1615" s="4">
        <f>IFERROR(VLOOKUP(B1615,infoTable__4[],4,FALSE),"")</f>
        <v>4517959</v>
      </c>
      <c r="G1615" s="4">
        <f>IFERROR(VLOOKUP(B1615,infoTable[],4,FALSE),"")</f>
        <v>2603538</v>
      </c>
      <c r="H1615" s="4" t="str">
        <f>IFERROR(VLOOKUP(B1615,infoTable__6[],4,FALSE),"")</f>
        <v/>
      </c>
      <c r="I1615" s="4" t="str">
        <f>IFERROR(VLOOKUP(B1615,infoTable__28[],4,FALSE),"")</f>
        <v/>
      </c>
      <c r="J1615" s="4" t="str">
        <f>IFERROR(VLOOKUP(B1615,infoTable__10[],4,FALSE),"")</f>
        <v/>
      </c>
      <c r="K1615" s="4" t="str">
        <f>IFERROR(VLOOKUP(B1615,infoTable__11[],4,FALSE),"")</f>
        <v/>
      </c>
      <c r="L1615" s="4" t="str">
        <f>IFERROR(VLOOKUP(B1615,infoTable__12[],4,FALSE),"")</f>
        <v/>
      </c>
      <c r="M1615" s="4" t="str">
        <f>IFERROR(VLOOKUP(B1615,infoTable__13[],4,FALSE),"")</f>
        <v/>
      </c>
      <c r="N1615" s="4" t="str">
        <f>IFERROR(VLOOKUP(B1615,infoTable__14[],4,FALSE),"")</f>
        <v/>
      </c>
      <c r="O1615" s="4" t="str">
        <f>IFERROR(VLOOKUP(B1615,infoTable__15[],4,FALSE),"")</f>
        <v/>
      </c>
      <c r="P1615" s="4">
        <f>IFERROR(VLOOKUP(B1615,infoTable__16[],4,FALSE),"")</f>
        <v>923220</v>
      </c>
    </row>
    <row r="1616" spans="1:16" x14ac:dyDescent="0.55000000000000004">
      <c r="A1616" t="s">
        <v>884</v>
      </c>
      <c r="B1616" t="s">
        <v>885</v>
      </c>
      <c r="C1616" s="4">
        <f>IFERROR(VLOOKUP(B1616,infoTable10[],4,FALSE),"")</f>
        <v>191727</v>
      </c>
      <c r="D1616" s="4" t="str">
        <f>IFERROR(VLOOKUP(B1616,infoTable__2[],4,FALSE),"")</f>
        <v/>
      </c>
      <c r="E1616" s="4" t="str">
        <f>IFERROR(VLOOKUP(B1616,infoTable__3[],4,FALSE),"")</f>
        <v/>
      </c>
      <c r="F1616" s="4">
        <f>IFERROR(VLOOKUP(B1616,infoTable__4[],4,FALSE),"")</f>
        <v>205654</v>
      </c>
      <c r="G1616" s="4" t="str">
        <f>IFERROR(VLOOKUP(B1616,infoTable[],4,FALSE),"")</f>
        <v/>
      </c>
      <c r="H1616" s="4" t="str">
        <f>IFERROR(VLOOKUP(B1616,infoTable__6[],4,FALSE),"")</f>
        <v/>
      </c>
      <c r="I1616" s="4" t="str">
        <f>IFERROR(VLOOKUP(B1616,infoTable__28[],4,FALSE),"")</f>
        <v/>
      </c>
      <c r="J1616" s="4" t="str">
        <f>IFERROR(VLOOKUP(B1616,infoTable__10[],4,FALSE),"")</f>
        <v/>
      </c>
      <c r="K1616" s="4">
        <f>IFERROR(VLOOKUP(B1616,infoTable__11[],4,FALSE),"")</f>
        <v>2201742</v>
      </c>
      <c r="L1616" s="4">
        <f>IFERROR(VLOOKUP(B1616,infoTable__12[],4,FALSE),"")</f>
        <v>607403</v>
      </c>
      <c r="M1616" s="4" t="str">
        <f>IFERROR(VLOOKUP(B1616,infoTable__13[],4,FALSE),"")</f>
        <v/>
      </c>
      <c r="N1616" s="4">
        <f>IFERROR(VLOOKUP(B1616,infoTable__14[],4,FALSE),"")</f>
        <v>546638</v>
      </c>
      <c r="O1616" s="4" t="str">
        <f>IFERROR(VLOOKUP(B1616,infoTable__15[],4,FALSE),"")</f>
        <v/>
      </c>
      <c r="P1616" s="4" t="str">
        <f>IFERROR(VLOOKUP(B1616,infoTable__16[],4,FALSE),"")</f>
        <v/>
      </c>
    </row>
    <row r="1617" spans="1:16" x14ac:dyDescent="0.55000000000000004">
      <c r="A1617" t="s">
        <v>3119</v>
      </c>
      <c r="B1617" t="s">
        <v>3120</v>
      </c>
      <c r="C1617" s="4" t="str">
        <f>IFERROR(VLOOKUP(B1617,infoTable10[],4,FALSE),"")</f>
        <v/>
      </c>
      <c r="D1617" s="4" t="str">
        <f>IFERROR(VLOOKUP(B1617,infoTable__2[],4,FALSE),"")</f>
        <v/>
      </c>
      <c r="E1617" s="4" t="str">
        <f>IFERROR(VLOOKUP(B1617,infoTable__3[],4,FALSE),"")</f>
        <v/>
      </c>
      <c r="F1617" s="4" t="str">
        <f>IFERROR(VLOOKUP(B1617,infoTable__4[],4,FALSE),"")</f>
        <v/>
      </c>
      <c r="G1617" s="4" t="str">
        <f>IFERROR(VLOOKUP(B1617,infoTable[],4,FALSE),"")</f>
        <v/>
      </c>
      <c r="H1617" s="4" t="str">
        <f>IFERROR(VLOOKUP(B1617,infoTable__6[],4,FALSE),"")</f>
        <v/>
      </c>
      <c r="I1617" s="4" t="str">
        <f>IFERROR(VLOOKUP(B1617,infoTable__28[],4,FALSE),"")</f>
        <v/>
      </c>
      <c r="J1617" s="4" t="str">
        <f>IFERROR(VLOOKUP(B1617,infoTable__10[],4,FALSE),"")</f>
        <v/>
      </c>
      <c r="K1617" s="4" t="str">
        <f>IFERROR(VLOOKUP(B1617,infoTable__11[],4,FALSE),"")</f>
        <v/>
      </c>
      <c r="L1617" s="4" t="str">
        <f>IFERROR(VLOOKUP(B1617,infoTable__12[],4,FALSE),"")</f>
        <v/>
      </c>
      <c r="M1617" s="4" t="str">
        <f>IFERROR(VLOOKUP(B1617,infoTable__13[],4,FALSE),"")</f>
        <v/>
      </c>
      <c r="N1617" s="4" t="str">
        <f>IFERROR(VLOOKUP(B1617,infoTable__14[],4,FALSE),"")</f>
        <v/>
      </c>
      <c r="O1617" s="4">
        <f>IFERROR(VLOOKUP(B1617,infoTable__15[],4,FALSE),"")</f>
        <v>662249</v>
      </c>
      <c r="P1617" s="4">
        <f>IFERROR(VLOOKUP(B1617,infoTable__16[],4,FALSE),"")</f>
        <v>293493</v>
      </c>
    </row>
    <row r="1618" spans="1:16" x14ac:dyDescent="0.55000000000000004">
      <c r="A1618" t="s">
        <v>886</v>
      </c>
      <c r="B1618" t="s">
        <v>888</v>
      </c>
      <c r="C1618" s="4" t="str">
        <f>IFERROR(VLOOKUP(B1618,infoTable10[],4,FALSE),"")</f>
        <v/>
      </c>
      <c r="D1618" s="4" t="str">
        <f>IFERROR(VLOOKUP(B1618,infoTable__2[],4,FALSE),"")</f>
        <v/>
      </c>
      <c r="E1618" s="4" t="str">
        <f>IFERROR(VLOOKUP(B1618,infoTable__3[],4,FALSE),"")</f>
        <v/>
      </c>
      <c r="F1618" s="4">
        <f>IFERROR(VLOOKUP(B1618,infoTable__4[],4,FALSE),"")</f>
        <v>886458</v>
      </c>
      <c r="G1618" s="4" t="str">
        <f>IFERROR(VLOOKUP(B1618,infoTable[],4,FALSE),"")</f>
        <v/>
      </c>
      <c r="H1618" s="4">
        <f>IFERROR(VLOOKUP(B1618,infoTable__6[],4,FALSE),"")</f>
        <v>333121</v>
      </c>
      <c r="I1618" s="4" t="str">
        <f>IFERROR(VLOOKUP(B1618,infoTable__28[],4,FALSE),"")</f>
        <v/>
      </c>
      <c r="J1618" s="4" t="str">
        <f>IFERROR(VLOOKUP(B1618,infoTable__10[],4,FALSE),"")</f>
        <v/>
      </c>
      <c r="K1618" s="4">
        <f>IFERROR(VLOOKUP(B1618,infoTable__11[],4,FALSE),"")</f>
        <v>135934</v>
      </c>
      <c r="L1618" s="4" t="str">
        <f>IFERROR(VLOOKUP(B1618,infoTable__12[],4,FALSE),"")</f>
        <v/>
      </c>
      <c r="M1618" s="4" t="str">
        <f>IFERROR(VLOOKUP(B1618,infoTable__13[],4,FALSE),"")</f>
        <v/>
      </c>
      <c r="N1618" s="4">
        <f>IFERROR(VLOOKUP(B1618,infoTable__14[],4,FALSE),"")</f>
        <v>164983</v>
      </c>
      <c r="O1618" s="4">
        <f>IFERROR(VLOOKUP(B1618,infoTable__15[],4,FALSE),"")</f>
        <v>739590</v>
      </c>
      <c r="P1618" s="4" t="str">
        <f>IFERROR(VLOOKUP(B1618,infoTable__16[],4,FALSE),"")</f>
        <v/>
      </c>
    </row>
    <row r="1619" spans="1:16" x14ac:dyDescent="0.55000000000000004">
      <c r="A1619" t="s">
        <v>3121</v>
      </c>
      <c r="B1619" t="s">
        <v>3122</v>
      </c>
      <c r="C1619" s="4" t="str">
        <f>IFERROR(VLOOKUP(B1619,infoTable10[],4,FALSE),"")</f>
        <v/>
      </c>
      <c r="D1619" s="4" t="str">
        <f>IFERROR(VLOOKUP(B1619,infoTable__2[],4,FALSE),"")</f>
        <v/>
      </c>
      <c r="E1619" s="4" t="str">
        <f>IFERROR(VLOOKUP(B1619,infoTable__3[],4,FALSE),"")</f>
        <v/>
      </c>
      <c r="F1619" s="4" t="str">
        <f>IFERROR(VLOOKUP(B1619,infoTable__4[],4,FALSE),"")</f>
        <v/>
      </c>
      <c r="G1619" s="4" t="str">
        <f>IFERROR(VLOOKUP(B1619,infoTable[],4,FALSE),"")</f>
        <v/>
      </c>
      <c r="H1619" s="4" t="str">
        <f>IFERROR(VLOOKUP(B1619,infoTable__6[],4,FALSE),"")</f>
        <v/>
      </c>
      <c r="I1619" s="4" t="str">
        <f>IFERROR(VLOOKUP(B1619,infoTable__28[],4,FALSE),"")</f>
        <v/>
      </c>
      <c r="J1619" s="4" t="str">
        <f>IFERROR(VLOOKUP(B1619,infoTable__10[],4,FALSE),"")</f>
        <v/>
      </c>
      <c r="K1619" s="4" t="str">
        <f>IFERROR(VLOOKUP(B1619,infoTable__11[],4,FALSE),"")</f>
        <v/>
      </c>
      <c r="L1619" s="4" t="str">
        <f>IFERROR(VLOOKUP(B1619,infoTable__12[],4,FALSE),"")</f>
        <v/>
      </c>
      <c r="M1619" s="4" t="str">
        <f>IFERROR(VLOOKUP(B1619,infoTable__13[],4,FALSE),"")</f>
        <v/>
      </c>
      <c r="N1619" s="4" t="str">
        <f>IFERROR(VLOOKUP(B1619,infoTable__14[],4,FALSE),"")</f>
        <v/>
      </c>
      <c r="O1619" s="4">
        <f>IFERROR(VLOOKUP(B1619,infoTable__15[],4,FALSE),"")</f>
        <v>324978</v>
      </c>
      <c r="P1619" s="4" t="str">
        <f>IFERROR(VLOOKUP(B1619,infoTable__16[],4,FALSE),"")</f>
        <v/>
      </c>
    </row>
    <row r="1620" spans="1:16" x14ac:dyDescent="0.55000000000000004">
      <c r="A1620" t="s">
        <v>3131</v>
      </c>
      <c r="B1620" t="s">
        <v>3132</v>
      </c>
      <c r="C1620" s="4" t="str">
        <f>IFERROR(VLOOKUP(B1620,infoTable10[],4,FALSE),"")</f>
        <v/>
      </c>
      <c r="D1620" s="4" t="str">
        <f>IFERROR(VLOOKUP(B1620,infoTable__2[],4,FALSE),"")</f>
        <v/>
      </c>
      <c r="E1620" s="4" t="str">
        <f>IFERROR(VLOOKUP(B1620,infoTable__3[],4,FALSE),"")</f>
        <v/>
      </c>
      <c r="F1620" s="4" t="str">
        <f>IFERROR(VLOOKUP(B1620,infoTable__4[],4,FALSE),"")</f>
        <v/>
      </c>
      <c r="G1620" s="4" t="str">
        <f>IFERROR(VLOOKUP(B1620,infoTable[],4,FALSE),"")</f>
        <v/>
      </c>
      <c r="H1620" s="4" t="str">
        <f>IFERROR(VLOOKUP(B1620,infoTable__6[],4,FALSE),"")</f>
        <v/>
      </c>
      <c r="I1620" s="4" t="str">
        <f>IFERROR(VLOOKUP(B1620,infoTable__28[],4,FALSE),"")</f>
        <v/>
      </c>
      <c r="J1620" s="4" t="str">
        <f>IFERROR(VLOOKUP(B1620,infoTable__10[],4,FALSE),"")</f>
        <v/>
      </c>
      <c r="K1620" s="4" t="str">
        <f>IFERROR(VLOOKUP(B1620,infoTable__11[],4,FALSE),"")</f>
        <v/>
      </c>
      <c r="L1620" s="4" t="str">
        <f>IFERROR(VLOOKUP(B1620,infoTable__12[],4,FALSE),"")</f>
        <v/>
      </c>
      <c r="M1620" s="4" t="str">
        <f>IFERROR(VLOOKUP(B1620,infoTable__13[],4,FALSE),"")</f>
        <v/>
      </c>
      <c r="N1620" s="4" t="str">
        <f>IFERROR(VLOOKUP(B1620,infoTable__14[],4,FALSE),"")</f>
        <v/>
      </c>
      <c r="O1620" s="4">
        <f>IFERROR(VLOOKUP(B1620,infoTable__15[],4,FALSE),"")</f>
        <v>750773</v>
      </c>
      <c r="P1620" s="4">
        <f>IFERROR(VLOOKUP(B1620,infoTable__16[],4,FALSE),"")</f>
        <v>554265</v>
      </c>
    </row>
    <row r="1621" spans="1:16" x14ac:dyDescent="0.55000000000000004">
      <c r="A1621" t="s">
        <v>3471</v>
      </c>
      <c r="B1621" t="s">
        <v>3472</v>
      </c>
      <c r="C1621" s="4" t="str">
        <f>IFERROR(VLOOKUP(B1621,infoTable10[],4,FALSE),"")</f>
        <v/>
      </c>
      <c r="D1621" s="4" t="str">
        <f>IFERROR(VLOOKUP(B1621,infoTable__2[],4,FALSE),"")</f>
        <v/>
      </c>
      <c r="E1621" s="4" t="str">
        <f>IFERROR(VLOOKUP(B1621,infoTable__3[],4,FALSE),"")</f>
        <v/>
      </c>
      <c r="F1621" s="4" t="str">
        <f>IFERROR(VLOOKUP(B1621,infoTable__4[],4,FALSE),"")</f>
        <v/>
      </c>
      <c r="G1621" s="4" t="str">
        <f>IFERROR(VLOOKUP(B1621,infoTable[],4,FALSE),"")</f>
        <v/>
      </c>
      <c r="H1621" s="4" t="str">
        <f>IFERROR(VLOOKUP(B1621,infoTable__6[],4,FALSE),"")</f>
        <v/>
      </c>
      <c r="I1621" s="4" t="str">
        <f>IFERROR(VLOOKUP(B1621,infoTable__28[],4,FALSE),"")</f>
        <v/>
      </c>
      <c r="J1621" s="4" t="str">
        <f>IFERROR(VLOOKUP(B1621,infoTable__10[],4,FALSE),"")</f>
        <v/>
      </c>
      <c r="K1621" s="4" t="str">
        <f>IFERROR(VLOOKUP(B1621,infoTable__11[],4,FALSE),"")</f>
        <v/>
      </c>
      <c r="L1621" s="4" t="str">
        <f>IFERROR(VLOOKUP(B1621,infoTable__12[],4,FALSE),"")</f>
        <v/>
      </c>
      <c r="M1621" s="4" t="str">
        <f>IFERROR(VLOOKUP(B1621,infoTable__13[],4,FALSE),"")</f>
        <v/>
      </c>
      <c r="N1621" s="4" t="str">
        <f>IFERROR(VLOOKUP(B1621,infoTable__14[],4,FALSE),"")</f>
        <v/>
      </c>
      <c r="O1621" s="4" t="str">
        <f>IFERROR(VLOOKUP(B1621,infoTable__15[],4,FALSE),"")</f>
        <v/>
      </c>
      <c r="P1621" s="4">
        <f>IFERROR(VLOOKUP(B1621,infoTable__16[],4,FALSE),"")</f>
        <v>171032</v>
      </c>
    </row>
    <row r="1622" spans="1:16" x14ac:dyDescent="0.55000000000000004">
      <c r="A1622" t="s">
        <v>1378</v>
      </c>
      <c r="B1622" t="s">
        <v>1379</v>
      </c>
      <c r="C1622" s="4" t="str">
        <f>IFERROR(VLOOKUP(B1622,infoTable10[],4,FALSE),"")</f>
        <v/>
      </c>
      <c r="D1622" s="4" t="str">
        <f>IFERROR(VLOOKUP(B1622,infoTable__2[],4,FALSE),"")</f>
        <v/>
      </c>
      <c r="E1622" s="4" t="str">
        <f>IFERROR(VLOOKUP(B1622,infoTable__3[],4,FALSE),"")</f>
        <v/>
      </c>
      <c r="F1622" s="4" t="str">
        <f>IFERROR(VLOOKUP(B1622,infoTable__4[],4,FALSE),"")</f>
        <v/>
      </c>
      <c r="G1622" s="4" t="str">
        <f>IFERROR(VLOOKUP(B1622,infoTable[],4,FALSE),"")</f>
        <v/>
      </c>
      <c r="H1622" s="4" t="str">
        <f>IFERROR(VLOOKUP(B1622,infoTable__6[],4,FALSE),"")</f>
        <v/>
      </c>
      <c r="I1622" s="4">
        <f>IFERROR(VLOOKUP(B1622,infoTable__28[],4,FALSE),"")</f>
        <v>541857</v>
      </c>
      <c r="J1622" s="4">
        <f>IFERROR(VLOOKUP(B1622,infoTable__10[],4,FALSE),"")</f>
        <v>861267</v>
      </c>
      <c r="K1622" s="4" t="str">
        <f>IFERROR(VLOOKUP(B1622,infoTable__11[],4,FALSE),"")</f>
        <v/>
      </c>
      <c r="L1622" s="4" t="str">
        <f>IFERROR(VLOOKUP(B1622,infoTable__12[],4,FALSE),"")</f>
        <v/>
      </c>
      <c r="M1622" s="4" t="str">
        <f>IFERROR(VLOOKUP(B1622,infoTable__13[],4,FALSE),"")</f>
        <v/>
      </c>
      <c r="N1622" s="4" t="str">
        <f>IFERROR(VLOOKUP(B1622,infoTable__14[],4,FALSE),"")</f>
        <v/>
      </c>
      <c r="O1622" s="4" t="str">
        <f>IFERROR(VLOOKUP(B1622,infoTable__15[],4,FALSE),"")</f>
        <v/>
      </c>
      <c r="P1622" s="4">
        <f>IFERROR(VLOOKUP(B1622,infoTable__16[],4,FALSE),"")</f>
        <v>410146</v>
      </c>
    </row>
    <row r="1623" spans="1:16" x14ac:dyDescent="0.55000000000000004">
      <c r="A1623" t="s">
        <v>3155</v>
      </c>
      <c r="B1623" t="s">
        <v>3156</v>
      </c>
      <c r="C1623" s="4" t="str">
        <f>IFERROR(VLOOKUP(B1623,infoTable10[],4,FALSE),"")</f>
        <v/>
      </c>
      <c r="D1623" s="4" t="str">
        <f>IFERROR(VLOOKUP(B1623,infoTable__2[],4,FALSE),"")</f>
        <v/>
      </c>
      <c r="E1623" s="4" t="str">
        <f>IFERROR(VLOOKUP(B1623,infoTable__3[],4,FALSE),"")</f>
        <v/>
      </c>
      <c r="F1623" s="4" t="str">
        <f>IFERROR(VLOOKUP(B1623,infoTable__4[],4,FALSE),"")</f>
        <v/>
      </c>
      <c r="G1623" s="4" t="str">
        <f>IFERROR(VLOOKUP(B1623,infoTable[],4,FALSE),"")</f>
        <v/>
      </c>
      <c r="H1623" s="4" t="str">
        <f>IFERROR(VLOOKUP(B1623,infoTable__6[],4,FALSE),"")</f>
        <v/>
      </c>
      <c r="I1623" s="4" t="str">
        <f>IFERROR(VLOOKUP(B1623,infoTable__28[],4,FALSE),"")</f>
        <v/>
      </c>
      <c r="J1623" s="4" t="str">
        <f>IFERROR(VLOOKUP(B1623,infoTable__10[],4,FALSE),"")</f>
        <v/>
      </c>
      <c r="K1623" s="4" t="str">
        <f>IFERROR(VLOOKUP(B1623,infoTable__11[],4,FALSE),"")</f>
        <v/>
      </c>
      <c r="L1623" s="4" t="str">
        <f>IFERROR(VLOOKUP(B1623,infoTable__12[],4,FALSE),"")</f>
        <v/>
      </c>
      <c r="M1623" s="4" t="str">
        <f>IFERROR(VLOOKUP(B1623,infoTable__13[],4,FALSE),"")</f>
        <v/>
      </c>
      <c r="N1623" s="4" t="str">
        <f>IFERROR(VLOOKUP(B1623,infoTable__14[],4,FALSE),"")</f>
        <v/>
      </c>
      <c r="O1623" s="4">
        <f>IFERROR(VLOOKUP(B1623,infoTable__15[],4,FALSE),"")</f>
        <v>631485</v>
      </c>
      <c r="P1623" s="4">
        <f>IFERROR(VLOOKUP(B1623,infoTable__16[],4,FALSE),"")</f>
        <v>1302165</v>
      </c>
    </row>
    <row r="1624" spans="1:16" x14ac:dyDescent="0.55000000000000004">
      <c r="A1624" t="s">
        <v>3494</v>
      </c>
      <c r="B1624" t="s">
        <v>3495</v>
      </c>
      <c r="C1624" s="4" t="str">
        <f>IFERROR(VLOOKUP(B1624,infoTable10[],4,FALSE),"")</f>
        <v/>
      </c>
      <c r="D1624" s="4" t="str">
        <f>IFERROR(VLOOKUP(B1624,infoTable__2[],4,FALSE),"")</f>
        <v/>
      </c>
      <c r="E1624" s="4" t="str">
        <f>IFERROR(VLOOKUP(B1624,infoTable__3[],4,FALSE),"")</f>
        <v/>
      </c>
      <c r="F1624" s="4" t="str">
        <f>IFERROR(VLOOKUP(B1624,infoTable__4[],4,FALSE),"")</f>
        <v/>
      </c>
      <c r="G1624" s="4" t="str">
        <f>IFERROR(VLOOKUP(B1624,infoTable[],4,FALSE),"")</f>
        <v/>
      </c>
      <c r="H1624" s="4" t="str">
        <f>IFERROR(VLOOKUP(B1624,infoTable__6[],4,FALSE),"")</f>
        <v/>
      </c>
      <c r="I1624" s="4" t="str">
        <f>IFERROR(VLOOKUP(B1624,infoTable__28[],4,FALSE),"")</f>
        <v/>
      </c>
      <c r="J1624" s="4" t="str">
        <f>IFERROR(VLOOKUP(B1624,infoTable__10[],4,FALSE),"")</f>
        <v/>
      </c>
      <c r="K1624" s="4" t="str">
        <f>IFERROR(VLOOKUP(B1624,infoTable__11[],4,FALSE),"")</f>
        <v/>
      </c>
      <c r="L1624" s="4" t="str">
        <f>IFERROR(VLOOKUP(B1624,infoTable__12[],4,FALSE),"")</f>
        <v/>
      </c>
      <c r="M1624" s="4" t="str">
        <f>IFERROR(VLOOKUP(B1624,infoTable__13[],4,FALSE),"")</f>
        <v/>
      </c>
      <c r="N1624" s="4" t="str">
        <f>IFERROR(VLOOKUP(B1624,infoTable__14[],4,FALSE),"")</f>
        <v/>
      </c>
      <c r="O1624" s="4" t="str">
        <f>IFERROR(VLOOKUP(B1624,infoTable__15[],4,FALSE),"")</f>
        <v/>
      </c>
      <c r="P1624" s="4">
        <f>IFERROR(VLOOKUP(B1624,infoTable__16[],4,FALSE),"")</f>
        <v>510449</v>
      </c>
    </row>
    <row r="1625" spans="1:16" x14ac:dyDescent="0.55000000000000004">
      <c r="A1625" t="s">
        <v>3501</v>
      </c>
      <c r="B1625" t="s">
        <v>3502</v>
      </c>
      <c r="C1625" s="4" t="str">
        <f>IFERROR(VLOOKUP(B1625,infoTable10[],4,FALSE),"")</f>
        <v/>
      </c>
      <c r="D1625" s="4" t="str">
        <f>IFERROR(VLOOKUP(B1625,infoTable__2[],4,FALSE),"")</f>
        <v/>
      </c>
      <c r="E1625" s="4" t="str">
        <f>IFERROR(VLOOKUP(B1625,infoTable__3[],4,FALSE),"")</f>
        <v/>
      </c>
      <c r="F1625" s="4" t="str">
        <f>IFERROR(VLOOKUP(B1625,infoTable__4[],4,FALSE),"")</f>
        <v/>
      </c>
      <c r="G1625" s="4" t="str">
        <f>IFERROR(VLOOKUP(B1625,infoTable[],4,FALSE),"")</f>
        <v/>
      </c>
      <c r="H1625" s="4" t="str">
        <f>IFERROR(VLOOKUP(B1625,infoTable__6[],4,FALSE),"")</f>
        <v/>
      </c>
      <c r="I1625" s="4" t="str">
        <f>IFERROR(VLOOKUP(B1625,infoTable__28[],4,FALSE),"")</f>
        <v/>
      </c>
      <c r="J1625" s="4" t="str">
        <f>IFERROR(VLOOKUP(B1625,infoTable__10[],4,FALSE),"")</f>
        <v/>
      </c>
      <c r="K1625" s="4" t="str">
        <f>IFERROR(VLOOKUP(B1625,infoTable__11[],4,FALSE),"")</f>
        <v/>
      </c>
      <c r="L1625" s="4" t="str">
        <f>IFERROR(VLOOKUP(B1625,infoTable__12[],4,FALSE),"")</f>
        <v/>
      </c>
      <c r="M1625" s="4" t="str">
        <f>IFERROR(VLOOKUP(B1625,infoTable__13[],4,FALSE),"")</f>
        <v/>
      </c>
      <c r="N1625" s="4" t="str">
        <f>IFERROR(VLOOKUP(B1625,infoTable__14[],4,FALSE),"")</f>
        <v/>
      </c>
      <c r="O1625" s="4" t="str">
        <f>IFERROR(VLOOKUP(B1625,infoTable__15[],4,FALSE),"")</f>
        <v/>
      </c>
      <c r="P1625" s="4">
        <f>IFERROR(VLOOKUP(B1625,infoTable__16[],4,FALSE),"")</f>
        <v>1390626</v>
      </c>
    </row>
    <row r="1626" spans="1:16" x14ac:dyDescent="0.55000000000000004">
      <c r="A1626" t="s">
        <v>351</v>
      </c>
      <c r="B1626" t="s">
        <v>352</v>
      </c>
      <c r="C1626" s="4" t="str">
        <f>IFERROR(VLOOKUP(B1626,infoTable10[],4,FALSE),"")</f>
        <v/>
      </c>
      <c r="D1626" s="4" t="str">
        <f>IFERROR(VLOOKUP(B1626,infoTable__2[],4,FALSE),"")</f>
        <v/>
      </c>
      <c r="E1626" s="4" t="str">
        <f>IFERROR(VLOOKUP(B1626,infoTable__3[],4,FALSE),"")</f>
        <v/>
      </c>
      <c r="F1626" s="4" t="str">
        <f>IFERROR(VLOOKUP(B1626,infoTable__4[],4,FALSE),"")</f>
        <v/>
      </c>
      <c r="G1626" s="4">
        <f>IFERROR(VLOOKUP(B1626,infoTable[],4,FALSE),"")</f>
        <v>790503</v>
      </c>
      <c r="H1626" s="4" t="str">
        <f>IFERROR(VLOOKUP(B1626,infoTable__6[],4,FALSE),"")</f>
        <v/>
      </c>
      <c r="I1626" s="4" t="str">
        <f>IFERROR(VLOOKUP(B1626,infoTable__28[],4,FALSE),"")</f>
        <v/>
      </c>
      <c r="J1626" s="4" t="str">
        <f>IFERROR(VLOOKUP(B1626,infoTable__10[],4,FALSE),"")</f>
        <v/>
      </c>
      <c r="K1626" s="4" t="str">
        <f>IFERROR(VLOOKUP(B1626,infoTable__11[],4,FALSE),"")</f>
        <v/>
      </c>
      <c r="L1626" s="4">
        <f>IFERROR(VLOOKUP(B1626,infoTable__12[],4,FALSE),"")</f>
        <v>1282544</v>
      </c>
      <c r="M1626" s="4" t="str">
        <f>IFERROR(VLOOKUP(B1626,infoTable__13[],4,FALSE),"")</f>
        <v/>
      </c>
      <c r="N1626" s="4" t="str">
        <f>IFERROR(VLOOKUP(B1626,infoTable__14[],4,FALSE),"")</f>
        <v/>
      </c>
      <c r="O1626" s="4" t="str">
        <f>IFERROR(VLOOKUP(B1626,infoTable__15[],4,FALSE),"")</f>
        <v/>
      </c>
      <c r="P1626" s="4">
        <f>IFERROR(VLOOKUP(B1626,infoTable__16[],4,FALSE),"")</f>
        <v>6075051</v>
      </c>
    </row>
    <row r="1627" spans="1:16" x14ac:dyDescent="0.55000000000000004">
      <c r="A1627" t="s">
        <v>2323</v>
      </c>
      <c r="B1627" t="s">
        <v>2324</v>
      </c>
      <c r="C1627" s="4" t="str">
        <f>IFERROR(VLOOKUP(B1627,infoTable10[],4,FALSE),"")</f>
        <v/>
      </c>
      <c r="D1627" s="4" t="str">
        <f>IFERROR(VLOOKUP(B1627,infoTable__2[],4,FALSE),"")</f>
        <v/>
      </c>
      <c r="E1627" s="4" t="str">
        <f>IFERROR(VLOOKUP(B1627,infoTable__3[],4,FALSE),"")</f>
        <v/>
      </c>
      <c r="F1627" s="4" t="str">
        <f>IFERROR(VLOOKUP(B1627,infoTable__4[],4,FALSE),"")</f>
        <v/>
      </c>
      <c r="G1627" s="4" t="str">
        <f>IFERROR(VLOOKUP(B1627,infoTable[],4,FALSE),"")</f>
        <v/>
      </c>
      <c r="H1627" s="4" t="str">
        <f>IFERROR(VLOOKUP(B1627,infoTable__6[],4,FALSE),"")</f>
        <v/>
      </c>
      <c r="I1627" s="4" t="str">
        <f>IFERROR(VLOOKUP(B1627,infoTable__28[],4,FALSE),"")</f>
        <v/>
      </c>
      <c r="J1627" s="4" t="str">
        <f>IFERROR(VLOOKUP(B1627,infoTable__10[],4,FALSE),"")</f>
        <v/>
      </c>
      <c r="K1627" s="4" t="str">
        <f>IFERROR(VLOOKUP(B1627,infoTable__11[],4,FALSE),"")</f>
        <v/>
      </c>
      <c r="L1627" s="4">
        <f>IFERROR(VLOOKUP(B1627,infoTable__12[],4,FALSE),"")</f>
        <v>951943</v>
      </c>
      <c r="M1627" s="4" t="str">
        <f>IFERROR(VLOOKUP(B1627,infoTable__13[],4,FALSE),"")</f>
        <v/>
      </c>
      <c r="N1627" s="4" t="str">
        <f>IFERROR(VLOOKUP(B1627,infoTable__14[],4,FALSE),"")</f>
        <v/>
      </c>
      <c r="O1627" s="4" t="str">
        <f>IFERROR(VLOOKUP(B1627,infoTable__15[],4,FALSE),"")</f>
        <v/>
      </c>
      <c r="P1627" s="4" t="str">
        <f>IFERROR(VLOOKUP(B1627,infoTable__16[],4,FALSE),"")</f>
        <v/>
      </c>
    </row>
    <row r="1628" spans="1:16" x14ac:dyDescent="0.55000000000000004">
      <c r="A1628" t="s">
        <v>1100</v>
      </c>
      <c r="B1628" t="s">
        <v>1101</v>
      </c>
      <c r="C1628" s="4" t="str">
        <f>IFERROR(VLOOKUP(B1628,infoTable10[],4,FALSE),"")</f>
        <v/>
      </c>
      <c r="D1628" s="4" t="str">
        <f>IFERROR(VLOOKUP(B1628,infoTable__2[],4,FALSE),"")</f>
        <v/>
      </c>
      <c r="E1628" s="4" t="str">
        <f>IFERROR(VLOOKUP(B1628,infoTable__3[],4,FALSE),"")</f>
        <v/>
      </c>
      <c r="F1628" s="4" t="str">
        <f>IFERROR(VLOOKUP(B1628,infoTable__4[],4,FALSE),"")</f>
        <v/>
      </c>
      <c r="G1628" s="4" t="str">
        <f>IFERROR(VLOOKUP(B1628,infoTable[],4,FALSE),"")</f>
        <v/>
      </c>
      <c r="H1628" s="4">
        <f>IFERROR(VLOOKUP(B1628,infoTable__6[],4,FALSE),"")</f>
        <v>311041</v>
      </c>
      <c r="I1628" s="4" t="str">
        <f>IFERROR(VLOOKUP(B1628,infoTable__28[],4,FALSE),"")</f>
        <v/>
      </c>
      <c r="J1628" s="4" t="str">
        <f>IFERROR(VLOOKUP(B1628,infoTable__10[],4,FALSE),"")</f>
        <v/>
      </c>
      <c r="K1628" s="4">
        <f>IFERROR(VLOOKUP(B1628,infoTable__11[],4,FALSE),"")</f>
        <v>1341093</v>
      </c>
      <c r="L1628" s="4">
        <f>IFERROR(VLOOKUP(B1628,infoTable__12[],4,FALSE),"")</f>
        <v>529159</v>
      </c>
      <c r="M1628" s="4" t="str">
        <f>IFERROR(VLOOKUP(B1628,infoTable__13[],4,FALSE),"")</f>
        <v/>
      </c>
      <c r="N1628" s="4" t="str">
        <f>IFERROR(VLOOKUP(B1628,infoTable__14[],4,FALSE),"")</f>
        <v/>
      </c>
      <c r="O1628" s="4" t="str">
        <f>IFERROR(VLOOKUP(B1628,infoTable__15[],4,FALSE),"")</f>
        <v/>
      </c>
      <c r="P1628" s="4" t="str">
        <f>IFERROR(VLOOKUP(B1628,infoTable__16[],4,FALSE),"")</f>
        <v/>
      </c>
    </row>
    <row r="1629" spans="1:16" x14ac:dyDescent="0.55000000000000004">
      <c r="A1629" t="s">
        <v>2301</v>
      </c>
      <c r="B1629" t="s">
        <v>2302</v>
      </c>
      <c r="C1629" s="4" t="str">
        <f>IFERROR(VLOOKUP(B1629,infoTable10[],4,FALSE),"")</f>
        <v/>
      </c>
      <c r="D1629" s="4" t="str">
        <f>IFERROR(VLOOKUP(B1629,infoTable__2[],4,FALSE),"")</f>
        <v/>
      </c>
      <c r="E1629" s="4" t="str">
        <f>IFERROR(VLOOKUP(B1629,infoTable__3[],4,FALSE),"")</f>
        <v/>
      </c>
      <c r="F1629" s="4" t="str">
        <f>IFERROR(VLOOKUP(B1629,infoTable__4[],4,FALSE),"")</f>
        <v/>
      </c>
      <c r="G1629" s="4" t="str">
        <f>IFERROR(VLOOKUP(B1629,infoTable[],4,FALSE),"")</f>
        <v/>
      </c>
      <c r="H1629" s="4" t="str">
        <f>IFERROR(VLOOKUP(B1629,infoTable__6[],4,FALSE),"")</f>
        <v/>
      </c>
      <c r="I1629" s="4" t="str">
        <f>IFERROR(VLOOKUP(B1629,infoTable__28[],4,FALSE),"")</f>
        <v/>
      </c>
      <c r="J1629" s="4" t="str">
        <f>IFERROR(VLOOKUP(B1629,infoTable__10[],4,FALSE),"")</f>
        <v/>
      </c>
      <c r="K1629" s="4" t="str">
        <f>IFERROR(VLOOKUP(B1629,infoTable__11[],4,FALSE),"")</f>
        <v/>
      </c>
      <c r="L1629" s="4">
        <f>IFERROR(VLOOKUP(B1629,infoTable__12[],4,FALSE),"")</f>
        <v>397495</v>
      </c>
      <c r="M1629" s="4">
        <f>IFERROR(VLOOKUP(B1629,infoTable__13[],4,FALSE),"")</f>
        <v>453332</v>
      </c>
      <c r="N1629" s="4" t="str">
        <f>IFERROR(VLOOKUP(B1629,infoTable__14[],4,FALSE),"")</f>
        <v/>
      </c>
      <c r="O1629" s="4" t="str">
        <f>IFERROR(VLOOKUP(B1629,infoTable__15[],4,FALSE),"")</f>
        <v/>
      </c>
      <c r="P1629" s="4" t="str">
        <f>IFERROR(VLOOKUP(B1629,infoTable__16[],4,FALSE),"")</f>
        <v/>
      </c>
    </row>
    <row r="1630" spans="1:16" x14ac:dyDescent="0.55000000000000004">
      <c r="A1630" t="s">
        <v>2344</v>
      </c>
      <c r="B1630" t="s">
        <v>2345</v>
      </c>
      <c r="C1630" s="4" t="str">
        <f>IFERROR(VLOOKUP(B1630,infoTable10[],4,FALSE),"")</f>
        <v/>
      </c>
      <c r="D1630" s="4" t="str">
        <f>IFERROR(VLOOKUP(B1630,infoTable__2[],4,FALSE),"")</f>
        <v/>
      </c>
      <c r="E1630" s="4" t="str">
        <f>IFERROR(VLOOKUP(B1630,infoTable__3[],4,FALSE),"")</f>
        <v/>
      </c>
      <c r="F1630" s="4" t="str">
        <f>IFERROR(VLOOKUP(B1630,infoTable__4[],4,FALSE),"")</f>
        <v/>
      </c>
      <c r="G1630" s="4" t="str">
        <f>IFERROR(VLOOKUP(B1630,infoTable[],4,FALSE),"")</f>
        <v/>
      </c>
      <c r="H1630" s="4" t="str">
        <f>IFERROR(VLOOKUP(B1630,infoTable__6[],4,FALSE),"")</f>
        <v/>
      </c>
      <c r="I1630" s="4" t="str">
        <f>IFERROR(VLOOKUP(B1630,infoTable__28[],4,FALSE),"")</f>
        <v/>
      </c>
      <c r="J1630" s="4" t="str">
        <f>IFERROR(VLOOKUP(B1630,infoTable__10[],4,FALSE),"")</f>
        <v/>
      </c>
      <c r="K1630" s="4" t="str">
        <f>IFERROR(VLOOKUP(B1630,infoTable__11[],4,FALSE),"")</f>
        <v/>
      </c>
      <c r="L1630" s="4">
        <f>IFERROR(VLOOKUP(B1630,infoTable__12[],4,FALSE),"")</f>
        <v>1378032</v>
      </c>
      <c r="M1630" s="4" t="str">
        <f>IFERROR(VLOOKUP(B1630,infoTable__13[],4,FALSE),"")</f>
        <v/>
      </c>
      <c r="N1630" s="4" t="str">
        <f>IFERROR(VLOOKUP(B1630,infoTable__14[],4,FALSE),"")</f>
        <v/>
      </c>
      <c r="O1630" s="4" t="str">
        <f>IFERROR(VLOOKUP(B1630,infoTable__15[],4,FALSE),"")</f>
        <v/>
      </c>
      <c r="P1630" s="4">
        <f>IFERROR(VLOOKUP(B1630,infoTable__16[],4,FALSE),"")</f>
        <v>1592578</v>
      </c>
    </row>
    <row r="1631" spans="1:16" x14ac:dyDescent="0.55000000000000004">
      <c r="A1631" t="s">
        <v>3523</v>
      </c>
      <c r="B1631" t="s">
        <v>3524</v>
      </c>
      <c r="C1631" s="4" t="str">
        <f>IFERROR(VLOOKUP(B1631,infoTable10[],4,FALSE),"")</f>
        <v/>
      </c>
      <c r="D1631" s="4" t="str">
        <f>IFERROR(VLOOKUP(B1631,infoTable__2[],4,FALSE),"")</f>
        <v/>
      </c>
      <c r="E1631" s="4" t="str">
        <f>IFERROR(VLOOKUP(B1631,infoTable__3[],4,FALSE),"")</f>
        <v/>
      </c>
      <c r="F1631" s="4" t="str">
        <f>IFERROR(VLOOKUP(B1631,infoTable__4[],4,FALSE),"")</f>
        <v/>
      </c>
      <c r="G1631" s="4" t="str">
        <f>IFERROR(VLOOKUP(B1631,infoTable[],4,FALSE),"")</f>
        <v/>
      </c>
      <c r="H1631" s="4" t="str">
        <f>IFERROR(VLOOKUP(B1631,infoTable__6[],4,FALSE),"")</f>
        <v/>
      </c>
      <c r="I1631" s="4" t="str">
        <f>IFERROR(VLOOKUP(B1631,infoTable__28[],4,FALSE),"")</f>
        <v/>
      </c>
      <c r="J1631" s="4" t="str">
        <f>IFERROR(VLOOKUP(B1631,infoTable__10[],4,FALSE),"")</f>
        <v/>
      </c>
      <c r="K1631" s="4" t="str">
        <f>IFERROR(VLOOKUP(B1631,infoTable__11[],4,FALSE),"")</f>
        <v/>
      </c>
      <c r="L1631" s="4" t="str">
        <f>IFERROR(VLOOKUP(B1631,infoTable__12[],4,FALSE),"")</f>
        <v/>
      </c>
      <c r="M1631" s="4" t="str">
        <f>IFERROR(VLOOKUP(B1631,infoTable__13[],4,FALSE),"")</f>
        <v/>
      </c>
      <c r="N1631" s="4" t="str">
        <f>IFERROR(VLOOKUP(B1631,infoTable__14[],4,FALSE),"")</f>
        <v/>
      </c>
      <c r="O1631" s="4" t="str">
        <f>IFERROR(VLOOKUP(B1631,infoTable__15[],4,FALSE),"")</f>
        <v/>
      </c>
      <c r="P1631" s="4">
        <f>IFERROR(VLOOKUP(B1631,infoTable__16[],4,FALSE),"")</f>
        <v>153964</v>
      </c>
    </row>
    <row r="1632" spans="1:16" x14ac:dyDescent="0.55000000000000004">
      <c r="A1632" t="s">
        <v>2015</v>
      </c>
      <c r="B1632" t="s">
        <v>2016</v>
      </c>
      <c r="C1632" s="4" t="str">
        <f>IFERROR(VLOOKUP(B1632,infoTable10[],4,FALSE),"")</f>
        <v/>
      </c>
      <c r="D1632" s="4" t="str">
        <f>IFERROR(VLOOKUP(B1632,infoTable__2[],4,FALSE),"")</f>
        <v/>
      </c>
      <c r="E1632" s="4" t="str">
        <f>IFERROR(VLOOKUP(B1632,infoTable__3[],4,FALSE),"")</f>
        <v/>
      </c>
      <c r="F1632" s="4" t="str">
        <f>IFERROR(VLOOKUP(B1632,infoTable__4[],4,FALSE),"")</f>
        <v/>
      </c>
      <c r="G1632" s="4" t="str">
        <f>IFERROR(VLOOKUP(B1632,infoTable[],4,FALSE),"")</f>
        <v/>
      </c>
      <c r="H1632" s="4" t="str">
        <f>IFERROR(VLOOKUP(B1632,infoTable__6[],4,FALSE),"")</f>
        <v/>
      </c>
      <c r="I1632" s="4" t="str">
        <f>IFERROR(VLOOKUP(B1632,infoTable__28[],4,FALSE),"")</f>
        <v/>
      </c>
      <c r="J1632" s="4" t="str">
        <f>IFERROR(VLOOKUP(B1632,infoTable__10[],4,FALSE),"")</f>
        <v/>
      </c>
      <c r="K1632" s="4">
        <f>IFERROR(VLOOKUP(B1632,infoTable__11[],4,FALSE),"")</f>
        <v>89488</v>
      </c>
      <c r="L1632" s="4">
        <f>IFERROR(VLOOKUP(B1632,infoTable__12[],4,FALSE),"")</f>
        <v>290070</v>
      </c>
      <c r="M1632" s="4">
        <f>IFERROR(VLOOKUP(B1632,infoTable__13[],4,FALSE),"")</f>
        <v>999981</v>
      </c>
      <c r="N1632" s="4">
        <f>IFERROR(VLOOKUP(B1632,infoTable__14[],4,FALSE),"")</f>
        <v>224968</v>
      </c>
      <c r="O1632" s="4" t="str">
        <f>IFERROR(VLOOKUP(B1632,infoTable__15[],4,FALSE),"")</f>
        <v/>
      </c>
      <c r="P1632" s="4" t="str">
        <f>IFERROR(VLOOKUP(B1632,infoTable__16[],4,FALSE),"")</f>
        <v/>
      </c>
    </row>
    <row r="1633" spans="1:16" x14ac:dyDescent="0.55000000000000004">
      <c r="A1633" t="s">
        <v>2360</v>
      </c>
      <c r="B1633" t="s">
        <v>2361</v>
      </c>
      <c r="C1633" s="4" t="str">
        <f>IFERROR(VLOOKUP(B1633,infoTable10[],4,FALSE),"")</f>
        <v/>
      </c>
      <c r="D1633" s="4" t="str">
        <f>IFERROR(VLOOKUP(B1633,infoTable__2[],4,FALSE),"")</f>
        <v/>
      </c>
      <c r="E1633" s="4" t="str">
        <f>IFERROR(VLOOKUP(B1633,infoTable__3[],4,FALSE),"")</f>
        <v/>
      </c>
      <c r="F1633" s="4" t="str">
        <f>IFERROR(VLOOKUP(B1633,infoTable__4[],4,FALSE),"")</f>
        <v/>
      </c>
      <c r="G1633" s="4" t="str">
        <f>IFERROR(VLOOKUP(B1633,infoTable[],4,FALSE),"")</f>
        <v/>
      </c>
      <c r="H1633" s="4" t="str">
        <f>IFERROR(VLOOKUP(B1633,infoTable__6[],4,FALSE),"")</f>
        <v/>
      </c>
      <c r="I1633" s="4" t="str">
        <f>IFERROR(VLOOKUP(B1633,infoTable__28[],4,FALSE),"")</f>
        <v/>
      </c>
      <c r="J1633" s="4" t="str">
        <f>IFERROR(VLOOKUP(B1633,infoTable__10[],4,FALSE),"")</f>
        <v/>
      </c>
      <c r="K1633" s="4" t="str">
        <f>IFERROR(VLOOKUP(B1633,infoTable__11[],4,FALSE),"")</f>
        <v/>
      </c>
      <c r="L1633" s="4">
        <f>IFERROR(VLOOKUP(B1633,infoTable__12[],4,FALSE),"")</f>
        <v>106119</v>
      </c>
      <c r="M1633" s="4" t="str">
        <f>IFERROR(VLOOKUP(B1633,infoTable__13[],4,FALSE),"")</f>
        <v/>
      </c>
      <c r="N1633" s="4" t="str">
        <f>IFERROR(VLOOKUP(B1633,infoTable__14[],4,FALSE),"")</f>
        <v/>
      </c>
      <c r="O1633" s="4" t="str">
        <f>IFERROR(VLOOKUP(B1633,infoTable__15[],4,FALSE),"")</f>
        <v/>
      </c>
      <c r="P1633" s="4" t="str">
        <f>IFERROR(VLOOKUP(B1633,infoTable__16[],4,FALSE),"")</f>
        <v/>
      </c>
    </row>
    <row r="1634" spans="1:16" x14ac:dyDescent="0.55000000000000004">
      <c r="A1634" t="s">
        <v>698</v>
      </c>
      <c r="B1634" t="s">
        <v>2021</v>
      </c>
      <c r="C1634" s="4" t="str">
        <f>IFERROR(VLOOKUP(B1634,infoTable10[],4,FALSE),"")</f>
        <v/>
      </c>
      <c r="D1634" s="4" t="str">
        <f>IFERROR(VLOOKUP(B1634,infoTable__2[],4,FALSE),"")</f>
        <v/>
      </c>
      <c r="E1634" s="4" t="str">
        <f>IFERROR(VLOOKUP(B1634,infoTable__3[],4,FALSE),"")</f>
        <v/>
      </c>
      <c r="F1634" s="4" t="str">
        <f>IFERROR(VLOOKUP(B1634,infoTable__4[],4,FALSE),"")</f>
        <v/>
      </c>
      <c r="G1634" s="4" t="str">
        <f>IFERROR(VLOOKUP(B1634,infoTable[],4,FALSE),"")</f>
        <v/>
      </c>
      <c r="H1634" s="4" t="str">
        <f>IFERROR(VLOOKUP(B1634,infoTable__6[],4,FALSE),"")</f>
        <v/>
      </c>
      <c r="I1634" s="4" t="str">
        <f>IFERROR(VLOOKUP(B1634,infoTable__28[],4,FALSE),"")</f>
        <v/>
      </c>
      <c r="J1634" s="4" t="str">
        <f>IFERROR(VLOOKUP(B1634,infoTable__10[],4,FALSE),"")</f>
        <v/>
      </c>
      <c r="K1634" s="4">
        <f>IFERROR(VLOOKUP(B1634,infoTable__11[],4,FALSE),"")</f>
        <v>2246026</v>
      </c>
      <c r="L1634" s="4">
        <f>IFERROR(VLOOKUP(B1634,infoTable__12[],4,FALSE),"")</f>
        <v>1579173</v>
      </c>
      <c r="M1634" s="4" t="str">
        <f>IFERROR(VLOOKUP(B1634,infoTable__13[],4,FALSE),"")</f>
        <v/>
      </c>
      <c r="N1634" s="4" t="str">
        <f>IFERROR(VLOOKUP(B1634,infoTable__14[],4,FALSE),"")</f>
        <v/>
      </c>
      <c r="O1634" s="4" t="str">
        <f>IFERROR(VLOOKUP(B1634,infoTable__15[],4,FALSE),"")</f>
        <v/>
      </c>
      <c r="P1634" s="4" t="str">
        <f>IFERROR(VLOOKUP(B1634,infoTable__16[],4,FALSE),"")</f>
        <v/>
      </c>
    </row>
    <row r="1635" spans="1:16" x14ac:dyDescent="0.55000000000000004">
      <c r="A1635" t="s">
        <v>2931</v>
      </c>
      <c r="B1635" t="s">
        <v>2930</v>
      </c>
      <c r="C1635" s="4" t="str">
        <f>IFERROR(VLOOKUP(B1635,infoTable10[],4,FALSE),"")</f>
        <v/>
      </c>
      <c r="D1635" s="4" t="str">
        <f>IFERROR(VLOOKUP(B1635,infoTable__2[],4,FALSE),"")</f>
        <v/>
      </c>
      <c r="E1635" s="4" t="str">
        <f>IFERROR(VLOOKUP(B1635,infoTable__3[],4,FALSE),"")</f>
        <v/>
      </c>
      <c r="F1635" s="4" t="str">
        <f>IFERROR(VLOOKUP(B1635,infoTable__4[],4,FALSE),"")</f>
        <v/>
      </c>
      <c r="G1635" s="4" t="str">
        <f>IFERROR(VLOOKUP(B1635,infoTable[],4,FALSE),"")</f>
        <v/>
      </c>
      <c r="H1635" s="4" t="str">
        <f>IFERROR(VLOOKUP(B1635,infoTable__6[],4,FALSE),"")</f>
        <v/>
      </c>
      <c r="I1635" s="4" t="str">
        <f>IFERROR(VLOOKUP(B1635,infoTable__28[],4,FALSE),"")</f>
        <v/>
      </c>
      <c r="J1635" s="4" t="str">
        <f>IFERROR(VLOOKUP(B1635,infoTable__10[],4,FALSE),"")</f>
        <v/>
      </c>
      <c r="K1635" s="4" t="str">
        <f>IFERROR(VLOOKUP(B1635,infoTable__11[],4,FALSE),"")</f>
        <v/>
      </c>
      <c r="L1635" s="4" t="str">
        <f>IFERROR(VLOOKUP(B1635,infoTable__12[],4,FALSE),"")</f>
        <v/>
      </c>
      <c r="M1635" s="4" t="str">
        <f>IFERROR(VLOOKUP(B1635,infoTable__13[],4,FALSE),"")</f>
        <v/>
      </c>
      <c r="N1635" s="4">
        <f>IFERROR(VLOOKUP(B1635,infoTable__14[],4,FALSE),"")</f>
        <v>412187</v>
      </c>
      <c r="O1635" s="4">
        <f>IFERROR(VLOOKUP(B1635,infoTable__15[],4,FALSE),"")</f>
        <v>670735</v>
      </c>
      <c r="P1635" s="4" t="str">
        <f>IFERROR(VLOOKUP(B1635,infoTable__16[],4,FALSE),"")</f>
        <v/>
      </c>
    </row>
    <row r="1636" spans="1:16" x14ac:dyDescent="0.55000000000000004">
      <c r="A1636" t="s">
        <v>800</v>
      </c>
      <c r="B1636" t="s">
        <v>802</v>
      </c>
      <c r="C1636" s="4" t="str">
        <f>IFERROR(VLOOKUP(B1636,infoTable10[],4,FALSE),"")</f>
        <v/>
      </c>
      <c r="D1636" s="4" t="str">
        <f>IFERROR(VLOOKUP(B1636,infoTable__2[],4,FALSE),"")</f>
        <v/>
      </c>
      <c r="E1636" s="4">
        <f>IFERROR(VLOOKUP(B1636,infoTable__3[],4,FALSE),"")</f>
        <v>418693</v>
      </c>
      <c r="F1636" s="4" t="str">
        <f>IFERROR(VLOOKUP(B1636,infoTable__4[],4,FALSE),"")</f>
        <v/>
      </c>
      <c r="G1636" s="4" t="str">
        <f>IFERROR(VLOOKUP(B1636,infoTable[],4,FALSE),"")</f>
        <v/>
      </c>
      <c r="H1636" s="4" t="str">
        <f>IFERROR(VLOOKUP(B1636,infoTable__6[],4,FALSE),"")</f>
        <v/>
      </c>
      <c r="I1636" s="4" t="str">
        <f>IFERROR(VLOOKUP(B1636,infoTable__28[],4,FALSE),"")</f>
        <v/>
      </c>
      <c r="J1636" s="4" t="str">
        <f>IFERROR(VLOOKUP(B1636,infoTable__10[],4,FALSE),"")</f>
        <v/>
      </c>
      <c r="K1636" s="4" t="str">
        <f>IFERROR(VLOOKUP(B1636,infoTable__11[],4,FALSE),"")</f>
        <v/>
      </c>
      <c r="L1636" s="4" t="str">
        <f>IFERROR(VLOOKUP(B1636,infoTable__12[],4,FALSE),"")</f>
        <v/>
      </c>
      <c r="M1636" s="4">
        <f>IFERROR(VLOOKUP(B1636,infoTable__13[],4,FALSE),"")</f>
        <v>283487</v>
      </c>
      <c r="N1636" s="4" t="str">
        <f>IFERROR(VLOOKUP(B1636,infoTable__14[],4,FALSE),"")</f>
        <v/>
      </c>
      <c r="O1636" s="4" t="str">
        <f>IFERROR(VLOOKUP(B1636,infoTable__15[],4,FALSE),"")</f>
        <v/>
      </c>
      <c r="P1636" s="4" t="str">
        <f>IFERROR(VLOOKUP(B1636,infoTable__16[],4,FALSE),"")</f>
        <v/>
      </c>
    </row>
    <row r="1637" spans="1:16" x14ac:dyDescent="0.55000000000000004">
      <c r="A1637" t="s">
        <v>1523</v>
      </c>
      <c r="B1637" t="s">
        <v>1525</v>
      </c>
      <c r="C1637" s="4">
        <f>IFERROR(VLOOKUP(B1637,infoTable10[],4,FALSE),"")</f>
        <v>867266</v>
      </c>
      <c r="D1637" s="4" t="str">
        <f>IFERROR(VLOOKUP(B1637,infoTable__2[],4,FALSE),"")</f>
        <v/>
      </c>
      <c r="E1637" s="4" t="str">
        <f>IFERROR(VLOOKUP(B1637,infoTable__3[],4,FALSE),"")</f>
        <v/>
      </c>
      <c r="F1637" s="4" t="str">
        <f>IFERROR(VLOOKUP(B1637,infoTable__4[],4,FALSE),"")</f>
        <v/>
      </c>
      <c r="G1637" s="4" t="str">
        <f>IFERROR(VLOOKUP(B1637,infoTable[],4,FALSE),"")</f>
        <v/>
      </c>
      <c r="H1637" s="4" t="str">
        <f>IFERROR(VLOOKUP(B1637,infoTable__6[],4,FALSE),"")</f>
        <v/>
      </c>
      <c r="I1637" s="4" t="str">
        <f>IFERROR(VLOOKUP(B1637,infoTable__28[],4,FALSE),"")</f>
        <v/>
      </c>
      <c r="J1637" s="4" t="str">
        <f>IFERROR(VLOOKUP(B1637,infoTable__10[],4,FALSE),"")</f>
        <v/>
      </c>
      <c r="K1637" s="4" t="str">
        <f>IFERROR(VLOOKUP(B1637,infoTable__11[],4,FALSE),"")</f>
        <v/>
      </c>
      <c r="L1637" s="4" t="str">
        <f>IFERROR(VLOOKUP(B1637,infoTable__12[],4,FALSE),"")</f>
        <v/>
      </c>
      <c r="M1637" s="4" t="str">
        <f>IFERROR(VLOOKUP(B1637,infoTable__13[],4,FALSE),"")</f>
        <v/>
      </c>
      <c r="N1637" s="4" t="str">
        <f>IFERROR(VLOOKUP(B1637,infoTable__14[],4,FALSE),"")</f>
        <v/>
      </c>
      <c r="O1637" s="4" t="str">
        <f>IFERROR(VLOOKUP(B1637,infoTable__15[],4,FALSE),"")</f>
        <v/>
      </c>
      <c r="P1637" s="4" t="str">
        <f>IFERROR(VLOOKUP(B1637,infoTable__16[],4,FALSE),"")</f>
        <v/>
      </c>
    </row>
    <row r="1638" spans="1:16" x14ac:dyDescent="0.55000000000000004">
      <c r="A1638" t="s">
        <v>1795</v>
      </c>
      <c r="B1638" t="s">
        <v>1796</v>
      </c>
      <c r="C1638" s="4" t="str">
        <f>IFERROR(VLOOKUP(B1638,infoTable10[],4,FALSE),"")</f>
        <v/>
      </c>
      <c r="D1638" s="4" t="str">
        <f>IFERROR(VLOOKUP(B1638,infoTable__2[],4,FALSE),"")</f>
        <v/>
      </c>
      <c r="E1638" s="4" t="str">
        <f>IFERROR(VLOOKUP(B1638,infoTable__3[],4,FALSE),"")</f>
        <v/>
      </c>
      <c r="F1638" s="4" t="str">
        <f>IFERROR(VLOOKUP(B1638,infoTable__4[],4,FALSE),"")</f>
        <v/>
      </c>
      <c r="G1638" s="4" t="str">
        <f>IFERROR(VLOOKUP(B1638,infoTable[],4,FALSE),"")</f>
        <v/>
      </c>
      <c r="H1638" s="4" t="str">
        <f>IFERROR(VLOOKUP(B1638,infoTable__6[],4,FALSE),"")</f>
        <v/>
      </c>
      <c r="I1638" s="4" t="str">
        <f>IFERROR(VLOOKUP(B1638,infoTable__28[],4,FALSE),"")</f>
        <v/>
      </c>
      <c r="J1638" s="4">
        <f>IFERROR(VLOOKUP(B1638,infoTable__10[],4,FALSE),"")</f>
        <v>552107</v>
      </c>
      <c r="K1638" s="4">
        <f>IFERROR(VLOOKUP(B1638,infoTable__11[],4,FALSE),"")</f>
        <v>350819</v>
      </c>
      <c r="L1638" s="4">
        <f>IFERROR(VLOOKUP(B1638,infoTable__12[],4,FALSE),"")</f>
        <v>293385</v>
      </c>
      <c r="M1638" s="4" t="str">
        <f>IFERROR(VLOOKUP(B1638,infoTable__13[],4,FALSE),"")</f>
        <v/>
      </c>
      <c r="N1638" s="4" t="str">
        <f>IFERROR(VLOOKUP(B1638,infoTable__14[],4,FALSE),"")</f>
        <v/>
      </c>
      <c r="O1638" s="4" t="str">
        <f>IFERROR(VLOOKUP(B1638,infoTable__15[],4,FALSE),"")</f>
        <v/>
      </c>
      <c r="P1638" s="4">
        <f>IFERROR(VLOOKUP(B1638,infoTable__16[],4,FALSE),"")</f>
        <v>1573165</v>
      </c>
    </row>
    <row r="1639" spans="1:16" x14ac:dyDescent="0.55000000000000004">
      <c r="A1639" t="s">
        <v>1442</v>
      </c>
      <c r="B1639" t="s">
        <v>1443</v>
      </c>
      <c r="C1639" s="4" t="str">
        <f>IFERROR(VLOOKUP(B1639,infoTable10[],4,FALSE),"")</f>
        <v/>
      </c>
      <c r="D1639" s="4" t="str">
        <f>IFERROR(VLOOKUP(B1639,infoTable__2[],4,FALSE),"")</f>
        <v/>
      </c>
      <c r="E1639" s="4" t="str">
        <f>IFERROR(VLOOKUP(B1639,infoTable__3[],4,FALSE),"")</f>
        <v/>
      </c>
      <c r="F1639" s="4" t="str">
        <f>IFERROR(VLOOKUP(B1639,infoTable__4[],4,FALSE),"")</f>
        <v/>
      </c>
      <c r="G1639" s="4" t="str">
        <f>IFERROR(VLOOKUP(B1639,infoTable[],4,FALSE),"")</f>
        <v/>
      </c>
      <c r="H1639" s="4" t="str">
        <f>IFERROR(VLOOKUP(B1639,infoTable__6[],4,FALSE),"")</f>
        <v/>
      </c>
      <c r="I1639" s="4">
        <f>IFERROR(VLOOKUP(B1639,infoTable__28[],4,FALSE),"")</f>
        <v>1394021</v>
      </c>
      <c r="J1639" s="4" t="str">
        <f>IFERROR(VLOOKUP(B1639,infoTable__10[],4,FALSE),"")</f>
        <v/>
      </c>
      <c r="K1639" s="4" t="str">
        <f>IFERROR(VLOOKUP(B1639,infoTable__11[],4,FALSE),"")</f>
        <v/>
      </c>
      <c r="L1639" s="4" t="str">
        <f>IFERROR(VLOOKUP(B1639,infoTable__12[],4,FALSE),"")</f>
        <v/>
      </c>
      <c r="M1639" s="4" t="str">
        <f>IFERROR(VLOOKUP(B1639,infoTable__13[],4,FALSE),"")</f>
        <v/>
      </c>
      <c r="N1639" s="4" t="str">
        <f>IFERROR(VLOOKUP(B1639,infoTable__14[],4,FALSE),"")</f>
        <v/>
      </c>
      <c r="O1639" s="4" t="str">
        <f>IFERROR(VLOOKUP(B1639,infoTable__15[],4,FALSE),"")</f>
        <v/>
      </c>
      <c r="P1639" s="4" t="str">
        <f>IFERROR(VLOOKUP(B1639,infoTable__16[],4,FALSE),"")</f>
        <v/>
      </c>
    </row>
    <row r="1640" spans="1:16" x14ac:dyDescent="0.55000000000000004">
      <c r="A1640" t="s">
        <v>2933</v>
      </c>
      <c r="B1640" t="s">
        <v>2932</v>
      </c>
      <c r="C1640" s="4" t="str">
        <f>IFERROR(VLOOKUP(B1640,infoTable10[],4,FALSE),"")</f>
        <v/>
      </c>
      <c r="D1640" s="4" t="str">
        <f>IFERROR(VLOOKUP(B1640,infoTable__2[],4,FALSE),"")</f>
        <v/>
      </c>
      <c r="E1640" s="4" t="str">
        <f>IFERROR(VLOOKUP(B1640,infoTable__3[],4,FALSE),"")</f>
        <v/>
      </c>
      <c r="F1640" s="4" t="str">
        <f>IFERROR(VLOOKUP(B1640,infoTable__4[],4,FALSE),"")</f>
        <v/>
      </c>
      <c r="G1640" s="4" t="str">
        <f>IFERROR(VLOOKUP(B1640,infoTable[],4,FALSE),"")</f>
        <v/>
      </c>
      <c r="H1640" s="4" t="str">
        <f>IFERROR(VLOOKUP(B1640,infoTable__6[],4,FALSE),"")</f>
        <v/>
      </c>
      <c r="I1640" s="4" t="str">
        <f>IFERROR(VLOOKUP(B1640,infoTable__28[],4,FALSE),"")</f>
        <v/>
      </c>
      <c r="J1640" s="4" t="str">
        <f>IFERROR(VLOOKUP(B1640,infoTable__10[],4,FALSE),"")</f>
        <v/>
      </c>
      <c r="K1640" s="4" t="str">
        <f>IFERROR(VLOOKUP(B1640,infoTable__11[],4,FALSE),"")</f>
        <v/>
      </c>
      <c r="L1640" s="4" t="str">
        <f>IFERROR(VLOOKUP(B1640,infoTable__12[],4,FALSE),"")</f>
        <v/>
      </c>
      <c r="M1640" s="4" t="str">
        <f>IFERROR(VLOOKUP(B1640,infoTable__13[],4,FALSE),"")</f>
        <v/>
      </c>
      <c r="N1640" s="4">
        <f>IFERROR(VLOOKUP(B1640,infoTable__14[],4,FALSE),"")</f>
        <v>7461811</v>
      </c>
      <c r="O1640" s="4">
        <f>IFERROR(VLOOKUP(B1640,infoTable__15[],4,FALSE),"")</f>
        <v>3631413</v>
      </c>
      <c r="P1640" s="4">
        <f>IFERROR(VLOOKUP(B1640,infoTable__16[],4,FALSE),"")</f>
        <v>2870423</v>
      </c>
    </row>
    <row r="1641" spans="1:16" x14ac:dyDescent="0.55000000000000004">
      <c r="A1641" t="s">
        <v>1907</v>
      </c>
      <c r="B1641" t="s">
        <v>1908</v>
      </c>
      <c r="C1641" s="4" t="str">
        <f>IFERROR(VLOOKUP(B1641,infoTable10[],4,FALSE),"")</f>
        <v/>
      </c>
      <c r="D1641" s="4" t="str">
        <f>IFERROR(VLOOKUP(B1641,infoTable__2[],4,FALSE),"")</f>
        <v/>
      </c>
      <c r="E1641" s="4" t="str">
        <f>IFERROR(VLOOKUP(B1641,infoTable__3[],4,FALSE),"")</f>
        <v/>
      </c>
      <c r="F1641" s="4" t="str">
        <f>IFERROR(VLOOKUP(B1641,infoTable__4[],4,FALSE),"")</f>
        <v/>
      </c>
      <c r="G1641" s="4" t="str">
        <f>IFERROR(VLOOKUP(B1641,infoTable[],4,FALSE),"")</f>
        <v/>
      </c>
      <c r="H1641" s="4" t="str">
        <f>IFERROR(VLOOKUP(B1641,infoTable__6[],4,FALSE),"")</f>
        <v/>
      </c>
      <c r="I1641" s="4" t="str">
        <f>IFERROR(VLOOKUP(B1641,infoTable__28[],4,FALSE),"")</f>
        <v/>
      </c>
      <c r="J1641" s="4" t="str">
        <f>IFERROR(VLOOKUP(B1641,infoTable__10[],4,FALSE),"")</f>
        <v/>
      </c>
      <c r="K1641" s="4">
        <f>IFERROR(VLOOKUP(B1641,infoTable__11[],4,FALSE),"")</f>
        <v>244948</v>
      </c>
      <c r="L1641" s="4">
        <f>IFERROR(VLOOKUP(B1641,infoTable__12[],4,FALSE),"")</f>
        <v>298222</v>
      </c>
      <c r="M1641" s="4">
        <f>IFERROR(VLOOKUP(B1641,infoTable__13[],4,FALSE),"")</f>
        <v>841100</v>
      </c>
      <c r="N1641" s="4">
        <f>IFERROR(VLOOKUP(B1641,infoTable__14[],4,FALSE),"")</f>
        <v>357750</v>
      </c>
      <c r="O1641" s="4" t="str">
        <f>IFERROR(VLOOKUP(B1641,infoTable__15[],4,FALSE),"")</f>
        <v/>
      </c>
      <c r="P1641" s="4" t="str">
        <f>IFERROR(VLOOKUP(B1641,infoTable__16[],4,FALSE),"")</f>
        <v/>
      </c>
    </row>
    <row r="1642" spans="1:16" x14ac:dyDescent="0.55000000000000004">
      <c r="A1642" t="s">
        <v>919</v>
      </c>
      <c r="B1642" t="s">
        <v>920</v>
      </c>
      <c r="C1642" s="4" t="str">
        <f>IFERROR(VLOOKUP(B1642,infoTable10[],4,FALSE),"")</f>
        <v/>
      </c>
      <c r="D1642" s="4" t="str">
        <f>IFERROR(VLOOKUP(B1642,infoTable__2[],4,FALSE),"")</f>
        <v/>
      </c>
      <c r="E1642" s="4" t="str">
        <f>IFERROR(VLOOKUP(B1642,infoTable__3[],4,FALSE),"")</f>
        <v/>
      </c>
      <c r="F1642" s="4">
        <f>IFERROR(VLOOKUP(B1642,infoTable__4[],4,FALSE),"")</f>
        <v>1466684</v>
      </c>
      <c r="G1642" s="4" t="str">
        <f>IFERROR(VLOOKUP(B1642,infoTable[],4,FALSE),"")</f>
        <v/>
      </c>
      <c r="H1642" s="4" t="str">
        <f>IFERROR(VLOOKUP(B1642,infoTable__6[],4,FALSE),"")</f>
        <v/>
      </c>
      <c r="I1642" s="4" t="str">
        <f>IFERROR(VLOOKUP(B1642,infoTable__28[],4,FALSE),"")</f>
        <v/>
      </c>
      <c r="J1642" s="4" t="str">
        <f>IFERROR(VLOOKUP(B1642,infoTable__10[],4,FALSE),"")</f>
        <v/>
      </c>
      <c r="K1642" s="4" t="str">
        <f>IFERROR(VLOOKUP(B1642,infoTable__11[],4,FALSE),"")</f>
        <v/>
      </c>
      <c r="L1642" s="4" t="str">
        <f>IFERROR(VLOOKUP(B1642,infoTable__12[],4,FALSE),"")</f>
        <v/>
      </c>
      <c r="M1642" s="4" t="str">
        <f>IFERROR(VLOOKUP(B1642,infoTable__13[],4,FALSE),"")</f>
        <v/>
      </c>
      <c r="N1642" s="4" t="str">
        <f>IFERROR(VLOOKUP(B1642,infoTable__14[],4,FALSE),"")</f>
        <v/>
      </c>
      <c r="O1642" s="4" t="str">
        <f>IFERROR(VLOOKUP(B1642,infoTable__15[],4,FALSE),"")</f>
        <v/>
      </c>
      <c r="P1642" s="4" t="str">
        <f>IFERROR(VLOOKUP(B1642,infoTable__16[],4,FALSE),"")</f>
        <v/>
      </c>
    </row>
    <row r="1643" spans="1:16" x14ac:dyDescent="0.55000000000000004">
      <c r="A1643" t="s">
        <v>1462</v>
      </c>
      <c r="B1643" t="s">
        <v>1463</v>
      </c>
      <c r="C1643" s="4" t="str">
        <f>IFERROR(VLOOKUP(B1643,infoTable10[],4,FALSE),"")</f>
        <v/>
      </c>
      <c r="D1643" s="4" t="str">
        <f>IFERROR(VLOOKUP(B1643,infoTable__2[],4,FALSE),"")</f>
        <v/>
      </c>
      <c r="E1643" s="4" t="str">
        <f>IFERROR(VLOOKUP(B1643,infoTable__3[],4,FALSE),"")</f>
        <v/>
      </c>
      <c r="F1643" s="4" t="str">
        <f>IFERROR(VLOOKUP(B1643,infoTable__4[],4,FALSE),"")</f>
        <v/>
      </c>
      <c r="G1643" s="4" t="str">
        <f>IFERROR(VLOOKUP(B1643,infoTable[],4,FALSE),"")</f>
        <v/>
      </c>
      <c r="H1643" s="4" t="str">
        <f>IFERROR(VLOOKUP(B1643,infoTable__6[],4,FALSE),"")</f>
        <v/>
      </c>
      <c r="I1643" s="4">
        <f>IFERROR(VLOOKUP(B1643,infoTable__28[],4,FALSE),"")</f>
        <v>760282</v>
      </c>
      <c r="J1643" s="4" t="str">
        <f>IFERROR(VLOOKUP(B1643,infoTable__10[],4,FALSE),"")</f>
        <v/>
      </c>
      <c r="K1643" s="4" t="str">
        <f>IFERROR(VLOOKUP(B1643,infoTable__11[],4,FALSE),"")</f>
        <v/>
      </c>
      <c r="L1643" s="4" t="str">
        <f>IFERROR(VLOOKUP(B1643,infoTable__12[],4,FALSE),"")</f>
        <v/>
      </c>
      <c r="M1643" s="4" t="str">
        <f>IFERROR(VLOOKUP(B1643,infoTable__13[],4,FALSE),"")</f>
        <v/>
      </c>
      <c r="N1643" s="4">
        <f>IFERROR(VLOOKUP(B1643,infoTable__14[],4,FALSE),"")</f>
        <v>120310</v>
      </c>
      <c r="O1643" s="4">
        <f>IFERROR(VLOOKUP(B1643,infoTable__15[],4,FALSE),"")</f>
        <v>478953</v>
      </c>
      <c r="P1643" s="4">
        <f>IFERROR(VLOOKUP(B1643,infoTable__16[],4,FALSE),"")</f>
        <v>192016</v>
      </c>
    </row>
    <row r="1644" spans="1:16" x14ac:dyDescent="0.55000000000000004">
      <c r="A1644" t="s">
        <v>1475</v>
      </c>
      <c r="B1644" t="s">
        <v>1476</v>
      </c>
      <c r="C1644" s="4" t="str">
        <f>IFERROR(VLOOKUP(B1644,infoTable10[],4,FALSE),"")</f>
        <v/>
      </c>
      <c r="D1644" s="4" t="str">
        <f>IFERROR(VLOOKUP(B1644,infoTable__2[],4,FALSE),"")</f>
        <v/>
      </c>
      <c r="E1644" s="4" t="str">
        <f>IFERROR(VLOOKUP(B1644,infoTable__3[],4,FALSE),"")</f>
        <v/>
      </c>
      <c r="F1644" s="4" t="str">
        <f>IFERROR(VLOOKUP(B1644,infoTable__4[],4,FALSE),"")</f>
        <v/>
      </c>
      <c r="G1644" s="4" t="str">
        <f>IFERROR(VLOOKUP(B1644,infoTable[],4,FALSE),"")</f>
        <v/>
      </c>
      <c r="H1644" s="4" t="str">
        <f>IFERROR(VLOOKUP(B1644,infoTable__6[],4,FALSE),"")</f>
        <v/>
      </c>
      <c r="I1644" s="4">
        <f>IFERROR(VLOOKUP(B1644,infoTable__28[],4,FALSE),"")</f>
        <v>338947</v>
      </c>
      <c r="J1644" s="4">
        <f>IFERROR(VLOOKUP(B1644,infoTable__10[],4,FALSE),"")</f>
        <v>230322</v>
      </c>
      <c r="K1644" s="4">
        <f>IFERROR(VLOOKUP(B1644,infoTable__11[],4,FALSE),"")</f>
        <v>420055</v>
      </c>
      <c r="L1644" s="4">
        <f>IFERROR(VLOOKUP(B1644,infoTable__12[],4,FALSE),"")</f>
        <v>931728</v>
      </c>
      <c r="M1644" s="4">
        <f>IFERROR(VLOOKUP(B1644,infoTable__13[],4,FALSE),"")</f>
        <v>1174202</v>
      </c>
      <c r="N1644" s="4" t="str">
        <f>IFERROR(VLOOKUP(B1644,infoTable__14[],4,FALSE),"")</f>
        <v/>
      </c>
      <c r="O1644" s="4" t="str">
        <f>IFERROR(VLOOKUP(B1644,infoTable__15[],4,FALSE),"")</f>
        <v/>
      </c>
      <c r="P1644" s="4">
        <f>IFERROR(VLOOKUP(B1644,infoTable__16[],4,FALSE),"")</f>
        <v>3364271</v>
      </c>
    </row>
    <row r="1645" spans="1:16" x14ac:dyDescent="0.55000000000000004">
      <c r="A1645" t="s">
        <v>481</v>
      </c>
      <c r="B1645" t="s">
        <v>482</v>
      </c>
      <c r="C1645" s="4" t="str">
        <f>IFERROR(VLOOKUP(B1645,infoTable10[],4,FALSE),"")</f>
        <v/>
      </c>
      <c r="D1645" s="4" t="str">
        <f>IFERROR(VLOOKUP(B1645,infoTable__2[],4,FALSE),"")</f>
        <v/>
      </c>
      <c r="E1645" s="4" t="str">
        <f>IFERROR(VLOOKUP(B1645,infoTable__3[],4,FALSE),"")</f>
        <v/>
      </c>
      <c r="F1645" s="4">
        <f>IFERROR(VLOOKUP(B1645,infoTable__4[],4,FALSE),"")</f>
        <v>4217966</v>
      </c>
      <c r="G1645" s="4">
        <f>IFERROR(VLOOKUP(B1645,infoTable[],4,FALSE),"")</f>
        <v>2815013</v>
      </c>
      <c r="H1645" s="4">
        <f>IFERROR(VLOOKUP(B1645,infoTable__6[],4,FALSE),"")</f>
        <v>258268</v>
      </c>
      <c r="I1645" s="4">
        <f>IFERROR(VLOOKUP(B1645,infoTable__28[],4,FALSE),"")</f>
        <v>459292</v>
      </c>
      <c r="J1645" s="4">
        <f>IFERROR(VLOOKUP(B1645,infoTable__10[],4,FALSE),"")</f>
        <v>209288</v>
      </c>
      <c r="K1645" s="4">
        <f>IFERROR(VLOOKUP(B1645,infoTable__11[],4,FALSE),"")</f>
        <v>267857</v>
      </c>
      <c r="L1645" s="4" t="str">
        <f>IFERROR(VLOOKUP(B1645,infoTable__12[],4,FALSE),"")</f>
        <v/>
      </c>
      <c r="M1645" s="4" t="str">
        <f>IFERROR(VLOOKUP(B1645,infoTable__13[],4,FALSE),"")</f>
        <v/>
      </c>
      <c r="N1645" s="4" t="str">
        <f>IFERROR(VLOOKUP(B1645,infoTable__14[],4,FALSE),"")</f>
        <v/>
      </c>
      <c r="O1645" s="4" t="str">
        <f>IFERROR(VLOOKUP(B1645,infoTable__15[],4,FALSE),"")</f>
        <v/>
      </c>
      <c r="P1645" s="4" t="str">
        <f>IFERROR(VLOOKUP(B1645,infoTable__16[],4,FALSE),"")</f>
        <v/>
      </c>
    </row>
    <row r="1646" spans="1:16" x14ac:dyDescent="0.55000000000000004">
      <c r="A1646" t="s">
        <v>2935</v>
      </c>
      <c r="B1646" t="s">
        <v>2934</v>
      </c>
      <c r="C1646" s="4" t="str">
        <f>IFERROR(VLOOKUP(B1646,infoTable10[],4,FALSE),"")</f>
        <v/>
      </c>
      <c r="D1646" s="4" t="str">
        <f>IFERROR(VLOOKUP(B1646,infoTable__2[],4,FALSE),"")</f>
        <v/>
      </c>
      <c r="E1646" s="4" t="str">
        <f>IFERROR(VLOOKUP(B1646,infoTable__3[],4,FALSE),"")</f>
        <v/>
      </c>
      <c r="F1646" s="4" t="str">
        <f>IFERROR(VLOOKUP(B1646,infoTable__4[],4,FALSE),"")</f>
        <v/>
      </c>
      <c r="G1646" s="4" t="str">
        <f>IFERROR(VLOOKUP(B1646,infoTable[],4,FALSE),"")</f>
        <v/>
      </c>
      <c r="H1646" s="4" t="str">
        <f>IFERROR(VLOOKUP(B1646,infoTable__6[],4,FALSE),"")</f>
        <v/>
      </c>
      <c r="I1646" s="4" t="str">
        <f>IFERROR(VLOOKUP(B1646,infoTable__28[],4,FALSE),"")</f>
        <v/>
      </c>
      <c r="J1646" s="4" t="str">
        <f>IFERROR(VLOOKUP(B1646,infoTable__10[],4,FALSE),"")</f>
        <v/>
      </c>
      <c r="K1646" s="4" t="str">
        <f>IFERROR(VLOOKUP(B1646,infoTable__11[],4,FALSE),"")</f>
        <v/>
      </c>
      <c r="L1646" s="4" t="str">
        <f>IFERROR(VLOOKUP(B1646,infoTable__12[],4,FALSE),"")</f>
        <v/>
      </c>
      <c r="M1646" s="4" t="str">
        <f>IFERROR(VLOOKUP(B1646,infoTable__13[],4,FALSE),"")</f>
        <v/>
      </c>
      <c r="N1646" s="4">
        <f>IFERROR(VLOOKUP(B1646,infoTable__14[],4,FALSE),"")</f>
        <v>542358</v>
      </c>
      <c r="O1646" s="4">
        <f>IFERROR(VLOOKUP(B1646,infoTable__15[],4,FALSE),"")</f>
        <v>1124146</v>
      </c>
      <c r="P1646" s="4">
        <f>IFERROR(VLOOKUP(B1646,infoTable__16[],4,FALSE),"")</f>
        <v>2588574</v>
      </c>
    </row>
    <row r="1647" spans="1:16" x14ac:dyDescent="0.55000000000000004">
      <c r="A1647" t="s">
        <v>2123</v>
      </c>
      <c r="B1647" t="s">
        <v>2124</v>
      </c>
      <c r="C1647" s="4" t="str">
        <f>IFERROR(VLOOKUP(B1647,infoTable10[],4,FALSE),"")</f>
        <v/>
      </c>
      <c r="D1647" s="4" t="str">
        <f>IFERROR(VLOOKUP(B1647,infoTable__2[],4,FALSE),"")</f>
        <v/>
      </c>
      <c r="E1647" s="4" t="str">
        <f>IFERROR(VLOOKUP(B1647,infoTable__3[],4,FALSE),"")</f>
        <v/>
      </c>
      <c r="F1647" s="4" t="str">
        <f>IFERROR(VLOOKUP(B1647,infoTable__4[],4,FALSE),"")</f>
        <v/>
      </c>
      <c r="G1647" s="4" t="str">
        <f>IFERROR(VLOOKUP(B1647,infoTable[],4,FALSE),"")</f>
        <v/>
      </c>
      <c r="H1647" s="4" t="str">
        <f>IFERROR(VLOOKUP(B1647,infoTable__6[],4,FALSE),"")</f>
        <v/>
      </c>
      <c r="I1647" s="4" t="str">
        <f>IFERROR(VLOOKUP(B1647,infoTable__28[],4,FALSE),"")</f>
        <v/>
      </c>
      <c r="J1647" s="4" t="str">
        <f>IFERROR(VLOOKUP(B1647,infoTable__10[],4,FALSE),"")</f>
        <v/>
      </c>
      <c r="K1647" s="4" t="str">
        <f>IFERROR(VLOOKUP(B1647,infoTable__11[],4,FALSE),"")</f>
        <v/>
      </c>
      <c r="L1647" s="4">
        <f>IFERROR(VLOOKUP(B1647,infoTable__12[],4,FALSE),"")</f>
        <v>880511</v>
      </c>
      <c r="M1647" s="4" t="str">
        <f>IFERROR(VLOOKUP(B1647,infoTable__13[],4,FALSE),"")</f>
        <v/>
      </c>
      <c r="N1647" s="4" t="str">
        <f>IFERROR(VLOOKUP(B1647,infoTable__14[],4,FALSE),"")</f>
        <v/>
      </c>
      <c r="O1647" s="4" t="str">
        <f>IFERROR(VLOOKUP(B1647,infoTable__15[],4,FALSE),"")</f>
        <v/>
      </c>
      <c r="P1647" s="4" t="str">
        <f>IFERROR(VLOOKUP(B1647,infoTable__16[],4,FALSE),"")</f>
        <v/>
      </c>
    </row>
    <row r="1648" spans="1:16" x14ac:dyDescent="0.55000000000000004">
      <c r="A1648" t="s">
        <v>2139</v>
      </c>
      <c r="B1648" t="s">
        <v>2140</v>
      </c>
      <c r="C1648" s="4" t="str">
        <f>IFERROR(VLOOKUP(B1648,infoTable10[],4,FALSE),"")</f>
        <v/>
      </c>
      <c r="D1648" s="4" t="str">
        <f>IFERROR(VLOOKUP(B1648,infoTable__2[],4,FALSE),"")</f>
        <v/>
      </c>
      <c r="E1648" s="4" t="str">
        <f>IFERROR(VLOOKUP(B1648,infoTable__3[],4,FALSE),"")</f>
        <v/>
      </c>
      <c r="F1648" s="4" t="str">
        <f>IFERROR(VLOOKUP(B1648,infoTable__4[],4,FALSE),"")</f>
        <v/>
      </c>
      <c r="G1648" s="4" t="str">
        <f>IFERROR(VLOOKUP(B1648,infoTable[],4,FALSE),"")</f>
        <v/>
      </c>
      <c r="H1648" s="4" t="str">
        <f>IFERROR(VLOOKUP(B1648,infoTable__6[],4,FALSE),"")</f>
        <v/>
      </c>
      <c r="I1648" s="4" t="str">
        <f>IFERROR(VLOOKUP(B1648,infoTable__28[],4,FALSE),"")</f>
        <v/>
      </c>
      <c r="J1648" s="4" t="str">
        <f>IFERROR(VLOOKUP(B1648,infoTable__10[],4,FALSE),"")</f>
        <v/>
      </c>
      <c r="K1648" s="4" t="str">
        <f>IFERROR(VLOOKUP(B1648,infoTable__11[],4,FALSE),"")</f>
        <v/>
      </c>
      <c r="L1648" s="4">
        <f>IFERROR(VLOOKUP(B1648,infoTable__12[],4,FALSE),"")</f>
        <v>1122497</v>
      </c>
      <c r="M1648" s="4" t="str">
        <f>IFERROR(VLOOKUP(B1648,infoTable__13[],4,FALSE),"")</f>
        <v/>
      </c>
      <c r="N1648" s="4" t="str">
        <f>IFERROR(VLOOKUP(B1648,infoTable__14[],4,FALSE),"")</f>
        <v/>
      </c>
      <c r="O1648" s="4" t="str">
        <f>IFERROR(VLOOKUP(B1648,infoTable__15[],4,FALSE),"")</f>
        <v/>
      </c>
      <c r="P1648" s="4" t="str">
        <f>IFERROR(VLOOKUP(B1648,infoTable__16[],4,FALSE),"")</f>
        <v/>
      </c>
    </row>
    <row r="1649" spans="1:16" x14ac:dyDescent="0.55000000000000004">
      <c r="A1649" t="s">
        <v>2937</v>
      </c>
      <c r="B1649" t="s">
        <v>2936</v>
      </c>
      <c r="C1649" s="4" t="str">
        <f>IFERROR(VLOOKUP(B1649,infoTable10[],4,FALSE),"")</f>
        <v/>
      </c>
      <c r="D1649" s="4" t="str">
        <f>IFERROR(VLOOKUP(B1649,infoTable__2[],4,FALSE),"")</f>
        <v/>
      </c>
      <c r="E1649" s="4" t="str">
        <f>IFERROR(VLOOKUP(B1649,infoTable__3[],4,FALSE),"")</f>
        <v/>
      </c>
      <c r="F1649" s="4" t="str">
        <f>IFERROR(VLOOKUP(B1649,infoTable__4[],4,FALSE),"")</f>
        <v/>
      </c>
      <c r="G1649" s="4" t="str">
        <f>IFERROR(VLOOKUP(B1649,infoTable[],4,FALSE),"")</f>
        <v/>
      </c>
      <c r="H1649" s="4" t="str">
        <f>IFERROR(VLOOKUP(B1649,infoTable__6[],4,FALSE),"")</f>
        <v/>
      </c>
      <c r="I1649" s="4" t="str">
        <f>IFERROR(VLOOKUP(B1649,infoTable__28[],4,FALSE),"")</f>
        <v/>
      </c>
      <c r="J1649" s="4" t="str">
        <f>IFERROR(VLOOKUP(B1649,infoTable__10[],4,FALSE),"")</f>
        <v/>
      </c>
      <c r="K1649" s="4" t="str">
        <f>IFERROR(VLOOKUP(B1649,infoTable__11[],4,FALSE),"")</f>
        <v/>
      </c>
      <c r="L1649" s="4" t="str">
        <f>IFERROR(VLOOKUP(B1649,infoTable__12[],4,FALSE),"")</f>
        <v/>
      </c>
      <c r="M1649" s="4" t="str">
        <f>IFERROR(VLOOKUP(B1649,infoTable__13[],4,FALSE),"")</f>
        <v/>
      </c>
      <c r="N1649" s="4">
        <f>IFERROR(VLOOKUP(B1649,infoTable__14[],4,FALSE),"")</f>
        <v>1040424</v>
      </c>
      <c r="O1649" s="4">
        <f>IFERROR(VLOOKUP(B1649,infoTable__15[],4,FALSE),"")</f>
        <v>1245234</v>
      </c>
      <c r="P1649" s="4">
        <f>IFERROR(VLOOKUP(B1649,infoTable__16[],4,FALSE),"")</f>
        <v>1318962</v>
      </c>
    </row>
    <row r="1650" spans="1:16" x14ac:dyDescent="0.55000000000000004">
      <c r="A1650" t="s">
        <v>1367</v>
      </c>
      <c r="B1650" t="s">
        <v>1369</v>
      </c>
      <c r="C1650" s="4" t="str">
        <f>IFERROR(VLOOKUP(B1650,infoTable10[],4,FALSE),"")</f>
        <v/>
      </c>
      <c r="D1650" s="4" t="str">
        <f>IFERROR(VLOOKUP(B1650,infoTable__2[],4,FALSE),"")</f>
        <v/>
      </c>
      <c r="E1650" s="4" t="str">
        <f>IFERROR(VLOOKUP(B1650,infoTable__3[],4,FALSE),"")</f>
        <v/>
      </c>
      <c r="F1650" s="4" t="str">
        <f>IFERROR(VLOOKUP(B1650,infoTable__4[],4,FALSE),"")</f>
        <v/>
      </c>
      <c r="G1650" s="4" t="str">
        <f>IFERROR(VLOOKUP(B1650,infoTable[],4,FALSE),"")</f>
        <v/>
      </c>
      <c r="H1650" s="4" t="str">
        <f>IFERROR(VLOOKUP(B1650,infoTable__6[],4,FALSE),"")</f>
        <v/>
      </c>
      <c r="I1650" s="4">
        <f>IFERROR(VLOOKUP(B1650,infoTable__28[],4,FALSE),"")</f>
        <v>2643910</v>
      </c>
      <c r="J1650" s="4">
        <f>IFERROR(VLOOKUP(B1650,infoTable__10[],4,FALSE),"")</f>
        <v>4078700</v>
      </c>
      <c r="K1650" s="4">
        <f>IFERROR(VLOOKUP(B1650,infoTable__11[],4,FALSE),"")</f>
        <v>2632739</v>
      </c>
      <c r="L1650" s="4">
        <f>IFERROR(VLOOKUP(B1650,infoTable__12[],4,FALSE),"")</f>
        <v>709264</v>
      </c>
      <c r="M1650" s="4" t="str">
        <f>IFERROR(VLOOKUP(B1650,infoTable__13[],4,FALSE),"")</f>
        <v/>
      </c>
      <c r="N1650" s="4" t="str">
        <f>IFERROR(VLOOKUP(B1650,infoTable__14[],4,FALSE),"")</f>
        <v/>
      </c>
      <c r="O1650" s="4" t="str">
        <f>IFERROR(VLOOKUP(B1650,infoTable__15[],4,FALSE),"")</f>
        <v/>
      </c>
      <c r="P1650" s="4" t="str">
        <f>IFERROR(VLOOKUP(B1650,infoTable__16[],4,FALSE),"")</f>
        <v/>
      </c>
    </row>
    <row r="1651" spans="1:16" x14ac:dyDescent="0.55000000000000004">
      <c r="A1651" t="s">
        <v>2338</v>
      </c>
      <c r="B1651" t="s">
        <v>2339</v>
      </c>
      <c r="C1651" s="4" t="str">
        <f>IFERROR(VLOOKUP(B1651,infoTable10[],4,FALSE),"")</f>
        <v/>
      </c>
      <c r="D1651" s="4" t="str">
        <f>IFERROR(VLOOKUP(B1651,infoTable__2[],4,FALSE),"")</f>
        <v/>
      </c>
      <c r="E1651" s="4" t="str">
        <f>IFERROR(VLOOKUP(B1651,infoTable__3[],4,FALSE),"")</f>
        <v/>
      </c>
      <c r="F1651" s="4" t="str">
        <f>IFERROR(VLOOKUP(B1651,infoTable__4[],4,FALSE),"")</f>
        <v/>
      </c>
      <c r="G1651" s="4" t="str">
        <f>IFERROR(VLOOKUP(B1651,infoTable[],4,FALSE),"")</f>
        <v/>
      </c>
      <c r="H1651" s="4" t="str">
        <f>IFERROR(VLOOKUP(B1651,infoTable__6[],4,FALSE),"")</f>
        <v/>
      </c>
      <c r="I1651" s="4" t="str">
        <f>IFERROR(VLOOKUP(B1651,infoTable__28[],4,FALSE),"")</f>
        <v/>
      </c>
      <c r="J1651" s="4" t="str">
        <f>IFERROR(VLOOKUP(B1651,infoTable__10[],4,FALSE),"")</f>
        <v/>
      </c>
      <c r="K1651" s="4" t="str">
        <f>IFERROR(VLOOKUP(B1651,infoTable__11[],4,FALSE),"")</f>
        <v/>
      </c>
      <c r="L1651" s="4">
        <f>IFERROR(VLOOKUP(B1651,infoTable__12[],4,FALSE),"")</f>
        <v>442734</v>
      </c>
      <c r="M1651" s="4">
        <f>IFERROR(VLOOKUP(B1651,infoTable__13[],4,FALSE),"")</f>
        <v>9173315</v>
      </c>
      <c r="N1651" s="4">
        <f>IFERROR(VLOOKUP(B1651,infoTable__14[],4,FALSE),"")</f>
        <v>2075200</v>
      </c>
      <c r="O1651" s="4">
        <f>IFERROR(VLOOKUP(B1651,infoTable__15[],4,FALSE),"")</f>
        <v>309509</v>
      </c>
      <c r="P1651" s="4" t="str">
        <f>IFERROR(VLOOKUP(B1651,infoTable__16[],4,FALSE),"")</f>
        <v/>
      </c>
    </row>
    <row r="1652" spans="1:16" x14ac:dyDescent="0.55000000000000004">
      <c r="A1652" t="s">
        <v>2939</v>
      </c>
      <c r="B1652" t="s">
        <v>2938</v>
      </c>
      <c r="C1652" s="4" t="str">
        <f>IFERROR(VLOOKUP(B1652,infoTable10[],4,FALSE),"")</f>
        <v/>
      </c>
      <c r="D1652" s="4" t="str">
        <f>IFERROR(VLOOKUP(B1652,infoTable__2[],4,FALSE),"")</f>
        <v/>
      </c>
      <c r="E1652" s="4" t="str">
        <f>IFERROR(VLOOKUP(B1652,infoTable__3[],4,FALSE),"")</f>
        <v/>
      </c>
      <c r="F1652" s="4" t="str">
        <f>IFERROR(VLOOKUP(B1652,infoTable__4[],4,FALSE),"")</f>
        <v/>
      </c>
      <c r="G1652" s="4" t="str">
        <f>IFERROR(VLOOKUP(B1652,infoTable[],4,FALSE),"")</f>
        <v/>
      </c>
      <c r="H1652" s="4" t="str">
        <f>IFERROR(VLOOKUP(B1652,infoTable__6[],4,FALSE),"")</f>
        <v/>
      </c>
      <c r="I1652" s="4" t="str">
        <f>IFERROR(VLOOKUP(B1652,infoTable__28[],4,FALSE),"")</f>
        <v/>
      </c>
      <c r="J1652" s="4" t="str">
        <f>IFERROR(VLOOKUP(B1652,infoTable__10[],4,FALSE),"")</f>
        <v/>
      </c>
      <c r="K1652" s="4" t="str">
        <f>IFERROR(VLOOKUP(B1652,infoTable__11[],4,FALSE),"")</f>
        <v/>
      </c>
      <c r="L1652" s="4" t="str">
        <f>IFERROR(VLOOKUP(B1652,infoTable__12[],4,FALSE),"")</f>
        <v/>
      </c>
      <c r="M1652" s="4" t="str">
        <f>IFERROR(VLOOKUP(B1652,infoTable__13[],4,FALSE),"")</f>
        <v/>
      </c>
      <c r="N1652" s="4">
        <f>IFERROR(VLOOKUP(B1652,infoTable__14[],4,FALSE),"")</f>
        <v>205561</v>
      </c>
      <c r="O1652" s="4">
        <f>IFERROR(VLOOKUP(B1652,infoTable__15[],4,FALSE),"")</f>
        <v>743863</v>
      </c>
      <c r="P1652" s="4">
        <f>IFERROR(VLOOKUP(B1652,infoTable__16[],4,FALSE),"")</f>
        <v>864937</v>
      </c>
    </row>
    <row r="1653" spans="1:16" x14ac:dyDescent="0.55000000000000004">
      <c r="A1653" t="s">
        <v>2488</v>
      </c>
      <c r="B1653" t="s">
        <v>2489</v>
      </c>
      <c r="C1653" s="4" t="str">
        <f>IFERROR(VLOOKUP(B1653,infoTable10[],4,FALSE),"")</f>
        <v/>
      </c>
      <c r="D1653" s="4" t="str">
        <f>IFERROR(VLOOKUP(B1653,infoTable__2[],4,FALSE),"")</f>
        <v/>
      </c>
      <c r="E1653" s="4" t="str">
        <f>IFERROR(VLOOKUP(B1653,infoTable__3[],4,FALSE),"")</f>
        <v/>
      </c>
      <c r="F1653" s="4" t="str">
        <f>IFERROR(VLOOKUP(B1653,infoTable__4[],4,FALSE),"")</f>
        <v/>
      </c>
      <c r="G1653" s="4" t="str">
        <f>IFERROR(VLOOKUP(B1653,infoTable[],4,FALSE),"")</f>
        <v/>
      </c>
      <c r="H1653" s="4" t="str">
        <f>IFERROR(VLOOKUP(B1653,infoTable__6[],4,FALSE),"")</f>
        <v/>
      </c>
      <c r="I1653" s="4" t="str">
        <f>IFERROR(VLOOKUP(B1653,infoTable__28[],4,FALSE),"")</f>
        <v/>
      </c>
      <c r="J1653" s="4" t="str">
        <f>IFERROR(VLOOKUP(B1653,infoTable__10[],4,FALSE),"")</f>
        <v/>
      </c>
      <c r="K1653" s="4" t="str">
        <f>IFERROR(VLOOKUP(B1653,infoTable__11[],4,FALSE),"")</f>
        <v/>
      </c>
      <c r="L1653" s="4" t="str">
        <f>IFERROR(VLOOKUP(B1653,infoTable__12[],4,FALSE),"")</f>
        <v/>
      </c>
      <c r="M1653" s="4">
        <f>IFERROR(VLOOKUP(B1653,infoTable__13[],4,FALSE),"")</f>
        <v>596001</v>
      </c>
      <c r="N1653" s="4">
        <f>IFERROR(VLOOKUP(B1653,infoTable__14[],4,FALSE),"")</f>
        <v>720119</v>
      </c>
      <c r="O1653" s="4">
        <f>IFERROR(VLOOKUP(B1653,infoTable__15[],4,FALSE),"")</f>
        <v>324170</v>
      </c>
      <c r="P1653" s="4" t="str">
        <f>IFERROR(VLOOKUP(B1653,infoTable__16[],4,FALSE),"")</f>
        <v/>
      </c>
    </row>
    <row r="1654" spans="1:16" x14ac:dyDescent="0.55000000000000004">
      <c r="A1654" t="s">
        <v>3109</v>
      </c>
      <c r="B1654" t="s">
        <v>3110</v>
      </c>
      <c r="C1654" s="4" t="str">
        <f>IFERROR(VLOOKUP(B1654,infoTable10[],4,FALSE),"")</f>
        <v/>
      </c>
      <c r="D1654" s="4" t="str">
        <f>IFERROR(VLOOKUP(B1654,infoTable__2[],4,FALSE),"")</f>
        <v/>
      </c>
      <c r="E1654" s="4" t="str">
        <f>IFERROR(VLOOKUP(B1654,infoTable__3[],4,FALSE),"")</f>
        <v/>
      </c>
      <c r="F1654" s="4" t="str">
        <f>IFERROR(VLOOKUP(B1654,infoTable__4[],4,FALSE),"")</f>
        <v/>
      </c>
      <c r="G1654" s="4" t="str">
        <f>IFERROR(VLOOKUP(B1654,infoTable[],4,FALSE),"")</f>
        <v/>
      </c>
      <c r="H1654" s="4" t="str">
        <f>IFERROR(VLOOKUP(B1654,infoTable__6[],4,FALSE),"")</f>
        <v/>
      </c>
      <c r="I1654" s="4" t="str">
        <f>IFERROR(VLOOKUP(B1654,infoTable__28[],4,FALSE),"")</f>
        <v/>
      </c>
      <c r="J1654" s="4" t="str">
        <f>IFERROR(VLOOKUP(B1654,infoTable__10[],4,FALSE),"")</f>
        <v/>
      </c>
      <c r="K1654" s="4" t="str">
        <f>IFERROR(VLOOKUP(B1654,infoTable__11[],4,FALSE),"")</f>
        <v/>
      </c>
      <c r="L1654" s="4" t="str">
        <f>IFERROR(VLOOKUP(B1654,infoTable__12[],4,FALSE),"")</f>
        <v/>
      </c>
      <c r="M1654" s="4" t="str">
        <f>IFERROR(VLOOKUP(B1654,infoTable__13[],4,FALSE),"")</f>
        <v/>
      </c>
      <c r="N1654" s="4" t="str">
        <f>IFERROR(VLOOKUP(B1654,infoTable__14[],4,FALSE),"")</f>
        <v/>
      </c>
      <c r="O1654" s="4">
        <f>IFERROR(VLOOKUP(B1654,infoTable__15[],4,FALSE),"")</f>
        <v>429549</v>
      </c>
      <c r="P1654" s="4" t="str">
        <f>IFERROR(VLOOKUP(B1654,infoTable__16[],4,FALSE),"")</f>
        <v/>
      </c>
    </row>
    <row r="1655" spans="1:16" x14ac:dyDescent="0.55000000000000004">
      <c r="A1655" t="s">
        <v>656</v>
      </c>
      <c r="B1655" t="s">
        <v>657</v>
      </c>
      <c r="C1655" s="4" t="str">
        <f>IFERROR(VLOOKUP(B1655,infoTable10[],4,FALSE),"")</f>
        <v/>
      </c>
      <c r="D1655" s="4">
        <f>IFERROR(VLOOKUP(B1655,infoTable__2[],4,FALSE),"")</f>
        <v>349971</v>
      </c>
      <c r="E1655" s="4" t="str">
        <f>IFERROR(VLOOKUP(B1655,infoTable__3[],4,FALSE),"")</f>
        <v/>
      </c>
      <c r="F1655" s="4" t="str">
        <f>IFERROR(VLOOKUP(B1655,infoTable__4[],4,FALSE),"")</f>
        <v/>
      </c>
      <c r="G1655" s="4" t="str">
        <f>IFERROR(VLOOKUP(B1655,infoTable[],4,FALSE),"")</f>
        <v/>
      </c>
      <c r="H1655" s="4" t="str">
        <f>IFERROR(VLOOKUP(B1655,infoTable__6[],4,FALSE),"")</f>
        <v/>
      </c>
      <c r="I1655" s="4" t="str">
        <f>IFERROR(VLOOKUP(B1655,infoTable__28[],4,FALSE),"")</f>
        <v/>
      </c>
      <c r="J1655" s="4">
        <f>IFERROR(VLOOKUP(B1655,infoTable__10[],4,FALSE),"")</f>
        <v>473550</v>
      </c>
      <c r="K1655" s="4">
        <f>IFERROR(VLOOKUP(B1655,infoTable__11[],4,FALSE),"")</f>
        <v>828722</v>
      </c>
      <c r="L1655" s="4" t="str">
        <f>IFERROR(VLOOKUP(B1655,infoTable__12[],4,FALSE),"")</f>
        <v/>
      </c>
      <c r="M1655" s="4" t="str">
        <f>IFERROR(VLOOKUP(B1655,infoTable__13[],4,FALSE),"")</f>
        <v/>
      </c>
      <c r="N1655" s="4" t="str">
        <f>IFERROR(VLOOKUP(B1655,infoTable__14[],4,FALSE),"")</f>
        <v/>
      </c>
      <c r="O1655" s="4" t="str">
        <f>IFERROR(VLOOKUP(B1655,infoTable__15[],4,FALSE),"")</f>
        <v/>
      </c>
      <c r="P1655" s="4" t="str">
        <f>IFERROR(VLOOKUP(B1655,infoTable__16[],4,FALSE),"")</f>
        <v/>
      </c>
    </row>
    <row r="1656" spans="1:16" x14ac:dyDescent="0.55000000000000004">
      <c r="A1656" t="s">
        <v>794</v>
      </c>
      <c r="B1656" t="s">
        <v>795</v>
      </c>
      <c r="C1656" s="4">
        <f>IFERROR(VLOOKUP(B1656,infoTable10[],4,FALSE),"")</f>
        <v>1055798</v>
      </c>
      <c r="D1656" s="4" t="str">
        <f>IFERROR(VLOOKUP(B1656,infoTable__2[],4,FALSE),"")</f>
        <v/>
      </c>
      <c r="E1656" s="4">
        <f>IFERROR(VLOOKUP(B1656,infoTable__3[],4,FALSE),"")</f>
        <v>2851207</v>
      </c>
      <c r="F1656" s="4">
        <f>IFERROR(VLOOKUP(B1656,infoTable__4[],4,FALSE),"")</f>
        <v>248352</v>
      </c>
      <c r="G1656" s="4" t="str">
        <f>IFERROR(VLOOKUP(B1656,infoTable[],4,FALSE),"")</f>
        <v/>
      </c>
      <c r="H1656" s="4">
        <f>IFERROR(VLOOKUP(B1656,infoTable__6[],4,FALSE),"")</f>
        <v>1192828</v>
      </c>
      <c r="I1656" s="4">
        <f>IFERROR(VLOOKUP(B1656,infoTable__28[],4,FALSE),"")</f>
        <v>705714</v>
      </c>
      <c r="J1656" s="4">
        <f>IFERROR(VLOOKUP(B1656,infoTable__10[],4,FALSE),"")</f>
        <v>868625</v>
      </c>
      <c r="K1656" s="4">
        <f>IFERROR(VLOOKUP(B1656,infoTable__11[],4,FALSE),"")</f>
        <v>1339903</v>
      </c>
      <c r="L1656" s="4">
        <f>IFERROR(VLOOKUP(B1656,infoTable__12[],4,FALSE),"")</f>
        <v>2103865</v>
      </c>
      <c r="M1656" s="4">
        <f>IFERROR(VLOOKUP(B1656,infoTable__13[],4,FALSE),"")</f>
        <v>2070283</v>
      </c>
      <c r="N1656" s="4">
        <f>IFERROR(VLOOKUP(B1656,infoTable__14[],4,FALSE),"")</f>
        <v>1546070</v>
      </c>
      <c r="O1656" s="4">
        <f>IFERROR(VLOOKUP(B1656,infoTable__15[],4,FALSE),"")</f>
        <v>804864</v>
      </c>
      <c r="P1656" s="4">
        <f>IFERROR(VLOOKUP(B1656,infoTable__16[],4,FALSE),"")</f>
        <v>805436</v>
      </c>
    </row>
    <row r="1657" spans="1:16" x14ac:dyDescent="0.55000000000000004">
      <c r="A1657" t="s">
        <v>2111</v>
      </c>
      <c r="B1657" t="s">
        <v>2112</v>
      </c>
      <c r="C1657" s="4" t="str">
        <f>IFERROR(VLOOKUP(B1657,infoTable10[],4,FALSE),"")</f>
        <v/>
      </c>
      <c r="D1657" s="4" t="str">
        <f>IFERROR(VLOOKUP(B1657,infoTable__2[],4,FALSE),"")</f>
        <v/>
      </c>
      <c r="E1657" s="4" t="str">
        <f>IFERROR(VLOOKUP(B1657,infoTable__3[],4,FALSE),"")</f>
        <v/>
      </c>
      <c r="F1657" s="4" t="str">
        <f>IFERROR(VLOOKUP(B1657,infoTable__4[],4,FALSE),"")</f>
        <v/>
      </c>
      <c r="G1657" s="4" t="str">
        <f>IFERROR(VLOOKUP(B1657,infoTable[],4,FALSE),"")</f>
        <v/>
      </c>
      <c r="H1657" s="4" t="str">
        <f>IFERROR(VLOOKUP(B1657,infoTable__6[],4,FALSE),"")</f>
        <v/>
      </c>
      <c r="I1657" s="4" t="str">
        <f>IFERROR(VLOOKUP(B1657,infoTable__28[],4,FALSE),"")</f>
        <v/>
      </c>
      <c r="J1657" s="4" t="str">
        <f>IFERROR(VLOOKUP(B1657,infoTable__10[],4,FALSE),"")</f>
        <v/>
      </c>
      <c r="K1657" s="4" t="str">
        <f>IFERROR(VLOOKUP(B1657,infoTable__11[],4,FALSE),"")</f>
        <v/>
      </c>
      <c r="L1657" s="4">
        <f>IFERROR(VLOOKUP(B1657,infoTable__12[],4,FALSE),"")</f>
        <v>329478</v>
      </c>
      <c r="M1657" s="4" t="str">
        <f>IFERROR(VLOOKUP(B1657,infoTable__13[],4,FALSE),"")</f>
        <v/>
      </c>
      <c r="N1657" s="4" t="str">
        <f>IFERROR(VLOOKUP(B1657,infoTable__14[],4,FALSE),"")</f>
        <v/>
      </c>
      <c r="O1657" s="4" t="str">
        <f>IFERROR(VLOOKUP(B1657,infoTable__15[],4,FALSE),"")</f>
        <v/>
      </c>
      <c r="P1657" s="4" t="str">
        <f>IFERROR(VLOOKUP(B1657,infoTable__16[],4,FALSE),"")</f>
        <v/>
      </c>
    </row>
    <row r="1658" spans="1:16" x14ac:dyDescent="0.55000000000000004">
      <c r="A1658" t="s">
        <v>1199</v>
      </c>
      <c r="B1658" t="s">
        <v>1200</v>
      </c>
      <c r="C1658" s="4" t="str">
        <f>IFERROR(VLOOKUP(B1658,infoTable10[],4,FALSE),"")</f>
        <v/>
      </c>
      <c r="D1658" s="4" t="str">
        <f>IFERROR(VLOOKUP(B1658,infoTable__2[],4,FALSE),"")</f>
        <v/>
      </c>
      <c r="E1658" s="4" t="str">
        <f>IFERROR(VLOOKUP(B1658,infoTable__3[],4,FALSE),"")</f>
        <v/>
      </c>
      <c r="F1658" s="4" t="str">
        <f>IFERROR(VLOOKUP(B1658,infoTable__4[],4,FALSE),"")</f>
        <v/>
      </c>
      <c r="G1658" s="4" t="str">
        <f>IFERROR(VLOOKUP(B1658,infoTable[],4,FALSE),"")</f>
        <v/>
      </c>
      <c r="H1658" s="4" t="str">
        <f>IFERROR(VLOOKUP(B1658,infoTable__6[],4,FALSE),"")</f>
        <v/>
      </c>
      <c r="I1658" s="4">
        <f>IFERROR(VLOOKUP(B1658,infoTable__28[],4,FALSE),"")</f>
        <v>3071353</v>
      </c>
      <c r="J1658" s="4">
        <f>IFERROR(VLOOKUP(B1658,infoTable__10[],4,FALSE),"")</f>
        <v>435432</v>
      </c>
      <c r="K1658" s="4" t="str">
        <f>IFERROR(VLOOKUP(B1658,infoTable__11[],4,FALSE),"")</f>
        <v/>
      </c>
      <c r="L1658" s="4" t="str">
        <f>IFERROR(VLOOKUP(B1658,infoTable__12[],4,FALSE),"")</f>
        <v/>
      </c>
      <c r="M1658" s="4" t="str">
        <f>IFERROR(VLOOKUP(B1658,infoTable__13[],4,FALSE),"")</f>
        <v/>
      </c>
      <c r="N1658" s="4" t="str">
        <f>IFERROR(VLOOKUP(B1658,infoTable__14[],4,FALSE),"")</f>
        <v/>
      </c>
      <c r="O1658" s="4" t="str">
        <f>IFERROR(VLOOKUP(B1658,infoTable__15[],4,FALSE),"")</f>
        <v/>
      </c>
      <c r="P1658" s="4" t="str">
        <f>IFERROR(VLOOKUP(B1658,infoTable__16[],4,FALSE),"")</f>
        <v/>
      </c>
    </row>
    <row r="1659" spans="1:16" x14ac:dyDescent="0.55000000000000004">
      <c r="A1659" t="s">
        <v>2942</v>
      </c>
      <c r="B1659" t="s">
        <v>2941</v>
      </c>
      <c r="C1659" s="4" t="str">
        <f>IFERROR(VLOOKUP(B1659,infoTable10[],4,FALSE),"")</f>
        <v/>
      </c>
      <c r="D1659" s="4" t="str">
        <f>IFERROR(VLOOKUP(B1659,infoTable__2[],4,FALSE),"")</f>
        <v/>
      </c>
      <c r="E1659" s="4" t="str">
        <f>IFERROR(VLOOKUP(B1659,infoTable__3[],4,FALSE),"")</f>
        <v/>
      </c>
      <c r="F1659" s="4" t="str">
        <f>IFERROR(VLOOKUP(B1659,infoTable__4[],4,FALSE),"")</f>
        <v/>
      </c>
      <c r="G1659" s="4" t="str">
        <f>IFERROR(VLOOKUP(B1659,infoTable[],4,FALSE),"")</f>
        <v/>
      </c>
      <c r="H1659" s="4" t="str">
        <f>IFERROR(VLOOKUP(B1659,infoTable__6[],4,FALSE),"")</f>
        <v/>
      </c>
      <c r="I1659" s="4" t="str">
        <f>IFERROR(VLOOKUP(B1659,infoTable__28[],4,FALSE),"")</f>
        <v/>
      </c>
      <c r="J1659" s="4" t="str">
        <f>IFERROR(VLOOKUP(B1659,infoTable__10[],4,FALSE),"")</f>
        <v/>
      </c>
      <c r="K1659" s="4" t="str">
        <f>IFERROR(VLOOKUP(B1659,infoTable__11[],4,FALSE),"")</f>
        <v/>
      </c>
      <c r="L1659" s="4" t="str">
        <f>IFERROR(VLOOKUP(B1659,infoTable__12[],4,FALSE),"")</f>
        <v/>
      </c>
      <c r="M1659" s="4" t="str">
        <f>IFERROR(VLOOKUP(B1659,infoTable__13[],4,FALSE),"")</f>
        <v/>
      </c>
      <c r="N1659" s="4">
        <f>IFERROR(VLOOKUP(B1659,infoTable__14[],4,FALSE),"")</f>
        <v>715702</v>
      </c>
      <c r="O1659" s="4">
        <f>IFERROR(VLOOKUP(B1659,infoTable__15[],4,FALSE),"")</f>
        <v>1356444</v>
      </c>
      <c r="P1659" s="4" t="str">
        <f>IFERROR(VLOOKUP(B1659,infoTable__16[],4,FALSE),"")</f>
        <v/>
      </c>
    </row>
    <row r="1660" spans="1:16" x14ac:dyDescent="0.55000000000000004">
      <c r="A1660" t="s">
        <v>1222</v>
      </c>
      <c r="B1660" t="s">
        <v>1223</v>
      </c>
      <c r="C1660" s="4" t="str">
        <f>IFERROR(VLOOKUP(B1660,infoTable10[],4,FALSE),"")</f>
        <v/>
      </c>
      <c r="D1660" s="4" t="str">
        <f>IFERROR(VLOOKUP(B1660,infoTable__2[],4,FALSE),"")</f>
        <v/>
      </c>
      <c r="E1660" s="4" t="str">
        <f>IFERROR(VLOOKUP(B1660,infoTable__3[],4,FALSE),"")</f>
        <v/>
      </c>
      <c r="F1660" s="4" t="str">
        <f>IFERROR(VLOOKUP(B1660,infoTable__4[],4,FALSE),"")</f>
        <v/>
      </c>
      <c r="G1660" s="4" t="str">
        <f>IFERROR(VLOOKUP(B1660,infoTable[],4,FALSE),"")</f>
        <v/>
      </c>
      <c r="H1660" s="4" t="str">
        <f>IFERROR(VLOOKUP(B1660,infoTable__6[],4,FALSE),"")</f>
        <v/>
      </c>
      <c r="I1660" s="4">
        <f>IFERROR(VLOOKUP(B1660,infoTable__28[],4,FALSE),"")</f>
        <v>508835</v>
      </c>
      <c r="J1660" s="4">
        <f>IFERROR(VLOOKUP(B1660,infoTable__10[],4,FALSE),"")</f>
        <v>251659</v>
      </c>
      <c r="K1660" s="4" t="str">
        <f>IFERROR(VLOOKUP(B1660,infoTable__11[],4,FALSE),"")</f>
        <v/>
      </c>
      <c r="L1660" s="4" t="str">
        <f>IFERROR(VLOOKUP(B1660,infoTable__12[],4,FALSE),"")</f>
        <v/>
      </c>
      <c r="M1660" s="4" t="str">
        <f>IFERROR(VLOOKUP(B1660,infoTable__13[],4,FALSE),"")</f>
        <v/>
      </c>
      <c r="N1660" s="4" t="str">
        <f>IFERROR(VLOOKUP(B1660,infoTable__14[],4,FALSE),"")</f>
        <v/>
      </c>
      <c r="O1660" s="4" t="str">
        <f>IFERROR(VLOOKUP(B1660,infoTable__15[],4,FALSE),"")</f>
        <v/>
      </c>
      <c r="P1660" s="4" t="str">
        <f>IFERROR(VLOOKUP(B1660,infoTable__16[],4,FALSE),"")</f>
        <v/>
      </c>
    </row>
    <row r="1661" spans="1:16" x14ac:dyDescent="0.55000000000000004">
      <c r="A1661" t="s">
        <v>3044</v>
      </c>
      <c r="B1661" t="s">
        <v>3045</v>
      </c>
      <c r="C1661" s="4" t="str">
        <f>IFERROR(VLOOKUP(B1661,infoTable10[],4,FALSE),"")</f>
        <v/>
      </c>
      <c r="D1661" s="4" t="str">
        <f>IFERROR(VLOOKUP(B1661,infoTable__2[],4,FALSE),"")</f>
        <v/>
      </c>
      <c r="E1661" s="4" t="str">
        <f>IFERROR(VLOOKUP(B1661,infoTable__3[],4,FALSE),"")</f>
        <v/>
      </c>
      <c r="F1661" s="4" t="str">
        <f>IFERROR(VLOOKUP(B1661,infoTable__4[],4,FALSE),"")</f>
        <v/>
      </c>
      <c r="G1661" s="4" t="str">
        <f>IFERROR(VLOOKUP(B1661,infoTable[],4,FALSE),"")</f>
        <v/>
      </c>
      <c r="H1661" s="4" t="str">
        <f>IFERROR(VLOOKUP(B1661,infoTable__6[],4,FALSE),"")</f>
        <v/>
      </c>
      <c r="I1661" s="4" t="str">
        <f>IFERROR(VLOOKUP(B1661,infoTable__28[],4,FALSE),"")</f>
        <v/>
      </c>
      <c r="J1661" s="4" t="str">
        <f>IFERROR(VLOOKUP(B1661,infoTable__10[],4,FALSE),"")</f>
        <v/>
      </c>
      <c r="K1661" s="4" t="str">
        <f>IFERROR(VLOOKUP(B1661,infoTable__11[],4,FALSE),"")</f>
        <v/>
      </c>
      <c r="L1661" s="4" t="str">
        <f>IFERROR(VLOOKUP(B1661,infoTable__12[],4,FALSE),"")</f>
        <v/>
      </c>
      <c r="M1661" s="4" t="str">
        <f>IFERROR(VLOOKUP(B1661,infoTable__13[],4,FALSE),"")</f>
        <v/>
      </c>
      <c r="N1661" s="4" t="str">
        <f>IFERROR(VLOOKUP(B1661,infoTable__14[],4,FALSE),"")</f>
        <v/>
      </c>
      <c r="O1661" s="4">
        <f>IFERROR(VLOOKUP(B1661,infoTable__15[],4,FALSE),"")</f>
        <v>424617</v>
      </c>
      <c r="P1661" s="4" t="str">
        <f>IFERROR(VLOOKUP(B1661,infoTable__16[],4,FALSE),"")</f>
        <v/>
      </c>
    </row>
    <row r="1662" spans="1:16" x14ac:dyDescent="0.55000000000000004">
      <c r="A1662" t="s">
        <v>576</v>
      </c>
      <c r="B1662" t="s">
        <v>577</v>
      </c>
      <c r="C1662" s="4" t="str">
        <f>IFERROR(VLOOKUP(B1662,infoTable10[],4,FALSE),"")</f>
        <v/>
      </c>
      <c r="D1662" s="4">
        <f>IFERROR(VLOOKUP(B1662,infoTable__2[],4,FALSE),"")</f>
        <v>3598471</v>
      </c>
      <c r="E1662" s="4" t="str">
        <f>IFERROR(VLOOKUP(B1662,infoTable__3[],4,FALSE),"")</f>
        <v/>
      </c>
      <c r="F1662" s="4" t="str">
        <f>IFERROR(VLOOKUP(B1662,infoTable__4[],4,FALSE),"")</f>
        <v/>
      </c>
      <c r="G1662" s="4" t="str">
        <f>IFERROR(VLOOKUP(B1662,infoTable[],4,FALSE),"")</f>
        <v/>
      </c>
      <c r="H1662" s="4" t="str">
        <f>IFERROR(VLOOKUP(B1662,infoTable__6[],4,FALSE),"")</f>
        <v/>
      </c>
      <c r="I1662" s="4" t="str">
        <f>IFERROR(VLOOKUP(B1662,infoTable__28[],4,FALSE),"")</f>
        <v/>
      </c>
      <c r="J1662" s="4" t="str">
        <f>IFERROR(VLOOKUP(B1662,infoTable__10[],4,FALSE),"")</f>
        <v/>
      </c>
      <c r="K1662" s="4" t="str">
        <f>IFERROR(VLOOKUP(B1662,infoTable__11[],4,FALSE),"")</f>
        <v/>
      </c>
      <c r="L1662" s="4" t="str">
        <f>IFERROR(VLOOKUP(B1662,infoTable__12[],4,FALSE),"")</f>
        <v/>
      </c>
      <c r="M1662" s="4" t="str">
        <f>IFERROR(VLOOKUP(B1662,infoTable__13[],4,FALSE),"")</f>
        <v/>
      </c>
      <c r="N1662" s="4" t="str">
        <f>IFERROR(VLOOKUP(B1662,infoTable__14[],4,FALSE),"")</f>
        <v/>
      </c>
      <c r="O1662" s="4">
        <f>IFERROR(VLOOKUP(B1662,infoTable__15[],4,FALSE),"")</f>
        <v>1798121</v>
      </c>
      <c r="P1662" s="4">
        <f>IFERROR(VLOOKUP(B1662,infoTable__16[],4,FALSE),"")</f>
        <v>2766559</v>
      </c>
    </row>
    <row r="1663" spans="1:16" x14ac:dyDescent="0.55000000000000004">
      <c r="A1663" t="s">
        <v>2476</v>
      </c>
      <c r="B1663" t="s">
        <v>2477</v>
      </c>
      <c r="C1663" s="4" t="str">
        <f>IFERROR(VLOOKUP(B1663,infoTable10[],4,FALSE),"")</f>
        <v/>
      </c>
      <c r="D1663" s="4" t="str">
        <f>IFERROR(VLOOKUP(B1663,infoTable__2[],4,FALSE),"")</f>
        <v/>
      </c>
      <c r="E1663" s="4" t="str">
        <f>IFERROR(VLOOKUP(B1663,infoTable__3[],4,FALSE),"")</f>
        <v/>
      </c>
      <c r="F1663" s="4" t="str">
        <f>IFERROR(VLOOKUP(B1663,infoTable__4[],4,FALSE),"")</f>
        <v/>
      </c>
      <c r="G1663" s="4" t="str">
        <f>IFERROR(VLOOKUP(B1663,infoTable[],4,FALSE),"")</f>
        <v/>
      </c>
      <c r="H1663" s="4" t="str">
        <f>IFERROR(VLOOKUP(B1663,infoTable__6[],4,FALSE),"")</f>
        <v/>
      </c>
      <c r="I1663" s="4" t="str">
        <f>IFERROR(VLOOKUP(B1663,infoTable__28[],4,FALSE),"")</f>
        <v/>
      </c>
      <c r="J1663" s="4" t="str">
        <f>IFERROR(VLOOKUP(B1663,infoTable__10[],4,FALSE),"")</f>
        <v/>
      </c>
      <c r="K1663" s="4" t="str">
        <f>IFERROR(VLOOKUP(B1663,infoTable__11[],4,FALSE),"")</f>
        <v/>
      </c>
      <c r="L1663" s="4" t="str">
        <f>IFERROR(VLOOKUP(B1663,infoTable__12[],4,FALSE),"")</f>
        <v/>
      </c>
      <c r="M1663" s="4">
        <f>IFERROR(VLOOKUP(B1663,infoTable__13[],4,FALSE),"")</f>
        <v>1552202</v>
      </c>
      <c r="N1663" s="4">
        <f>IFERROR(VLOOKUP(B1663,infoTable__14[],4,FALSE),"")</f>
        <v>1145244</v>
      </c>
      <c r="O1663" s="4">
        <f>IFERROR(VLOOKUP(B1663,infoTable__15[],4,FALSE),"")</f>
        <v>2320456</v>
      </c>
      <c r="P1663" s="4">
        <f>IFERROR(VLOOKUP(B1663,infoTable__16[],4,FALSE),"")</f>
        <v>942541</v>
      </c>
    </row>
    <row r="1664" spans="1:16" x14ac:dyDescent="0.55000000000000004">
      <c r="A1664" t="s">
        <v>2944</v>
      </c>
      <c r="B1664" t="s">
        <v>2943</v>
      </c>
      <c r="C1664" s="4" t="str">
        <f>IFERROR(VLOOKUP(B1664,infoTable10[],4,FALSE),"")</f>
        <v/>
      </c>
      <c r="D1664" s="4" t="str">
        <f>IFERROR(VLOOKUP(B1664,infoTable__2[],4,FALSE),"")</f>
        <v/>
      </c>
      <c r="E1664" s="4" t="str">
        <f>IFERROR(VLOOKUP(B1664,infoTable__3[],4,FALSE),"")</f>
        <v/>
      </c>
      <c r="F1664" s="4" t="str">
        <f>IFERROR(VLOOKUP(B1664,infoTable__4[],4,FALSE),"")</f>
        <v/>
      </c>
      <c r="G1664" s="4" t="str">
        <f>IFERROR(VLOOKUP(B1664,infoTable[],4,FALSE),"")</f>
        <v/>
      </c>
      <c r="H1664" s="4" t="str">
        <f>IFERROR(VLOOKUP(B1664,infoTable__6[],4,FALSE),"")</f>
        <v/>
      </c>
      <c r="I1664" s="4" t="str">
        <f>IFERROR(VLOOKUP(B1664,infoTable__28[],4,FALSE),"")</f>
        <v/>
      </c>
      <c r="J1664" s="4" t="str">
        <f>IFERROR(VLOOKUP(B1664,infoTable__10[],4,FALSE),"")</f>
        <v/>
      </c>
      <c r="K1664" s="4" t="str">
        <f>IFERROR(VLOOKUP(B1664,infoTable__11[],4,FALSE),"")</f>
        <v/>
      </c>
      <c r="L1664" s="4" t="str">
        <f>IFERROR(VLOOKUP(B1664,infoTable__12[],4,FALSE),"")</f>
        <v/>
      </c>
      <c r="M1664" s="4" t="str">
        <f>IFERROR(VLOOKUP(B1664,infoTable__13[],4,FALSE),"")</f>
        <v/>
      </c>
      <c r="N1664" s="4">
        <f>IFERROR(VLOOKUP(B1664,infoTable__14[],4,FALSE),"")</f>
        <v>233266</v>
      </c>
      <c r="O1664" s="4">
        <f>IFERROR(VLOOKUP(B1664,infoTable__15[],4,FALSE),"")</f>
        <v>751154</v>
      </c>
      <c r="P1664" s="4">
        <f>IFERROR(VLOOKUP(B1664,infoTable__16[],4,FALSE),"")</f>
        <v>1021630</v>
      </c>
    </row>
    <row r="1665" spans="1:16" x14ac:dyDescent="0.55000000000000004">
      <c r="A1665" t="s">
        <v>2946</v>
      </c>
      <c r="B1665" t="s">
        <v>2945</v>
      </c>
      <c r="C1665" s="4" t="str">
        <f>IFERROR(VLOOKUP(B1665,infoTable10[],4,FALSE),"")</f>
        <v/>
      </c>
      <c r="D1665" s="4" t="str">
        <f>IFERROR(VLOOKUP(B1665,infoTable__2[],4,FALSE),"")</f>
        <v/>
      </c>
      <c r="E1665" s="4" t="str">
        <f>IFERROR(VLOOKUP(B1665,infoTable__3[],4,FALSE),"")</f>
        <v/>
      </c>
      <c r="F1665" s="4" t="str">
        <f>IFERROR(VLOOKUP(B1665,infoTable__4[],4,FALSE),"")</f>
        <v/>
      </c>
      <c r="G1665" s="4" t="str">
        <f>IFERROR(VLOOKUP(B1665,infoTable[],4,FALSE),"")</f>
        <v/>
      </c>
      <c r="H1665" s="4" t="str">
        <f>IFERROR(VLOOKUP(B1665,infoTable__6[],4,FALSE),"")</f>
        <v/>
      </c>
      <c r="I1665" s="4" t="str">
        <f>IFERROR(VLOOKUP(B1665,infoTable__28[],4,FALSE),"")</f>
        <v/>
      </c>
      <c r="J1665" s="4" t="str">
        <f>IFERROR(VLOOKUP(B1665,infoTable__10[],4,FALSE),"")</f>
        <v/>
      </c>
      <c r="K1665" s="4" t="str">
        <f>IFERROR(VLOOKUP(B1665,infoTable__11[],4,FALSE),"")</f>
        <v/>
      </c>
      <c r="L1665" s="4" t="str">
        <f>IFERROR(VLOOKUP(B1665,infoTable__12[],4,FALSE),"")</f>
        <v/>
      </c>
      <c r="M1665" s="4" t="str">
        <f>IFERROR(VLOOKUP(B1665,infoTable__13[],4,FALSE),"")</f>
        <v/>
      </c>
      <c r="N1665" s="4">
        <f>IFERROR(VLOOKUP(B1665,infoTable__14[],4,FALSE),"")</f>
        <v>66329</v>
      </c>
      <c r="O1665" s="4" t="str">
        <f>IFERROR(VLOOKUP(B1665,infoTable__15[],4,FALSE),"")</f>
        <v/>
      </c>
      <c r="P1665" s="4" t="str">
        <f>IFERROR(VLOOKUP(B1665,infoTable__16[],4,FALSE),"")</f>
        <v/>
      </c>
    </row>
    <row r="1666" spans="1:16" x14ac:dyDescent="0.55000000000000004">
      <c r="A1666" t="s">
        <v>2948</v>
      </c>
      <c r="B1666" t="s">
        <v>2947</v>
      </c>
      <c r="C1666" s="4" t="str">
        <f>IFERROR(VLOOKUP(B1666,infoTable10[],4,FALSE),"")</f>
        <v/>
      </c>
      <c r="D1666" s="4" t="str">
        <f>IFERROR(VLOOKUP(B1666,infoTable__2[],4,FALSE),"")</f>
        <v/>
      </c>
      <c r="E1666" s="4" t="str">
        <f>IFERROR(VLOOKUP(B1666,infoTable__3[],4,FALSE),"")</f>
        <v/>
      </c>
      <c r="F1666" s="4" t="str">
        <f>IFERROR(VLOOKUP(B1666,infoTable__4[],4,FALSE),"")</f>
        <v/>
      </c>
      <c r="G1666" s="4" t="str">
        <f>IFERROR(VLOOKUP(B1666,infoTable[],4,FALSE),"")</f>
        <v/>
      </c>
      <c r="H1666" s="4" t="str">
        <f>IFERROR(VLOOKUP(B1666,infoTable__6[],4,FALSE),"")</f>
        <v/>
      </c>
      <c r="I1666" s="4" t="str">
        <f>IFERROR(VLOOKUP(B1666,infoTable__28[],4,FALSE),"")</f>
        <v/>
      </c>
      <c r="J1666" s="4" t="str">
        <f>IFERROR(VLOOKUP(B1666,infoTable__10[],4,FALSE),"")</f>
        <v/>
      </c>
      <c r="K1666" s="4" t="str">
        <f>IFERROR(VLOOKUP(B1666,infoTable__11[],4,FALSE),"")</f>
        <v/>
      </c>
      <c r="L1666" s="4" t="str">
        <f>IFERROR(VLOOKUP(B1666,infoTable__12[],4,FALSE),"")</f>
        <v/>
      </c>
      <c r="M1666" s="4" t="str">
        <f>IFERROR(VLOOKUP(B1666,infoTable__13[],4,FALSE),"")</f>
        <v/>
      </c>
      <c r="N1666" s="4">
        <f>IFERROR(VLOOKUP(B1666,infoTable__14[],4,FALSE),"")</f>
        <v>651308</v>
      </c>
      <c r="O1666" s="4">
        <f>IFERROR(VLOOKUP(B1666,infoTable__15[],4,FALSE),"")</f>
        <v>1493793</v>
      </c>
      <c r="P1666" s="4">
        <f>IFERROR(VLOOKUP(B1666,infoTable__16[],4,FALSE),"")</f>
        <v>440579</v>
      </c>
    </row>
    <row r="1667" spans="1:16" x14ac:dyDescent="0.55000000000000004">
      <c r="A1667" t="s">
        <v>1325</v>
      </c>
      <c r="B1667" t="s">
        <v>1326</v>
      </c>
      <c r="C1667" s="4" t="str">
        <f>IFERROR(VLOOKUP(B1667,infoTable10[],4,FALSE),"")</f>
        <v/>
      </c>
      <c r="D1667" s="4" t="str">
        <f>IFERROR(VLOOKUP(B1667,infoTable__2[],4,FALSE),"")</f>
        <v/>
      </c>
      <c r="E1667" s="4" t="str">
        <f>IFERROR(VLOOKUP(B1667,infoTable__3[],4,FALSE),"")</f>
        <v/>
      </c>
      <c r="F1667" s="4" t="str">
        <f>IFERROR(VLOOKUP(B1667,infoTable__4[],4,FALSE),"")</f>
        <v/>
      </c>
      <c r="G1667" s="4" t="str">
        <f>IFERROR(VLOOKUP(B1667,infoTable[],4,FALSE),"")</f>
        <v/>
      </c>
      <c r="H1667" s="4" t="str">
        <f>IFERROR(VLOOKUP(B1667,infoTable__6[],4,FALSE),"")</f>
        <v/>
      </c>
      <c r="I1667" s="4">
        <f>IFERROR(VLOOKUP(B1667,infoTable__28[],4,FALSE),"")</f>
        <v>533833</v>
      </c>
      <c r="J1667" s="4" t="str">
        <f>IFERROR(VLOOKUP(B1667,infoTable__10[],4,FALSE),"")</f>
        <v/>
      </c>
      <c r="K1667" s="4" t="str">
        <f>IFERROR(VLOOKUP(B1667,infoTable__11[],4,FALSE),"")</f>
        <v/>
      </c>
      <c r="L1667" s="4">
        <f>IFERROR(VLOOKUP(B1667,infoTable__12[],4,FALSE),"")</f>
        <v>227968</v>
      </c>
      <c r="M1667" s="4" t="str">
        <f>IFERROR(VLOOKUP(B1667,infoTable__13[],4,FALSE),"")</f>
        <v/>
      </c>
      <c r="N1667" s="4">
        <f>IFERROR(VLOOKUP(B1667,infoTable__14[],4,FALSE),"")</f>
        <v>633568</v>
      </c>
      <c r="O1667" s="4" t="str">
        <f>IFERROR(VLOOKUP(B1667,infoTable__15[],4,FALSE),"")</f>
        <v/>
      </c>
      <c r="P1667" s="4" t="str">
        <f>IFERROR(VLOOKUP(B1667,infoTable__16[],4,FALSE),"")</f>
        <v/>
      </c>
    </row>
    <row r="1668" spans="1:16" x14ac:dyDescent="0.55000000000000004">
      <c r="A1668" t="s">
        <v>2287</v>
      </c>
      <c r="B1668" t="s">
        <v>2288</v>
      </c>
      <c r="C1668" s="4" t="str">
        <f>IFERROR(VLOOKUP(B1668,infoTable10[],4,FALSE),"")</f>
        <v/>
      </c>
      <c r="D1668" s="4" t="str">
        <f>IFERROR(VLOOKUP(B1668,infoTable__2[],4,FALSE),"")</f>
        <v/>
      </c>
      <c r="E1668" s="4" t="str">
        <f>IFERROR(VLOOKUP(B1668,infoTable__3[],4,FALSE),"")</f>
        <v/>
      </c>
      <c r="F1668" s="4" t="str">
        <f>IFERROR(VLOOKUP(B1668,infoTable__4[],4,FALSE),"")</f>
        <v/>
      </c>
      <c r="G1668" s="4" t="str">
        <f>IFERROR(VLOOKUP(B1668,infoTable[],4,FALSE),"")</f>
        <v/>
      </c>
      <c r="H1668" s="4" t="str">
        <f>IFERROR(VLOOKUP(B1668,infoTable__6[],4,FALSE),"")</f>
        <v/>
      </c>
      <c r="I1668" s="4" t="str">
        <f>IFERROR(VLOOKUP(B1668,infoTable__28[],4,FALSE),"")</f>
        <v/>
      </c>
      <c r="J1668" s="4" t="str">
        <f>IFERROR(VLOOKUP(B1668,infoTable__10[],4,FALSE),"")</f>
        <v/>
      </c>
      <c r="K1668" s="4" t="str">
        <f>IFERROR(VLOOKUP(B1668,infoTable__11[],4,FALSE),"")</f>
        <v/>
      </c>
      <c r="L1668" s="4">
        <f>IFERROR(VLOOKUP(B1668,infoTable__12[],4,FALSE),"")</f>
        <v>1207733</v>
      </c>
      <c r="M1668" s="4">
        <f>IFERROR(VLOOKUP(B1668,infoTable__13[],4,FALSE),"")</f>
        <v>2909746</v>
      </c>
      <c r="N1668" s="4">
        <f>IFERROR(VLOOKUP(B1668,infoTable__14[],4,FALSE),"")</f>
        <v>381961</v>
      </c>
      <c r="O1668" s="4" t="str">
        <f>IFERROR(VLOOKUP(B1668,infoTable__15[],4,FALSE),"")</f>
        <v/>
      </c>
      <c r="P1668" s="4" t="str">
        <f>IFERROR(VLOOKUP(B1668,infoTable__16[],4,FALSE),"")</f>
        <v/>
      </c>
    </row>
    <row r="1669" spans="1:16" x14ac:dyDescent="0.55000000000000004">
      <c r="A1669" t="s">
        <v>1382</v>
      </c>
      <c r="B1669" t="s">
        <v>1383</v>
      </c>
      <c r="C1669" s="4" t="str">
        <f>IFERROR(VLOOKUP(B1669,infoTable10[],4,FALSE),"")</f>
        <v/>
      </c>
      <c r="D1669" s="4" t="str">
        <f>IFERROR(VLOOKUP(B1669,infoTable__2[],4,FALSE),"")</f>
        <v/>
      </c>
      <c r="E1669" s="4" t="str">
        <f>IFERROR(VLOOKUP(B1669,infoTable__3[],4,FALSE),"")</f>
        <v/>
      </c>
      <c r="F1669" s="4" t="str">
        <f>IFERROR(VLOOKUP(B1669,infoTable__4[],4,FALSE),"")</f>
        <v/>
      </c>
      <c r="G1669" s="4" t="str">
        <f>IFERROR(VLOOKUP(B1669,infoTable[],4,FALSE),"")</f>
        <v/>
      </c>
      <c r="H1669" s="4" t="str">
        <f>IFERROR(VLOOKUP(B1669,infoTable__6[],4,FALSE),"")</f>
        <v/>
      </c>
      <c r="I1669" s="4">
        <f>IFERROR(VLOOKUP(B1669,infoTable__28[],4,FALSE),"")</f>
        <v>170841</v>
      </c>
      <c r="J1669" s="4" t="str">
        <f>IFERROR(VLOOKUP(B1669,infoTable__10[],4,FALSE),"")</f>
        <v/>
      </c>
      <c r="K1669" s="4" t="str">
        <f>IFERROR(VLOOKUP(B1669,infoTable__11[],4,FALSE),"")</f>
        <v/>
      </c>
      <c r="L1669" s="4" t="str">
        <f>IFERROR(VLOOKUP(B1669,infoTable__12[],4,FALSE),"")</f>
        <v/>
      </c>
      <c r="M1669" s="4" t="str">
        <f>IFERROR(VLOOKUP(B1669,infoTable__13[],4,FALSE),"")</f>
        <v/>
      </c>
      <c r="N1669" s="4" t="str">
        <f>IFERROR(VLOOKUP(B1669,infoTable__14[],4,FALSE),"")</f>
        <v/>
      </c>
      <c r="O1669" s="4" t="str">
        <f>IFERROR(VLOOKUP(B1669,infoTable__15[],4,FALSE),"")</f>
        <v/>
      </c>
      <c r="P1669" s="4" t="str">
        <f>IFERROR(VLOOKUP(B1669,infoTable__16[],4,FALSE),"")</f>
        <v/>
      </c>
    </row>
    <row r="1670" spans="1:16" x14ac:dyDescent="0.55000000000000004">
      <c r="A1670" t="s">
        <v>1717</v>
      </c>
      <c r="B1670" t="s">
        <v>1718</v>
      </c>
      <c r="C1670" s="4" t="str">
        <f>IFERROR(VLOOKUP(B1670,infoTable10[],4,FALSE),"")</f>
        <v/>
      </c>
      <c r="D1670" s="4" t="str">
        <f>IFERROR(VLOOKUP(B1670,infoTable__2[],4,FALSE),"")</f>
        <v/>
      </c>
      <c r="E1670" s="4" t="str">
        <f>IFERROR(VLOOKUP(B1670,infoTable__3[],4,FALSE),"")</f>
        <v/>
      </c>
      <c r="F1670" s="4" t="str">
        <f>IFERROR(VLOOKUP(B1670,infoTable__4[],4,FALSE),"")</f>
        <v/>
      </c>
      <c r="G1670" s="4" t="str">
        <f>IFERROR(VLOOKUP(B1670,infoTable[],4,FALSE),"")</f>
        <v/>
      </c>
      <c r="H1670" s="4" t="str">
        <f>IFERROR(VLOOKUP(B1670,infoTable__6[],4,FALSE),"")</f>
        <v/>
      </c>
      <c r="I1670" s="4" t="str">
        <f>IFERROR(VLOOKUP(B1670,infoTable__28[],4,FALSE),"")</f>
        <v/>
      </c>
      <c r="J1670" s="4">
        <f>IFERROR(VLOOKUP(B1670,infoTable__10[],4,FALSE),"")</f>
        <v>1624121</v>
      </c>
      <c r="K1670" s="4">
        <f>IFERROR(VLOOKUP(B1670,infoTable__11[],4,FALSE),"")</f>
        <v>1144003</v>
      </c>
      <c r="L1670" s="4" t="str">
        <f>IFERROR(VLOOKUP(B1670,infoTable__12[],4,FALSE),"")</f>
        <v/>
      </c>
      <c r="M1670" s="4" t="str">
        <f>IFERROR(VLOOKUP(B1670,infoTable__13[],4,FALSE),"")</f>
        <v/>
      </c>
      <c r="N1670" s="4" t="str">
        <f>IFERROR(VLOOKUP(B1670,infoTable__14[],4,FALSE),"")</f>
        <v/>
      </c>
      <c r="O1670" s="4" t="str">
        <f>IFERROR(VLOOKUP(B1670,infoTable__15[],4,FALSE),"")</f>
        <v/>
      </c>
      <c r="P1670" s="4" t="str">
        <f>IFERROR(VLOOKUP(B1670,infoTable__16[],4,FALSE),"")</f>
        <v/>
      </c>
    </row>
    <row r="1671" spans="1:16" x14ac:dyDescent="0.55000000000000004">
      <c r="A1671" t="s">
        <v>2553</v>
      </c>
      <c r="B1671" t="s">
        <v>2554</v>
      </c>
      <c r="C1671" s="4" t="str">
        <f>IFERROR(VLOOKUP(B1671,infoTable10[],4,FALSE),"")</f>
        <v/>
      </c>
      <c r="D1671" s="4" t="str">
        <f>IFERROR(VLOOKUP(B1671,infoTable__2[],4,FALSE),"")</f>
        <v/>
      </c>
      <c r="E1671" s="4" t="str">
        <f>IFERROR(VLOOKUP(B1671,infoTable__3[],4,FALSE),"")</f>
        <v/>
      </c>
      <c r="F1671" s="4" t="str">
        <f>IFERROR(VLOOKUP(B1671,infoTable__4[],4,FALSE),"")</f>
        <v/>
      </c>
      <c r="G1671" s="4" t="str">
        <f>IFERROR(VLOOKUP(B1671,infoTable[],4,FALSE),"")</f>
        <v/>
      </c>
      <c r="H1671" s="4" t="str">
        <f>IFERROR(VLOOKUP(B1671,infoTable__6[],4,FALSE),"")</f>
        <v/>
      </c>
      <c r="I1671" s="4" t="str">
        <f>IFERROR(VLOOKUP(B1671,infoTable__28[],4,FALSE),"")</f>
        <v/>
      </c>
      <c r="J1671" s="4" t="str">
        <f>IFERROR(VLOOKUP(B1671,infoTable__10[],4,FALSE),"")</f>
        <v/>
      </c>
      <c r="K1671" s="4" t="str">
        <f>IFERROR(VLOOKUP(B1671,infoTable__11[],4,FALSE),"")</f>
        <v/>
      </c>
      <c r="L1671" s="4" t="str">
        <f>IFERROR(VLOOKUP(B1671,infoTable__12[],4,FALSE),"")</f>
        <v/>
      </c>
      <c r="M1671" s="4">
        <f>IFERROR(VLOOKUP(B1671,infoTable__13[],4,FALSE),"")</f>
        <v>3652159</v>
      </c>
      <c r="N1671" s="4">
        <f>IFERROR(VLOOKUP(B1671,infoTable__14[],4,FALSE),"")</f>
        <v>1219250</v>
      </c>
      <c r="O1671" s="4">
        <f>IFERROR(VLOOKUP(B1671,infoTable__15[],4,FALSE),"")</f>
        <v>394529</v>
      </c>
      <c r="P1671" s="4" t="str">
        <f>IFERROR(VLOOKUP(B1671,infoTable__16[],4,FALSE),"")</f>
        <v/>
      </c>
    </row>
    <row r="1672" spans="1:16" x14ac:dyDescent="0.55000000000000004">
      <c r="A1672" t="s">
        <v>2531</v>
      </c>
      <c r="B1672" t="s">
        <v>2532</v>
      </c>
      <c r="C1672" s="4" t="str">
        <f>IFERROR(VLOOKUP(B1672,infoTable10[],4,FALSE),"")</f>
        <v/>
      </c>
      <c r="D1672" s="4" t="str">
        <f>IFERROR(VLOOKUP(B1672,infoTable__2[],4,FALSE),"")</f>
        <v/>
      </c>
      <c r="E1672" s="4" t="str">
        <f>IFERROR(VLOOKUP(B1672,infoTable__3[],4,FALSE),"")</f>
        <v/>
      </c>
      <c r="F1672" s="4" t="str">
        <f>IFERROR(VLOOKUP(B1672,infoTable__4[],4,FALSE),"")</f>
        <v/>
      </c>
      <c r="G1672" s="4" t="str">
        <f>IFERROR(VLOOKUP(B1672,infoTable[],4,FALSE),"")</f>
        <v/>
      </c>
      <c r="H1672" s="4" t="str">
        <f>IFERROR(VLOOKUP(B1672,infoTable__6[],4,FALSE),"")</f>
        <v/>
      </c>
      <c r="I1672" s="4" t="str">
        <f>IFERROR(VLOOKUP(B1672,infoTable__28[],4,FALSE),"")</f>
        <v/>
      </c>
      <c r="J1672" s="4" t="str">
        <f>IFERROR(VLOOKUP(B1672,infoTable__10[],4,FALSE),"")</f>
        <v/>
      </c>
      <c r="K1672" s="4" t="str">
        <f>IFERROR(VLOOKUP(B1672,infoTable__11[],4,FALSE),"")</f>
        <v/>
      </c>
      <c r="L1672" s="4" t="str">
        <f>IFERROR(VLOOKUP(B1672,infoTable__12[],4,FALSE),"")</f>
        <v/>
      </c>
      <c r="M1672" s="4">
        <f>IFERROR(VLOOKUP(B1672,infoTable__13[],4,FALSE),"")</f>
        <v>260097</v>
      </c>
      <c r="N1672" s="4" t="str">
        <f>IFERROR(VLOOKUP(B1672,infoTable__14[],4,FALSE),"")</f>
        <v/>
      </c>
      <c r="O1672" s="4" t="str">
        <f>IFERROR(VLOOKUP(B1672,infoTable__15[],4,FALSE),"")</f>
        <v/>
      </c>
      <c r="P1672" s="4" t="str">
        <f>IFERROR(VLOOKUP(B1672,infoTable__16[],4,FALSE),"")</f>
        <v/>
      </c>
    </row>
    <row r="1673" spans="1:16" x14ac:dyDescent="0.55000000000000004">
      <c r="A1673" t="s">
        <v>1770</v>
      </c>
      <c r="B1673" t="s">
        <v>1771</v>
      </c>
      <c r="C1673" s="4" t="str">
        <f>IFERROR(VLOOKUP(B1673,infoTable10[],4,FALSE),"")</f>
        <v/>
      </c>
      <c r="D1673" s="4" t="str">
        <f>IFERROR(VLOOKUP(B1673,infoTable__2[],4,FALSE),"")</f>
        <v/>
      </c>
      <c r="E1673" s="4" t="str">
        <f>IFERROR(VLOOKUP(B1673,infoTable__3[],4,FALSE),"")</f>
        <v/>
      </c>
      <c r="F1673" s="4" t="str">
        <f>IFERROR(VLOOKUP(B1673,infoTable__4[],4,FALSE),"")</f>
        <v/>
      </c>
      <c r="G1673" s="4" t="str">
        <f>IFERROR(VLOOKUP(B1673,infoTable[],4,FALSE),"")</f>
        <v/>
      </c>
      <c r="H1673" s="4" t="str">
        <f>IFERROR(VLOOKUP(B1673,infoTable__6[],4,FALSE),"")</f>
        <v/>
      </c>
      <c r="I1673" s="4" t="str">
        <f>IFERROR(VLOOKUP(B1673,infoTable__28[],4,FALSE),"")</f>
        <v/>
      </c>
      <c r="J1673" s="4">
        <f>IFERROR(VLOOKUP(B1673,infoTable__10[],4,FALSE),"")</f>
        <v>768850</v>
      </c>
      <c r="K1673" s="4">
        <f>IFERROR(VLOOKUP(B1673,infoTable__11[],4,FALSE),"")</f>
        <v>547926</v>
      </c>
      <c r="L1673" s="4" t="str">
        <f>IFERROR(VLOOKUP(B1673,infoTable__12[],4,FALSE),"")</f>
        <v/>
      </c>
      <c r="M1673" s="4" t="str">
        <f>IFERROR(VLOOKUP(B1673,infoTable__13[],4,FALSE),"")</f>
        <v/>
      </c>
      <c r="N1673" s="4" t="str">
        <f>IFERROR(VLOOKUP(B1673,infoTable__14[],4,FALSE),"")</f>
        <v/>
      </c>
      <c r="O1673" s="4">
        <f>IFERROR(VLOOKUP(B1673,infoTable__15[],4,FALSE),"")</f>
        <v>883438</v>
      </c>
      <c r="P1673" s="4" t="str">
        <f>IFERROR(VLOOKUP(B1673,infoTable__16[],4,FALSE),"")</f>
        <v/>
      </c>
    </row>
    <row r="1674" spans="1:16" x14ac:dyDescent="0.55000000000000004">
      <c r="A1674" t="s">
        <v>3183</v>
      </c>
      <c r="B1674" t="s">
        <v>3184</v>
      </c>
      <c r="C1674" s="4" t="str">
        <f>IFERROR(VLOOKUP(B1674,infoTable10[],4,FALSE),"")</f>
        <v/>
      </c>
      <c r="D1674" s="4" t="str">
        <f>IFERROR(VLOOKUP(B1674,infoTable__2[],4,FALSE),"")</f>
        <v/>
      </c>
      <c r="E1674" s="4" t="str">
        <f>IFERROR(VLOOKUP(B1674,infoTable__3[],4,FALSE),"")</f>
        <v/>
      </c>
      <c r="F1674" s="4" t="str">
        <f>IFERROR(VLOOKUP(B1674,infoTable__4[],4,FALSE),"")</f>
        <v/>
      </c>
      <c r="G1674" s="4" t="str">
        <f>IFERROR(VLOOKUP(B1674,infoTable[],4,FALSE),"")</f>
        <v/>
      </c>
      <c r="H1674" s="4" t="str">
        <f>IFERROR(VLOOKUP(B1674,infoTable__6[],4,FALSE),"")</f>
        <v/>
      </c>
      <c r="I1674" s="4" t="str">
        <f>IFERROR(VLOOKUP(B1674,infoTable__28[],4,FALSE),"")</f>
        <v/>
      </c>
      <c r="J1674" s="4" t="str">
        <f>IFERROR(VLOOKUP(B1674,infoTable__10[],4,FALSE),"")</f>
        <v/>
      </c>
      <c r="K1674" s="4" t="str">
        <f>IFERROR(VLOOKUP(B1674,infoTable__11[],4,FALSE),"")</f>
        <v/>
      </c>
      <c r="L1674" s="4" t="str">
        <f>IFERROR(VLOOKUP(B1674,infoTable__12[],4,FALSE),"")</f>
        <v/>
      </c>
      <c r="M1674" s="4" t="str">
        <f>IFERROR(VLOOKUP(B1674,infoTable__13[],4,FALSE),"")</f>
        <v/>
      </c>
      <c r="N1674" s="4" t="str">
        <f>IFERROR(VLOOKUP(B1674,infoTable__14[],4,FALSE),"")</f>
        <v/>
      </c>
      <c r="O1674" s="4">
        <f>IFERROR(VLOOKUP(B1674,infoTable__15[],4,FALSE),"")</f>
        <v>346437</v>
      </c>
      <c r="P1674" s="4" t="str">
        <f>IFERROR(VLOOKUP(B1674,infoTable__16[],4,FALSE),"")</f>
        <v/>
      </c>
    </row>
    <row r="1675" spans="1:16" x14ac:dyDescent="0.55000000000000004">
      <c r="A1675" t="s">
        <v>2053</v>
      </c>
      <c r="B1675" t="s">
        <v>2054</v>
      </c>
      <c r="C1675" s="4" t="str">
        <f>IFERROR(VLOOKUP(B1675,infoTable10[],4,FALSE),"")</f>
        <v/>
      </c>
      <c r="D1675" s="4" t="str">
        <f>IFERROR(VLOOKUP(B1675,infoTable__2[],4,FALSE),"")</f>
        <v/>
      </c>
      <c r="E1675" s="4" t="str">
        <f>IFERROR(VLOOKUP(B1675,infoTable__3[],4,FALSE),"")</f>
        <v/>
      </c>
      <c r="F1675" s="4" t="str">
        <f>IFERROR(VLOOKUP(B1675,infoTable__4[],4,FALSE),"")</f>
        <v/>
      </c>
      <c r="G1675" s="4" t="str">
        <f>IFERROR(VLOOKUP(B1675,infoTable[],4,FALSE),"")</f>
        <v/>
      </c>
      <c r="H1675" s="4" t="str">
        <f>IFERROR(VLOOKUP(B1675,infoTable__6[],4,FALSE),"")</f>
        <v/>
      </c>
      <c r="I1675" s="4" t="str">
        <f>IFERROR(VLOOKUP(B1675,infoTable__28[],4,FALSE),"")</f>
        <v/>
      </c>
      <c r="J1675" s="4" t="str">
        <f>IFERROR(VLOOKUP(B1675,infoTable__10[],4,FALSE),"")</f>
        <v/>
      </c>
      <c r="K1675" s="4">
        <f>IFERROR(VLOOKUP(B1675,infoTable__11[],4,FALSE),"")</f>
        <v>822370</v>
      </c>
      <c r="L1675" s="4" t="str">
        <f>IFERROR(VLOOKUP(B1675,infoTable__12[],4,FALSE),"")</f>
        <v/>
      </c>
      <c r="M1675" s="4" t="str">
        <f>IFERROR(VLOOKUP(B1675,infoTable__13[],4,FALSE),"")</f>
        <v/>
      </c>
      <c r="N1675" s="4" t="str">
        <f>IFERROR(VLOOKUP(B1675,infoTable__14[],4,FALSE),"")</f>
        <v/>
      </c>
      <c r="O1675" s="4">
        <f>IFERROR(VLOOKUP(B1675,infoTable__15[],4,FALSE),"")</f>
        <v>1285119</v>
      </c>
      <c r="P1675" s="4">
        <f>IFERROR(VLOOKUP(B1675,infoTable__16[],4,FALSE),"")</f>
        <v>693179</v>
      </c>
    </row>
    <row r="1676" spans="1:16" x14ac:dyDescent="0.55000000000000004">
      <c r="A1676" t="s">
        <v>1811</v>
      </c>
      <c r="B1676" t="s">
        <v>1812</v>
      </c>
      <c r="C1676" s="4" t="str">
        <f>IFERROR(VLOOKUP(B1676,infoTable10[],4,FALSE),"")</f>
        <v/>
      </c>
      <c r="D1676" s="4" t="str">
        <f>IFERROR(VLOOKUP(B1676,infoTable__2[],4,FALSE),"")</f>
        <v/>
      </c>
      <c r="E1676" s="4" t="str">
        <f>IFERROR(VLOOKUP(B1676,infoTable__3[],4,FALSE),"")</f>
        <v/>
      </c>
      <c r="F1676" s="4" t="str">
        <f>IFERROR(VLOOKUP(B1676,infoTable__4[],4,FALSE),"")</f>
        <v/>
      </c>
      <c r="G1676" s="4" t="str">
        <f>IFERROR(VLOOKUP(B1676,infoTable[],4,FALSE),"")</f>
        <v/>
      </c>
      <c r="H1676" s="4" t="str">
        <f>IFERROR(VLOOKUP(B1676,infoTable__6[],4,FALSE),"")</f>
        <v/>
      </c>
      <c r="I1676" s="4" t="str">
        <f>IFERROR(VLOOKUP(B1676,infoTable__28[],4,FALSE),"")</f>
        <v/>
      </c>
      <c r="J1676" s="4">
        <f>IFERROR(VLOOKUP(B1676,infoTable__10[],4,FALSE),"")</f>
        <v>2911153</v>
      </c>
      <c r="K1676" s="4">
        <f>IFERROR(VLOOKUP(B1676,infoTable__11[],4,FALSE),"")</f>
        <v>583898</v>
      </c>
      <c r="L1676" s="4">
        <f>IFERROR(VLOOKUP(B1676,infoTable__12[],4,FALSE),"")</f>
        <v>291742</v>
      </c>
      <c r="M1676" s="4" t="str">
        <f>IFERROR(VLOOKUP(B1676,infoTable__13[],4,FALSE),"")</f>
        <v/>
      </c>
      <c r="N1676" s="4" t="str">
        <f>IFERROR(VLOOKUP(B1676,infoTable__14[],4,FALSE),"")</f>
        <v/>
      </c>
      <c r="O1676" s="4" t="str">
        <f>IFERROR(VLOOKUP(B1676,infoTable__15[],4,FALSE),"")</f>
        <v/>
      </c>
      <c r="P1676" s="4" t="str">
        <f>IFERROR(VLOOKUP(B1676,infoTable__16[],4,FALSE),"")</f>
        <v/>
      </c>
    </row>
    <row r="1677" spans="1:16" x14ac:dyDescent="0.55000000000000004">
      <c r="A1677" t="s">
        <v>2398</v>
      </c>
      <c r="B1677" t="s">
        <v>2399</v>
      </c>
      <c r="C1677" s="4" t="str">
        <f>IFERROR(VLOOKUP(B1677,infoTable10[],4,FALSE),"")</f>
        <v/>
      </c>
      <c r="D1677" s="4" t="str">
        <f>IFERROR(VLOOKUP(B1677,infoTable__2[],4,FALSE),"")</f>
        <v/>
      </c>
      <c r="E1677" s="4" t="str">
        <f>IFERROR(VLOOKUP(B1677,infoTable__3[],4,FALSE),"")</f>
        <v/>
      </c>
      <c r="F1677" s="4" t="str">
        <f>IFERROR(VLOOKUP(B1677,infoTable__4[],4,FALSE),"")</f>
        <v/>
      </c>
      <c r="G1677" s="4" t="str">
        <f>IFERROR(VLOOKUP(B1677,infoTable[],4,FALSE),"")</f>
        <v/>
      </c>
      <c r="H1677" s="4" t="str">
        <f>IFERROR(VLOOKUP(B1677,infoTable__6[],4,FALSE),"")</f>
        <v/>
      </c>
      <c r="I1677" s="4" t="str">
        <f>IFERROR(VLOOKUP(B1677,infoTable__28[],4,FALSE),"")</f>
        <v/>
      </c>
      <c r="J1677" s="4" t="str">
        <f>IFERROR(VLOOKUP(B1677,infoTable__10[],4,FALSE),"")</f>
        <v/>
      </c>
      <c r="K1677" s="4" t="str">
        <f>IFERROR(VLOOKUP(B1677,infoTable__11[],4,FALSE),"")</f>
        <v/>
      </c>
      <c r="L1677" s="4" t="str">
        <f>IFERROR(VLOOKUP(B1677,infoTable__12[],4,FALSE),"")</f>
        <v/>
      </c>
      <c r="M1677" s="4">
        <f>IFERROR(VLOOKUP(B1677,infoTable__13[],4,FALSE),"")</f>
        <v>268749</v>
      </c>
      <c r="N1677" s="4">
        <f>IFERROR(VLOOKUP(B1677,infoTable__14[],4,FALSE),"")</f>
        <v>277937</v>
      </c>
      <c r="O1677" s="4">
        <f>IFERROR(VLOOKUP(B1677,infoTable__15[],4,FALSE),"")</f>
        <v>2816977</v>
      </c>
      <c r="P1677" s="4">
        <f>IFERROR(VLOOKUP(B1677,infoTable__16[],4,FALSE),"")</f>
        <v>4845060</v>
      </c>
    </row>
    <row r="1678" spans="1:16" x14ac:dyDescent="0.55000000000000004">
      <c r="A1678" t="s">
        <v>2950</v>
      </c>
      <c r="B1678" t="s">
        <v>2949</v>
      </c>
      <c r="C1678" s="4" t="str">
        <f>IFERROR(VLOOKUP(B1678,infoTable10[],4,FALSE),"")</f>
        <v/>
      </c>
      <c r="D1678" s="4" t="str">
        <f>IFERROR(VLOOKUP(B1678,infoTable__2[],4,FALSE),"")</f>
        <v/>
      </c>
      <c r="E1678" s="4" t="str">
        <f>IFERROR(VLOOKUP(B1678,infoTable__3[],4,FALSE),"")</f>
        <v/>
      </c>
      <c r="F1678" s="4" t="str">
        <f>IFERROR(VLOOKUP(B1678,infoTable__4[],4,FALSE),"")</f>
        <v/>
      </c>
      <c r="G1678" s="4" t="str">
        <f>IFERROR(VLOOKUP(B1678,infoTable[],4,FALSE),"")</f>
        <v/>
      </c>
      <c r="H1678" s="4" t="str">
        <f>IFERROR(VLOOKUP(B1678,infoTable__6[],4,FALSE),"")</f>
        <v/>
      </c>
      <c r="I1678" s="4" t="str">
        <f>IFERROR(VLOOKUP(B1678,infoTable__28[],4,FALSE),"")</f>
        <v/>
      </c>
      <c r="J1678" s="4" t="str">
        <f>IFERROR(VLOOKUP(B1678,infoTable__10[],4,FALSE),"")</f>
        <v/>
      </c>
      <c r="K1678" s="4" t="str">
        <f>IFERROR(VLOOKUP(B1678,infoTable__11[],4,FALSE),"")</f>
        <v/>
      </c>
      <c r="L1678" s="4" t="str">
        <f>IFERROR(VLOOKUP(B1678,infoTable__12[],4,FALSE),"")</f>
        <v/>
      </c>
      <c r="M1678" s="4" t="str">
        <f>IFERROR(VLOOKUP(B1678,infoTable__13[],4,FALSE),"")</f>
        <v/>
      </c>
      <c r="N1678" s="4">
        <f>IFERROR(VLOOKUP(B1678,infoTable__14[],4,FALSE),"")</f>
        <v>813602</v>
      </c>
      <c r="O1678" s="4" t="str">
        <f>IFERROR(VLOOKUP(B1678,infoTable__15[],4,FALSE),"")</f>
        <v/>
      </c>
      <c r="P1678" s="4" t="str">
        <f>IFERROR(VLOOKUP(B1678,infoTable__16[],4,FALSE),"")</f>
        <v/>
      </c>
    </row>
    <row r="1679" spans="1:16" x14ac:dyDescent="0.55000000000000004">
      <c r="A1679" t="s">
        <v>1666</v>
      </c>
      <c r="B1679" t="s">
        <v>1667</v>
      </c>
      <c r="C1679" s="4" t="str">
        <f>IFERROR(VLOOKUP(B1679,infoTable10[],4,FALSE),"")</f>
        <v/>
      </c>
      <c r="D1679" s="4" t="str">
        <f>IFERROR(VLOOKUP(B1679,infoTable__2[],4,FALSE),"")</f>
        <v/>
      </c>
      <c r="E1679" s="4" t="str">
        <f>IFERROR(VLOOKUP(B1679,infoTable__3[],4,FALSE),"")</f>
        <v/>
      </c>
      <c r="F1679" s="4" t="str">
        <f>IFERROR(VLOOKUP(B1679,infoTable__4[],4,FALSE),"")</f>
        <v/>
      </c>
      <c r="G1679" s="4" t="str">
        <f>IFERROR(VLOOKUP(B1679,infoTable[],4,FALSE),"")</f>
        <v/>
      </c>
      <c r="H1679" s="4" t="str">
        <f>IFERROR(VLOOKUP(B1679,infoTable__6[],4,FALSE),"")</f>
        <v/>
      </c>
      <c r="I1679" s="4" t="str">
        <f>IFERROR(VLOOKUP(B1679,infoTable__28[],4,FALSE),"")</f>
        <v/>
      </c>
      <c r="J1679" s="4">
        <f>IFERROR(VLOOKUP(B1679,infoTable__10[],4,FALSE),"")</f>
        <v>1246429</v>
      </c>
      <c r="K1679" s="4" t="str">
        <f>IFERROR(VLOOKUP(B1679,infoTable__11[],4,FALSE),"")</f>
        <v/>
      </c>
      <c r="L1679" s="4" t="str">
        <f>IFERROR(VLOOKUP(B1679,infoTable__12[],4,FALSE),"")</f>
        <v/>
      </c>
      <c r="M1679" s="4">
        <f>IFERROR(VLOOKUP(B1679,infoTable__13[],4,FALSE),"")</f>
        <v>622777</v>
      </c>
      <c r="N1679" s="4" t="str">
        <f>IFERROR(VLOOKUP(B1679,infoTable__14[],4,FALSE),"")</f>
        <v/>
      </c>
      <c r="O1679" s="4" t="str">
        <f>IFERROR(VLOOKUP(B1679,infoTable__15[],4,FALSE),"")</f>
        <v/>
      </c>
      <c r="P1679" s="4" t="str">
        <f>IFERROR(VLOOKUP(B1679,infoTable__16[],4,FALSE),"")</f>
        <v/>
      </c>
    </row>
    <row r="1680" spans="1:16" x14ac:dyDescent="0.55000000000000004">
      <c r="A1680" t="s">
        <v>3344</v>
      </c>
      <c r="B1680" t="s">
        <v>3345</v>
      </c>
      <c r="C1680" s="4" t="str">
        <f>IFERROR(VLOOKUP(B1680,infoTable10[],4,FALSE),"")</f>
        <v/>
      </c>
      <c r="D1680" s="4" t="str">
        <f>IFERROR(VLOOKUP(B1680,infoTable__2[],4,FALSE),"")</f>
        <v/>
      </c>
      <c r="E1680" s="4" t="str">
        <f>IFERROR(VLOOKUP(B1680,infoTable__3[],4,FALSE),"")</f>
        <v/>
      </c>
      <c r="F1680" s="4" t="str">
        <f>IFERROR(VLOOKUP(B1680,infoTable__4[],4,FALSE),"")</f>
        <v/>
      </c>
      <c r="G1680" s="4" t="str">
        <f>IFERROR(VLOOKUP(B1680,infoTable[],4,FALSE),"")</f>
        <v/>
      </c>
      <c r="H1680" s="4" t="str">
        <f>IFERROR(VLOOKUP(B1680,infoTable__6[],4,FALSE),"")</f>
        <v/>
      </c>
      <c r="I1680" s="4" t="str">
        <f>IFERROR(VLOOKUP(B1680,infoTable__28[],4,FALSE),"")</f>
        <v/>
      </c>
      <c r="J1680" s="4" t="str">
        <f>IFERROR(VLOOKUP(B1680,infoTable__10[],4,FALSE),"")</f>
        <v/>
      </c>
      <c r="K1680" s="4" t="str">
        <f>IFERROR(VLOOKUP(B1680,infoTable__11[],4,FALSE),"")</f>
        <v/>
      </c>
      <c r="L1680" s="4" t="str">
        <f>IFERROR(VLOOKUP(B1680,infoTable__12[],4,FALSE),"")</f>
        <v/>
      </c>
      <c r="M1680" s="4" t="str">
        <f>IFERROR(VLOOKUP(B1680,infoTable__13[],4,FALSE),"")</f>
        <v/>
      </c>
      <c r="N1680" s="4" t="str">
        <f>IFERROR(VLOOKUP(B1680,infoTable__14[],4,FALSE),"")</f>
        <v/>
      </c>
      <c r="O1680" s="4" t="str">
        <f>IFERROR(VLOOKUP(B1680,infoTable__15[],4,FALSE),"")</f>
        <v/>
      </c>
      <c r="P1680" s="4">
        <f>IFERROR(VLOOKUP(B1680,infoTable__16[],4,FALSE),"")</f>
        <v>498930</v>
      </c>
    </row>
    <row r="1681" spans="1:16" x14ac:dyDescent="0.55000000000000004">
      <c r="A1681" t="s">
        <v>3350</v>
      </c>
      <c r="B1681" t="s">
        <v>3351</v>
      </c>
      <c r="C1681" s="4" t="str">
        <f>IFERROR(VLOOKUP(B1681,infoTable10[],4,FALSE),"")</f>
        <v/>
      </c>
      <c r="D1681" s="4" t="str">
        <f>IFERROR(VLOOKUP(B1681,infoTable__2[],4,FALSE),"")</f>
        <v/>
      </c>
      <c r="E1681" s="4" t="str">
        <f>IFERROR(VLOOKUP(B1681,infoTable__3[],4,FALSE),"")</f>
        <v/>
      </c>
      <c r="F1681" s="4" t="str">
        <f>IFERROR(VLOOKUP(B1681,infoTable__4[],4,FALSE),"")</f>
        <v/>
      </c>
      <c r="G1681" s="4" t="str">
        <f>IFERROR(VLOOKUP(B1681,infoTable[],4,FALSE),"")</f>
        <v/>
      </c>
      <c r="H1681" s="4" t="str">
        <f>IFERROR(VLOOKUP(B1681,infoTable__6[],4,FALSE),"")</f>
        <v/>
      </c>
      <c r="I1681" s="4" t="str">
        <f>IFERROR(VLOOKUP(B1681,infoTable__28[],4,FALSE),"")</f>
        <v/>
      </c>
      <c r="J1681" s="4" t="str">
        <f>IFERROR(VLOOKUP(B1681,infoTable__10[],4,FALSE),"")</f>
        <v/>
      </c>
      <c r="K1681" s="4" t="str">
        <f>IFERROR(VLOOKUP(B1681,infoTable__11[],4,FALSE),"")</f>
        <v/>
      </c>
      <c r="L1681" s="4" t="str">
        <f>IFERROR(VLOOKUP(B1681,infoTable__12[],4,FALSE),"")</f>
        <v/>
      </c>
      <c r="M1681" s="4" t="str">
        <f>IFERROR(VLOOKUP(B1681,infoTable__13[],4,FALSE),"")</f>
        <v/>
      </c>
      <c r="N1681" s="4" t="str">
        <f>IFERROR(VLOOKUP(B1681,infoTable__14[],4,FALSE),"")</f>
        <v/>
      </c>
      <c r="O1681" s="4" t="str">
        <f>IFERROR(VLOOKUP(B1681,infoTable__15[],4,FALSE),"")</f>
        <v/>
      </c>
      <c r="P1681" s="4">
        <f>IFERROR(VLOOKUP(B1681,infoTable__16[],4,FALSE),"")</f>
        <v>187784</v>
      </c>
    </row>
    <row r="1682" spans="1:16" x14ac:dyDescent="0.55000000000000004">
      <c r="A1682" t="s">
        <v>2181</v>
      </c>
      <c r="B1682" t="s">
        <v>2182</v>
      </c>
      <c r="C1682" s="4" t="str">
        <f>IFERROR(VLOOKUP(B1682,infoTable10[],4,FALSE),"")</f>
        <v/>
      </c>
      <c r="D1682" s="4" t="str">
        <f>IFERROR(VLOOKUP(B1682,infoTable__2[],4,FALSE),"")</f>
        <v/>
      </c>
      <c r="E1682" s="4" t="str">
        <f>IFERROR(VLOOKUP(B1682,infoTable__3[],4,FALSE),"")</f>
        <v/>
      </c>
      <c r="F1682" s="4" t="str">
        <f>IFERROR(VLOOKUP(B1682,infoTable__4[],4,FALSE),"")</f>
        <v/>
      </c>
      <c r="G1682" s="4" t="str">
        <f>IFERROR(VLOOKUP(B1682,infoTable[],4,FALSE),"")</f>
        <v/>
      </c>
      <c r="H1682" s="4" t="str">
        <f>IFERROR(VLOOKUP(B1682,infoTable__6[],4,FALSE),"")</f>
        <v/>
      </c>
      <c r="I1682" s="4" t="str">
        <f>IFERROR(VLOOKUP(B1682,infoTable__28[],4,FALSE),"")</f>
        <v/>
      </c>
      <c r="J1682" s="4" t="str">
        <f>IFERROR(VLOOKUP(B1682,infoTable__10[],4,FALSE),"")</f>
        <v/>
      </c>
      <c r="K1682" s="4" t="str">
        <f>IFERROR(VLOOKUP(B1682,infoTable__11[],4,FALSE),"")</f>
        <v/>
      </c>
      <c r="L1682" s="4">
        <f>IFERROR(VLOOKUP(B1682,infoTable__12[],4,FALSE),"")</f>
        <v>260579</v>
      </c>
      <c r="M1682" s="4" t="str">
        <f>IFERROR(VLOOKUP(B1682,infoTable__13[],4,FALSE),"")</f>
        <v/>
      </c>
      <c r="N1682" s="4" t="str">
        <f>IFERROR(VLOOKUP(B1682,infoTable__14[],4,FALSE),"")</f>
        <v/>
      </c>
      <c r="O1682" s="4" t="str">
        <f>IFERROR(VLOOKUP(B1682,infoTable__15[],4,FALSE),"")</f>
        <v/>
      </c>
      <c r="P1682" s="4" t="str">
        <f>IFERROR(VLOOKUP(B1682,infoTable__16[],4,FALSE),"")</f>
        <v/>
      </c>
    </row>
    <row r="1683" spans="1:16" x14ac:dyDescent="0.55000000000000004">
      <c r="A1683" t="s">
        <v>2470</v>
      </c>
      <c r="B1683" t="s">
        <v>2471</v>
      </c>
      <c r="C1683" s="4" t="str">
        <f>IFERROR(VLOOKUP(B1683,infoTable10[],4,FALSE),"")</f>
        <v/>
      </c>
      <c r="D1683" s="4" t="str">
        <f>IFERROR(VLOOKUP(B1683,infoTable__2[],4,FALSE),"")</f>
        <v/>
      </c>
      <c r="E1683" s="4" t="str">
        <f>IFERROR(VLOOKUP(B1683,infoTable__3[],4,FALSE),"")</f>
        <v/>
      </c>
      <c r="F1683" s="4" t="str">
        <f>IFERROR(VLOOKUP(B1683,infoTable__4[],4,FALSE),"")</f>
        <v/>
      </c>
      <c r="G1683" s="4" t="str">
        <f>IFERROR(VLOOKUP(B1683,infoTable[],4,FALSE),"")</f>
        <v/>
      </c>
      <c r="H1683" s="4" t="str">
        <f>IFERROR(VLOOKUP(B1683,infoTable__6[],4,FALSE),"")</f>
        <v/>
      </c>
      <c r="I1683" s="4" t="str">
        <f>IFERROR(VLOOKUP(B1683,infoTable__28[],4,FALSE),"")</f>
        <v/>
      </c>
      <c r="J1683" s="4" t="str">
        <f>IFERROR(VLOOKUP(B1683,infoTable__10[],4,FALSE),"")</f>
        <v/>
      </c>
      <c r="K1683" s="4" t="str">
        <f>IFERROR(VLOOKUP(B1683,infoTable__11[],4,FALSE),"")</f>
        <v/>
      </c>
      <c r="L1683" s="4" t="str">
        <f>IFERROR(VLOOKUP(B1683,infoTable__12[],4,FALSE),"")</f>
        <v/>
      </c>
      <c r="M1683" s="4">
        <f>IFERROR(VLOOKUP(B1683,infoTable__13[],4,FALSE),"")</f>
        <v>5977823</v>
      </c>
      <c r="N1683" s="4">
        <f>IFERROR(VLOOKUP(B1683,infoTable__14[],4,FALSE),"")</f>
        <v>2660323</v>
      </c>
      <c r="O1683" s="4" t="str">
        <f>IFERROR(VLOOKUP(B1683,infoTable__15[],4,FALSE),"")</f>
        <v/>
      </c>
      <c r="P1683" s="4">
        <f>IFERROR(VLOOKUP(B1683,infoTable__16[],4,FALSE),"")</f>
        <v>568147</v>
      </c>
    </row>
    <row r="1684" spans="1:16" x14ac:dyDescent="0.55000000000000004">
      <c r="A1684" t="s">
        <v>1700</v>
      </c>
      <c r="B1684" t="s">
        <v>1702</v>
      </c>
      <c r="C1684" s="4" t="str">
        <f>IFERROR(VLOOKUP(B1684,infoTable10[],4,FALSE),"")</f>
        <v/>
      </c>
      <c r="D1684" s="4" t="str">
        <f>IFERROR(VLOOKUP(B1684,infoTable__2[],4,FALSE),"")</f>
        <v/>
      </c>
      <c r="E1684" s="4" t="str">
        <f>IFERROR(VLOOKUP(B1684,infoTable__3[],4,FALSE),"")</f>
        <v/>
      </c>
      <c r="F1684" s="4" t="str">
        <f>IFERROR(VLOOKUP(B1684,infoTable__4[],4,FALSE),"")</f>
        <v/>
      </c>
      <c r="G1684" s="4" t="str">
        <f>IFERROR(VLOOKUP(B1684,infoTable[],4,FALSE),"")</f>
        <v/>
      </c>
      <c r="H1684" s="4" t="str">
        <f>IFERROR(VLOOKUP(B1684,infoTable__6[],4,FALSE),"")</f>
        <v/>
      </c>
      <c r="I1684" s="4" t="str">
        <f>IFERROR(VLOOKUP(B1684,infoTable__28[],4,FALSE),"")</f>
        <v/>
      </c>
      <c r="J1684" s="4">
        <f>IFERROR(VLOOKUP(B1684,infoTable__10[],4,FALSE),"")</f>
        <v>11985</v>
      </c>
      <c r="K1684" s="4" t="str">
        <f>IFERROR(VLOOKUP(B1684,infoTable__11[],4,FALSE),"")</f>
        <v/>
      </c>
      <c r="L1684" s="4" t="str">
        <f>IFERROR(VLOOKUP(B1684,infoTable__12[],4,FALSE),"")</f>
        <v/>
      </c>
      <c r="M1684" s="4" t="str">
        <f>IFERROR(VLOOKUP(B1684,infoTable__13[],4,FALSE),"")</f>
        <v/>
      </c>
      <c r="N1684" s="4" t="str">
        <f>IFERROR(VLOOKUP(B1684,infoTable__14[],4,FALSE),"")</f>
        <v/>
      </c>
      <c r="O1684" s="4" t="str">
        <f>IFERROR(VLOOKUP(B1684,infoTable__15[],4,FALSE),"")</f>
        <v/>
      </c>
      <c r="P1684" s="4" t="str">
        <f>IFERROR(VLOOKUP(B1684,infoTable__16[],4,FALSE),"")</f>
        <v/>
      </c>
    </row>
    <row r="1685" spans="1:16" x14ac:dyDescent="0.55000000000000004">
      <c r="A1685" t="s">
        <v>295</v>
      </c>
      <c r="B1685" t="s">
        <v>297</v>
      </c>
      <c r="C1685" s="4" t="str">
        <f>IFERROR(VLOOKUP(B1685,infoTable10[],4,FALSE),"")</f>
        <v/>
      </c>
      <c r="D1685" s="4" t="str">
        <f>IFERROR(VLOOKUP(B1685,infoTable__2[],4,FALSE),"")</f>
        <v/>
      </c>
      <c r="E1685" s="4" t="str">
        <f>IFERROR(VLOOKUP(B1685,infoTable__3[],4,FALSE),"")</f>
        <v/>
      </c>
      <c r="F1685" s="4" t="str">
        <f>IFERROR(VLOOKUP(B1685,infoTable__4[],4,FALSE),"")</f>
        <v/>
      </c>
      <c r="G1685" s="4">
        <f>IFERROR(VLOOKUP(B1685,infoTable[],4,FALSE),"")</f>
        <v>272309</v>
      </c>
      <c r="H1685" s="4">
        <f>IFERROR(VLOOKUP(B1685,infoTable__6[],4,FALSE),"")</f>
        <v>689265</v>
      </c>
      <c r="I1685" s="4" t="str">
        <f>IFERROR(VLOOKUP(B1685,infoTable__28[],4,FALSE),"")</f>
        <v/>
      </c>
      <c r="J1685" s="4" t="str">
        <f>IFERROR(VLOOKUP(B1685,infoTable__10[],4,FALSE),"")</f>
        <v/>
      </c>
      <c r="K1685" s="4" t="str">
        <f>IFERROR(VLOOKUP(B1685,infoTable__11[],4,FALSE),"")</f>
        <v/>
      </c>
      <c r="L1685" s="4" t="str">
        <f>IFERROR(VLOOKUP(B1685,infoTable__12[],4,FALSE),"")</f>
        <v/>
      </c>
      <c r="M1685" s="4" t="str">
        <f>IFERROR(VLOOKUP(B1685,infoTable__13[],4,FALSE),"")</f>
        <v/>
      </c>
      <c r="N1685" s="4" t="str">
        <f>IFERROR(VLOOKUP(B1685,infoTable__14[],4,FALSE),"")</f>
        <v/>
      </c>
      <c r="O1685" s="4" t="str">
        <f>IFERROR(VLOOKUP(B1685,infoTable__15[],4,FALSE),"")</f>
        <v/>
      </c>
      <c r="P1685" s="4">
        <f>IFERROR(VLOOKUP(B1685,infoTable__16[],4,FALSE),"")</f>
        <v>544988</v>
      </c>
    </row>
    <row r="1686" spans="1:16" x14ac:dyDescent="0.55000000000000004">
      <c r="A1686" t="s">
        <v>3260</v>
      </c>
      <c r="B1686" t="s">
        <v>3261</v>
      </c>
      <c r="C1686" s="4" t="str">
        <f>IFERROR(VLOOKUP(B1686,infoTable10[],4,FALSE),"")</f>
        <v/>
      </c>
      <c r="D1686" s="4" t="str">
        <f>IFERROR(VLOOKUP(B1686,infoTable__2[],4,FALSE),"")</f>
        <v/>
      </c>
      <c r="E1686" s="4" t="str">
        <f>IFERROR(VLOOKUP(B1686,infoTable__3[],4,FALSE),"")</f>
        <v/>
      </c>
      <c r="F1686" s="4" t="str">
        <f>IFERROR(VLOOKUP(B1686,infoTable__4[],4,FALSE),"")</f>
        <v/>
      </c>
      <c r="G1686" s="4" t="str">
        <f>IFERROR(VLOOKUP(B1686,infoTable[],4,FALSE),"")</f>
        <v/>
      </c>
      <c r="H1686" s="4" t="str">
        <f>IFERROR(VLOOKUP(B1686,infoTable__6[],4,FALSE),"")</f>
        <v/>
      </c>
      <c r="I1686" s="4" t="str">
        <f>IFERROR(VLOOKUP(B1686,infoTable__28[],4,FALSE),"")</f>
        <v/>
      </c>
      <c r="J1686" s="4" t="str">
        <f>IFERROR(VLOOKUP(B1686,infoTable__10[],4,FALSE),"")</f>
        <v/>
      </c>
      <c r="K1686" s="4" t="str">
        <f>IFERROR(VLOOKUP(B1686,infoTable__11[],4,FALSE),"")</f>
        <v/>
      </c>
      <c r="L1686" s="4" t="str">
        <f>IFERROR(VLOOKUP(B1686,infoTable__12[],4,FALSE),"")</f>
        <v/>
      </c>
      <c r="M1686" s="4" t="str">
        <f>IFERROR(VLOOKUP(B1686,infoTable__13[],4,FALSE),"")</f>
        <v/>
      </c>
      <c r="N1686" s="4" t="str">
        <f>IFERROR(VLOOKUP(B1686,infoTable__14[],4,FALSE),"")</f>
        <v/>
      </c>
      <c r="O1686" s="4" t="str">
        <f>IFERROR(VLOOKUP(B1686,infoTable__15[],4,FALSE),"")</f>
        <v/>
      </c>
      <c r="P1686" s="4">
        <f>IFERROR(VLOOKUP(B1686,infoTable__16[],4,FALSE),"")</f>
        <v>372842</v>
      </c>
    </row>
    <row r="1687" spans="1:16" x14ac:dyDescent="0.55000000000000004">
      <c r="A1687" t="s">
        <v>2952</v>
      </c>
      <c r="B1687" t="s">
        <v>2951</v>
      </c>
      <c r="C1687" s="4" t="str">
        <f>IFERROR(VLOOKUP(B1687,infoTable10[],4,FALSE),"")</f>
        <v/>
      </c>
      <c r="D1687" s="4" t="str">
        <f>IFERROR(VLOOKUP(B1687,infoTable__2[],4,FALSE),"")</f>
        <v/>
      </c>
      <c r="E1687" s="4" t="str">
        <f>IFERROR(VLOOKUP(B1687,infoTable__3[],4,FALSE),"")</f>
        <v/>
      </c>
      <c r="F1687" s="4" t="str">
        <f>IFERROR(VLOOKUP(B1687,infoTable__4[],4,FALSE),"")</f>
        <v/>
      </c>
      <c r="G1687" s="4" t="str">
        <f>IFERROR(VLOOKUP(B1687,infoTable[],4,FALSE),"")</f>
        <v/>
      </c>
      <c r="H1687" s="4" t="str">
        <f>IFERROR(VLOOKUP(B1687,infoTable__6[],4,FALSE),"")</f>
        <v/>
      </c>
      <c r="I1687" s="4" t="str">
        <f>IFERROR(VLOOKUP(B1687,infoTable__28[],4,FALSE),"")</f>
        <v/>
      </c>
      <c r="J1687" s="4" t="str">
        <f>IFERROR(VLOOKUP(B1687,infoTable__10[],4,FALSE),"")</f>
        <v/>
      </c>
      <c r="K1687" s="4" t="str">
        <f>IFERROR(VLOOKUP(B1687,infoTable__11[],4,FALSE),"")</f>
        <v/>
      </c>
      <c r="L1687" s="4" t="str">
        <f>IFERROR(VLOOKUP(B1687,infoTable__12[],4,FALSE),"")</f>
        <v/>
      </c>
      <c r="M1687" s="4" t="str">
        <f>IFERROR(VLOOKUP(B1687,infoTable__13[],4,FALSE),"")</f>
        <v/>
      </c>
      <c r="N1687" s="4">
        <f>IFERROR(VLOOKUP(B1687,infoTable__14[],4,FALSE),"")</f>
        <v>961267</v>
      </c>
      <c r="O1687" s="4">
        <f>IFERROR(VLOOKUP(B1687,infoTable__15[],4,FALSE),"")</f>
        <v>366973</v>
      </c>
      <c r="P1687" s="4" t="str">
        <f>IFERROR(VLOOKUP(B1687,infoTable__16[],4,FALSE),"")</f>
        <v/>
      </c>
    </row>
    <row r="1688" spans="1:16" x14ac:dyDescent="0.55000000000000004">
      <c r="A1688" t="s">
        <v>680</v>
      </c>
      <c r="B1688" t="s">
        <v>681</v>
      </c>
      <c r="C1688" s="4" t="str">
        <f>IFERROR(VLOOKUP(B1688,infoTable10[],4,FALSE),"")</f>
        <v/>
      </c>
      <c r="D1688" s="4">
        <f>IFERROR(VLOOKUP(B1688,infoTable__2[],4,FALSE),"")</f>
        <v>1989887</v>
      </c>
      <c r="E1688" s="4">
        <f>IFERROR(VLOOKUP(B1688,infoTable__3[],4,FALSE),"")</f>
        <v>8927761</v>
      </c>
      <c r="F1688" s="4" t="str">
        <f>IFERROR(VLOOKUP(B1688,infoTable__4[],4,FALSE),"")</f>
        <v/>
      </c>
      <c r="G1688" s="4" t="str">
        <f>IFERROR(VLOOKUP(B1688,infoTable[],4,FALSE),"")</f>
        <v/>
      </c>
      <c r="H1688" s="4" t="str">
        <f>IFERROR(VLOOKUP(B1688,infoTable__6[],4,FALSE),"")</f>
        <v/>
      </c>
      <c r="I1688" s="4" t="str">
        <f>IFERROR(VLOOKUP(B1688,infoTable__28[],4,FALSE),"")</f>
        <v/>
      </c>
      <c r="J1688" s="4" t="str">
        <f>IFERROR(VLOOKUP(B1688,infoTable__10[],4,FALSE),"")</f>
        <v/>
      </c>
      <c r="K1688" s="4" t="str">
        <f>IFERROR(VLOOKUP(B1688,infoTable__11[],4,FALSE),"")</f>
        <v/>
      </c>
      <c r="L1688" s="4" t="str">
        <f>IFERROR(VLOOKUP(B1688,infoTable__12[],4,FALSE),"")</f>
        <v/>
      </c>
      <c r="M1688" s="4" t="str">
        <f>IFERROR(VLOOKUP(B1688,infoTable__13[],4,FALSE),"")</f>
        <v/>
      </c>
      <c r="N1688" s="4" t="str">
        <f>IFERROR(VLOOKUP(B1688,infoTable__14[],4,FALSE),"")</f>
        <v/>
      </c>
      <c r="O1688" s="4">
        <f>IFERROR(VLOOKUP(B1688,infoTable__15[],4,FALSE),"")</f>
        <v>938008</v>
      </c>
      <c r="P1688" s="4" t="str">
        <f>IFERROR(VLOOKUP(B1688,infoTable__16[],4,FALSE),"")</f>
        <v/>
      </c>
    </row>
    <row r="1689" spans="1:16" x14ac:dyDescent="0.55000000000000004">
      <c r="A1689" t="s">
        <v>1163</v>
      </c>
      <c r="B1689" t="s">
        <v>1164</v>
      </c>
      <c r="C1689" s="4">
        <f>IFERROR(VLOOKUP(B1689,infoTable10[],4,FALSE),"")</f>
        <v>406708</v>
      </c>
      <c r="D1689" s="4" t="str">
        <f>IFERROR(VLOOKUP(B1689,infoTable__2[],4,FALSE),"")</f>
        <v/>
      </c>
      <c r="E1689" s="4" t="str">
        <f>IFERROR(VLOOKUP(B1689,infoTable__3[],4,FALSE),"")</f>
        <v/>
      </c>
      <c r="F1689" s="4" t="str">
        <f>IFERROR(VLOOKUP(B1689,infoTable__4[],4,FALSE),"")</f>
        <v/>
      </c>
      <c r="G1689" s="4" t="str">
        <f>IFERROR(VLOOKUP(B1689,infoTable[],4,FALSE),"")</f>
        <v/>
      </c>
      <c r="H1689" s="4" t="str">
        <f>IFERROR(VLOOKUP(B1689,infoTable__6[],4,FALSE),"")</f>
        <v/>
      </c>
      <c r="I1689" s="4">
        <f>IFERROR(VLOOKUP(B1689,infoTable__28[],4,FALSE),"")</f>
        <v>1055531</v>
      </c>
      <c r="J1689" s="4">
        <f>IFERROR(VLOOKUP(B1689,infoTable__10[],4,FALSE),"")</f>
        <v>1358007</v>
      </c>
      <c r="K1689" s="4">
        <f>IFERROR(VLOOKUP(B1689,infoTable__11[],4,FALSE),"")</f>
        <v>3111955</v>
      </c>
      <c r="L1689" s="4">
        <f>IFERROR(VLOOKUP(B1689,infoTable__12[],4,FALSE),"")</f>
        <v>1391844</v>
      </c>
      <c r="M1689" s="4" t="str">
        <f>IFERROR(VLOOKUP(B1689,infoTable__13[],4,FALSE),"")</f>
        <v/>
      </c>
      <c r="N1689" s="4" t="str">
        <f>IFERROR(VLOOKUP(B1689,infoTable__14[],4,FALSE),"")</f>
        <v/>
      </c>
      <c r="O1689" s="4" t="str">
        <f>IFERROR(VLOOKUP(B1689,infoTable__15[],4,FALSE),"")</f>
        <v/>
      </c>
      <c r="P1689" s="4">
        <f>IFERROR(VLOOKUP(B1689,infoTable__16[],4,FALSE),"")</f>
        <v>1496025</v>
      </c>
    </row>
    <row r="1690" spans="1:16" x14ac:dyDescent="0.55000000000000004">
      <c r="A1690" t="s">
        <v>2125</v>
      </c>
      <c r="B1690" t="s">
        <v>2126</v>
      </c>
      <c r="C1690" s="4" t="str">
        <f>IFERROR(VLOOKUP(B1690,infoTable10[],4,FALSE),"")</f>
        <v/>
      </c>
      <c r="D1690" s="4" t="str">
        <f>IFERROR(VLOOKUP(B1690,infoTable__2[],4,FALSE),"")</f>
        <v/>
      </c>
      <c r="E1690" s="4" t="str">
        <f>IFERROR(VLOOKUP(B1690,infoTable__3[],4,FALSE),"")</f>
        <v/>
      </c>
      <c r="F1690" s="4" t="str">
        <f>IFERROR(VLOOKUP(B1690,infoTable__4[],4,FALSE),"")</f>
        <v/>
      </c>
      <c r="G1690" s="4" t="str">
        <f>IFERROR(VLOOKUP(B1690,infoTable[],4,FALSE),"")</f>
        <v/>
      </c>
      <c r="H1690" s="4" t="str">
        <f>IFERROR(VLOOKUP(B1690,infoTable__6[],4,FALSE),"")</f>
        <v/>
      </c>
      <c r="I1690" s="4" t="str">
        <f>IFERROR(VLOOKUP(B1690,infoTable__28[],4,FALSE),"")</f>
        <v/>
      </c>
      <c r="J1690" s="4" t="str">
        <f>IFERROR(VLOOKUP(B1690,infoTable__10[],4,FALSE),"")</f>
        <v/>
      </c>
      <c r="K1690" s="4" t="str">
        <f>IFERROR(VLOOKUP(B1690,infoTable__11[],4,FALSE),"")</f>
        <v/>
      </c>
      <c r="L1690" s="4">
        <f>IFERROR(VLOOKUP(B1690,infoTable__12[],4,FALSE),"")</f>
        <v>223802</v>
      </c>
      <c r="M1690" s="4">
        <f>IFERROR(VLOOKUP(B1690,infoTable__13[],4,FALSE),"")</f>
        <v>243343</v>
      </c>
      <c r="N1690" s="4">
        <f>IFERROR(VLOOKUP(B1690,infoTable__14[],4,FALSE),"")</f>
        <v>413363</v>
      </c>
      <c r="O1690" s="4">
        <f>IFERROR(VLOOKUP(B1690,infoTable__15[],4,FALSE),"")</f>
        <v>1270726</v>
      </c>
      <c r="P1690" s="4">
        <f>IFERROR(VLOOKUP(B1690,infoTable__16[],4,FALSE),"")</f>
        <v>2887189</v>
      </c>
    </row>
    <row r="1691" spans="1:16" x14ac:dyDescent="0.55000000000000004">
      <c r="A1691" t="s">
        <v>555</v>
      </c>
      <c r="B1691" t="s">
        <v>556</v>
      </c>
      <c r="C1691" s="4">
        <f>IFERROR(VLOOKUP(B1691,infoTable10[],4,FALSE),"")</f>
        <v>1028464</v>
      </c>
      <c r="D1691" s="4">
        <f>IFERROR(VLOOKUP(B1691,infoTable__2[],4,FALSE),"")</f>
        <v>1767446</v>
      </c>
      <c r="E1691" s="4" t="str">
        <f>IFERROR(VLOOKUP(B1691,infoTable__3[],4,FALSE),"")</f>
        <v/>
      </c>
      <c r="F1691" s="4" t="str">
        <f>IFERROR(VLOOKUP(B1691,infoTable__4[],4,FALSE),"")</f>
        <v/>
      </c>
      <c r="G1691" s="4" t="str">
        <f>IFERROR(VLOOKUP(B1691,infoTable[],4,FALSE),"")</f>
        <v/>
      </c>
      <c r="H1691" s="4" t="str">
        <f>IFERROR(VLOOKUP(B1691,infoTable__6[],4,FALSE),"")</f>
        <v/>
      </c>
      <c r="I1691" s="4" t="str">
        <f>IFERROR(VLOOKUP(B1691,infoTable__28[],4,FALSE),"")</f>
        <v/>
      </c>
      <c r="J1691" s="4" t="str">
        <f>IFERROR(VLOOKUP(B1691,infoTable__10[],4,FALSE),"")</f>
        <v/>
      </c>
      <c r="K1691" s="4" t="str">
        <f>IFERROR(VLOOKUP(B1691,infoTable__11[],4,FALSE),"")</f>
        <v/>
      </c>
      <c r="L1691" s="4" t="str">
        <f>IFERROR(VLOOKUP(B1691,infoTable__12[],4,FALSE),"")</f>
        <v/>
      </c>
      <c r="M1691" s="4" t="str">
        <f>IFERROR(VLOOKUP(B1691,infoTable__13[],4,FALSE),"")</f>
        <v/>
      </c>
      <c r="N1691" s="4" t="str">
        <f>IFERROR(VLOOKUP(B1691,infoTable__14[],4,FALSE),"")</f>
        <v/>
      </c>
      <c r="O1691" s="4" t="str">
        <f>IFERROR(VLOOKUP(B1691,infoTable__15[],4,FALSE),"")</f>
        <v/>
      </c>
      <c r="P1691" s="4">
        <f>IFERROR(VLOOKUP(B1691,infoTable__16[],4,FALSE),"")</f>
        <v>433876</v>
      </c>
    </row>
    <row r="1692" spans="1:16" x14ac:dyDescent="0.55000000000000004">
      <c r="A1692" t="s">
        <v>557</v>
      </c>
      <c r="B1692" t="s">
        <v>559</v>
      </c>
      <c r="C1692" s="4" t="str">
        <f>IFERROR(VLOOKUP(B1692,infoTable10[],4,FALSE),"")</f>
        <v/>
      </c>
      <c r="D1692" s="4">
        <f>IFERROR(VLOOKUP(B1692,infoTable__2[],4,FALSE),"")</f>
        <v>650802</v>
      </c>
      <c r="E1692" s="4" t="str">
        <f>IFERROR(VLOOKUP(B1692,infoTable__3[],4,FALSE),"")</f>
        <v/>
      </c>
      <c r="F1692" s="4" t="str">
        <f>IFERROR(VLOOKUP(B1692,infoTable__4[],4,FALSE),"")</f>
        <v/>
      </c>
      <c r="G1692" s="4" t="str">
        <f>IFERROR(VLOOKUP(B1692,infoTable[],4,FALSE),"")</f>
        <v/>
      </c>
      <c r="H1692" s="4" t="str">
        <f>IFERROR(VLOOKUP(B1692,infoTable__6[],4,FALSE),"")</f>
        <v/>
      </c>
      <c r="I1692" s="4" t="str">
        <f>IFERROR(VLOOKUP(B1692,infoTable__28[],4,FALSE),"")</f>
        <v/>
      </c>
      <c r="J1692" s="4" t="str">
        <f>IFERROR(VLOOKUP(B1692,infoTable__10[],4,FALSE),"")</f>
        <v/>
      </c>
      <c r="K1692" s="4">
        <f>IFERROR(VLOOKUP(B1692,infoTable__11[],4,FALSE),"")</f>
        <v>244918</v>
      </c>
      <c r="L1692" s="4">
        <f>IFERROR(VLOOKUP(B1692,infoTable__12[],4,FALSE),"")</f>
        <v>672345</v>
      </c>
      <c r="M1692" s="4">
        <f>IFERROR(VLOOKUP(B1692,infoTable__13[],4,FALSE),"")</f>
        <v>514418</v>
      </c>
      <c r="N1692" s="4">
        <f>IFERROR(VLOOKUP(B1692,infoTable__14[],4,FALSE),"")</f>
        <v>229698</v>
      </c>
      <c r="O1692" s="4" t="str">
        <f>IFERROR(VLOOKUP(B1692,infoTable__15[],4,FALSE),"")</f>
        <v/>
      </c>
      <c r="P1692" s="4">
        <f>IFERROR(VLOOKUP(B1692,infoTable__16[],4,FALSE),"")</f>
        <v>1572790</v>
      </c>
    </row>
    <row r="1693" spans="1:16" x14ac:dyDescent="0.55000000000000004">
      <c r="A1693" t="s">
        <v>1263</v>
      </c>
      <c r="B1693" t="s">
        <v>1264</v>
      </c>
      <c r="C1693" s="4" t="str">
        <f>IFERROR(VLOOKUP(B1693,infoTable10[],4,FALSE),"")</f>
        <v/>
      </c>
      <c r="D1693" s="4" t="str">
        <f>IFERROR(VLOOKUP(B1693,infoTable__2[],4,FALSE),"")</f>
        <v/>
      </c>
      <c r="E1693" s="4" t="str">
        <f>IFERROR(VLOOKUP(B1693,infoTable__3[],4,FALSE),"")</f>
        <v/>
      </c>
      <c r="F1693" s="4" t="str">
        <f>IFERROR(VLOOKUP(B1693,infoTable__4[],4,FALSE),"")</f>
        <v/>
      </c>
      <c r="G1693" s="4" t="str">
        <f>IFERROR(VLOOKUP(B1693,infoTable[],4,FALSE),"")</f>
        <v/>
      </c>
      <c r="H1693" s="4" t="str">
        <f>IFERROR(VLOOKUP(B1693,infoTable__6[],4,FALSE),"")</f>
        <v/>
      </c>
      <c r="I1693" s="4">
        <f>IFERROR(VLOOKUP(B1693,infoTable__28[],4,FALSE),"")</f>
        <v>454137</v>
      </c>
      <c r="J1693" s="4">
        <f>IFERROR(VLOOKUP(B1693,infoTable__10[],4,FALSE),"")</f>
        <v>598630</v>
      </c>
      <c r="K1693" s="4">
        <f>IFERROR(VLOOKUP(B1693,infoTable__11[],4,FALSE),"")</f>
        <v>193668</v>
      </c>
      <c r="L1693" s="4" t="str">
        <f>IFERROR(VLOOKUP(B1693,infoTable__12[],4,FALSE),"")</f>
        <v/>
      </c>
      <c r="M1693" s="4" t="str">
        <f>IFERROR(VLOOKUP(B1693,infoTable__13[],4,FALSE),"")</f>
        <v/>
      </c>
      <c r="N1693" s="4" t="str">
        <f>IFERROR(VLOOKUP(B1693,infoTable__14[],4,FALSE),"")</f>
        <v/>
      </c>
      <c r="O1693" s="4" t="str">
        <f>IFERROR(VLOOKUP(B1693,infoTable__15[],4,FALSE),"")</f>
        <v/>
      </c>
      <c r="P1693" s="4" t="str">
        <f>IFERROR(VLOOKUP(B1693,infoTable__16[],4,FALSE),"")</f>
        <v/>
      </c>
    </row>
    <row r="1694" spans="1:16" x14ac:dyDescent="0.55000000000000004">
      <c r="A1694" t="s">
        <v>1594</v>
      </c>
      <c r="B1694" t="s">
        <v>1272</v>
      </c>
      <c r="C1694" s="4" t="str">
        <f>IFERROR(VLOOKUP(B1694,infoTable10[],4,FALSE),"")</f>
        <v/>
      </c>
      <c r="D1694" s="4" t="str">
        <f>IFERROR(VLOOKUP(B1694,infoTable__2[],4,FALSE),"")</f>
        <v/>
      </c>
      <c r="E1694" s="4" t="str">
        <f>IFERROR(VLOOKUP(B1694,infoTable__3[],4,FALSE),"")</f>
        <v/>
      </c>
      <c r="F1694" s="4" t="str">
        <f>IFERROR(VLOOKUP(B1694,infoTable__4[],4,FALSE),"")</f>
        <v/>
      </c>
      <c r="G1694" s="4" t="str">
        <f>IFERROR(VLOOKUP(B1694,infoTable[],4,FALSE),"")</f>
        <v/>
      </c>
      <c r="H1694" s="4" t="str">
        <f>IFERROR(VLOOKUP(B1694,infoTable__6[],4,FALSE),"")</f>
        <v/>
      </c>
      <c r="I1694" s="4">
        <f>IFERROR(VLOOKUP(B1694,infoTable__28[],4,FALSE),"")</f>
        <v>675068</v>
      </c>
      <c r="J1694" s="4">
        <f>IFERROR(VLOOKUP(B1694,infoTable__10[],4,FALSE),"")</f>
        <v>334058</v>
      </c>
      <c r="K1694" s="4" t="str">
        <f>IFERROR(VLOOKUP(B1694,infoTable__11[],4,FALSE),"")</f>
        <v/>
      </c>
      <c r="L1694" s="4">
        <f>IFERROR(VLOOKUP(B1694,infoTable__12[],4,FALSE),"")</f>
        <v>216869</v>
      </c>
      <c r="M1694" s="4" t="str">
        <f>IFERROR(VLOOKUP(B1694,infoTable__13[],4,FALSE),"")</f>
        <v/>
      </c>
      <c r="N1694" s="4" t="str">
        <f>IFERROR(VLOOKUP(B1694,infoTable__14[],4,FALSE),"")</f>
        <v/>
      </c>
      <c r="O1694" s="4">
        <f>IFERROR(VLOOKUP(B1694,infoTable__15[],4,FALSE),"")</f>
        <v>890752</v>
      </c>
      <c r="P1694" s="4" t="str">
        <f>IFERROR(VLOOKUP(B1694,infoTable__16[],4,FALSE),"")</f>
        <v/>
      </c>
    </row>
    <row r="1695" spans="1:16" x14ac:dyDescent="0.55000000000000004">
      <c r="A1695" t="s">
        <v>1290</v>
      </c>
      <c r="B1695" t="s">
        <v>1913</v>
      </c>
      <c r="C1695" s="4" t="str">
        <f>IFERROR(VLOOKUP(B1695,infoTable10[],4,FALSE),"")</f>
        <v/>
      </c>
      <c r="D1695" s="4" t="str">
        <f>IFERROR(VLOOKUP(B1695,infoTable__2[],4,FALSE),"")</f>
        <v/>
      </c>
      <c r="E1695" s="4" t="str">
        <f>IFERROR(VLOOKUP(B1695,infoTable__3[],4,FALSE),"")</f>
        <v/>
      </c>
      <c r="F1695" s="4" t="str">
        <f>IFERROR(VLOOKUP(B1695,infoTable__4[],4,FALSE),"")</f>
        <v/>
      </c>
      <c r="G1695" s="4" t="str">
        <f>IFERROR(VLOOKUP(B1695,infoTable[],4,FALSE),"")</f>
        <v/>
      </c>
      <c r="H1695" s="4" t="str">
        <f>IFERROR(VLOOKUP(B1695,infoTable__6[],4,FALSE),"")</f>
        <v/>
      </c>
      <c r="I1695" s="4" t="str">
        <f>IFERROR(VLOOKUP(B1695,infoTable__28[],4,FALSE),"")</f>
        <v/>
      </c>
      <c r="J1695" s="4" t="str">
        <f>IFERROR(VLOOKUP(B1695,infoTable__10[],4,FALSE),"")</f>
        <v/>
      </c>
      <c r="K1695" s="4">
        <f>IFERROR(VLOOKUP(B1695,infoTable__11[],4,FALSE),"")</f>
        <v>123125</v>
      </c>
      <c r="L1695" s="4">
        <f>IFERROR(VLOOKUP(B1695,infoTable__12[],4,FALSE),"")</f>
        <v>91957</v>
      </c>
      <c r="M1695" s="4" t="str">
        <f>IFERROR(VLOOKUP(B1695,infoTable__13[],4,FALSE),"")</f>
        <v/>
      </c>
      <c r="N1695" s="4" t="str">
        <f>IFERROR(VLOOKUP(B1695,infoTable__14[],4,FALSE),"")</f>
        <v/>
      </c>
      <c r="O1695" s="4">
        <f>IFERROR(VLOOKUP(B1695,infoTable__15[],4,FALSE),"")</f>
        <v>205136</v>
      </c>
      <c r="P1695" s="4">
        <f>IFERROR(VLOOKUP(B1695,infoTable__16[],4,FALSE),"")</f>
        <v>354631</v>
      </c>
    </row>
    <row r="1696" spans="1:16" x14ac:dyDescent="0.55000000000000004">
      <c r="A1696" t="s">
        <v>1359</v>
      </c>
      <c r="B1696" t="s">
        <v>1360</v>
      </c>
      <c r="C1696" s="4" t="str">
        <f>IFERROR(VLOOKUP(B1696,infoTable10[],4,FALSE),"")</f>
        <v/>
      </c>
      <c r="D1696" s="4" t="str">
        <f>IFERROR(VLOOKUP(B1696,infoTable__2[],4,FALSE),"")</f>
        <v/>
      </c>
      <c r="E1696" s="4" t="str">
        <f>IFERROR(VLOOKUP(B1696,infoTable__3[],4,FALSE),"")</f>
        <v/>
      </c>
      <c r="F1696" s="4" t="str">
        <f>IFERROR(VLOOKUP(B1696,infoTable__4[],4,FALSE),"")</f>
        <v/>
      </c>
      <c r="G1696" s="4" t="str">
        <f>IFERROR(VLOOKUP(B1696,infoTable[],4,FALSE),"")</f>
        <v/>
      </c>
      <c r="H1696" s="4" t="str">
        <f>IFERROR(VLOOKUP(B1696,infoTable__6[],4,FALSE),"")</f>
        <v/>
      </c>
      <c r="I1696" s="4">
        <f>IFERROR(VLOOKUP(B1696,infoTable__28[],4,FALSE),"")</f>
        <v>1313359</v>
      </c>
      <c r="J1696" s="4">
        <f>IFERROR(VLOOKUP(B1696,infoTable__10[],4,FALSE),"")</f>
        <v>1206841</v>
      </c>
      <c r="K1696" s="4">
        <f>IFERROR(VLOOKUP(B1696,infoTable__11[],4,FALSE),"")</f>
        <v>1152770</v>
      </c>
      <c r="L1696" s="4">
        <f>IFERROR(VLOOKUP(B1696,infoTable__12[],4,FALSE),"")</f>
        <v>870447</v>
      </c>
      <c r="M1696" s="4" t="str">
        <f>IFERROR(VLOOKUP(B1696,infoTable__13[],4,FALSE),"")</f>
        <v/>
      </c>
      <c r="N1696" s="4" t="str">
        <f>IFERROR(VLOOKUP(B1696,infoTable__14[],4,FALSE),"")</f>
        <v/>
      </c>
      <c r="O1696" s="4">
        <f>IFERROR(VLOOKUP(B1696,infoTable__15[],4,FALSE),"")</f>
        <v>425206</v>
      </c>
      <c r="P1696" s="4">
        <f>IFERROR(VLOOKUP(B1696,infoTable__16[],4,FALSE),"")</f>
        <v>214350</v>
      </c>
    </row>
    <row r="1697" spans="1:16" x14ac:dyDescent="0.55000000000000004">
      <c r="A1697" t="s">
        <v>3125</v>
      </c>
      <c r="B1697" t="s">
        <v>3126</v>
      </c>
      <c r="C1697" s="4" t="str">
        <f>IFERROR(VLOOKUP(B1697,infoTable10[],4,FALSE),"")</f>
        <v/>
      </c>
      <c r="D1697" s="4" t="str">
        <f>IFERROR(VLOOKUP(B1697,infoTable__2[],4,FALSE),"")</f>
        <v/>
      </c>
      <c r="E1697" s="4" t="str">
        <f>IFERROR(VLOOKUP(B1697,infoTable__3[],4,FALSE),"")</f>
        <v/>
      </c>
      <c r="F1697" s="4" t="str">
        <f>IFERROR(VLOOKUP(B1697,infoTable__4[],4,FALSE),"")</f>
        <v/>
      </c>
      <c r="G1697" s="4" t="str">
        <f>IFERROR(VLOOKUP(B1697,infoTable[],4,FALSE),"")</f>
        <v/>
      </c>
      <c r="H1697" s="4" t="str">
        <f>IFERROR(VLOOKUP(B1697,infoTable__6[],4,FALSE),"")</f>
        <v/>
      </c>
      <c r="I1697" s="4" t="str">
        <f>IFERROR(VLOOKUP(B1697,infoTable__28[],4,FALSE),"")</f>
        <v/>
      </c>
      <c r="J1697" s="4" t="str">
        <f>IFERROR(VLOOKUP(B1697,infoTable__10[],4,FALSE),"")</f>
        <v/>
      </c>
      <c r="K1697" s="4" t="str">
        <f>IFERROR(VLOOKUP(B1697,infoTable__11[],4,FALSE),"")</f>
        <v/>
      </c>
      <c r="L1697" s="4" t="str">
        <f>IFERROR(VLOOKUP(B1697,infoTable__12[],4,FALSE),"")</f>
        <v/>
      </c>
      <c r="M1697" s="4" t="str">
        <f>IFERROR(VLOOKUP(B1697,infoTable__13[],4,FALSE),"")</f>
        <v/>
      </c>
      <c r="N1697" s="4" t="str">
        <f>IFERROR(VLOOKUP(B1697,infoTable__14[],4,FALSE),"")</f>
        <v/>
      </c>
      <c r="O1697" s="4">
        <f>IFERROR(VLOOKUP(B1697,infoTable__15[],4,FALSE),"")</f>
        <v>713246</v>
      </c>
      <c r="P1697" s="4">
        <f>IFERROR(VLOOKUP(B1697,infoTable__16[],4,FALSE),"")</f>
        <v>753943</v>
      </c>
    </row>
    <row r="1698" spans="1:16" x14ac:dyDescent="0.55000000000000004">
      <c r="A1698" t="s">
        <v>3499</v>
      </c>
      <c r="B1698" t="s">
        <v>3500</v>
      </c>
      <c r="C1698" s="4" t="str">
        <f>IFERROR(VLOOKUP(B1698,infoTable10[],4,FALSE),"")</f>
        <v/>
      </c>
      <c r="D1698" s="4" t="str">
        <f>IFERROR(VLOOKUP(B1698,infoTable__2[],4,FALSE),"")</f>
        <v/>
      </c>
      <c r="E1698" s="4" t="str">
        <f>IFERROR(VLOOKUP(B1698,infoTable__3[],4,FALSE),"")</f>
        <v/>
      </c>
      <c r="F1698" s="4" t="str">
        <f>IFERROR(VLOOKUP(B1698,infoTable__4[],4,FALSE),"")</f>
        <v/>
      </c>
      <c r="G1698" s="4" t="str">
        <f>IFERROR(VLOOKUP(B1698,infoTable[],4,FALSE),"")</f>
        <v/>
      </c>
      <c r="H1698" s="4" t="str">
        <f>IFERROR(VLOOKUP(B1698,infoTable__6[],4,FALSE),"")</f>
        <v/>
      </c>
      <c r="I1698" s="4" t="str">
        <f>IFERROR(VLOOKUP(B1698,infoTable__28[],4,FALSE),"")</f>
        <v/>
      </c>
      <c r="J1698" s="4" t="str">
        <f>IFERROR(VLOOKUP(B1698,infoTable__10[],4,FALSE),"")</f>
        <v/>
      </c>
      <c r="K1698" s="4" t="str">
        <f>IFERROR(VLOOKUP(B1698,infoTable__11[],4,FALSE),"")</f>
        <v/>
      </c>
      <c r="L1698" s="4" t="str">
        <f>IFERROR(VLOOKUP(B1698,infoTable__12[],4,FALSE),"")</f>
        <v/>
      </c>
      <c r="M1698" s="4" t="str">
        <f>IFERROR(VLOOKUP(B1698,infoTable__13[],4,FALSE),"")</f>
        <v/>
      </c>
      <c r="N1698" s="4" t="str">
        <f>IFERROR(VLOOKUP(B1698,infoTable__14[],4,FALSE),"")</f>
        <v/>
      </c>
      <c r="O1698" s="4" t="str">
        <f>IFERROR(VLOOKUP(B1698,infoTable__15[],4,FALSE),"")</f>
        <v/>
      </c>
      <c r="P1698" s="4">
        <f>IFERROR(VLOOKUP(B1698,infoTable__16[],4,FALSE),"")</f>
        <v>1408068</v>
      </c>
    </row>
    <row r="1699" spans="1:16" x14ac:dyDescent="0.55000000000000004">
      <c r="A1699" t="s">
        <v>905</v>
      </c>
      <c r="B1699" t="s">
        <v>906</v>
      </c>
      <c r="C1699" s="4" t="str">
        <f>IFERROR(VLOOKUP(B1699,infoTable10[],4,FALSE),"")</f>
        <v/>
      </c>
      <c r="D1699" s="4" t="str">
        <f>IFERROR(VLOOKUP(B1699,infoTable__2[],4,FALSE),"")</f>
        <v/>
      </c>
      <c r="E1699" s="4" t="str">
        <f>IFERROR(VLOOKUP(B1699,infoTable__3[],4,FALSE),"")</f>
        <v/>
      </c>
      <c r="F1699" s="4">
        <f>IFERROR(VLOOKUP(B1699,infoTable__4[],4,FALSE),"")</f>
        <v>347234</v>
      </c>
      <c r="G1699" s="4" t="str">
        <f>IFERROR(VLOOKUP(B1699,infoTable[],4,FALSE),"")</f>
        <v/>
      </c>
      <c r="H1699" s="4" t="str">
        <f>IFERROR(VLOOKUP(B1699,infoTable__6[],4,FALSE),"")</f>
        <v/>
      </c>
      <c r="I1699" s="4">
        <f>IFERROR(VLOOKUP(B1699,infoTable__28[],4,FALSE),"")</f>
        <v>266387</v>
      </c>
      <c r="J1699" s="4">
        <f>IFERROR(VLOOKUP(B1699,infoTable__10[],4,FALSE),"")</f>
        <v>983512</v>
      </c>
      <c r="K1699" s="4">
        <f>IFERROR(VLOOKUP(B1699,infoTable__11[],4,FALSE),"")</f>
        <v>685424</v>
      </c>
      <c r="L1699" s="4">
        <f>IFERROR(VLOOKUP(B1699,infoTable__12[],4,FALSE),"")</f>
        <v>780687</v>
      </c>
      <c r="M1699" s="4">
        <f>IFERROR(VLOOKUP(B1699,infoTable__13[],4,FALSE),"")</f>
        <v>346379</v>
      </c>
      <c r="N1699" s="4" t="str">
        <f>IFERROR(VLOOKUP(B1699,infoTable__14[],4,FALSE),"")</f>
        <v/>
      </c>
      <c r="O1699" s="4" t="str">
        <f>IFERROR(VLOOKUP(B1699,infoTable__15[],4,FALSE),"")</f>
        <v/>
      </c>
      <c r="P1699" s="4" t="str">
        <f>IFERROR(VLOOKUP(B1699,infoTable__16[],4,FALSE),"")</f>
        <v/>
      </c>
    </row>
    <row r="1700" spans="1:16" x14ac:dyDescent="0.55000000000000004">
      <c r="A1700" t="s">
        <v>1417</v>
      </c>
      <c r="B1700" t="s">
        <v>1419</v>
      </c>
      <c r="C1700" s="4" t="str">
        <f>IFERROR(VLOOKUP(B1700,infoTable10[],4,FALSE),"")</f>
        <v/>
      </c>
      <c r="D1700" s="4" t="str">
        <f>IFERROR(VLOOKUP(B1700,infoTable__2[],4,FALSE),"")</f>
        <v/>
      </c>
      <c r="E1700" s="4" t="str">
        <f>IFERROR(VLOOKUP(B1700,infoTable__3[],4,FALSE),"")</f>
        <v/>
      </c>
      <c r="F1700" s="4" t="str">
        <f>IFERROR(VLOOKUP(B1700,infoTable__4[],4,FALSE),"")</f>
        <v/>
      </c>
      <c r="G1700" s="4" t="str">
        <f>IFERROR(VLOOKUP(B1700,infoTable[],4,FALSE),"")</f>
        <v/>
      </c>
      <c r="H1700" s="4" t="str">
        <f>IFERROR(VLOOKUP(B1700,infoTable__6[],4,FALSE),"")</f>
        <v/>
      </c>
      <c r="I1700" s="4">
        <f>IFERROR(VLOOKUP(B1700,infoTable__28[],4,FALSE),"")</f>
        <v>506373</v>
      </c>
      <c r="J1700" s="4" t="str">
        <f>IFERROR(VLOOKUP(B1700,infoTable__10[],4,FALSE),"")</f>
        <v/>
      </c>
      <c r="K1700" s="4" t="str">
        <f>IFERROR(VLOOKUP(B1700,infoTable__11[],4,FALSE),"")</f>
        <v/>
      </c>
      <c r="L1700" s="4" t="str">
        <f>IFERROR(VLOOKUP(B1700,infoTable__12[],4,FALSE),"")</f>
        <v/>
      </c>
      <c r="M1700" s="4" t="str">
        <f>IFERROR(VLOOKUP(B1700,infoTable__13[],4,FALSE),"")</f>
        <v/>
      </c>
      <c r="N1700" s="4" t="str">
        <f>IFERROR(VLOOKUP(B1700,infoTable__14[],4,FALSE),"")</f>
        <v/>
      </c>
      <c r="O1700" s="4" t="str">
        <f>IFERROR(VLOOKUP(B1700,infoTable__15[],4,FALSE),"")</f>
        <v/>
      </c>
      <c r="P1700" s="4">
        <f>IFERROR(VLOOKUP(B1700,infoTable__16[],4,FALSE),"")</f>
        <v>3285950</v>
      </c>
    </row>
    <row r="1701" spans="1:16" x14ac:dyDescent="0.55000000000000004">
      <c r="A1701" t="s">
        <v>698</v>
      </c>
      <c r="B1701" t="s">
        <v>699</v>
      </c>
      <c r="C1701" s="4">
        <f>IFERROR(VLOOKUP(B1701,infoTable10[],4,FALSE),"")</f>
        <v>5179870</v>
      </c>
      <c r="D1701" s="4">
        <f>IFERROR(VLOOKUP(B1701,infoTable__2[],4,FALSE),"")</f>
        <v>8179324</v>
      </c>
      <c r="E1701" s="4">
        <f>IFERROR(VLOOKUP(B1701,infoTable__3[],4,FALSE),"")</f>
        <v>4687151</v>
      </c>
      <c r="F1701" s="4">
        <f>IFERROR(VLOOKUP(B1701,infoTable__4[],4,FALSE),"")</f>
        <v>3354754</v>
      </c>
      <c r="G1701" s="4" t="str">
        <f>IFERROR(VLOOKUP(B1701,infoTable[],4,FALSE),"")</f>
        <v/>
      </c>
      <c r="H1701" s="4" t="str">
        <f>IFERROR(VLOOKUP(B1701,infoTable__6[],4,FALSE),"")</f>
        <v/>
      </c>
      <c r="I1701" s="4" t="str">
        <f>IFERROR(VLOOKUP(B1701,infoTable__28[],4,FALSE),"")</f>
        <v/>
      </c>
      <c r="J1701" s="4" t="str">
        <f>IFERROR(VLOOKUP(B1701,infoTable__10[],4,FALSE),"")</f>
        <v/>
      </c>
      <c r="K1701" s="4" t="str">
        <f>IFERROR(VLOOKUP(B1701,infoTable__11[],4,FALSE),"")</f>
        <v/>
      </c>
      <c r="L1701" s="4" t="str">
        <f>IFERROR(VLOOKUP(B1701,infoTable__12[],4,FALSE),"")</f>
        <v/>
      </c>
      <c r="M1701" s="4" t="str">
        <f>IFERROR(VLOOKUP(B1701,infoTable__13[],4,FALSE),"")</f>
        <v/>
      </c>
      <c r="N1701" s="4" t="str">
        <f>IFERROR(VLOOKUP(B1701,infoTable__14[],4,FALSE),"")</f>
        <v/>
      </c>
      <c r="O1701" s="4" t="str">
        <f>IFERROR(VLOOKUP(B1701,infoTable__15[],4,FALSE),"")</f>
        <v/>
      </c>
      <c r="P1701" s="4" t="str">
        <f>IFERROR(VLOOKUP(B1701,infoTable__16[],4,FALSE),"")</f>
        <v/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C786F-5184-4FDC-8CF3-A2BA35F198C2}">
  <dimension ref="A1:E747"/>
  <sheetViews>
    <sheetView topLeftCell="A723" workbookViewId="0">
      <selection activeCell="D2" sqref="D2:D747"/>
    </sheetView>
  </sheetViews>
  <sheetFormatPr defaultRowHeight="18" x14ac:dyDescent="0.55000000000000004"/>
  <cols>
    <col min="1" max="1" width="11.33203125" bestFit="1" customWidth="1"/>
    <col min="2" max="2" width="36.58203125" bestFit="1" customWidth="1"/>
    <col min="3" max="3" width="19" bestFit="1" customWidth="1"/>
    <col min="5" max="5" width="8.25" bestFit="1" customWidth="1"/>
    <col min="6" max="6" width="23.33203125" bestFit="1" customWidth="1"/>
  </cols>
  <sheetData>
    <row r="1" spans="1:5" x14ac:dyDescent="0.55000000000000004">
      <c r="A1" t="s">
        <v>2</v>
      </c>
      <c r="B1" t="s">
        <v>0</v>
      </c>
      <c r="C1" t="s">
        <v>1</v>
      </c>
      <c r="D1" t="s">
        <v>3</v>
      </c>
      <c r="E1" t="s">
        <v>4</v>
      </c>
    </row>
    <row r="2" spans="1:5" x14ac:dyDescent="0.55000000000000004">
      <c r="A2" t="s">
        <v>3219</v>
      </c>
      <c r="B2" t="s">
        <v>3217</v>
      </c>
      <c r="C2" t="s">
        <v>3218</v>
      </c>
      <c r="D2">
        <v>701968</v>
      </c>
      <c r="E2" t="s">
        <v>8</v>
      </c>
    </row>
    <row r="3" spans="1:5" x14ac:dyDescent="0.55000000000000004">
      <c r="A3" t="s">
        <v>933</v>
      </c>
      <c r="B3" t="s">
        <v>932</v>
      </c>
      <c r="C3" t="s">
        <v>10</v>
      </c>
      <c r="D3">
        <v>386548</v>
      </c>
      <c r="E3" t="s">
        <v>8</v>
      </c>
    </row>
    <row r="4" spans="1:5" x14ac:dyDescent="0.55000000000000004">
      <c r="A4" t="s">
        <v>2403</v>
      </c>
      <c r="B4" t="s">
        <v>2402</v>
      </c>
      <c r="C4" t="s">
        <v>10</v>
      </c>
      <c r="D4">
        <v>424578</v>
      </c>
      <c r="E4" t="s">
        <v>8</v>
      </c>
    </row>
    <row r="5" spans="1:5" x14ac:dyDescent="0.55000000000000004">
      <c r="A5" t="s">
        <v>2413</v>
      </c>
      <c r="B5" t="s">
        <v>2412</v>
      </c>
      <c r="C5" t="s">
        <v>10</v>
      </c>
      <c r="D5">
        <v>282234</v>
      </c>
      <c r="E5" t="s">
        <v>8</v>
      </c>
    </row>
    <row r="6" spans="1:5" x14ac:dyDescent="0.55000000000000004">
      <c r="A6" t="s">
        <v>3221</v>
      </c>
      <c r="B6" t="s">
        <v>3220</v>
      </c>
      <c r="C6" t="s">
        <v>10</v>
      </c>
      <c r="D6">
        <v>285862</v>
      </c>
      <c r="E6" t="s">
        <v>8</v>
      </c>
    </row>
    <row r="7" spans="1:5" x14ac:dyDescent="0.55000000000000004">
      <c r="A7" t="s">
        <v>2958</v>
      </c>
      <c r="B7" t="s">
        <v>2957</v>
      </c>
      <c r="C7" t="s">
        <v>10</v>
      </c>
      <c r="D7">
        <v>803892</v>
      </c>
      <c r="E7" t="s">
        <v>8</v>
      </c>
    </row>
    <row r="8" spans="1:5" x14ac:dyDescent="0.55000000000000004">
      <c r="A8" t="s">
        <v>814</v>
      </c>
      <c r="B8" t="s">
        <v>813</v>
      </c>
      <c r="C8" t="s">
        <v>10</v>
      </c>
      <c r="D8">
        <v>1370304</v>
      </c>
      <c r="E8" t="s">
        <v>8</v>
      </c>
    </row>
    <row r="9" spans="1:5" x14ac:dyDescent="0.55000000000000004">
      <c r="A9" t="s">
        <v>3223</v>
      </c>
      <c r="B9" t="s">
        <v>3222</v>
      </c>
      <c r="C9" t="s">
        <v>10</v>
      </c>
      <c r="D9">
        <v>606695</v>
      </c>
      <c r="E9" t="s">
        <v>8</v>
      </c>
    </row>
    <row r="10" spans="1:5" x14ac:dyDescent="0.55000000000000004">
      <c r="A10" t="s">
        <v>2962</v>
      </c>
      <c r="B10" t="s">
        <v>3224</v>
      </c>
      <c r="C10" t="s">
        <v>10</v>
      </c>
      <c r="D10">
        <v>472050</v>
      </c>
      <c r="E10" t="s">
        <v>8</v>
      </c>
    </row>
    <row r="11" spans="1:5" x14ac:dyDescent="0.55000000000000004">
      <c r="A11" t="s">
        <v>816</v>
      </c>
      <c r="B11" t="s">
        <v>815</v>
      </c>
      <c r="C11" t="s">
        <v>6</v>
      </c>
      <c r="D11">
        <v>1233124</v>
      </c>
      <c r="E11" t="s">
        <v>8</v>
      </c>
    </row>
    <row r="12" spans="1:5" x14ac:dyDescent="0.55000000000000004">
      <c r="A12" t="s">
        <v>3226</v>
      </c>
      <c r="B12" t="s">
        <v>3225</v>
      </c>
      <c r="C12" t="s">
        <v>6</v>
      </c>
      <c r="D12">
        <v>233258</v>
      </c>
      <c r="E12" t="s">
        <v>8</v>
      </c>
    </row>
    <row r="13" spans="1:5" x14ac:dyDescent="0.55000000000000004">
      <c r="A13" t="s">
        <v>3228</v>
      </c>
      <c r="B13" t="s">
        <v>3227</v>
      </c>
      <c r="C13" t="s">
        <v>10</v>
      </c>
      <c r="D13">
        <v>245874</v>
      </c>
      <c r="E13" t="s">
        <v>8</v>
      </c>
    </row>
    <row r="14" spans="1:5" x14ac:dyDescent="0.55000000000000004">
      <c r="A14" t="s">
        <v>14</v>
      </c>
      <c r="B14" t="s">
        <v>12</v>
      </c>
      <c r="C14" t="s">
        <v>13</v>
      </c>
      <c r="D14">
        <v>2443219</v>
      </c>
      <c r="E14" t="s">
        <v>8</v>
      </c>
    </row>
    <row r="15" spans="1:5" x14ac:dyDescent="0.55000000000000004">
      <c r="A15" t="s">
        <v>2071</v>
      </c>
      <c r="B15" t="s">
        <v>2070</v>
      </c>
      <c r="C15" t="s">
        <v>76</v>
      </c>
      <c r="D15">
        <v>190047</v>
      </c>
      <c r="E15" t="s">
        <v>8</v>
      </c>
    </row>
    <row r="16" spans="1:5" x14ac:dyDescent="0.55000000000000004">
      <c r="A16" t="s">
        <v>965</v>
      </c>
      <c r="B16" t="s">
        <v>964</v>
      </c>
      <c r="C16" t="s">
        <v>10</v>
      </c>
      <c r="D16">
        <v>269005</v>
      </c>
      <c r="E16" t="s">
        <v>8</v>
      </c>
    </row>
    <row r="17" spans="1:5" x14ac:dyDescent="0.55000000000000004">
      <c r="A17" t="s">
        <v>945</v>
      </c>
      <c r="B17" t="s">
        <v>944</v>
      </c>
      <c r="C17" t="s">
        <v>10</v>
      </c>
      <c r="D17">
        <v>3052822</v>
      </c>
      <c r="E17" t="s">
        <v>8</v>
      </c>
    </row>
    <row r="18" spans="1:5" x14ac:dyDescent="0.55000000000000004">
      <c r="A18" t="s">
        <v>2407</v>
      </c>
      <c r="B18" t="s">
        <v>2406</v>
      </c>
      <c r="C18" t="s">
        <v>13</v>
      </c>
      <c r="D18">
        <v>1306641</v>
      </c>
      <c r="E18" t="s">
        <v>8</v>
      </c>
    </row>
    <row r="19" spans="1:5" x14ac:dyDescent="0.55000000000000004">
      <c r="A19" t="s">
        <v>1150</v>
      </c>
      <c r="B19" t="s">
        <v>3334</v>
      </c>
      <c r="C19" t="s">
        <v>10</v>
      </c>
      <c r="D19">
        <v>948183</v>
      </c>
      <c r="E19" t="s">
        <v>8</v>
      </c>
    </row>
    <row r="20" spans="1:5" x14ac:dyDescent="0.55000000000000004">
      <c r="A20" t="s">
        <v>1603</v>
      </c>
      <c r="B20" t="s">
        <v>1602</v>
      </c>
      <c r="C20" t="s">
        <v>10</v>
      </c>
      <c r="D20">
        <v>5261337</v>
      </c>
      <c r="E20" t="s">
        <v>8</v>
      </c>
    </row>
    <row r="21" spans="1:5" x14ac:dyDescent="0.55000000000000004">
      <c r="A21" t="s">
        <v>37</v>
      </c>
      <c r="B21" t="s">
        <v>36</v>
      </c>
      <c r="C21" t="s">
        <v>10</v>
      </c>
      <c r="D21">
        <v>5101554</v>
      </c>
      <c r="E21" t="s">
        <v>8</v>
      </c>
    </row>
    <row r="22" spans="1:5" x14ac:dyDescent="0.55000000000000004">
      <c r="A22" t="s">
        <v>1158</v>
      </c>
      <c r="B22" t="s">
        <v>1157</v>
      </c>
      <c r="C22" t="s">
        <v>10</v>
      </c>
      <c r="D22">
        <v>2699970</v>
      </c>
      <c r="E22" t="s">
        <v>8</v>
      </c>
    </row>
    <row r="23" spans="1:5" x14ac:dyDescent="0.55000000000000004">
      <c r="A23" t="s">
        <v>2970</v>
      </c>
      <c r="B23" t="s">
        <v>2969</v>
      </c>
      <c r="C23" t="s">
        <v>10</v>
      </c>
      <c r="D23">
        <v>2582059</v>
      </c>
      <c r="E23" t="s">
        <v>8</v>
      </c>
    </row>
    <row r="24" spans="1:5" x14ac:dyDescent="0.55000000000000004">
      <c r="A24" t="s">
        <v>3238</v>
      </c>
      <c r="B24" t="s">
        <v>3237</v>
      </c>
      <c r="C24" t="s">
        <v>10</v>
      </c>
      <c r="D24">
        <v>789363</v>
      </c>
      <c r="E24" t="s">
        <v>8</v>
      </c>
    </row>
    <row r="25" spans="1:5" x14ac:dyDescent="0.55000000000000004">
      <c r="A25" t="s">
        <v>1826</v>
      </c>
      <c r="B25" t="s">
        <v>47</v>
      </c>
      <c r="C25" t="s">
        <v>1483</v>
      </c>
      <c r="D25">
        <v>1011830</v>
      </c>
      <c r="E25" t="s">
        <v>8</v>
      </c>
    </row>
    <row r="26" spans="1:5" x14ac:dyDescent="0.55000000000000004">
      <c r="A26" t="s">
        <v>2644</v>
      </c>
      <c r="B26" t="s">
        <v>2645</v>
      </c>
      <c r="C26" t="s">
        <v>10</v>
      </c>
      <c r="D26">
        <v>556339</v>
      </c>
      <c r="E26" t="s">
        <v>8</v>
      </c>
    </row>
    <row r="27" spans="1:5" x14ac:dyDescent="0.55000000000000004">
      <c r="A27" t="s">
        <v>2098</v>
      </c>
      <c r="B27" t="s">
        <v>2097</v>
      </c>
      <c r="C27" t="s">
        <v>10</v>
      </c>
      <c r="D27">
        <v>238289</v>
      </c>
      <c r="E27" t="s">
        <v>8</v>
      </c>
    </row>
    <row r="28" spans="1:5" x14ac:dyDescent="0.55000000000000004">
      <c r="A28" t="s">
        <v>3243</v>
      </c>
      <c r="B28" t="s">
        <v>3242</v>
      </c>
      <c r="C28" t="s">
        <v>10</v>
      </c>
      <c r="D28">
        <v>418182</v>
      </c>
      <c r="E28" t="s">
        <v>8</v>
      </c>
    </row>
    <row r="29" spans="1:5" x14ac:dyDescent="0.55000000000000004">
      <c r="A29" t="s">
        <v>1172</v>
      </c>
      <c r="B29" t="s">
        <v>1171</v>
      </c>
      <c r="C29" t="s">
        <v>10</v>
      </c>
      <c r="D29">
        <v>475985</v>
      </c>
      <c r="E29" t="s">
        <v>8</v>
      </c>
    </row>
    <row r="30" spans="1:5" x14ac:dyDescent="0.55000000000000004">
      <c r="A30" t="s">
        <v>2100</v>
      </c>
      <c r="B30" t="s">
        <v>2099</v>
      </c>
      <c r="C30" t="s">
        <v>10</v>
      </c>
      <c r="D30">
        <v>1456510</v>
      </c>
      <c r="E30" t="s">
        <v>8</v>
      </c>
    </row>
    <row r="31" spans="1:5" x14ac:dyDescent="0.55000000000000004">
      <c r="A31" t="s">
        <v>54</v>
      </c>
      <c r="B31" t="s">
        <v>53</v>
      </c>
      <c r="C31" t="s">
        <v>10</v>
      </c>
      <c r="D31">
        <v>433180</v>
      </c>
      <c r="E31" t="s">
        <v>8</v>
      </c>
    </row>
    <row r="32" spans="1:5" x14ac:dyDescent="0.55000000000000004">
      <c r="A32" t="s">
        <v>62</v>
      </c>
      <c r="B32" t="s">
        <v>61</v>
      </c>
      <c r="C32" t="s">
        <v>6</v>
      </c>
      <c r="D32">
        <v>122546</v>
      </c>
      <c r="E32" t="s">
        <v>8</v>
      </c>
    </row>
    <row r="33" spans="1:5" x14ac:dyDescent="0.55000000000000004">
      <c r="A33" t="s">
        <v>1832</v>
      </c>
      <c r="B33" t="s">
        <v>1831</v>
      </c>
      <c r="C33" t="s">
        <v>41</v>
      </c>
      <c r="D33">
        <v>338625</v>
      </c>
      <c r="E33" t="s">
        <v>8</v>
      </c>
    </row>
    <row r="34" spans="1:5" x14ac:dyDescent="0.55000000000000004">
      <c r="A34" t="s">
        <v>1613</v>
      </c>
      <c r="B34" t="s">
        <v>1612</v>
      </c>
      <c r="C34" t="s">
        <v>10</v>
      </c>
      <c r="D34">
        <v>1734352</v>
      </c>
      <c r="E34" t="s">
        <v>8</v>
      </c>
    </row>
    <row r="35" spans="1:5" x14ac:dyDescent="0.55000000000000004">
      <c r="A35" t="s">
        <v>2102</v>
      </c>
      <c r="B35" t="s">
        <v>2101</v>
      </c>
      <c r="C35" t="s">
        <v>10</v>
      </c>
      <c r="D35">
        <v>3747711</v>
      </c>
      <c r="E35" t="s">
        <v>8</v>
      </c>
    </row>
    <row r="36" spans="1:5" x14ac:dyDescent="0.55000000000000004">
      <c r="A36" t="s">
        <v>2646</v>
      </c>
      <c r="B36" t="s">
        <v>2647</v>
      </c>
      <c r="C36" t="s">
        <v>10</v>
      </c>
      <c r="D36">
        <v>1167660</v>
      </c>
      <c r="E36" t="s">
        <v>8</v>
      </c>
    </row>
    <row r="37" spans="1:5" x14ac:dyDescent="0.55000000000000004">
      <c r="A37" t="s">
        <v>1615</v>
      </c>
      <c r="B37" t="s">
        <v>3251</v>
      </c>
      <c r="C37" t="s">
        <v>10</v>
      </c>
      <c r="D37">
        <v>2684063</v>
      </c>
      <c r="E37" t="s">
        <v>8</v>
      </c>
    </row>
    <row r="38" spans="1:5" x14ac:dyDescent="0.55000000000000004">
      <c r="A38" t="s">
        <v>1617</v>
      </c>
      <c r="B38" t="s">
        <v>3252</v>
      </c>
      <c r="C38" t="s">
        <v>10</v>
      </c>
      <c r="D38">
        <v>5507858</v>
      </c>
      <c r="E38" t="s">
        <v>8</v>
      </c>
    </row>
    <row r="39" spans="1:5" x14ac:dyDescent="0.55000000000000004">
      <c r="A39" t="s">
        <v>3254</v>
      </c>
      <c r="B39" t="s">
        <v>3253</v>
      </c>
      <c r="C39" t="s">
        <v>10</v>
      </c>
      <c r="D39">
        <v>240268</v>
      </c>
      <c r="E39" t="s">
        <v>8</v>
      </c>
    </row>
    <row r="40" spans="1:5" x14ac:dyDescent="0.55000000000000004">
      <c r="A40" t="s">
        <v>529</v>
      </c>
      <c r="B40" t="s">
        <v>528</v>
      </c>
      <c r="C40" t="s">
        <v>10</v>
      </c>
      <c r="D40">
        <v>377412</v>
      </c>
      <c r="E40" t="s">
        <v>8</v>
      </c>
    </row>
    <row r="41" spans="1:5" x14ac:dyDescent="0.55000000000000004">
      <c r="A41" t="s">
        <v>3259</v>
      </c>
      <c r="B41" t="s">
        <v>3257</v>
      </c>
      <c r="C41" t="s">
        <v>3258</v>
      </c>
      <c r="D41">
        <v>935878</v>
      </c>
      <c r="E41" t="s">
        <v>8</v>
      </c>
    </row>
    <row r="42" spans="1:5" x14ac:dyDescent="0.55000000000000004">
      <c r="A42" t="s">
        <v>1840</v>
      </c>
      <c r="B42" t="s">
        <v>1839</v>
      </c>
      <c r="C42" t="s">
        <v>10</v>
      </c>
      <c r="D42">
        <v>1207088</v>
      </c>
      <c r="E42" t="s">
        <v>8</v>
      </c>
    </row>
    <row r="43" spans="1:5" x14ac:dyDescent="0.55000000000000004">
      <c r="A43" t="s">
        <v>2114</v>
      </c>
      <c r="B43" t="s">
        <v>2113</v>
      </c>
      <c r="C43" t="s">
        <v>6</v>
      </c>
      <c r="D43">
        <v>1156678</v>
      </c>
      <c r="E43" t="s">
        <v>8</v>
      </c>
    </row>
    <row r="44" spans="1:5" x14ac:dyDescent="0.55000000000000004">
      <c r="A44" t="s">
        <v>2429</v>
      </c>
      <c r="B44" t="s">
        <v>2428</v>
      </c>
      <c r="C44" t="s">
        <v>13</v>
      </c>
      <c r="D44">
        <v>283392</v>
      </c>
      <c r="E44" t="s">
        <v>8</v>
      </c>
    </row>
    <row r="45" spans="1:5" x14ac:dyDescent="0.55000000000000004">
      <c r="A45" t="s">
        <v>2650</v>
      </c>
      <c r="B45" t="s">
        <v>2651</v>
      </c>
      <c r="C45" t="s">
        <v>10</v>
      </c>
      <c r="D45">
        <v>2905827</v>
      </c>
      <c r="E45" t="s">
        <v>8</v>
      </c>
    </row>
    <row r="46" spans="1:5" x14ac:dyDescent="0.55000000000000004">
      <c r="A46" t="s">
        <v>3269</v>
      </c>
      <c r="B46" t="s">
        <v>3268</v>
      </c>
      <c r="C46" t="s">
        <v>10</v>
      </c>
      <c r="D46">
        <v>709685</v>
      </c>
      <c r="E46" t="s">
        <v>8</v>
      </c>
    </row>
    <row r="47" spans="1:5" x14ac:dyDescent="0.55000000000000004">
      <c r="A47" t="s">
        <v>537</v>
      </c>
      <c r="B47" t="s">
        <v>536</v>
      </c>
      <c r="C47" t="s">
        <v>10</v>
      </c>
      <c r="D47">
        <v>348252</v>
      </c>
      <c r="E47" t="s">
        <v>8</v>
      </c>
    </row>
    <row r="48" spans="1:5" x14ac:dyDescent="0.55000000000000004">
      <c r="A48" t="s">
        <v>527</v>
      </c>
      <c r="B48" t="s">
        <v>526</v>
      </c>
      <c r="C48" t="s">
        <v>10</v>
      </c>
      <c r="D48">
        <v>466233</v>
      </c>
      <c r="E48" t="s">
        <v>8</v>
      </c>
    </row>
    <row r="49" spans="1:5" x14ac:dyDescent="0.55000000000000004">
      <c r="A49" t="s">
        <v>539</v>
      </c>
      <c r="B49" t="s">
        <v>538</v>
      </c>
      <c r="C49" t="s">
        <v>10</v>
      </c>
      <c r="D49">
        <v>668011</v>
      </c>
      <c r="E49" t="s">
        <v>8</v>
      </c>
    </row>
    <row r="50" spans="1:5" x14ac:dyDescent="0.55000000000000004">
      <c r="A50" t="s">
        <v>1196</v>
      </c>
      <c r="B50" t="s">
        <v>1195</v>
      </c>
      <c r="C50" t="s">
        <v>10</v>
      </c>
      <c r="D50">
        <v>1097832</v>
      </c>
      <c r="E50" t="s">
        <v>8</v>
      </c>
    </row>
    <row r="51" spans="1:5" x14ac:dyDescent="0.55000000000000004">
      <c r="A51" t="s">
        <v>970</v>
      </c>
      <c r="B51" t="s">
        <v>969</v>
      </c>
      <c r="C51" t="s">
        <v>10</v>
      </c>
      <c r="D51">
        <v>476194</v>
      </c>
      <c r="E51" t="s">
        <v>8</v>
      </c>
    </row>
    <row r="52" spans="1:5" x14ac:dyDescent="0.55000000000000004">
      <c r="A52" t="s">
        <v>1848</v>
      </c>
      <c r="B52" t="s">
        <v>1847</v>
      </c>
      <c r="C52" t="s">
        <v>10</v>
      </c>
      <c r="D52">
        <v>769360</v>
      </c>
      <c r="E52" t="s">
        <v>8</v>
      </c>
    </row>
    <row r="53" spans="1:5" x14ac:dyDescent="0.55000000000000004">
      <c r="A53" t="s">
        <v>3541</v>
      </c>
      <c r="B53" t="s">
        <v>3540</v>
      </c>
      <c r="C53" t="s">
        <v>10</v>
      </c>
      <c r="D53">
        <v>899748</v>
      </c>
      <c r="E53" t="s">
        <v>8</v>
      </c>
    </row>
    <row r="54" spans="1:5" x14ac:dyDescent="0.55000000000000004">
      <c r="A54" t="s">
        <v>3029</v>
      </c>
      <c r="B54" t="s">
        <v>3028</v>
      </c>
      <c r="C54" t="s">
        <v>10</v>
      </c>
      <c r="D54">
        <v>285032</v>
      </c>
      <c r="E54" t="s">
        <v>8</v>
      </c>
    </row>
    <row r="55" spans="1:5" x14ac:dyDescent="0.55000000000000004">
      <c r="A55" t="s">
        <v>739</v>
      </c>
      <c r="B55" t="s">
        <v>738</v>
      </c>
      <c r="C55" t="s">
        <v>10</v>
      </c>
      <c r="D55">
        <v>1277413</v>
      </c>
      <c r="E55" t="s">
        <v>8</v>
      </c>
    </row>
    <row r="56" spans="1:5" x14ac:dyDescent="0.55000000000000004">
      <c r="A56" t="s">
        <v>3278</v>
      </c>
      <c r="B56" t="s">
        <v>3277</v>
      </c>
      <c r="C56" t="s">
        <v>10</v>
      </c>
      <c r="D56">
        <v>1089435</v>
      </c>
      <c r="E56" t="s">
        <v>8</v>
      </c>
    </row>
    <row r="57" spans="1:5" x14ac:dyDescent="0.55000000000000004">
      <c r="A57" t="s">
        <v>826</v>
      </c>
      <c r="B57" t="s">
        <v>825</v>
      </c>
      <c r="C57" t="s">
        <v>10</v>
      </c>
      <c r="D57">
        <v>2500908</v>
      </c>
      <c r="E57" t="s">
        <v>8</v>
      </c>
    </row>
    <row r="58" spans="1:5" x14ac:dyDescent="0.55000000000000004">
      <c r="A58" t="s">
        <v>972</v>
      </c>
      <c r="B58" t="s">
        <v>3279</v>
      </c>
      <c r="C58" t="s">
        <v>10</v>
      </c>
      <c r="D58">
        <v>1235598</v>
      </c>
      <c r="E58" t="s">
        <v>8</v>
      </c>
    </row>
    <row r="59" spans="1:5" x14ac:dyDescent="0.55000000000000004">
      <c r="A59" t="s">
        <v>3281</v>
      </c>
      <c r="B59" t="s">
        <v>3280</v>
      </c>
      <c r="C59" t="s">
        <v>10</v>
      </c>
      <c r="D59">
        <v>836344</v>
      </c>
      <c r="E59" t="s">
        <v>8</v>
      </c>
    </row>
    <row r="60" spans="1:5" x14ac:dyDescent="0.55000000000000004">
      <c r="A60" t="s">
        <v>974</v>
      </c>
      <c r="B60" t="s">
        <v>973</v>
      </c>
      <c r="C60" t="s">
        <v>10</v>
      </c>
      <c r="D60">
        <v>727625</v>
      </c>
      <c r="E60" t="s">
        <v>8</v>
      </c>
    </row>
    <row r="61" spans="1:5" x14ac:dyDescent="0.55000000000000004">
      <c r="A61" t="s">
        <v>95</v>
      </c>
      <c r="B61" t="s">
        <v>94</v>
      </c>
      <c r="C61" t="s">
        <v>10</v>
      </c>
      <c r="D61">
        <v>1394926</v>
      </c>
      <c r="E61" t="s">
        <v>8</v>
      </c>
    </row>
    <row r="62" spans="1:5" x14ac:dyDescent="0.55000000000000004">
      <c r="A62" t="s">
        <v>98</v>
      </c>
      <c r="B62" t="s">
        <v>96</v>
      </c>
      <c r="C62" t="s">
        <v>76</v>
      </c>
      <c r="D62">
        <v>1071096</v>
      </c>
      <c r="E62" t="s">
        <v>8</v>
      </c>
    </row>
    <row r="63" spans="1:5" x14ac:dyDescent="0.55000000000000004">
      <c r="A63" t="s">
        <v>3003</v>
      </c>
      <c r="B63" t="s">
        <v>3002</v>
      </c>
      <c r="C63" t="s">
        <v>10</v>
      </c>
      <c r="D63">
        <v>498584</v>
      </c>
      <c r="E63" t="s">
        <v>8</v>
      </c>
    </row>
    <row r="64" spans="1:5" x14ac:dyDescent="0.55000000000000004">
      <c r="A64" t="s">
        <v>3285</v>
      </c>
      <c r="B64" t="s">
        <v>3284</v>
      </c>
      <c r="C64" t="s">
        <v>10</v>
      </c>
      <c r="D64">
        <v>1764753</v>
      </c>
      <c r="E64" t="s">
        <v>8</v>
      </c>
    </row>
    <row r="65" spans="1:5" x14ac:dyDescent="0.55000000000000004">
      <c r="A65" t="s">
        <v>3289</v>
      </c>
      <c r="B65" t="s">
        <v>3288</v>
      </c>
      <c r="C65" t="s">
        <v>10</v>
      </c>
      <c r="D65">
        <v>358775</v>
      </c>
      <c r="E65" t="s">
        <v>8</v>
      </c>
    </row>
    <row r="66" spans="1:5" x14ac:dyDescent="0.55000000000000004">
      <c r="A66" t="s">
        <v>2136</v>
      </c>
      <c r="B66" t="s">
        <v>2135</v>
      </c>
      <c r="C66" t="s">
        <v>1483</v>
      </c>
      <c r="D66">
        <v>1514334</v>
      </c>
      <c r="E66" t="s">
        <v>8</v>
      </c>
    </row>
    <row r="67" spans="1:5" x14ac:dyDescent="0.55000000000000004">
      <c r="A67" t="s">
        <v>980</v>
      </c>
      <c r="B67" t="s">
        <v>979</v>
      </c>
      <c r="C67" t="s">
        <v>10</v>
      </c>
      <c r="D67">
        <v>416699</v>
      </c>
      <c r="E67" t="s">
        <v>8</v>
      </c>
    </row>
    <row r="68" spans="1:5" x14ac:dyDescent="0.55000000000000004">
      <c r="A68" t="s">
        <v>2444</v>
      </c>
      <c r="B68" t="s">
        <v>3290</v>
      </c>
      <c r="C68" t="s">
        <v>10</v>
      </c>
      <c r="D68">
        <v>1564294</v>
      </c>
      <c r="E68" t="s">
        <v>8</v>
      </c>
    </row>
    <row r="69" spans="1:5" x14ac:dyDescent="0.55000000000000004">
      <c r="A69" t="s">
        <v>2658</v>
      </c>
      <c r="B69" t="s">
        <v>2659</v>
      </c>
      <c r="C69" t="s">
        <v>10</v>
      </c>
      <c r="D69">
        <v>106942</v>
      </c>
      <c r="E69" t="s">
        <v>8</v>
      </c>
    </row>
    <row r="70" spans="1:5" x14ac:dyDescent="0.55000000000000004">
      <c r="A70" t="s">
        <v>108</v>
      </c>
      <c r="B70" t="s">
        <v>107</v>
      </c>
      <c r="C70" t="s">
        <v>10</v>
      </c>
      <c r="D70">
        <v>340406</v>
      </c>
      <c r="E70" t="s">
        <v>8</v>
      </c>
    </row>
    <row r="71" spans="1:5" x14ac:dyDescent="0.55000000000000004">
      <c r="A71" t="s">
        <v>3009</v>
      </c>
      <c r="B71" t="s">
        <v>3008</v>
      </c>
      <c r="C71" t="s">
        <v>10</v>
      </c>
      <c r="D71">
        <v>3002818</v>
      </c>
      <c r="E71" t="s">
        <v>8</v>
      </c>
    </row>
    <row r="72" spans="1:5" x14ac:dyDescent="0.55000000000000004">
      <c r="A72" t="s">
        <v>1630</v>
      </c>
      <c r="B72" t="s">
        <v>1629</v>
      </c>
      <c r="C72" t="s">
        <v>10</v>
      </c>
      <c r="D72">
        <v>368174</v>
      </c>
      <c r="E72" t="s">
        <v>8</v>
      </c>
    </row>
    <row r="73" spans="1:5" x14ac:dyDescent="0.55000000000000004">
      <c r="A73" t="s">
        <v>1632</v>
      </c>
      <c r="B73" t="s">
        <v>1631</v>
      </c>
      <c r="C73" t="s">
        <v>10</v>
      </c>
      <c r="D73">
        <v>433837</v>
      </c>
      <c r="E73" t="s">
        <v>8</v>
      </c>
    </row>
    <row r="74" spans="1:5" x14ac:dyDescent="0.55000000000000004">
      <c r="A74" t="s">
        <v>1634</v>
      </c>
      <c r="B74" t="s">
        <v>1633</v>
      </c>
      <c r="C74" t="s">
        <v>10</v>
      </c>
      <c r="D74">
        <v>2332569</v>
      </c>
      <c r="E74" t="s">
        <v>8</v>
      </c>
    </row>
    <row r="75" spans="1:5" x14ac:dyDescent="0.55000000000000004">
      <c r="A75" t="s">
        <v>3294</v>
      </c>
      <c r="B75" t="s">
        <v>3293</v>
      </c>
      <c r="C75" t="s">
        <v>10</v>
      </c>
      <c r="D75">
        <v>623758</v>
      </c>
      <c r="E75" t="s">
        <v>8</v>
      </c>
    </row>
    <row r="76" spans="1:5" x14ac:dyDescent="0.55000000000000004">
      <c r="A76" t="s">
        <v>3296</v>
      </c>
      <c r="B76" t="s">
        <v>3295</v>
      </c>
      <c r="C76" t="s">
        <v>10</v>
      </c>
      <c r="D76">
        <v>5696626</v>
      </c>
      <c r="E76" t="s">
        <v>8</v>
      </c>
    </row>
    <row r="77" spans="1:5" x14ac:dyDescent="0.55000000000000004">
      <c r="A77" t="s">
        <v>3011</v>
      </c>
      <c r="B77" t="s">
        <v>3010</v>
      </c>
      <c r="C77" t="s">
        <v>41</v>
      </c>
      <c r="D77">
        <v>875070</v>
      </c>
      <c r="E77" t="s">
        <v>8</v>
      </c>
    </row>
    <row r="78" spans="1:5" x14ac:dyDescent="0.55000000000000004">
      <c r="A78" t="s">
        <v>3013</v>
      </c>
      <c r="B78" t="s">
        <v>3012</v>
      </c>
      <c r="C78" t="s">
        <v>10</v>
      </c>
      <c r="D78">
        <v>1939929</v>
      </c>
      <c r="E78" t="s">
        <v>8</v>
      </c>
    </row>
    <row r="79" spans="1:5" x14ac:dyDescent="0.55000000000000004">
      <c r="A79" t="s">
        <v>1638</v>
      </c>
      <c r="B79" t="s">
        <v>1637</v>
      </c>
      <c r="C79" t="s">
        <v>10</v>
      </c>
      <c r="D79">
        <v>1759662</v>
      </c>
      <c r="E79" t="s">
        <v>8</v>
      </c>
    </row>
    <row r="80" spans="1:5" x14ac:dyDescent="0.55000000000000004">
      <c r="A80" t="s">
        <v>3015</v>
      </c>
      <c r="B80" t="s">
        <v>3014</v>
      </c>
      <c r="C80" t="s">
        <v>10</v>
      </c>
      <c r="D80">
        <v>198722</v>
      </c>
      <c r="E80" t="s">
        <v>8</v>
      </c>
    </row>
    <row r="81" spans="1:5" x14ac:dyDescent="0.55000000000000004">
      <c r="A81" t="s">
        <v>118</v>
      </c>
      <c r="B81" t="s">
        <v>117</v>
      </c>
      <c r="C81" t="s">
        <v>10</v>
      </c>
      <c r="D81">
        <v>1958338</v>
      </c>
      <c r="E81" t="s">
        <v>8</v>
      </c>
    </row>
    <row r="82" spans="1:5" x14ac:dyDescent="0.55000000000000004">
      <c r="A82" t="s">
        <v>1859</v>
      </c>
      <c r="B82" t="s">
        <v>1858</v>
      </c>
      <c r="C82" t="s">
        <v>10</v>
      </c>
      <c r="D82">
        <v>1061281</v>
      </c>
      <c r="E82" t="s">
        <v>8</v>
      </c>
    </row>
    <row r="83" spans="1:5" x14ac:dyDescent="0.55000000000000004">
      <c r="A83" t="s">
        <v>3306</v>
      </c>
      <c r="B83" t="s">
        <v>3305</v>
      </c>
      <c r="C83" t="s">
        <v>10</v>
      </c>
      <c r="D83">
        <v>250965</v>
      </c>
      <c r="E83" t="s">
        <v>8</v>
      </c>
    </row>
    <row r="84" spans="1:5" x14ac:dyDescent="0.55000000000000004">
      <c r="A84" t="s">
        <v>1208</v>
      </c>
      <c r="B84" t="s">
        <v>1207</v>
      </c>
      <c r="C84" t="s">
        <v>10</v>
      </c>
      <c r="D84">
        <v>412604</v>
      </c>
      <c r="E84" t="s">
        <v>8</v>
      </c>
    </row>
    <row r="85" spans="1:5" x14ac:dyDescent="0.55000000000000004">
      <c r="A85" t="s">
        <v>3308</v>
      </c>
      <c r="B85" t="s">
        <v>3307</v>
      </c>
      <c r="C85" t="s">
        <v>10</v>
      </c>
      <c r="D85">
        <v>376205</v>
      </c>
      <c r="E85" t="s">
        <v>8</v>
      </c>
    </row>
    <row r="86" spans="1:5" x14ac:dyDescent="0.55000000000000004">
      <c r="A86" t="s">
        <v>2453</v>
      </c>
      <c r="B86" t="s">
        <v>2451</v>
      </c>
      <c r="C86" t="s">
        <v>2452</v>
      </c>
      <c r="D86">
        <v>289565</v>
      </c>
      <c r="E86" t="s">
        <v>8</v>
      </c>
    </row>
    <row r="87" spans="1:5" x14ac:dyDescent="0.55000000000000004">
      <c r="A87" t="s">
        <v>3021</v>
      </c>
      <c r="B87" t="s">
        <v>3020</v>
      </c>
      <c r="C87" t="s">
        <v>10</v>
      </c>
      <c r="D87">
        <v>349797</v>
      </c>
      <c r="E87" t="s">
        <v>8</v>
      </c>
    </row>
    <row r="88" spans="1:5" x14ac:dyDescent="0.55000000000000004">
      <c r="A88" t="s">
        <v>1648</v>
      </c>
      <c r="B88" t="s">
        <v>1647</v>
      </c>
      <c r="C88" t="s">
        <v>10</v>
      </c>
      <c r="D88">
        <v>1745801</v>
      </c>
      <c r="E88" t="s">
        <v>8</v>
      </c>
    </row>
    <row r="89" spans="1:5" x14ac:dyDescent="0.55000000000000004">
      <c r="A89" t="s">
        <v>1210</v>
      </c>
      <c r="B89" t="s">
        <v>1209</v>
      </c>
      <c r="C89" t="s">
        <v>10</v>
      </c>
      <c r="D89">
        <v>6874814</v>
      </c>
      <c r="E89" t="s">
        <v>8</v>
      </c>
    </row>
    <row r="90" spans="1:5" x14ac:dyDescent="0.55000000000000004">
      <c r="A90" t="s">
        <v>124</v>
      </c>
      <c r="B90" t="s">
        <v>1211</v>
      </c>
      <c r="C90" t="s">
        <v>10</v>
      </c>
      <c r="D90">
        <v>1549416</v>
      </c>
      <c r="E90" t="s">
        <v>8</v>
      </c>
    </row>
    <row r="91" spans="1:5" x14ac:dyDescent="0.55000000000000004">
      <c r="A91" t="s">
        <v>3312</v>
      </c>
      <c r="B91" t="s">
        <v>3311</v>
      </c>
      <c r="C91" t="s">
        <v>10</v>
      </c>
      <c r="D91">
        <v>206019</v>
      </c>
      <c r="E91" t="s">
        <v>8</v>
      </c>
    </row>
    <row r="92" spans="1:5" x14ac:dyDescent="0.55000000000000004">
      <c r="A92" t="s">
        <v>3314</v>
      </c>
      <c r="B92" t="s">
        <v>3313</v>
      </c>
      <c r="C92" t="s">
        <v>1467</v>
      </c>
      <c r="D92">
        <v>452122</v>
      </c>
      <c r="E92" t="s">
        <v>8</v>
      </c>
    </row>
    <row r="93" spans="1:5" x14ac:dyDescent="0.55000000000000004">
      <c r="A93" t="s">
        <v>128</v>
      </c>
      <c r="B93" t="s">
        <v>127</v>
      </c>
      <c r="C93" t="s">
        <v>10</v>
      </c>
      <c r="D93">
        <v>458912</v>
      </c>
      <c r="E93" t="s">
        <v>8</v>
      </c>
    </row>
    <row r="94" spans="1:5" x14ac:dyDescent="0.55000000000000004">
      <c r="A94" t="s">
        <v>988</v>
      </c>
      <c r="B94" t="s">
        <v>987</v>
      </c>
      <c r="C94" t="s">
        <v>10</v>
      </c>
      <c r="D94">
        <v>230830</v>
      </c>
      <c r="E94" t="s">
        <v>8</v>
      </c>
    </row>
    <row r="95" spans="1:5" x14ac:dyDescent="0.55000000000000004">
      <c r="A95" t="s">
        <v>1865</v>
      </c>
      <c r="B95" t="s">
        <v>1864</v>
      </c>
      <c r="C95" t="s">
        <v>10</v>
      </c>
      <c r="D95">
        <v>6799493</v>
      </c>
      <c r="E95" t="s">
        <v>8</v>
      </c>
    </row>
    <row r="96" spans="1:5" x14ac:dyDescent="0.55000000000000004">
      <c r="A96" t="s">
        <v>3321</v>
      </c>
      <c r="B96" t="s">
        <v>3320</v>
      </c>
      <c r="C96" t="s">
        <v>1483</v>
      </c>
      <c r="D96">
        <v>1469886</v>
      </c>
      <c r="E96" t="s">
        <v>8</v>
      </c>
    </row>
    <row r="97" spans="1:5" x14ac:dyDescent="0.55000000000000004">
      <c r="A97" t="s">
        <v>2152</v>
      </c>
      <c r="B97" t="s">
        <v>2151</v>
      </c>
      <c r="C97" t="s">
        <v>10</v>
      </c>
      <c r="D97">
        <v>3856496</v>
      </c>
      <c r="E97" t="s">
        <v>8</v>
      </c>
    </row>
    <row r="98" spans="1:5" x14ac:dyDescent="0.55000000000000004">
      <c r="A98" t="s">
        <v>3324</v>
      </c>
      <c r="B98" t="s">
        <v>3323</v>
      </c>
      <c r="C98" t="s">
        <v>10</v>
      </c>
      <c r="D98">
        <v>478933</v>
      </c>
      <c r="E98" t="s">
        <v>8</v>
      </c>
    </row>
    <row r="99" spans="1:5" x14ac:dyDescent="0.55000000000000004">
      <c r="A99" t="s">
        <v>1872</v>
      </c>
      <c r="B99" t="s">
        <v>1871</v>
      </c>
      <c r="C99" t="s">
        <v>10</v>
      </c>
      <c r="D99">
        <v>1012926</v>
      </c>
      <c r="E99" t="s">
        <v>8</v>
      </c>
    </row>
    <row r="100" spans="1:5" x14ac:dyDescent="0.55000000000000004">
      <c r="A100" t="s">
        <v>839</v>
      </c>
      <c r="B100" t="s">
        <v>838</v>
      </c>
      <c r="C100" t="s">
        <v>10</v>
      </c>
      <c r="D100">
        <v>4094854</v>
      </c>
      <c r="E100" t="s">
        <v>8</v>
      </c>
    </row>
    <row r="101" spans="1:5" x14ac:dyDescent="0.55000000000000004">
      <c r="A101" t="s">
        <v>3326</v>
      </c>
      <c r="B101" t="s">
        <v>3325</v>
      </c>
      <c r="C101" t="s">
        <v>10</v>
      </c>
      <c r="D101">
        <v>981886</v>
      </c>
      <c r="E101" t="s">
        <v>8</v>
      </c>
    </row>
    <row r="102" spans="1:5" x14ac:dyDescent="0.55000000000000004">
      <c r="A102" t="s">
        <v>3031</v>
      </c>
      <c r="B102" t="s">
        <v>3030</v>
      </c>
      <c r="C102" t="s">
        <v>10</v>
      </c>
      <c r="D102">
        <v>530592</v>
      </c>
      <c r="E102" t="s">
        <v>8</v>
      </c>
    </row>
    <row r="103" spans="1:5" x14ac:dyDescent="0.55000000000000004">
      <c r="A103" t="s">
        <v>3041</v>
      </c>
      <c r="B103" t="s">
        <v>3040</v>
      </c>
      <c r="C103" t="s">
        <v>41</v>
      </c>
      <c r="D103">
        <v>984398</v>
      </c>
      <c r="E103" t="s">
        <v>8</v>
      </c>
    </row>
    <row r="104" spans="1:5" x14ac:dyDescent="0.55000000000000004">
      <c r="A104" t="s">
        <v>2662</v>
      </c>
      <c r="B104" t="s">
        <v>2663</v>
      </c>
      <c r="C104" t="s">
        <v>10</v>
      </c>
      <c r="D104">
        <v>311633</v>
      </c>
      <c r="E104" t="s">
        <v>8</v>
      </c>
    </row>
    <row r="105" spans="1:5" x14ac:dyDescent="0.55000000000000004">
      <c r="A105" t="s">
        <v>1876</v>
      </c>
      <c r="B105" t="s">
        <v>3331</v>
      </c>
      <c r="C105" t="s">
        <v>10</v>
      </c>
      <c r="D105">
        <v>3251071</v>
      </c>
      <c r="E105" t="s">
        <v>8</v>
      </c>
    </row>
    <row r="106" spans="1:5" x14ac:dyDescent="0.55000000000000004">
      <c r="A106" t="s">
        <v>3333</v>
      </c>
      <c r="B106" t="s">
        <v>3332</v>
      </c>
      <c r="C106" t="s">
        <v>10</v>
      </c>
      <c r="D106">
        <v>746282</v>
      </c>
      <c r="E106" t="s">
        <v>8</v>
      </c>
    </row>
    <row r="107" spans="1:5" x14ac:dyDescent="0.55000000000000004">
      <c r="A107" t="s">
        <v>2459</v>
      </c>
      <c r="B107" t="s">
        <v>3335</v>
      </c>
      <c r="C107" t="s">
        <v>41</v>
      </c>
      <c r="D107">
        <v>325287</v>
      </c>
      <c r="E107" t="s">
        <v>8</v>
      </c>
    </row>
    <row r="108" spans="1:5" x14ac:dyDescent="0.55000000000000004">
      <c r="A108" t="s">
        <v>3035</v>
      </c>
      <c r="B108" t="s">
        <v>3034</v>
      </c>
      <c r="C108" t="s">
        <v>10</v>
      </c>
      <c r="D108">
        <v>2528755</v>
      </c>
      <c r="E108" t="s">
        <v>8</v>
      </c>
    </row>
    <row r="109" spans="1:5" x14ac:dyDescent="0.55000000000000004">
      <c r="A109" t="s">
        <v>3037</v>
      </c>
      <c r="B109" t="s">
        <v>3036</v>
      </c>
      <c r="C109" t="s">
        <v>10</v>
      </c>
      <c r="D109">
        <v>511959</v>
      </c>
      <c r="E109" t="s">
        <v>8</v>
      </c>
    </row>
    <row r="110" spans="1:5" x14ac:dyDescent="0.55000000000000004">
      <c r="A110" t="s">
        <v>2666</v>
      </c>
      <c r="B110" t="s">
        <v>2667</v>
      </c>
      <c r="C110" t="s">
        <v>10</v>
      </c>
      <c r="D110">
        <v>1605899</v>
      </c>
      <c r="E110" t="s">
        <v>8</v>
      </c>
    </row>
    <row r="111" spans="1:5" x14ac:dyDescent="0.55000000000000004">
      <c r="A111" t="s">
        <v>2668</v>
      </c>
      <c r="B111" t="s">
        <v>2669</v>
      </c>
      <c r="C111" t="s">
        <v>10</v>
      </c>
      <c r="D111">
        <v>3142556</v>
      </c>
      <c r="E111" t="s">
        <v>8</v>
      </c>
    </row>
    <row r="112" spans="1:5" x14ac:dyDescent="0.55000000000000004">
      <c r="A112" t="s">
        <v>3338</v>
      </c>
      <c r="B112" t="s">
        <v>3337</v>
      </c>
      <c r="C112" t="s">
        <v>41</v>
      </c>
      <c r="D112">
        <v>366324</v>
      </c>
      <c r="E112" t="s">
        <v>8</v>
      </c>
    </row>
    <row r="113" spans="1:5" x14ac:dyDescent="0.55000000000000004">
      <c r="A113" t="s">
        <v>745</v>
      </c>
      <c r="B113" t="s">
        <v>3341</v>
      </c>
      <c r="C113" t="s">
        <v>10</v>
      </c>
      <c r="D113">
        <v>1233453</v>
      </c>
      <c r="E113" t="s">
        <v>8</v>
      </c>
    </row>
    <row r="114" spans="1:5" x14ac:dyDescent="0.55000000000000004">
      <c r="A114" t="s">
        <v>174</v>
      </c>
      <c r="B114" t="s">
        <v>173</v>
      </c>
      <c r="C114" t="s">
        <v>13</v>
      </c>
      <c r="D114">
        <v>829558</v>
      </c>
      <c r="E114" t="s">
        <v>8</v>
      </c>
    </row>
    <row r="115" spans="1:5" x14ac:dyDescent="0.55000000000000004">
      <c r="A115" t="s">
        <v>1669</v>
      </c>
      <c r="B115" t="s">
        <v>1668</v>
      </c>
      <c r="C115" t="s">
        <v>10</v>
      </c>
      <c r="D115">
        <v>2103264</v>
      </c>
      <c r="E115" t="s">
        <v>8</v>
      </c>
    </row>
    <row r="116" spans="1:5" x14ac:dyDescent="0.55000000000000004">
      <c r="A116" t="s">
        <v>3051</v>
      </c>
      <c r="B116" t="s">
        <v>3050</v>
      </c>
      <c r="C116" t="s">
        <v>141</v>
      </c>
      <c r="D116">
        <v>789648</v>
      </c>
      <c r="E116" t="s">
        <v>8</v>
      </c>
    </row>
    <row r="117" spans="1:5" x14ac:dyDescent="0.55000000000000004">
      <c r="A117" t="s">
        <v>3343</v>
      </c>
      <c r="B117" t="s">
        <v>3342</v>
      </c>
      <c r="C117" t="s">
        <v>10</v>
      </c>
      <c r="D117">
        <v>758455</v>
      </c>
      <c r="E117" t="s">
        <v>8</v>
      </c>
    </row>
    <row r="118" spans="1:5" x14ac:dyDescent="0.55000000000000004">
      <c r="A118" t="s">
        <v>1007</v>
      </c>
      <c r="B118" t="s">
        <v>1006</v>
      </c>
      <c r="C118" t="s">
        <v>10</v>
      </c>
      <c r="D118">
        <v>1136735</v>
      </c>
      <c r="E118" t="s">
        <v>8</v>
      </c>
    </row>
    <row r="119" spans="1:5" x14ac:dyDescent="0.55000000000000004">
      <c r="A119" t="s">
        <v>1240</v>
      </c>
      <c r="B119" t="s">
        <v>1239</v>
      </c>
      <c r="C119" t="s">
        <v>10</v>
      </c>
      <c r="D119">
        <v>1617769</v>
      </c>
      <c r="E119" t="s">
        <v>8</v>
      </c>
    </row>
    <row r="120" spans="1:5" x14ac:dyDescent="0.55000000000000004">
      <c r="A120" t="s">
        <v>2670</v>
      </c>
      <c r="B120" t="s">
        <v>2671</v>
      </c>
      <c r="C120" t="s">
        <v>10</v>
      </c>
      <c r="D120">
        <v>878603</v>
      </c>
      <c r="E120" t="s">
        <v>8</v>
      </c>
    </row>
    <row r="121" spans="1:5" x14ac:dyDescent="0.55000000000000004">
      <c r="A121" t="s">
        <v>2174</v>
      </c>
      <c r="B121" t="s">
        <v>3349</v>
      </c>
      <c r="C121" t="s">
        <v>10</v>
      </c>
      <c r="D121">
        <v>447645</v>
      </c>
      <c r="E121" t="s">
        <v>8</v>
      </c>
    </row>
    <row r="122" spans="1:5" x14ac:dyDescent="0.55000000000000004">
      <c r="A122" t="s">
        <v>847</v>
      </c>
      <c r="B122" t="s">
        <v>846</v>
      </c>
      <c r="C122" t="s">
        <v>41</v>
      </c>
      <c r="D122">
        <v>1477493</v>
      </c>
      <c r="E122" t="s">
        <v>8</v>
      </c>
    </row>
    <row r="123" spans="1:5" x14ac:dyDescent="0.55000000000000004">
      <c r="A123" t="s">
        <v>3064</v>
      </c>
      <c r="B123" t="s">
        <v>3062</v>
      </c>
      <c r="C123" t="s">
        <v>3063</v>
      </c>
      <c r="D123">
        <v>229355</v>
      </c>
      <c r="E123" t="s">
        <v>8</v>
      </c>
    </row>
    <row r="124" spans="1:5" x14ac:dyDescent="0.55000000000000004">
      <c r="A124" t="s">
        <v>1673</v>
      </c>
      <c r="B124" t="s">
        <v>1672</v>
      </c>
      <c r="C124" t="s">
        <v>10</v>
      </c>
      <c r="D124">
        <v>2397523</v>
      </c>
      <c r="E124" t="s">
        <v>8</v>
      </c>
    </row>
    <row r="125" spans="1:5" x14ac:dyDescent="0.55000000000000004">
      <c r="A125" t="s">
        <v>2672</v>
      </c>
      <c r="B125" t="s">
        <v>3354</v>
      </c>
      <c r="C125" t="s">
        <v>10</v>
      </c>
      <c r="D125">
        <v>1389627</v>
      </c>
      <c r="E125" t="s">
        <v>8</v>
      </c>
    </row>
    <row r="126" spans="1:5" x14ac:dyDescent="0.55000000000000004">
      <c r="A126" t="s">
        <v>2184</v>
      </c>
      <c r="B126" t="s">
        <v>3355</v>
      </c>
      <c r="C126" t="s">
        <v>41</v>
      </c>
      <c r="D126">
        <v>4055944</v>
      </c>
      <c r="E126" t="s">
        <v>8</v>
      </c>
    </row>
    <row r="127" spans="1:5" x14ac:dyDescent="0.55000000000000004">
      <c r="A127" t="s">
        <v>3357</v>
      </c>
      <c r="B127" t="s">
        <v>3356</v>
      </c>
      <c r="C127" t="s">
        <v>10</v>
      </c>
      <c r="D127">
        <v>675301</v>
      </c>
      <c r="E127" t="s">
        <v>8</v>
      </c>
    </row>
    <row r="128" spans="1:5" x14ac:dyDescent="0.55000000000000004">
      <c r="A128" t="s">
        <v>2674</v>
      </c>
      <c r="B128" t="s">
        <v>3215</v>
      </c>
      <c r="C128" t="s">
        <v>10</v>
      </c>
      <c r="D128">
        <v>785045</v>
      </c>
      <c r="E128" t="s">
        <v>8</v>
      </c>
    </row>
    <row r="129" spans="1:5" x14ac:dyDescent="0.55000000000000004">
      <c r="A129" t="s">
        <v>3055</v>
      </c>
      <c r="B129" t="s">
        <v>3054</v>
      </c>
      <c r="C129" t="s">
        <v>10</v>
      </c>
      <c r="D129">
        <v>3590000</v>
      </c>
      <c r="E129" t="s">
        <v>8</v>
      </c>
    </row>
    <row r="130" spans="1:5" x14ac:dyDescent="0.55000000000000004">
      <c r="A130" t="s">
        <v>3361</v>
      </c>
      <c r="B130" t="s">
        <v>3360</v>
      </c>
      <c r="C130" t="s">
        <v>10</v>
      </c>
      <c r="D130">
        <v>1329532</v>
      </c>
      <c r="E130" t="s">
        <v>8</v>
      </c>
    </row>
    <row r="131" spans="1:5" x14ac:dyDescent="0.55000000000000004">
      <c r="A131" t="s">
        <v>2676</v>
      </c>
      <c r="B131" t="s">
        <v>2677</v>
      </c>
      <c r="C131" t="s">
        <v>10</v>
      </c>
      <c r="D131">
        <v>1319782</v>
      </c>
      <c r="E131" t="s">
        <v>8</v>
      </c>
    </row>
    <row r="132" spans="1:5" x14ac:dyDescent="0.55000000000000004">
      <c r="A132" t="s">
        <v>2191</v>
      </c>
      <c r="B132" t="s">
        <v>2190</v>
      </c>
      <c r="C132" t="s">
        <v>13</v>
      </c>
      <c r="D132">
        <v>215849</v>
      </c>
      <c r="E132" t="s">
        <v>8</v>
      </c>
    </row>
    <row r="133" spans="1:5" x14ac:dyDescent="0.55000000000000004">
      <c r="A133" t="s">
        <v>3367</v>
      </c>
      <c r="B133" t="s">
        <v>3366</v>
      </c>
      <c r="C133" t="s">
        <v>41</v>
      </c>
      <c r="D133">
        <v>233965</v>
      </c>
      <c r="E133" t="s">
        <v>8</v>
      </c>
    </row>
    <row r="134" spans="1:5" x14ac:dyDescent="0.55000000000000004">
      <c r="A134" t="s">
        <v>3061</v>
      </c>
      <c r="B134" t="s">
        <v>3368</v>
      </c>
      <c r="C134" t="s">
        <v>10</v>
      </c>
      <c r="D134">
        <v>724101</v>
      </c>
      <c r="E134" t="s">
        <v>8</v>
      </c>
    </row>
    <row r="135" spans="1:5" x14ac:dyDescent="0.55000000000000004">
      <c r="A135" t="s">
        <v>2481</v>
      </c>
      <c r="B135" t="s">
        <v>2480</v>
      </c>
      <c r="C135" t="s">
        <v>10</v>
      </c>
      <c r="D135">
        <v>306326</v>
      </c>
      <c r="E135" t="s">
        <v>8</v>
      </c>
    </row>
    <row r="136" spans="1:5" x14ac:dyDescent="0.55000000000000004">
      <c r="A136" t="s">
        <v>3370</v>
      </c>
      <c r="B136" t="s">
        <v>3369</v>
      </c>
      <c r="C136" t="s">
        <v>10</v>
      </c>
      <c r="D136">
        <v>1986553</v>
      </c>
      <c r="E136" t="s">
        <v>8</v>
      </c>
    </row>
    <row r="137" spans="1:5" x14ac:dyDescent="0.55000000000000004">
      <c r="A137" t="s">
        <v>1254</v>
      </c>
      <c r="B137" t="s">
        <v>1253</v>
      </c>
      <c r="C137" t="s">
        <v>41</v>
      </c>
      <c r="D137">
        <v>435560</v>
      </c>
      <c r="E137" t="s">
        <v>8</v>
      </c>
    </row>
    <row r="138" spans="1:5" x14ac:dyDescent="0.55000000000000004">
      <c r="A138" t="s">
        <v>206</v>
      </c>
      <c r="B138" t="s">
        <v>205</v>
      </c>
      <c r="C138" t="s">
        <v>10</v>
      </c>
      <c r="D138">
        <v>1181251</v>
      </c>
      <c r="E138" t="s">
        <v>8</v>
      </c>
    </row>
    <row r="139" spans="1:5" x14ac:dyDescent="0.55000000000000004">
      <c r="A139" t="s">
        <v>1256</v>
      </c>
      <c r="B139" t="s">
        <v>1255</v>
      </c>
      <c r="C139" t="s">
        <v>10</v>
      </c>
      <c r="D139">
        <v>1143940</v>
      </c>
      <c r="E139" t="s">
        <v>8</v>
      </c>
    </row>
    <row r="140" spans="1:5" x14ac:dyDescent="0.55000000000000004">
      <c r="A140" t="s">
        <v>1258</v>
      </c>
      <c r="B140" t="s">
        <v>1257</v>
      </c>
      <c r="C140" t="s">
        <v>10</v>
      </c>
      <c r="D140">
        <v>837645</v>
      </c>
      <c r="E140" t="s">
        <v>8</v>
      </c>
    </row>
    <row r="141" spans="1:5" x14ac:dyDescent="0.55000000000000004">
      <c r="A141" t="s">
        <v>209</v>
      </c>
      <c r="B141" t="s">
        <v>207</v>
      </c>
      <c r="C141" t="s">
        <v>208</v>
      </c>
      <c r="D141">
        <v>1721777</v>
      </c>
      <c r="E141" t="s">
        <v>8</v>
      </c>
    </row>
    <row r="142" spans="1:5" x14ac:dyDescent="0.55000000000000004">
      <c r="A142" t="s">
        <v>2202</v>
      </c>
      <c r="B142" t="s">
        <v>2201</v>
      </c>
      <c r="C142" t="s">
        <v>10</v>
      </c>
      <c r="D142">
        <v>789642</v>
      </c>
      <c r="E142" t="s">
        <v>8</v>
      </c>
    </row>
    <row r="143" spans="1:5" x14ac:dyDescent="0.55000000000000004">
      <c r="A143" t="s">
        <v>1898</v>
      </c>
      <c r="B143" t="s">
        <v>1897</v>
      </c>
      <c r="C143" t="s">
        <v>10</v>
      </c>
      <c r="D143">
        <v>1719875</v>
      </c>
      <c r="E143" t="s">
        <v>8</v>
      </c>
    </row>
    <row r="144" spans="1:5" x14ac:dyDescent="0.55000000000000004">
      <c r="A144" t="s">
        <v>3378</v>
      </c>
      <c r="B144" t="s">
        <v>3377</v>
      </c>
      <c r="C144" t="s">
        <v>10</v>
      </c>
      <c r="D144">
        <v>247513</v>
      </c>
      <c r="E144" t="s">
        <v>8</v>
      </c>
    </row>
    <row r="145" spans="1:5" x14ac:dyDescent="0.55000000000000004">
      <c r="A145" t="s">
        <v>751</v>
      </c>
      <c r="B145" t="s">
        <v>750</v>
      </c>
      <c r="C145" t="s">
        <v>10</v>
      </c>
      <c r="D145">
        <v>235370</v>
      </c>
      <c r="E145" t="s">
        <v>8</v>
      </c>
    </row>
    <row r="146" spans="1:5" x14ac:dyDescent="0.55000000000000004">
      <c r="A146" t="s">
        <v>3379</v>
      </c>
      <c r="B146" t="s">
        <v>1506</v>
      </c>
      <c r="C146" t="s">
        <v>41</v>
      </c>
      <c r="D146">
        <v>586356</v>
      </c>
      <c r="E146" t="s">
        <v>8</v>
      </c>
    </row>
    <row r="147" spans="1:5" x14ac:dyDescent="0.55000000000000004">
      <c r="A147" t="s">
        <v>2680</v>
      </c>
      <c r="B147" t="s">
        <v>2681</v>
      </c>
      <c r="C147" t="s">
        <v>13</v>
      </c>
      <c r="D147">
        <v>504122</v>
      </c>
      <c r="E147" t="s">
        <v>8</v>
      </c>
    </row>
    <row r="148" spans="1:5" x14ac:dyDescent="0.55000000000000004">
      <c r="A148" t="s">
        <v>1278</v>
      </c>
      <c r="B148" t="s">
        <v>1277</v>
      </c>
      <c r="C148" t="s">
        <v>13</v>
      </c>
      <c r="D148">
        <v>1643397</v>
      </c>
      <c r="E148" t="s">
        <v>8</v>
      </c>
    </row>
    <row r="149" spans="1:5" x14ac:dyDescent="0.55000000000000004">
      <c r="A149" t="s">
        <v>218</v>
      </c>
      <c r="B149" t="s">
        <v>217</v>
      </c>
      <c r="C149" t="s">
        <v>10</v>
      </c>
      <c r="D149">
        <v>407075</v>
      </c>
      <c r="E149" t="s">
        <v>8</v>
      </c>
    </row>
    <row r="150" spans="1:5" x14ac:dyDescent="0.55000000000000004">
      <c r="A150" t="s">
        <v>2682</v>
      </c>
      <c r="B150" t="s">
        <v>2683</v>
      </c>
      <c r="C150" t="s">
        <v>10</v>
      </c>
      <c r="D150">
        <v>1298870</v>
      </c>
      <c r="E150" t="s">
        <v>8</v>
      </c>
    </row>
    <row r="151" spans="1:5" x14ac:dyDescent="0.55000000000000004">
      <c r="A151" t="s">
        <v>1025</v>
      </c>
      <c r="B151" t="s">
        <v>1024</v>
      </c>
      <c r="C151" t="s">
        <v>10</v>
      </c>
      <c r="D151">
        <v>3787009</v>
      </c>
      <c r="E151" t="s">
        <v>8</v>
      </c>
    </row>
    <row r="152" spans="1:5" x14ac:dyDescent="0.55000000000000004">
      <c r="A152" t="s">
        <v>3068</v>
      </c>
      <c r="B152" t="s">
        <v>3067</v>
      </c>
      <c r="C152" t="s">
        <v>10</v>
      </c>
      <c r="D152">
        <v>1144615</v>
      </c>
      <c r="E152" t="s">
        <v>8</v>
      </c>
    </row>
    <row r="153" spans="1:5" x14ac:dyDescent="0.55000000000000004">
      <c r="A153" t="s">
        <v>853</v>
      </c>
      <c r="B153" t="s">
        <v>852</v>
      </c>
      <c r="C153" t="s">
        <v>10</v>
      </c>
      <c r="D153">
        <v>1603372</v>
      </c>
      <c r="E153" t="s">
        <v>8</v>
      </c>
    </row>
    <row r="154" spans="1:5" x14ac:dyDescent="0.55000000000000004">
      <c r="A154" t="s">
        <v>222</v>
      </c>
      <c r="B154" t="s">
        <v>221</v>
      </c>
      <c r="C154" t="s">
        <v>10</v>
      </c>
      <c r="D154">
        <v>237176</v>
      </c>
      <c r="E154" t="s">
        <v>8</v>
      </c>
    </row>
    <row r="155" spans="1:5" x14ac:dyDescent="0.55000000000000004">
      <c r="A155" t="s">
        <v>585</v>
      </c>
      <c r="B155" t="s">
        <v>584</v>
      </c>
      <c r="C155" t="s">
        <v>10</v>
      </c>
      <c r="D155">
        <v>1545017</v>
      </c>
      <c r="E155" t="s">
        <v>8</v>
      </c>
    </row>
    <row r="156" spans="1:5" x14ac:dyDescent="0.55000000000000004">
      <c r="A156" t="s">
        <v>226</v>
      </c>
      <c r="B156" t="s">
        <v>225</v>
      </c>
      <c r="C156" t="s">
        <v>10</v>
      </c>
      <c r="D156">
        <v>436762</v>
      </c>
      <c r="E156" t="s">
        <v>8</v>
      </c>
    </row>
    <row r="157" spans="1:5" x14ac:dyDescent="0.55000000000000004">
      <c r="A157" t="s">
        <v>3382</v>
      </c>
      <c r="B157" t="s">
        <v>3381</v>
      </c>
      <c r="C157" t="s">
        <v>10</v>
      </c>
      <c r="D157">
        <v>1328100</v>
      </c>
      <c r="E157" t="s">
        <v>8</v>
      </c>
    </row>
    <row r="158" spans="1:5" x14ac:dyDescent="0.55000000000000004">
      <c r="A158" t="s">
        <v>589</v>
      </c>
      <c r="B158" t="s">
        <v>588</v>
      </c>
      <c r="C158" t="s">
        <v>10</v>
      </c>
      <c r="D158">
        <v>765814</v>
      </c>
      <c r="E158" t="s">
        <v>8</v>
      </c>
    </row>
    <row r="159" spans="1:5" x14ac:dyDescent="0.55000000000000004">
      <c r="A159" t="s">
        <v>235</v>
      </c>
      <c r="B159" t="s">
        <v>234</v>
      </c>
      <c r="C159" t="s">
        <v>41</v>
      </c>
      <c r="D159">
        <v>1140202</v>
      </c>
      <c r="E159" t="s">
        <v>8</v>
      </c>
    </row>
    <row r="160" spans="1:5" x14ac:dyDescent="0.55000000000000004">
      <c r="A160" t="s">
        <v>3386</v>
      </c>
      <c r="B160" t="s">
        <v>3385</v>
      </c>
      <c r="C160" t="s">
        <v>10</v>
      </c>
      <c r="D160">
        <v>583933</v>
      </c>
      <c r="E160" t="s">
        <v>8</v>
      </c>
    </row>
    <row r="161" spans="1:5" x14ac:dyDescent="0.55000000000000004">
      <c r="A161" t="s">
        <v>591</v>
      </c>
      <c r="B161" t="s">
        <v>590</v>
      </c>
      <c r="C161" t="s">
        <v>10</v>
      </c>
      <c r="D161">
        <v>1847945</v>
      </c>
      <c r="E161" t="s">
        <v>8</v>
      </c>
    </row>
    <row r="162" spans="1:5" x14ac:dyDescent="0.55000000000000004">
      <c r="A162" t="s">
        <v>3388</v>
      </c>
      <c r="B162" t="s">
        <v>3387</v>
      </c>
      <c r="C162" t="s">
        <v>10</v>
      </c>
      <c r="D162">
        <v>394138</v>
      </c>
      <c r="E162" t="s">
        <v>8</v>
      </c>
    </row>
    <row r="163" spans="1:5" x14ac:dyDescent="0.55000000000000004">
      <c r="A163" t="s">
        <v>247</v>
      </c>
      <c r="B163" t="s">
        <v>246</v>
      </c>
      <c r="C163" t="s">
        <v>10</v>
      </c>
      <c r="D163">
        <v>4453831</v>
      </c>
      <c r="E163" t="s">
        <v>8</v>
      </c>
    </row>
    <row r="164" spans="1:5" x14ac:dyDescent="0.55000000000000004">
      <c r="A164" t="s">
        <v>1295</v>
      </c>
      <c r="B164" t="s">
        <v>1294</v>
      </c>
      <c r="C164" t="s">
        <v>10</v>
      </c>
      <c r="D164">
        <v>1501514</v>
      </c>
      <c r="E164" t="s">
        <v>8</v>
      </c>
    </row>
    <row r="165" spans="1:5" x14ac:dyDescent="0.55000000000000004">
      <c r="A165" t="s">
        <v>253</v>
      </c>
      <c r="B165" t="s">
        <v>252</v>
      </c>
      <c r="C165" t="s">
        <v>10</v>
      </c>
      <c r="D165">
        <v>1067099</v>
      </c>
      <c r="E165" t="s">
        <v>8</v>
      </c>
    </row>
    <row r="166" spans="1:5" x14ac:dyDescent="0.55000000000000004">
      <c r="A166" t="s">
        <v>1297</v>
      </c>
      <c r="B166" t="s">
        <v>1296</v>
      </c>
      <c r="C166" t="s">
        <v>10</v>
      </c>
      <c r="D166">
        <v>2165606</v>
      </c>
      <c r="E166" t="s">
        <v>8</v>
      </c>
    </row>
    <row r="167" spans="1:5" x14ac:dyDescent="0.55000000000000004">
      <c r="A167" t="s">
        <v>3392</v>
      </c>
      <c r="B167" t="s">
        <v>3391</v>
      </c>
      <c r="C167" t="s">
        <v>10</v>
      </c>
      <c r="D167">
        <v>659719</v>
      </c>
      <c r="E167" t="s">
        <v>8</v>
      </c>
    </row>
    <row r="168" spans="1:5" x14ac:dyDescent="0.55000000000000004">
      <c r="A168" t="s">
        <v>3078</v>
      </c>
      <c r="B168" t="s">
        <v>3077</v>
      </c>
      <c r="C168" t="s">
        <v>10</v>
      </c>
      <c r="D168">
        <v>3751160</v>
      </c>
      <c r="E168" t="s">
        <v>8</v>
      </c>
    </row>
    <row r="169" spans="1:5" x14ac:dyDescent="0.55000000000000004">
      <c r="A169" t="s">
        <v>3394</v>
      </c>
      <c r="B169" t="s">
        <v>3393</v>
      </c>
      <c r="C169" t="s">
        <v>10</v>
      </c>
      <c r="D169">
        <v>272388</v>
      </c>
      <c r="E169" t="s">
        <v>8</v>
      </c>
    </row>
    <row r="170" spans="1:5" x14ac:dyDescent="0.55000000000000004">
      <c r="A170" t="s">
        <v>599</v>
      </c>
      <c r="B170" t="s">
        <v>3395</v>
      </c>
      <c r="C170" t="s">
        <v>10</v>
      </c>
      <c r="D170">
        <v>756470</v>
      </c>
      <c r="E170" t="s">
        <v>8</v>
      </c>
    </row>
    <row r="171" spans="1:5" x14ac:dyDescent="0.55000000000000004">
      <c r="A171" t="s">
        <v>257</v>
      </c>
      <c r="B171" t="s">
        <v>256</v>
      </c>
      <c r="C171" t="s">
        <v>10</v>
      </c>
      <c r="D171">
        <v>5526985</v>
      </c>
      <c r="E171" t="s">
        <v>8</v>
      </c>
    </row>
    <row r="172" spans="1:5" x14ac:dyDescent="0.55000000000000004">
      <c r="A172" t="s">
        <v>2495</v>
      </c>
      <c r="B172" t="s">
        <v>2494</v>
      </c>
      <c r="C172" t="s">
        <v>13</v>
      </c>
      <c r="D172">
        <v>1139912</v>
      </c>
      <c r="E172" t="s">
        <v>8</v>
      </c>
    </row>
    <row r="173" spans="1:5" x14ac:dyDescent="0.55000000000000004">
      <c r="A173" t="s">
        <v>1687</v>
      </c>
      <c r="B173" t="s">
        <v>1686</v>
      </c>
      <c r="C173" t="s">
        <v>10</v>
      </c>
      <c r="D173">
        <v>1126248</v>
      </c>
      <c r="E173" t="s">
        <v>8</v>
      </c>
    </row>
    <row r="174" spans="1:5" x14ac:dyDescent="0.55000000000000004">
      <c r="A174" t="s">
        <v>261</v>
      </c>
      <c r="B174" t="s">
        <v>260</v>
      </c>
      <c r="C174" t="s">
        <v>10</v>
      </c>
      <c r="D174">
        <v>1211224</v>
      </c>
      <c r="E174" t="s">
        <v>8</v>
      </c>
    </row>
    <row r="175" spans="1:5" x14ac:dyDescent="0.55000000000000004">
      <c r="A175" t="s">
        <v>1689</v>
      </c>
      <c r="B175" t="s">
        <v>1688</v>
      </c>
      <c r="C175" t="s">
        <v>10</v>
      </c>
      <c r="D175">
        <v>1042477</v>
      </c>
      <c r="E175" t="s">
        <v>8</v>
      </c>
    </row>
    <row r="176" spans="1:5" x14ac:dyDescent="0.55000000000000004">
      <c r="A176" t="s">
        <v>1301</v>
      </c>
      <c r="B176" t="s">
        <v>1300</v>
      </c>
      <c r="C176" t="s">
        <v>10</v>
      </c>
      <c r="D176">
        <v>1402354</v>
      </c>
      <c r="E176" t="s">
        <v>8</v>
      </c>
    </row>
    <row r="177" spans="1:5" x14ac:dyDescent="0.55000000000000004">
      <c r="A177" t="s">
        <v>3080</v>
      </c>
      <c r="B177" t="s">
        <v>3079</v>
      </c>
      <c r="C177" t="s">
        <v>6</v>
      </c>
      <c r="D177">
        <v>374285</v>
      </c>
      <c r="E177" t="s">
        <v>8</v>
      </c>
    </row>
    <row r="178" spans="1:5" x14ac:dyDescent="0.55000000000000004">
      <c r="A178" t="s">
        <v>265</v>
      </c>
      <c r="B178" t="s">
        <v>264</v>
      </c>
      <c r="C178" t="s">
        <v>10</v>
      </c>
      <c r="D178">
        <v>453474</v>
      </c>
      <c r="E178" t="s">
        <v>8</v>
      </c>
    </row>
    <row r="179" spans="1:5" x14ac:dyDescent="0.55000000000000004">
      <c r="A179" t="s">
        <v>3404</v>
      </c>
      <c r="B179" t="s">
        <v>3403</v>
      </c>
      <c r="C179" t="s">
        <v>10</v>
      </c>
      <c r="D179">
        <v>592610</v>
      </c>
      <c r="E179" t="s">
        <v>8</v>
      </c>
    </row>
    <row r="180" spans="1:5" x14ac:dyDescent="0.55000000000000004">
      <c r="A180" t="s">
        <v>3406</v>
      </c>
      <c r="B180" t="s">
        <v>3405</v>
      </c>
      <c r="C180" t="s">
        <v>10</v>
      </c>
      <c r="D180">
        <v>303612</v>
      </c>
      <c r="E180" t="s">
        <v>8</v>
      </c>
    </row>
    <row r="181" spans="1:5" x14ac:dyDescent="0.55000000000000004">
      <c r="A181" t="s">
        <v>3410</v>
      </c>
      <c r="B181" t="s">
        <v>3409</v>
      </c>
      <c r="C181" t="s">
        <v>10</v>
      </c>
      <c r="D181">
        <v>310579</v>
      </c>
      <c r="E181" t="s">
        <v>8</v>
      </c>
    </row>
    <row r="182" spans="1:5" x14ac:dyDescent="0.55000000000000004">
      <c r="A182" t="s">
        <v>2693</v>
      </c>
      <c r="B182" t="s">
        <v>2694</v>
      </c>
      <c r="C182" t="s">
        <v>10</v>
      </c>
      <c r="D182">
        <v>697859</v>
      </c>
      <c r="E182" t="s">
        <v>8</v>
      </c>
    </row>
    <row r="183" spans="1:5" x14ac:dyDescent="0.55000000000000004">
      <c r="A183" t="s">
        <v>3084</v>
      </c>
      <c r="B183" t="s">
        <v>3083</v>
      </c>
      <c r="C183" t="s">
        <v>10</v>
      </c>
      <c r="D183">
        <v>2379685</v>
      </c>
      <c r="E183" t="s">
        <v>8</v>
      </c>
    </row>
    <row r="184" spans="1:5" x14ac:dyDescent="0.55000000000000004">
      <c r="A184" t="s">
        <v>1933</v>
      </c>
      <c r="B184" t="s">
        <v>3415</v>
      </c>
      <c r="C184" t="s">
        <v>1932</v>
      </c>
      <c r="D184">
        <v>2133750</v>
      </c>
      <c r="E184" t="s">
        <v>8</v>
      </c>
    </row>
    <row r="185" spans="1:5" x14ac:dyDescent="0.55000000000000004">
      <c r="A185" t="s">
        <v>2510</v>
      </c>
      <c r="B185" t="s">
        <v>2509</v>
      </c>
      <c r="C185" t="s">
        <v>10</v>
      </c>
      <c r="D185">
        <v>694889</v>
      </c>
      <c r="E185" t="s">
        <v>8</v>
      </c>
    </row>
    <row r="186" spans="1:5" x14ac:dyDescent="0.55000000000000004">
      <c r="A186" t="s">
        <v>3086</v>
      </c>
      <c r="B186" t="s">
        <v>3085</v>
      </c>
      <c r="C186" t="s">
        <v>10</v>
      </c>
      <c r="D186">
        <v>4468622</v>
      </c>
      <c r="E186" t="s">
        <v>8</v>
      </c>
    </row>
    <row r="187" spans="1:5" x14ac:dyDescent="0.55000000000000004">
      <c r="A187" t="s">
        <v>3090</v>
      </c>
      <c r="B187" t="s">
        <v>3089</v>
      </c>
      <c r="C187" t="s">
        <v>10</v>
      </c>
      <c r="D187">
        <v>861152</v>
      </c>
      <c r="E187" t="s">
        <v>8</v>
      </c>
    </row>
    <row r="188" spans="1:5" x14ac:dyDescent="0.55000000000000004">
      <c r="A188" t="s">
        <v>1695</v>
      </c>
      <c r="B188" t="s">
        <v>1694</v>
      </c>
      <c r="C188" t="s">
        <v>10</v>
      </c>
      <c r="D188">
        <v>1156023</v>
      </c>
      <c r="E188" t="s">
        <v>8</v>
      </c>
    </row>
    <row r="189" spans="1:5" x14ac:dyDescent="0.55000000000000004">
      <c r="A189" t="s">
        <v>3428</v>
      </c>
      <c r="B189" t="s">
        <v>3427</v>
      </c>
      <c r="C189" t="s">
        <v>10</v>
      </c>
      <c r="D189">
        <v>1208614</v>
      </c>
      <c r="E189" t="s">
        <v>8</v>
      </c>
    </row>
    <row r="190" spans="1:5" x14ac:dyDescent="0.55000000000000004">
      <c r="A190" t="s">
        <v>2697</v>
      </c>
      <c r="B190" t="s">
        <v>2698</v>
      </c>
      <c r="C190" t="s">
        <v>10</v>
      </c>
      <c r="D190">
        <v>367921</v>
      </c>
      <c r="E190" t="s">
        <v>8</v>
      </c>
    </row>
    <row r="191" spans="1:5" x14ac:dyDescent="0.55000000000000004">
      <c r="A191" t="s">
        <v>3436</v>
      </c>
      <c r="B191" t="s">
        <v>3435</v>
      </c>
      <c r="C191" t="s">
        <v>10</v>
      </c>
      <c r="D191">
        <v>713783</v>
      </c>
      <c r="E191" t="s">
        <v>8</v>
      </c>
    </row>
    <row r="192" spans="1:5" x14ac:dyDescent="0.55000000000000004">
      <c r="A192" t="s">
        <v>625</v>
      </c>
      <c r="B192" t="s">
        <v>624</v>
      </c>
      <c r="C192" t="s">
        <v>10</v>
      </c>
      <c r="D192">
        <v>781799</v>
      </c>
      <c r="E192" t="s">
        <v>8</v>
      </c>
    </row>
    <row r="193" spans="1:5" x14ac:dyDescent="0.55000000000000004">
      <c r="A193" t="s">
        <v>3421</v>
      </c>
      <c r="B193" t="s">
        <v>3420</v>
      </c>
      <c r="C193" t="s">
        <v>76</v>
      </c>
      <c r="D193">
        <v>3677153</v>
      </c>
      <c r="E193" t="s">
        <v>8</v>
      </c>
    </row>
    <row r="194" spans="1:5" x14ac:dyDescent="0.55000000000000004">
      <c r="A194" t="s">
        <v>3092</v>
      </c>
      <c r="B194" t="s">
        <v>3091</v>
      </c>
      <c r="C194" t="s">
        <v>10</v>
      </c>
      <c r="D194">
        <v>849998</v>
      </c>
      <c r="E194" t="s">
        <v>8</v>
      </c>
    </row>
    <row r="195" spans="1:5" x14ac:dyDescent="0.55000000000000004">
      <c r="A195" t="s">
        <v>2248</v>
      </c>
      <c r="B195" t="s">
        <v>2247</v>
      </c>
      <c r="C195" t="s">
        <v>13</v>
      </c>
      <c r="D195">
        <v>788073</v>
      </c>
      <c r="E195" t="s">
        <v>8</v>
      </c>
    </row>
    <row r="196" spans="1:5" x14ac:dyDescent="0.55000000000000004">
      <c r="A196" t="s">
        <v>1047</v>
      </c>
      <c r="B196" t="s">
        <v>1046</v>
      </c>
      <c r="C196" t="s">
        <v>10</v>
      </c>
      <c r="D196">
        <v>649782</v>
      </c>
      <c r="E196" t="s">
        <v>8</v>
      </c>
    </row>
    <row r="197" spans="1:5" x14ac:dyDescent="0.55000000000000004">
      <c r="A197" t="s">
        <v>3096</v>
      </c>
      <c r="B197" t="s">
        <v>1941</v>
      </c>
      <c r="C197" t="s">
        <v>3095</v>
      </c>
      <c r="D197">
        <v>429606</v>
      </c>
      <c r="E197" t="s">
        <v>8</v>
      </c>
    </row>
    <row r="198" spans="1:5" x14ac:dyDescent="0.55000000000000004">
      <c r="A198" t="s">
        <v>2514</v>
      </c>
      <c r="B198" t="s">
        <v>2513</v>
      </c>
      <c r="C198" t="s">
        <v>10</v>
      </c>
      <c r="D198">
        <v>201691</v>
      </c>
      <c r="E198" t="s">
        <v>8</v>
      </c>
    </row>
    <row r="199" spans="1:5" x14ac:dyDescent="0.55000000000000004">
      <c r="A199" t="s">
        <v>1332</v>
      </c>
      <c r="B199" t="s">
        <v>1331</v>
      </c>
      <c r="C199" t="s">
        <v>10</v>
      </c>
      <c r="D199">
        <v>2202882</v>
      </c>
      <c r="E199" t="s">
        <v>8</v>
      </c>
    </row>
    <row r="200" spans="1:5" x14ac:dyDescent="0.55000000000000004">
      <c r="A200" t="s">
        <v>1527</v>
      </c>
      <c r="B200" t="s">
        <v>1526</v>
      </c>
      <c r="C200" t="s">
        <v>10</v>
      </c>
      <c r="D200">
        <v>1422787</v>
      </c>
      <c r="E200" t="s">
        <v>8</v>
      </c>
    </row>
    <row r="201" spans="1:5" x14ac:dyDescent="0.55000000000000004">
      <c r="A201" t="s">
        <v>1049</v>
      </c>
      <c r="B201" t="s">
        <v>1048</v>
      </c>
      <c r="C201" t="s">
        <v>10</v>
      </c>
      <c r="D201">
        <v>1185460</v>
      </c>
      <c r="E201" t="s">
        <v>8</v>
      </c>
    </row>
    <row r="202" spans="1:5" x14ac:dyDescent="0.55000000000000004">
      <c r="A202" t="s">
        <v>1051</v>
      </c>
      <c r="B202" t="s">
        <v>1050</v>
      </c>
      <c r="C202" t="s">
        <v>10</v>
      </c>
      <c r="D202">
        <v>1053452</v>
      </c>
      <c r="E202" t="s">
        <v>8</v>
      </c>
    </row>
    <row r="203" spans="1:5" x14ac:dyDescent="0.55000000000000004">
      <c r="A203" t="s">
        <v>3430</v>
      </c>
      <c r="B203" t="s">
        <v>3429</v>
      </c>
      <c r="C203" t="s">
        <v>10</v>
      </c>
      <c r="D203">
        <v>714518</v>
      </c>
      <c r="E203" t="s">
        <v>8</v>
      </c>
    </row>
    <row r="204" spans="1:5" x14ac:dyDescent="0.55000000000000004">
      <c r="A204" t="s">
        <v>294</v>
      </c>
      <c r="B204" t="s">
        <v>293</v>
      </c>
      <c r="C204" t="s">
        <v>10</v>
      </c>
      <c r="D204">
        <v>114571</v>
      </c>
      <c r="E204" t="s">
        <v>8</v>
      </c>
    </row>
    <row r="205" spans="1:5" x14ac:dyDescent="0.55000000000000004">
      <c r="A205" t="s">
        <v>3100</v>
      </c>
      <c r="B205" t="s">
        <v>3099</v>
      </c>
      <c r="C205" t="s">
        <v>6</v>
      </c>
      <c r="D205">
        <v>3109505</v>
      </c>
      <c r="E205" t="s">
        <v>8</v>
      </c>
    </row>
    <row r="206" spans="1:5" x14ac:dyDescent="0.55000000000000004">
      <c r="A206" t="s">
        <v>1338</v>
      </c>
      <c r="B206" t="s">
        <v>1337</v>
      </c>
      <c r="C206" t="s">
        <v>10</v>
      </c>
      <c r="D206">
        <v>3261090</v>
      </c>
      <c r="E206" t="s">
        <v>8</v>
      </c>
    </row>
    <row r="207" spans="1:5" x14ac:dyDescent="0.55000000000000004">
      <c r="A207" t="s">
        <v>2258</v>
      </c>
      <c r="B207" t="s">
        <v>2257</v>
      </c>
      <c r="C207" t="s">
        <v>10</v>
      </c>
      <c r="D207">
        <v>1345444</v>
      </c>
      <c r="E207" t="s">
        <v>8</v>
      </c>
    </row>
    <row r="208" spans="1:5" x14ac:dyDescent="0.55000000000000004">
      <c r="A208" t="s">
        <v>2265</v>
      </c>
      <c r="B208" t="s">
        <v>2264</v>
      </c>
      <c r="C208" t="s">
        <v>13</v>
      </c>
      <c r="D208">
        <v>208017</v>
      </c>
      <c r="E208" t="s">
        <v>8</v>
      </c>
    </row>
    <row r="209" spans="1:5" x14ac:dyDescent="0.55000000000000004">
      <c r="A209" t="s">
        <v>2709</v>
      </c>
      <c r="B209" t="s">
        <v>2710</v>
      </c>
      <c r="C209" t="s">
        <v>10</v>
      </c>
      <c r="D209">
        <v>1162438</v>
      </c>
      <c r="E209" t="s">
        <v>8</v>
      </c>
    </row>
    <row r="210" spans="1:5" x14ac:dyDescent="0.55000000000000004">
      <c r="A210" t="s">
        <v>1708</v>
      </c>
      <c r="B210" t="s">
        <v>1707</v>
      </c>
      <c r="C210" t="s">
        <v>10</v>
      </c>
      <c r="D210">
        <v>2889241</v>
      </c>
      <c r="E210" t="s">
        <v>8</v>
      </c>
    </row>
    <row r="211" spans="1:5" x14ac:dyDescent="0.55000000000000004">
      <c r="A211" t="s">
        <v>1340</v>
      </c>
      <c r="B211" t="s">
        <v>1339</v>
      </c>
      <c r="C211" t="s">
        <v>10</v>
      </c>
      <c r="D211">
        <v>2611885</v>
      </c>
      <c r="E211" t="s">
        <v>8</v>
      </c>
    </row>
    <row r="212" spans="1:5" x14ac:dyDescent="0.55000000000000004">
      <c r="A212" t="s">
        <v>3438</v>
      </c>
      <c r="B212" t="s">
        <v>3437</v>
      </c>
      <c r="C212" t="s">
        <v>10</v>
      </c>
      <c r="D212">
        <v>713602</v>
      </c>
      <c r="E212" t="s">
        <v>8</v>
      </c>
    </row>
    <row r="213" spans="1:5" x14ac:dyDescent="0.55000000000000004">
      <c r="A213" t="s">
        <v>2711</v>
      </c>
      <c r="B213" t="s">
        <v>2712</v>
      </c>
      <c r="C213" t="s">
        <v>2713</v>
      </c>
      <c r="D213">
        <v>4659899</v>
      </c>
      <c r="E213" t="s">
        <v>8</v>
      </c>
    </row>
    <row r="214" spans="1:5" x14ac:dyDescent="0.55000000000000004">
      <c r="A214" t="s">
        <v>2270</v>
      </c>
      <c r="B214" t="s">
        <v>2268</v>
      </c>
      <c r="C214" t="s">
        <v>2269</v>
      </c>
      <c r="D214">
        <v>864286</v>
      </c>
      <c r="E214" t="s">
        <v>8</v>
      </c>
    </row>
    <row r="215" spans="1:5" x14ac:dyDescent="0.55000000000000004">
      <c r="A215" t="s">
        <v>1954</v>
      </c>
      <c r="B215" t="s">
        <v>1953</v>
      </c>
      <c r="C215" t="s">
        <v>10</v>
      </c>
      <c r="D215">
        <v>1160853</v>
      </c>
      <c r="E215" t="s">
        <v>8</v>
      </c>
    </row>
    <row r="216" spans="1:5" x14ac:dyDescent="0.55000000000000004">
      <c r="A216" t="s">
        <v>1346</v>
      </c>
      <c r="B216" t="s">
        <v>1345</v>
      </c>
      <c r="C216" t="s">
        <v>10</v>
      </c>
      <c r="D216">
        <v>518584</v>
      </c>
      <c r="E216" t="s">
        <v>8</v>
      </c>
    </row>
    <row r="217" spans="1:5" x14ac:dyDescent="0.55000000000000004">
      <c r="A217" t="s">
        <v>2714</v>
      </c>
      <c r="B217" t="s">
        <v>2715</v>
      </c>
      <c r="C217" t="s">
        <v>10</v>
      </c>
      <c r="D217">
        <v>1017760</v>
      </c>
      <c r="E217" t="s">
        <v>8</v>
      </c>
    </row>
    <row r="218" spans="1:5" x14ac:dyDescent="0.55000000000000004">
      <c r="A218" t="s">
        <v>1714</v>
      </c>
      <c r="B218" t="s">
        <v>1713</v>
      </c>
      <c r="C218" t="s">
        <v>41</v>
      </c>
      <c r="D218">
        <v>631050</v>
      </c>
      <c r="E218" t="s">
        <v>8</v>
      </c>
    </row>
    <row r="219" spans="1:5" x14ac:dyDescent="0.55000000000000004">
      <c r="A219" t="s">
        <v>3112</v>
      </c>
      <c r="B219" t="s">
        <v>3111</v>
      </c>
      <c r="C219" t="s">
        <v>10</v>
      </c>
      <c r="D219">
        <v>1064296</v>
      </c>
      <c r="E219" t="s">
        <v>8</v>
      </c>
    </row>
    <row r="220" spans="1:5" x14ac:dyDescent="0.55000000000000004">
      <c r="A220" t="s">
        <v>313</v>
      </c>
      <c r="B220" t="s">
        <v>312</v>
      </c>
      <c r="C220" t="s">
        <v>10</v>
      </c>
      <c r="D220">
        <v>474050</v>
      </c>
      <c r="E220" t="s">
        <v>8</v>
      </c>
    </row>
    <row r="221" spans="1:5" x14ac:dyDescent="0.55000000000000004">
      <c r="A221" t="s">
        <v>1350</v>
      </c>
      <c r="B221" t="s">
        <v>1349</v>
      </c>
      <c r="C221" t="s">
        <v>41</v>
      </c>
      <c r="D221">
        <v>1485409</v>
      </c>
      <c r="E221" t="s">
        <v>8</v>
      </c>
    </row>
    <row r="222" spans="1:5" x14ac:dyDescent="0.55000000000000004">
      <c r="A222" t="s">
        <v>2716</v>
      </c>
      <c r="B222" t="s">
        <v>2717</v>
      </c>
      <c r="C222" t="s">
        <v>10</v>
      </c>
      <c r="D222">
        <v>2208976</v>
      </c>
      <c r="E222" t="s">
        <v>8</v>
      </c>
    </row>
    <row r="223" spans="1:5" x14ac:dyDescent="0.55000000000000004">
      <c r="A223" t="s">
        <v>2274</v>
      </c>
      <c r="B223" t="s">
        <v>2273</v>
      </c>
      <c r="C223" t="s">
        <v>41</v>
      </c>
      <c r="D223">
        <v>1120945</v>
      </c>
      <c r="E223" t="s">
        <v>8</v>
      </c>
    </row>
    <row r="224" spans="1:5" x14ac:dyDescent="0.55000000000000004">
      <c r="A224" t="s">
        <v>315</v>
      </c>
      <c r="B224" t="s">
        <v>314</v>
      </c>
      <c r="C224" t="s">
        <v>10</v>
      </c>
      <c r="D224">
        <v>519656</v>
      </c>
      <c r="E224" t="s">
        <v>8</v>
      </c>
    </row>
    <row r="225" spans="1:5" x14ac:dyDescent="0.55000000000000004">
      <c r="A225" t="s">
        <v>2718</v>
      </c>
      <c r="B225" t="s">
        <v>2719</v>
      </c>
      <c r="C225" t="s">
        <v>10</v>
      </c>
      <c r="D225">
        <v>1341483</v>
      </c>
      <c r="E225" t="s">
        <v>8</v>
      </c>
    </row>
    <row r="226" spans="1:5" x14ac:dyDescent="0.55000000000000004">
      <c r="A226" t="s">
        <v>317</v>
      </c>
      <c r="B226" t="s">
        <v>316</v>
      </c>
      <c r="C226" t="s">
        <v>10</v>
      </c>
      <c r="D226">
        <v>2012657</v>
      </c>
      <c r="E226" t="s">
        <v>8</v>
      </c>
    </row>
    <row r="227" spans="1:5" x14ac:dyDescent="0.55000000000000004">
      <c r="A227" t="s">
        <v>2276</v>
      </c>
      <c r="B227" t="s">
        <v>2275</v>
      </c>
      <c r="C227" t="s">
        <v>13</v>
      </c>
      <c r="D227">
        <v>2795632</v>
      </c>
      <c r="E227" t="s">
        <v>8</v>
      </c>
    </row>
    <row r="228" spans="1:5" x14ac:dyDescent="0.55000000000000004">
      <c r="A228" t="s">
        <v>3118</v>
      </c>
      <c r="B228" t="s">
        <v>3117</v>
      </c>
      <c r="C228" t="s">
        <v>10</v>
      </c>
      <c r="D228">
        <v>311984</v>
      </c>
      <c r="E228" t="s">
        <v>8</v>
      </c>
    </row>
    <row r="229" spans="1:5" x14ac:dyDescent="0.55000000000000004">
      <c r="A229" t="s">
        <v>3453</v>
      </c>
      <c r="B229" t="s">
        <v>3452</v>
      </c>
      <c r="C229" t="s">
        <v>41</v>
      </c>
      <c r="D229">
        <v>663701</v>
      </c>
      <c r="E229" t="s">
        <v>8</v>
      </c>
    </row>
    <row r="230" spans="1:5" x14ac:dyDescent="0.55000000000000004">
      <c r="A230" t="s">
        <v>883</v>
      </c>
      <c r="B230" t="s">
        <v>882</v>
      </c>
      <c r="C230" t="s">
        <v>10</v>
      </c>
      <c r="D230">
        <v>2343924</v>
      </c>
      <c r="E230" t="s">
        <v>8</v>
      </c>
    </row>
    <row r="231" spans="1:5" x14ac:dyDescent="0.55000000000000004">
      <c r="A231" t="s">
        <v>2720</v>
      </c>
      <c r="B231" t="s">
        <v>3455</v>
      </c>
      <c r="C231" t="s">
        <v>10</v>
      </c>
      <c r="D231">
        <v>920431</v>
      </c>
      <c r="E231" t="s">
        <v>8</v>
      </c>
    </row>
    <row r="232" spans="1:5" x14ac:dyDescent="0.55000000000000004">
      <c r="A232" t="s">
        <v>2722</v>
      </c>
      <c r="B232" t="s">
        <v>2723</v>
      </c>
      <c r="C232" t="s">
        <v>10</v>
      </c>
      <c r="D232">
        <v>1351180</v>
      </c>
      <c r="E232" t="s">
        <v>8</v>
      </c>
    </row>
    <row r="233" spans="1:5" x14ac:dyDescent="0.55000000000000004">
      <c r="A233" t="s">
        <v>114</v>
      </c>
      <c r="B233" t="s">
        <v>113</v>
      </c>
      <c r="C233" t="s">
        <v>41</v>
      </c>
      <c r="D233">
        <v>463507</v>
      </c>
      <c r="E233" t="s">
        <v>8</v>
      </c>
    </row>
    <row r="234" spans="1:5" x14ac:dyDescent="0.55000000000000004">
      <c r="A234" t="s">
        <v>331</v>
      </c>
      <c r="B234" t="s">
        <v>330</v>
      </c>
      <c r="C234" t="s">
        <v>10</v>
      </c>
      <c r="D234">
        <v>299789</v>
      </c>
      <c r="E234" t="s">
        <v>8</v>
      </c>
    </row>
    <row r="235" spans="1:5" x14ac:dyDescent="0.55000000000000004">
      <c r="A235" t="s">
        <v>3460</v>
      </c>
      <c r="B235" t="s">
        <v>3459</v>
      </c>
      <c r="C235" t="s">
        <v>41</v>
      </c>
      <c r="D235">
        <v>551547</v>
      </c>
      <c r="E235" t="s">
        <v>8</v>
      </c>
    </row>
    <row r="236" spans="1:5" x14ac:dyDescent="0.55000000000000004">
      <c r="A236" t="s">
        <v>1969</v>
      </c>
      <c r="B236" t="s">
        <v>1968</v>
      </c>
      <c r="C236" t="s">
        <v>13</v>
      </c>
      <c r="D236">
        <v>251400</v>
      </c>
      <c r="E236" t="s">
        <v>8</v>
      </c>
    </row>
    <row r="237" spans="1:5" x14ac:dyDescent="0.55000000000000004">
      <c r="A237" t="s">
        <v>2546</v>
      </c>
      <c r="B237" t="s">
        <v>2545</v>
      </c>
      <c r="C237" t="s">
        <v>10</v>
      </c>
      <c r="D237">
        <v>453523</v>
      </c>
      <c r="E237" t="s">
        <v>8</v>
      </c>
    </row>
    <row r="238" spans="1:5" x14ac:dyDescent="0.55000000000000004">
      <c r="A238" t="s">
        <v>3458</v>
      </c>
      <c r="B238" t="s">
        <v>3456</v>
      </c>
      <c r="C238" t="s">
        <v>3457</v>
      </c>
      <c r="D238">
        <v>785318</v>
      </c>
      <c r="E238" t="s">
        <v>8</v>
      </c>
    </row>
    <row r="239" spans="1:5" x14ac:dyDescent="0.55000000000000004">
      <c r="A239" t="s">
        <v>2292</v>
      </c>
      <c r="B239" t="s">
        <v>2291</v>
      </c>
      <c r="C239" t="s">
        <v>10</v>
      </c>
      <c r="D239">
        <v>3043578</v>
      </c>
      <c r="E239" t="s">
        <v>8</v>
      </c>
    </row>
    <row r="240" spans="1:5" x14ac:dyDescent="0.55000000000000004">
      <c r="A240" t="s">
        <v>3462</v>
      </c>
      <c r="B240" t="s">
        <v>3461</v>
      </c>
      <c r="C240" t="s">
        <v>10</v>
      </c>
      <c r="D240">
        <v>309086</v>
      </c>
      <c r="E240" t="s">
        <v>8</v>
      </c>
    </row>
    <row r="241" spans="1:5" x14ac:dyDescent="0.55000000000000004">
      <c r="A241" t="s">
        <v>777</v>
      </c>
      <c r="B241" t="s">
        <v>776</v>
      </c>
      <c r="C241" t="s">
        <v>10</v>
      </c>
      <c r="D241">
        <v>1674072</v>
      </c>
      <c r="E241" t="s">
        <v>8</v>
      </c>
    </row>
    <row r="242" spans="1:5" x14ac:dyDescent="0.55000000000000004">
      <c r="A242" t="s">
        <v>339</v>
      </c>
      <c r="B242" t="s">
        <v>338</v>
      </c>
      <c r="C242" t="s">
        <v>10</v>
      </c>
      <c r="D242">
        <v>439373</v>
      </c>
      <c r="E242" t="s">
        <v>8</v>
      </c>
    </row>
    <row r="243" spans="1:5" x14ac:dyDescent="0.55000000000000004">
      <c r="A243" t="s">
        <v>2726</v>
      </c>
      <c r="B243" t="s">
        <v>2727</v>
      </c>
      <c r="C243" t="s">
        <v>10</v>
      </c>
      <c r="D243">
        <v>640233</v>
      </c>
      <c r="E243" t="s">
        <v>8</v>
      </c>
    </row>
    <row r="244" spans="1:5" x14ac:dyDescent="0.55000000000000004">
      <c r="A244" t="s">
        <v>2562</v>
      </c>
      <c r="B244" t="s">
        <v>2561</v>
      </c>
      <c r="C244" t="s">
        <v>10</v>
      </c>
      <c r="D244">
        <v>249500</v>
      </c>
      <c r="E244" t="s">
        <v>8</v>
      </c>
    </row>
    <row r="245" spans="1:5" x14ac:dyDescent="0.55000000000000004">
      <c r="A245" t="s">
        <v>892</v>
      </c>
      <c r="B245" t="s">
        <v>891</v>
      </c>
      <c r="C245" t="s">
        <v>10</v>
      </c>
      <c r="D245">
        <v>947683</v>
      </c>
      <c r="E245" t="s">
        <v>8</v>
      </c>
    </row>
    <row r="246" spans="1:5" x14ac:dyDescent="0.55000000000000004">
      <c r="A246" t="s">
        <v>3470</v>
      </c>
      <c r="B246" t="s">
        <v>3469</v>
      </c>
      <c r="C246" t="s">
        <v>10</v>
      </c>
      <c r="D246">
        <v>316915</v>
      </c>
      <c r="E246" t="s">
        <v>8</v>
      </c>
    </row>
    <row r="247" spans="1:5" x14ac:dyDescent="0.55000000000000004">
      <c r="A247" t="s">
        <v>3474</v>
      </c>
      <c r="B247" t="s">
        <v>3473</v>
      </c>
      <c r="C247" t="s">
        <v>10</v>
      </c>
      <c r="D247">
        <v>223806</v>
      </c>
      <c r="E247" t="s">
        <v>8</v>
      </c>
    </row>
    <row r="248" spans="1:5" x14ac:dyDescent="0.55000000000000004">
      <c r="A248" t="s">
        <v>781</v>
      </c>
      <c r="B248" t="s">
        <v>780</v>
      </c>
      <c r="C248" t="s">
        <v>10</v>
      </c>
      <c r="D248">
        <v>2201620</v>
      </c>
      <c r="E248" t="s">
        <v>8</v>
      </c>
    </row>
    <row r="249" spans="1:5" x14ac:dyDescent="0.55000000000000004">
      <c r="A249" t="s">
        <v>2728</v>
      </c>
      <c r="B249" t="s">
        <v>2729</v>
      </c>
      <c r="C249" t="s">
        <v>10</v>
      </c>
      <c r="D249">
        <v>1167704</v>
      </c>
      <c r="E249" t="s">
        <v>8</v>
      </c>
    </row>
    <row r="250" spans="1:5" x14ac:dyDescent="0.55000000000000004">
      <c r="A250" t="s">
        <v>2731</v>
      </c>
      <c r="B250" t="s">
        <v>2732</v>
      </c>
      <c r="C250" t="s">
        <v>10</v>
      </c>
      <c r="D250">
        <v>1891208</v>
      </c>
      <c r="E250" t="s">
        <v>8</v>
      </c>
    </row>
    <row r="251" spans="1:5" x14ac:dyDescent="0.55000000000000004">
      <c r="A251" t="s">
        <v>1381</v>
      </c>
      <c r="B251" t="s">
        <v>1380</v>
      </c>
      <c r="C251" t="s">
        <v>1317</v>
      </c>
      <c r="D251">
        <v>2220167</v>
      </c>
      <c r="E251" t="s">
        <v>8</v>
      </c>
    </row>
    <row r="252" spans="1:5" x14ac:dyDescent="0.55000000000000004">
      <c r="A252" t="s">
        <v>3479</v>
      </c>
      <c r="B252" t="s">
        <v>3139</v>
      </c>
      <c r="C252" t="s">
        <v>41</v>
      </c>
      <c r="D252">
        <v>539601</v>
      </c>
      <c r="E252" t="s">
        <v>8</v>
      </c>
    </row>
    <row r="253" spans="1:5" x14ac:dyDescent="0.55000000000000004">
      <c r="A253" t="s">
        <v>3144</v>
      </c>
      <c r="B253" t="s">
        <v>3143</v>
      </c>
      <c r="C253" t="s">
        <v>10</v>
      </c>
      <c r="D253">
        <v>386950</v>
      </c>
      <c r="E253" t="s">
        <v>8</v>
      </c>
    </row>
    <row r="254" spans="1:5" x14ac:dyDescent="0.55000000000000004">
      <c r="A254" t="s">
        <v>671</v>
      </c>
      <c r="B254" t="s">
        <v>670</v>
      </c>
      <c r="C254" t="s">
        <v>41</v>
      </c>
      <c r="D254">
        <v>1259990</v>
      </c>
      <c r="E254" t="s">
        <v>8</v>
      </c>
    </row>
    <row r="255" spans="1:5" x14ac:dyDescent="0.55000000000000004">
      <c r="A255" t="s">
        <v>3146</v>
      </c>
      <c r="B255" t="s">
        <v>3145</v>
      </c>
      <c r="C255" t="s">
        <v>10</v>
      </c>
      <c r="D255">
        <v>257819</v>
      </c>
      <c r="E255" t="s">
        <v>8</v>
      </c>
    </row>
    <row r="256" spans="1:5" x14ac:dyDescent="0.55000000000000004">
      <c r="A256" t="s">
        <v>2733</v>
      </c>
      <c r="B256" t="s">
        <v>2734</v>
      </c>
      <c r="C256" t="s">
        <v>10</v>
      </c>
      <c r="D256">
        <v>1620612</v>
      </c>
      <c r="E256" t="s">
        <v>8</v>
      </c>
    </row>
    <row r="257" spans="1:5" x14ac:dyDescent="0.55000000000000004">
      <c r="A257" t="s">
        <v>2735</v>
      </c>
      <c r="B257" t="s">
        <v>2736</v>
      </c>
      <c r="C257" t="s">
        <v>10</v>
      </c>
      <c r="D257">
        <v>2608935</v>
      </c>
      <c r="E257" t="s">
        <v>8</v>
      </c>
    </row>
    <row r="258" spans="1:5" x14ac:dyDescent="0.55000000000000004">
      <c r="A258" t="s">
        <v>2567</v>
      </c>
      <c r="B258" t="s">
        <v>2566</v>
      </c>
      <c r="C258" t="s">
        <v>10</v>
      </c>
      <c r="D258">
        <v>4459353</v>
      </c>
      <c r="E258" t="s">
        <v>8</v>
      </c>
    </row>
    <row r="259" spans="1:5" x14ac:dyDescent="0.55000000000000004">
      <c r="A259" t="s">
        <v>372</v>
      </c>
      <c r="B259" t="s">
        <v>371</v>
      </c>
      <c r="C259" t="s">
        <v>10</v>
      </c>
      <c r="D259">
        <v>4438601</v>
      </c>
      <c r="E259" t="s">
        <v>8</v>
      </c>
    </row>
    <row r="260" spans="1:5" x14ac:dyDescent="0.55000000000000004">
      <c r="A260" t="s">
        <v>2573</v>
      </c>
      <c r="B260" t="s">
        <v>2572</v>
      </c>
      <c r="C260" t="s">
        <v>10</v>
      </c>
      <c r="D260">
        <v>665429</v>
      </c>
      <c r="E260" t="s">
        <v>8</v>
      </c>
    </row>
    <row r="261" spans="1:5" x14ac:dyDescent="0.55000000000000004">
      <c r="A261" t="s">
        <v>384</v>
      </c>
      <c r="B261" t="s">
        <v>383</v>
      </c>
      <c r="C261" t="s">
        <v>10</v>
      </c>
      <c r="D261">
        <v>2295746</v>
      </c>
      <c r="E261" t="s">
        <v>8</v>
      </c>
    </row>
    <row r="262" spans="1:5" x14ac:dyDescent="0.55000000000000004">
      <c r="A262" t="s">
        <v>1759</v>
      </c>
      <c r="B262" t="s">
        <v>1758</v>
      </c>
      <c r="C262" t="s">
        <v>10</v>
      </c>
      <c r="D262">
        <v>389308</v>
      </c>
      <c r="E262" t="s">
        <v>8</v>
      </c>
    </row>
    <row r="263" spans="1:5" x14ac:dyDescent="0.55000000000000004">
      <c r="A263" t="s">
        <v>2577</v>
      </c>
      <c r="B263" t="s">
        <v>2576</v>
      </c>
      <c r="C263" t="s">
        <v>10</v>
      </c>
      <c r="D263">
        <v>216493</v>
      </c>
      <c r="E263" t="s">
        <v>8</v>
      </c>
    </row>
    <row r="264" spans="1:5" x14ac:dyDescent="0.55000000000000004">
      <c r="A264" t="s">
        <v>2310</v>
      </c>
      <c r="B264" t="s">
        <v>2309</v>
      </c>
      <c r="C264" t="s">
        <v>10</v>
      </c>
      <c r="D264">
        <v>1192898</v>
      </c>
      <c r="E264" t="s">
        <v>8</v>
      </c>
    </row>
    <row r="265" spans="1:5" x14ac:dyDescent="0.55000000000000004">
      <c r="A265" t="s">
        <v>1749</v>
      </c>
      <c r="B265" t="s">
        <v>1748</v>
      </c>
      <c r="C265" t="s">
        <v>10</v>
      </c>
      <c r="D265">
        <v>152445</v>
      </c>
      <c r="E265" t="s">
        <v>8</v>
      </c>
    </row>
    <row r="266" spans="1:5" x14ac:dyDescent="0.55000000000000004">
      <c r="A266" t="s">
        <v>3487</v>
      </c>
      <c r="B266" t="s">
        <v>3486</v>
      </c>
      <c r="C266" t="s">
        <v>10</v>
      </c>
      <c r="D266">
        <v>7269906</v>
      </c>
      <c r="E266" t="s">
        <v>8</v>
      </c>
    </row>
    <row r="267" spans="1:5" x14ac:dyDescent="0.55000000000000004">
      <c r="A267" t="s">
        <v>1753</v>
      </c>
      <c r="B267" t="s">
        <v>1752</v>
      </c>
      <c r="C267" t="s">
        <v>10</v>
      </c>
      <c r="D267">
        <v>2802750</v>
      </c>
      <c r="E267" t="s">
        <v>8</v>
      </c>
    </row>
    <row r="268" spans="1:5" x14ac:dyDescent="0.55000000000000004">
      <c r="A268" t="s">
        <v>2741</v>
      </c>
      <c r="B268" t="s">
        <v>2742</v>
      </c>
      <c r="C268" t="s">
        <v>10</v>
      </c>
      <c r="D268">
        <v>3259237</v>
      </c>
      <c r="E268" t="s">
        <v>8</v>
      </c>
    </row>
    <row r="269" spans="1:5" x14ac:dyDescent="0.55000000000000004">
      <c r="A269" t="s">
        <v>902</v>
      </c>
      <c r="B269" t="s">
        <v>901</v>
      </c>
      <c r="C269" t="s">
        <v>10</v>
      </c>
      <c r="D269">
        <v>321231</v>
      </c>
      <c r="E269" t="s">
        <v>8</v>
      </c>
    </row>
    <row r="270" spans="1:5" x14ac:dyDescent="0.55000000000000004">
      <c r="A270" t="s">
        <v>386</v>
      </c>
      <c r="B270" t="s">
        <v>385</v>
      </c>
      <c r="C270" t="s">
        <v>13</v>
      </c>
      <c r="D270">
        <v>875209</v>
      </c>
      <c r="E270" t="s">
        <v>8</v>
      </c>
    </row>
    <row r="271" spans="1:5" x14ac:dyDescent="0.55000000000000004">
      <c r="A271" t="s">
        <v>679</v>
      </c>
      <c r="B271" t="s">
        <v>678</v>
      </c>
      <c r="C271" t="s">
        <v>10</v>
      </c>
      <c r="D271">
        <v>6498448</v>
      </c>
      <c r="E271" t="s">
        <v>8</v>
      </c>
    </row>
    <row r="272" spans="1:5" x14ac:dyDescent="0.55000000000000004">
      <c r="A272" t="s">
        <v>3158</v>
      </c>
      <c r="B272" t="s">
        <v>3157</v>
      </c>
      <c r="C272" t="s">
        <v>10</v>
      </c>
      <c r="D272">
        <v>3943770</v>
      </c>
      <c r="E272" t="s">
        <v>8</v>
      </c>
    </row>
    <row r="273" spans="1:5" x14ac:dyDescent="0.55000000000000004">
      <c r="A273" t="s">
        <v>1397</v>
      </c>
      <c r="B273" t="s">
        <v>1396</v>
      </c>
      <c r="C273" t="s">
        <v>10</v>
      </c>
      <c r="D273">
        <v>2113009</v>
      </c>
      <c r="E273" t="s">
        <v>8</v>
      </c>
    </row>
    <row r="274" spans="1:5" x14ac:dyDescent="0.55000000000000004">
      <c r="A274" t="s">
        <v>3491</v>
      </c>
      <c r="B274" t="s">
        <v>3490</v>
      </c>
      <c r="C274" t="s">
        <v>10</v>
      </c>
      <c r="D274">
        <v>1986011</v>
      </c>
      <c r="E274" t="s">
        <v>8</v>
      </c>
    </row>
    <row r="275" spans="1:5" x14ac:dyDescent="0.55000000000000004">
      <c r="A275" t="s">
        <v>3493</v>
      </c>
      <c r="B275" t="s">
        <v>3492</v>
      </c>
      <c r="C275" t="s">
        <v>10</v>
      </c>
      <c r="D275">
        <v>312005</v>
      </c>
      <c r="E275" t="s">
        <v>8</v>
      </c>
    </row>
    <row r="276" spans="1:5" x14ac:dyDescent="0.55000000000000004">
      <c r="A276" t="s">
        <v>2745</v>
      </c>
      <c r="B276" t="s">
        <v>2746</v>
      </c>
      <c r="C276" t="s">
        <v>13</v>
      </c>
      <c r="D276">
        <v>427361</v>
      </c>
      <c r="E276" t="s">
        <v>8</v>
      </c>
    </row>
    <row r="277" spans="1:5" x14ac:dyDescent="0.55000000000000004">
      <c r="A277" t="s">
        <v>1401</v>
      </c>
      <c r="B277" t="s">
        <v>1400</v>
      </c>
      <c r="C277" t="s">
        <v>10</v>
      </c>
      <c r="D277">
        <v>246558</v>
      </c>
      <c r="E277" t="s">
        <v>8</v>
      </c>
    </row>
    <row r="278" spans="1:5" x14ac:dyDescent="0.55000000000000004">
      <c r="A278" t="s">
        <v>3160</v>
      </c>
      <c r="B278" t="s">
        <v>3159</v>
      </c>
      <c r="C278" t="s">
        <v>10</v>
      </c>
      <c r="D278">
        <v>1461834</v>
      </c>
      <c r="E278" t="s">
        <v>8</v>
      </c>
    </row>
    <row r="279" spans="1:5" x14ac:dyDescent="0.55000000000000004">
      <c r="A279" t="s">
        <v>2583</v>
      </c>
      <c r="B279" t="s">
        <v>2582</v>
      </c>
      <c r="C279" t="s">
        <v>10</v>
      </c>
      <c r="D279">
        <v>1127200</v>
      </c>
      <c r="E279" t="s">
        <v>8</v>
      </c>
    </row>
    <row r="280" spans="1:5" x14ac:dyDescent="0.55000000000000004">
      <c r="A280" t="s">
        <v>396</v>
      </c>
      <c r="B280" t="s">
        <v>3498</v>
      </c>
      <c r="C280" t="s">
        <v>10</v>
      </c>
      <c r="D280">
        <v>2616783</v>
      </c>
      <c r="E280" t="s">
        <v>8</v>
      </c>
    </row>
    <row r="281" spans="1:5" x14ac:dyDescent="0.55000000000000004">
      <c r="A281" t="s">
        <v>2585</v>
      </c>
      <c r="B281" t="s">
        <v>2584</v>
      </c>
      <c r="C281" t="s">
        <v>10</v>
      </c>
      <c r="D281">
        <v>404491</v>
      </c>
      <c r="E281" t="s">
        <v>8</v>
      </c>
    </row>
    <row r="282" spans="1:5" x14ac:dyDescent="0.55000000000000004">
      <c r="A282" t="s">
        <v>1765</v>
      </c>
      <c r="B282" t="s">
        <v>3508</v>
      </c>
      <c r="C282" t="s">
        <v>514</v>
      </c>
      <c r="D282">
        <v>626187</v>
      </c>
      <c r="E282" t="s">
        <v>8</v>
      </c>
    </row>
    <row r="283" spans="1:5" x14ac:dyDescent="0.55000000000000004">
      <c r="A283" t="s">
        <v>2591</v>
      </c>
      <c r="B283" t="s">
        <v>2590</v>
      </c>
      <c r="C283" t="s">
        <v>10</v>
      </c>
      <c r="D283">
        <v>573120</v>
      </c>
      <c r="E283" t="s">
        <v>8</v>
      </c>
    </row>
    <row r="284" spans="1:5" x14ac:dyDescent="0.55000000000000004">
      <c r="A284" t="s">
        <v>398</v>
      </c>
      <c r="B284" t="s">
        <v>397</v>
      </c>
      <c r="C284" t="s">
        <v>10</v>
      </c>
      <c r="D284">
        <v>436581</v>
      </c>
      <c r="E284" t="s">
        <v>8</v>
      </c>
    </row>
    <row r="285" spans="1:5" x14ac:dyDescent="0.55000000000000004">
      <c r="A285" t="s">
        <v>2330</v>
      </c>
      <c r="B285" t="s">
        <v>2329</v>
      </c>
      <c r="C285" t="s">
        <v>10</v>
      </c>
      <c r="D285">
        <v>2971178</v>
      </c>
      <c r="E285" t="s">
        <v>8</v>
      </c>
    </row>
    <row r="286" spans="1:5" x14ac:dyDescent="0.55000000000000004">
      <c r="A286" t="s">
        <v>2597</v>
      </c>
      <c r="B286" t="s">
        <v>2596</v>
      </c>
      <c r="C286" t="s">
        <v>10</v>
      </c>
      <c r="D286">
        <v>383888</v>
      </c>
      <c r="E286" t="s">
        <v>8</v>
      </c>
    </row>
    <row r="287" spans="1:5" x14ac:dyDescent="0.55000000000000004">
      <c r="A287" t="s">
        <v>2747</v>
      </c>
      <c r="B287" t="s">
        <v>3505</v>
      </c>
      <c r="C287" t="s">
        <v>2749</v>
      </c>
      <c r="D287">
        <v>4625307</v>
      </c>
      <c r="E287" t="s">
        <v>8</v>
      </c>
    </row>
    <row r="288" spans="1:5" x14ac:dyDescent="0.55000000000000004">
      <c r="A288" t="s">
        <v>3174</v>
      </c>
      <c r="B288" t="s">
        <v>3173</v>
      </c>
      <c r="C288" t="s">
        <v>10</v>
      </c>
      <c r="D288">
        <v>3756147</v>
      </c>
      <c r="E288" t="s">
        <v>8</v>
      </c>
    </row>
    <row r="289" spans="1:5" x14ac:dyDescent="0.55000000000000004">
      <c r="A289" t="s">
        <v>1410</v>
      </c>
      <c r="B289" t="s">
        <v>1409</v>
      </c>
      <c r="C289" t="s">
        <v>41</v>
      </c>
      <c r="D289">
        <v>2612077</v>
      </c>
      <c r="E289" t="s">
        <v>8</v>
      </c>
    </row>
    <row r="290" spans="1:5" x14ac:dyDescent="0.55000000000000004">
      <c r="A290" t="s">
        <v>1412</v>
      </c>
      <c r="B290" t="s">
        <v>1411</v>
      </c>
      <c r="C290" t="s">
        <v>10</v>
      </c>
      <c r="D290">
        <v>6706131</v>
      </c>
      <c r="E290" t="s">
        <v>8</v>
      </c>
    </row>
    <row r="291" spans="1:5" x14ac:dyDescent="0.55000000000000004">
      <c r="A291" t="s">
        <v>406</v>
      </c>
      <c r="B291" t="s">
        <v>405</v>
      </c>
      <c r="C291" t="s">
        <v>10</v>
      </c>
      <c r="D291">
        <v>716909</v>
      </c>
      <c r="E291" t="s">
        <v>8</v>
      </c>
    </row>
    <row r="292" spans="1:5" x14ac:dyDescent="0.55000000000000004">
      <c r="A292" t="s">
        <v>3516</v>
      </c>
      <c r="B292" t="s">
        <v>3515</v>
      </c>
      <c r="C292" t="s">
        <v>10</v>
      </c>
      <c r="D292">
        <v>337736</v>
      </c>
      <c r="E292" t="s">
        <v>8</v>
      </c>
    </row>
    <row r="293" spans="1:5" x14ac:dyDescent="0.55000000000000004">
      <c r="A293" t="s">
        <v>2752</v>
      </c>
      <c r="B293" t="s">
        <v>2753</v>
      </c>
      <c r="C293" t="s">
        <v>10</v>
      </c>
      <c r="D293">
        <v>1596859</v>
      </c>
      <c r="E293" t="s">
        <v>8</v>
      </c>
    </row>
    <row r="294" spans="1:5" x14ac:dyDescent="0.55000000000000004">
      <c r="A294" t="s">
        <v>2010</v>
      </c>
      <c r="B294" t="s">
        <v>2009</v>
      </c>
      <c r="C294" t="s">
        <v>10</v>
      </c>
      <c r="D294">
        <v>2632647</v>
      </c>
      <c r="E294" t="s">
        <v>8</v>
      </c>
    </row>
    <row r="295" spans="1:5" x14ac:dyDescent="0.55000000000000004">
      <c r="A295" t="s">
        <v>2756</v>
      </c>
      <c r="B295" t="s">
        <v>2757</v>
      </c>
      <c r="C295" t="s">
        <v>10</v>
      </c>
      <c r="D295">
        <v>546195</v>
      </c>
      <c r="E295" t="s">
        <v>8</v>
      </c>
    </row>
    <row r="296" spans="1:5" x14ac:dyDescent="0.55000000000000004">
      <c r="A296" t="s">
        <v>1421</v>
      </c>
      <c r="B296" t="s">
        <v>1420</v>
      </c>
      <c r="C296" t="s">
        <v>10</v>
      </c>
      <c r="D296">
        <v>2623427</v>
      </c>
      <c r="E296" t="s">
        <v>8</v>
      </c>
    </row>
    <row r="297" spans="1:5" x14ac:dyDescent="0.55000000000000004">
      <c r="A297" t="s">
        <v>1425</v>
      </c>
      <c r="B297" t="s">
        <v>1424</v>
      </c>
      <c r="C297" t="s">
        <v>10</v>
      </c>
      <c r="D297">
        <v>1176441</v>
      </c>
      <c r="E297" t="s">
        <v>8</v>
      </c>
    </row>
    <row r="298" spans="1:5" x14ac:dyDescent="0.55000000000000004">
      <c r="A298" t="s">
        <v>3526</v>
      </c>
      <c r="B298" t="s">
        <v>3525</v>
      </c>
      <c r="C298" t="s">
        <v>18</v>
      </c>
      <c r="D298">
        <v>287893</v>
      </c>
      <c r="E298" t="s">
        <v>8</v>
      </c>
    </row>
    <row r="299" spans="1:5" x14ac:dyDescent="0.55000000000000004">
      <c r="A299" t="s">
        <v>2367</v>
      </c>
      <c r="B299" t="s">
        <v>2366</v>
      </c>
      <c r="C299" t="s">
        <v>10</v>
      </c>
      <c r="D299">
        <v>1192320</v>
      </c>
      <c r="E299" t="s">
        <v>8</v>
      </c>
    </row>
    <row r="300" spans="1:5" x14ac:dyDescent="0.55000000000000004">
      <c r="A300" t="s">
        <v>2355</v>
      </c>
      <c r="B300" t="s">
        <v>2354</v>
      </c>
      <c r="C300" t="s">
        <v>10</v>
      </c>
      <c r="D300">
        <v>828358</v>
      </c>
      <c r="E300" t="s">
        <v>8</v>
      </c>
    </row>
    <row r="301" spans="1:5" x14ac:dyDescent="0.55000000000000004">
      <c r="A301" t="s">
        <v>1429</v>
      </c>
      <c r="B301" t="s">
        <v>3529</v>
      </c>
      <c r="C301" t="s">
        <v>1317</v>
      </c>
      <c r="D301">
        <v>644975</v>
      </c>
      <c r="E301" t="s">
        <v>8</v>
      </c>
    </row>
    <row r="302" spans="1:5" x14ac:dyDescent="0.55000000000000004">
      <c r="A302" t="s">
        <v>3531</v>
      </c>
      <c r="B302" t="s">
        <v>3530</v>
      </c>
      <c r="C302" t="s">
        <v>10</v>
      </c>
      <c r="D302">
        <v>2590642</v>
      </c>
      <c r="E302" t="s">
        <v>8</v>
      </c>
    </row>
    <row r="303" spans="1:5" x14ac:dyDescent="0.55000000000000004">
      <c r="A303" t="s">
        <v>3533</v>
      </c>
      <c r="B303" t="s">
        <v>3532</v>
      </c>
      <c r="C303" t="s">
        <v>10</v>
      </c>
      <c r="D303">
        <v>252569</v>
      </c>
      <c r="E303" t="s">
        <v>8</v>
      </c>
    </row>
    <row r="304" spans="1:5" x14ac:dyDescent="0.55000000000000004">
      <c r="A304" t="s">
        <v>2363</v>
      </c>
      <c r="B304" t="s">
        <v>2362</v>
      </c>
      <c r="C304" t="s">
        <v>10</v>
      </c>
      <c r="D304">
        <v>512409</v>
      </c>
      <c r="E304" t="s">
        <v>8</v>
      </c>
    </row>
    <row r="305" spans="1:5" x14ac:dyDescent="0.55000000000000004">
      <c r="A305" t="s">
        <v>1786</v>
      </c>
      <c r="B305" t="s">
        <v>1785</v>
      </c>
      <c r="C305" t="s">
        <v>1317</v>
      </c>
      <c r="D305">
        <v>1426248</v>
      </c>
      <c r="E305" t="s">
        <v>8</v>
      </c>
    </row>
    <row r="306" spans="1:5" x14ac:dyDescent="0.55000000000000004">
      <c r="A306" t="s">
        <v>3535</v>
      </c>
      <c r="B306" t="s">
        <v>3534</v>
      </c>
      <c r="C306" t="s">
        <v>1317</v>
      </c>
      <c r="D306">
        <v>2017889</v>
      </c>
      <c r="E306" t="s">
        <v>8</v>
      </c>
    </row>
    <row r="307" spans="1:5" x14ac:dyDescent="0.55000000000000004">
      <c r="A307" t="s">
        <v>1431</v>
      </c>
      <c r="B307" t="s">
        <v>1430</v>
      </c>
      <c r="C307" t="s">
        <v>10</v>
      </c>
      <c r="D307">
        <v>953849</v>
      </c>
      <c r="E307" t="s">
        <v>8</v>
      </c>
    </row>
    <row r="308" spans="1:5" x14ac:dyDescent="0.55000000000000004">
      <c r="A308" t="s">
        <v>2027</v>
      </c>
      <c r="B308" t="s">
        <v>2026</v>
      </c>
      <c r="C308" t="s">
        <v>10</v>
      </c>
      <c r="D308">
        <v>575182</v>
      </c>
      <c r="E308" t="s">
        <v>8</v>
      </c>
    </row>
    <row r="309" spans="1:5" x14ac:dyDescent="0.55000000000000004">
      <c r="A309" t="s">
        <v>2033</v>
      </c>
      <c r="B309" t="s">
        <v>2032</v>
      </c>
      <c r="C309" t="s">
        <v>10</v>
      </c>
      <c r="D309">
        <v>3024138</v>
      </c>
      <c r="E309" t="s">
        <v>8</v>
      </c>
    </row>
    <row r="310" spans="1:5" x14ac:dyDescent="0.55000000000000004">
      <c r="A310" t="s">
        <v>705</v>
      </c>
      <c r="B310" t="s">
        <v>704</v>
      </c>
      <c r="C310" t="s">
        <v>10</v>
      </c>
      <c r="D310">
        <v>462633</v>
      </c>
      <c r="E310" t="s">
        <v>8</v>
      </c>
    </row>
    <row r="311" spans="1:5" x14ac:dyDescent="0.55000000000000004">
      <c r="A311" t="s">
        <v>2369</v>
      </c>
      <c r="B311" t="s">
        <v>2368</v>
      </c>
      <c r="C311" t="s">
        <v>10</v>
      </c>
      <c r="D311">
        <v>320769</v>
      </c>
      <c r="E311" t="s">
        <v>8</v>
      </c>
    </row>
    <row r="312" spans="1:5" x14ac:dyDescent="0.55000000000000004">
      <c r="A312" t="s">
        <v>2371</v>
      </c>
      <c r="B312" t="s">
        <v>2370</v>
      </c>
      <c r="C312" t="s">
        <v>10</v>
      </c>
      <c r="D312">
        <v>434016</v>
      </c>
      <c r="E312" t="s">
        <v>8</v>
      </c>
    </row>
    <row r="313" spans="1:5" x14ac:dyDescent="0.55000000000000004">
      <c r="A313" t="s">
        <v>2613</v>
      </c>
      <c r="B313" t="s">
        <v>2612</v>
      </c>
      <c r="C313" t="s">
        <v>10</v>
      </c>
      <c r="D313">
        <v>239720</v>
      </c>
      <c r="E313" t="s">
        <v>8</v>
      </c>
    </row>
    <row r="314" spans="1:5" x14ac:dyDescent="0.55000000000000004">
      <c r="A314" t="s">
        <v>1439</v>
      </c>
      <c r="B314" t="s">
        <v>1438</v>
      </c>
      <c r="C314" t="s">
        <v>10</v>
      </c>
      <c r="D314">
        <v>1337943</v>
      </c>
      <c r="E314" t="s">
        <v>8</v>
      </c>
    </row>
    <row r="315" spans="1:5" x14ac:dyDescent="0.55000000000000004">
      <c r="A315" t="s">
        <v>439</v>
      </c>
      <c r="B315" t="s">
        <v>438</v>
      </c>
      <c r="C315" t="s">
        <v>10</v>
      </c>
      <c r="D315">
        <v>1343646</v>
      </c>
      <c r="E315" t="s">
        <v>8</v>
      </c>
    </row>
    <row r="316" spans="1:5" x14ac:dyDescent="0.55000000000000004">
      <c r="A316" t="s">
        <v>3192</v>
      </c>
      <c r="B316" t="s">
        <v>3191</v>
      </c>
      <c r="C316" t="s">
        <v>10</v>
      </c>
      <c r="D316">
        <v>361211</v>
      </c>
      <c r="E316" t="s">
        <v>8</v>
      </c>
    </row>
    <row r="317" spans="1:5" x14ac:dyDescent="0.55000000000000004">
      <c r="A317" t="s">
        <v>441</v>
      </c>
      <c r="B317" t="s">
        <v>440</v>
      </c>
      <c r="C317" t="s">
        <v>13</v>
      </c>
      <c r="D317">
        <v>4571202</v>
      </c>
      <c r="E317" t="s">
        <v>8</v>
      </c>
    </row>
    <row r="318" spans="1:5" x14ac:dyDescent="0.55000000000000004">
      <c r="A318" t="s">
        <v>2619</v>
      </c>
      <c r="B318" t="s">
        <v>2618</v>
      </c>
      <c r="C318" t="s">
        <v>10</v>
      </c>
      <c r="D318">
        <v>3718637</v>
      </c>
      <c r="E318" t="s">
        <v>8</v>
      </c>
    </row>
    <row r="319" spans="1:5" x14ac:dyDescent="0.55000000000000004">
      <c r="A319" t="s">
        <v>3551</v>
      </c>
      <c r="B319" t="s">
        <v>3550</v>
      </c>
      <c r="C319" t="s">
        <v>10</v>
      </c>
      <c r="D319">
        <v>586179</v>
      </c>
      <c r="E319" t="s">
        <v>8</v>
      </c>
    </row>
    <row r="320" spans="1:5" x14ac:dyDescent="0.55000000000000004">
      <c r="A320" t="s">
        <v>3194</v>
      </c>
      <c r="B320" t="s">
        <v>3549</v>
      </c>
      <c r="C320" t="s">
        <v>10</v>
      </c>
      <c r="D320">
        <v>553350</v>
      </c>
      <c r="E320" t="s">
        <v>8</v>
      </c>
    </row>
    <row r="321" spans="1:5" x14ac:dyDescent="0.55000000000000004">
      <c r="A321" t="s">
        <v>3196</v>
      </c>
      <c r="B321" t="s">
        <v>3195</v>
      </c>
      <c r="C321" t="s">
        <v>880</v>
      </c>
      <c r="D321">
        <v>1613057</v>
      </c>
      <c r="E321" t="s">
        <v>8</v>
      </c>
    </row>
    <row r="322" spans="1:5" x14ac:dyDescent="0.55000000000000004">
      <c r="A322" t="s">
        <v>1119</v>
      </c>
      <c r="B322" t="s">
        <v>1118</v>
      </c>
      <c r="C322" t="s">
        <v>10</v>
      </c>
      <c r="D322">
        <v>1860394</v>
      </c>
      <c r="E322" t="s">
        <v>8</v>
      </c>
    </row>
    <row r="323" spans="1:5" x14ac:dyDescent="0.55000000000000004">
      <c r="A323" t="s">
        <v>3553</v>
      </c>
      <c r="B323" t="s">
        <v>3552</v>
      </c>
      <c r="C323" t="s">
        <v>6</v>
      </c>
      <c r="D323">
        <v>348163</v>
      </c>
      <c r="E323" t="s">
        <v>8</v>
      </c>
    </row>
    <row r="324" spans="1:5" x14ac:dyDescent="0.55000000000000004">
      <c r="A324" t="s">
        <v>3557</v>
      </c>
      <c r="B324" t="s">
        <v>3556</v>
      </c>
      <c r="C324" t="s">
        <v>10</v>
      </c>
      <c r="D324">
        <v>366988</v>
      </c>
      <c r="E324" t="s">
        <v>8</v>
      </c>
    </row>
    <row r="325" spans="1:5" x14ac:dyDescent="0.55000000000000004">
      <c r="A325" t="s">
        <v>3560</v>
      </c>
      <c r="B325" t="s">
        <v>3558</v>
      </c>
      <c r="C325" t="s">
        <v>3559</v>
      </c>
      <c r="D325">
        <v>5039966</v>
      </c>
      <c r="E325" t="s">
        <v>8</v>
      </c>
    </row>
    <row r="326" spans="1:5" x14ac:dyDescent="0.55000000000000004">
      <c r="A326" t="s">
        <v>2623</v>
      </c>
      <c r="B326" t="s">
        <v>2622</v>
      </c>
      <c r="C326" t="s">
        <v>141</v>
      </c>
      <c r="D326">
        <v>1830202</v>
      </c>
      <c r="E326" t="s">
        <v>8</v>
      </c>
    </row>
    <row r="327" spans="1:5" x14ac:dyDescent="0.55000000000000004">
      <c r="A327" t="s">
        <v>709</v>
      </c>
      <c r="B327" t="s">
        <v>708</v>
      </c>
      <c r="C327" t="s">
        <v>10</v>
      </c>
      <c r="D327">
        <v>3368287</v>
      </c>
      <c r="E327" t="s">
        <v>8</v>
      </c>
    </row>
    <row r="328" spans="1:5" x14ac:dyDescent="0.55000000000000004">
      <c r="A328" t="s">
        <v>2762</v>
      </c>
      <c r="B328" t="s">
        <v>2763</v>
      </c>
      <c r="C328" t="s">
        <v>10</v>
      </c>
      <c r="D328">
        <v>1146130</v>
      </c>
      <c r="E328" t="s">
        <v>8</v>
      </c>
    </row>
    <row r="329" spans="1:5" x14ac:dyDescent="0.55000000000000004">
      <c r="A329" t="s">
        <v>3198</v>
      </c>
      <c r="B329" t="s">
        <v>3197</v>
      </c>
      <c r="C329" t="s">
        <v>76</v>
      </c>
      <c r="D329">
        <v>408478</v>
      </c>
      <c r="E329" t="s">
        <v>8</v>
      </c>
    </row>
    <row r="330" spans="1:5" x14ac:dyDescent="0.55000000000000004">
      <c r="A330" t="s">
        <v>1121</v>
      </c>
      <c r="B330" t="s">
        <v>1120</v>
      </c>
      <c r="C330" t="s">
        <v>10</v>
      </c>
      <c r="D330">
        <v>203094</v>
      </c>
      <c r="E330" t="s">
        <v>8</v>
      </c>
    </row>
    <row r="331" spans="1:5" x14ac:dyDescent="0.55000000000000004">
      <c r="A331" t="s">
        <v>2627</v>
      </c>
      <c r="B331" t="s">
        <v>2626</v>
      </c>
      <c r="C331" t="s">
        <v>10</v>
      </c>
      <c r="D331">
        <v>810560</v>
      </c>
      <c r="E331" t="s">
        <v>8</v>
      </c>
    </row>
    <row r="332" spans="1:5" x14ac:dyDescent="0.55000000000000004">
      <c r="A332" t="s">
        <v>3200</v>
      </c>
      <c r="B332" t="s">
        <v>3199</v>
      </c>
      <c r="C332" t="s">
        <v>10</v>
      </c>
      <c r="D332">
        <v>5132403</v>
      </c>
      <c r="E332" t="s">
        <v>8</v>
      </c>
    </row>
    <row r="333" spans="1:5" x14ac:dyDescent="0.55000000000000004">
      <c r="A333" t="s">
        <v>2048</v>
      </c>
      <c r="B333" t="s">
        <v>2047</v>
      </c>
      <c r="C333" t="s">
        <v>10</v>
      </c>
      <c r="D333">
        <v>5296235</v>
      </c>
      <c r="E333" t="s">
        <v>8</v>
      </c>
    </row>
    <row r="334" spans="1:5" x14ac:dyDescent="0.55000000000000004">
      <c r="A334" t="s">
        <v>2052</v>
      </c>
      <c r="B334" t="s">
        <v>2051</v>
      </c>
      <c r="C334" t="s">
        <v>10</v>
      </c>
      <c r="D334">
        <v>443977</v>
      </c>
      <c r="E334" t="s">
        <v>8</v>
      </c>
    </row>
    <row r="335" spans="1:5" x14ac:dyDescent="0.55000000000000004">
      <c r="A335" t="s">
        <v>2764</v>
      </c>
      <c r="B335" t="s">
        <v>2765</v>
      </c>
      <c r="C335" t="s">
        <v>10</v>
      </c>
      <c r="D335">
        <v>338494</v>
      </c>
      <c r="E335" t="s">
        <v>8</v>
      </c>
    </row>
    <row r="336" spans="1:5" x14ac:dyDescent="0.55000000000000004">
      <c r="A336" t="s">
        <v>924</v>
      </c>
      <c r="B336" t="s">
        <v>923</v>
      </c>
      <c r="C336" t="s">
        <v>10</v>
      </c>
      <c r="D336">
        <v>1009886</v>
      </c>
      <c r="E336" t="s">
        <v>8</v>
      </c>
    </row>
    <row r="337" spans="1:5" x14ac:dyDescent="0.55000000000000004">
      <c r="A337" t="s">
        <v>2389</v>
      </c>
      <c r="B337" t="s">
        <v>2388</v>
      </c>
      <c r="C337" t="s">
        <v>10</v>
      </c>
      <c r="D337">
        <v>205311</v>
      </c>
      <c r="E337" t="s">
        <v>8</v>
      </c>
    </row>
    <row r="338" spans="1:5" x14ac:dyDescent="0.55000000000000004">
      <c r="A338" t="s">
        <v>1125</v>
      </c>
      <c r="B338" t="s">
        <v>1124</v>
      </c>
      <c r="C338" t="s">
        <v>10</v>
      </c>
      <c r="D338">
        <v>2617833</v>
      </c>
      <c r="E338" t="s">
        <v>8</v>
      </c>
    </row>
    <row r="339" spans="1:5" x14ac:dyDescent="0.55000000000000004">
      <c r="A339" t="s">
        <v>1642</v>
      </c>
      <c r="B339" t="s">
        <v>1641</v>
      </c>
      <c r="C339" t="s">
        <v>10</v>
      </c>
      <c r="D339">
        <v>793216</v>
      </c>
      <c r="E339" t="s">
        <v>8</v>
      </c>
    </row>
    <row r="340" spans="1:5" x14ac:dyDescent="0.55000000000000004">
      <c r="A340" t="s">
        <v>1470</v>
      </c>
      <c r="B340" t="s">
        <v>1469</v>
      </c>
      <c r="C340" t="s">
        <v>10</v>
      </c>
      <c r="D340">
        <v>4029128</v>
      </c>
      <c r="E340" t="s">
        <v>8</v>
      </c>
    </row>
    <row r="341" spans="1:5" x14ac:dyDescent="0.55000000000000004">
      <c r="A341" t="s">
        <v>3568</v>
      </c>
      <c r="B341" t="s">
        <v>3567</v>
      </c>
      <c r="C341" t="s">
        <v>10</v>
      </c>
      <c r="D341">
        <v>827546</v>
      </c>
      <c r="E341" t="s">
        <v>8</v>
      </c>
    </row>
    <row r="342" spans="1:5" x14ac:dyDescent="0.55000000000000004">
      <c r="A342" t="s">
        <v>3570</v>
      </c>
      <c r="B342" t="s">
        <v>3569</v>
      </c>
      <c r="C342" t="s">
        <v>10</v>
      </c>
      <c r="D342">
        <v>265509</v>
      </c>
      <c r="E342" t="s">
        <v>8</v>
      </c>
    </row>
    <row r="343" spans="1:5" x14ac:dyDescent="0.55000000000000004">
      <c r="A343" t="s">
        <v>2772</v>
      </c>
      <c r="B343" t="s">
        <v>2773</v>
      </c>
      <c r="C343" t="s">
        <v>10</v>
      </c>
      <c r="D343">
        <v>326975</v>
      </c>
      <c r="E343" t="s">
        <v>8</v>
      </c>
    </row>
    <row r="344" spans="1:5" x14ac:dyDescent="0.55000000000000004">
      <c r="A344" t="s">
        <v>2056</v>
      </c>
      <c r="B344" t="s">
        <v>2055</v>
      </c>
      <c r="C344" t="s">
        <v>10</v>
      </c>
      <c r="D344">
        <v>1532971</v>
      </c>
      <c r="E344" t="s">
        <v>8</v>
      </c>
    </row>
    <row r="345" spans="1:5" x14ac:dyDescent="0.55000000000000004">
      <c r="A345" t="s">
        <v>2774</v>
      </c>
      <c r="B345" t="s">
        <v>2775</v>
      </c>
      <c r="C345" t="s">
        <v>10</v>
      </c>
      <c r="D345">
        <v>1106968</v>
      </c>
      <c r="E345" t="s">
        <v>8</v>
      </c>
    </row>
    <row r="346" spans="1:5" x14ac:dyDescent="0.55000000000000004">
      <c r="A346" t="s">
        <v>480</v>
      </c>
      <c r="B346" t="s">
        <v>479</v>
      </c>
      <c r="C346" t="s">
        <v>10</v>
      </c>
      <c r="D346">
        <v>238033</v>
      </c>
      <c r="E346" t="s">
        <v>8</v>
      </c>
    </row>
    <row r="347" spans="1:5" x14ac:dyDescent="0.55000000000000004">
      <c r="A347" t="s">
        <v>723</v>
      </c>
      <c r="B347" t="s">
        <v>3573</v>
      </c>
      <c r="C347" t="s">
        <v>10</v>
      </c>
      <c r="D347">
        <v>1038946</v>
      </c>
      <c r="E347" t="s">
        <v>8</v>
      </c>
    </row>
    <row r="348" spans="1:5" x14ac:dyDescent="0.55000000000000004">
      <c r="A348" t="s">
        <v>1071</v>
      </c>
      <c r="B348" t="s">
        <v>3454</v>
      </c>
      <c r="C348" t="s">
        <v>208</v>
      </c>
      <c r="D348">
        <v>353573</v>
      </c>
      <c r="E348" t="s">
        <v>8</v>
      </c>
    </row>
    <row r="349" spans="1:5" x14ac:dyDescent="0.55000000000000004">
      <c r="A349" t="s">
        <v>904</v>
      </c>
      <c r="B349" t="s">
        <v>903</v>
      </c>
      <c r="C349" t="s">
        <v>10</v>
      </c>
      <c r="D349">
        <v>1543972</v>
      </c>
      <c r="E349" t="s">
        <v>8</v>
      </c>
    </row>
    <row r="350" spans="1:5" x14ac:dyDescent="0.55000000000000004">
      <c r="A350" t="s">
        <v>1095</v>
      </c>
      <c r="B350" t="s">
        <v>1094</v>
      </c>
      <c r="C350" t="s">
        <v>10</v>
      </c>
      <c r="D350">
        <v>1789805</v>
      </c>
      <c r="E350" t="s">
        <v>8</v>
      </c>
    </row>
    <row r="351" spans="1:5" x14ac:dyDescent="0.55000000000000004">
      <c r="A351" t="s">
        <v>3562</v>
      </c>
      <c r="B351" t="s">
        <v>3561</v>
      </c>
      <c r="C351" t="s">
        <v>10</v>
      </c>
      <c r="D351">
        <v>913965</v>
      </c>
      <c r="E351" t="s">
        <v>8</v>
      </c>
    </row>
    <row r="352" spans="1:5" x14ac:dyDescent="0.55000000000000004">
      <c r="A352" t="s">
        <v>3180</v>
      </c>
      <c r="B352" t="s">
        <v>3179</v>
      </c>
      <c r="C352" t="s">
        <v>10</v>
      </c>
      <c r="D352">
        <v>1686694</v>
      </c>
      <c r="E352" t="s">
        <v>8</v>
      </c>
    </row>
    <row r="353" spans="1:5" x14ac:dyDescent="0.55000000000000004">
      <c r="A353" t="s">
        <v>3319</v>
      </c>
      <c r="B353" t="s">
        <v>3317</v>
      </c>
      <c r="C353" t="s">
        <v>3318</v>
      </c>
      <c r="D353">
        <v>538736</v>
      </c>
      <c r="E353" t="s">
        <v>8</v>
      </c>
    </row>
    <row r="354" spans="1:5" x14ac:dyDescent="0.55000000000000004">
      <c r="A354" t="s">
        <v>2079</v>
      </c>
      <c r="B354" t="s">
        <v>2078</v>
      </c>
      <c r="C354" t="s">
        <v>10</v>
      </c>
      <c r="D354">
        <v>2933756</v>
      </c>
      <c r="E354" t="s">
        <v>8</v>
      </c>
    </row>
    <row r="355" spans="1:5" x14ac:dyDescent="0.55000000000000004">
      <c r="A355" t="s">
        <v>2204</v>
      </c>
      <c r="B355" t="s">
        <v>2203</v>
      </c>
      <c r="C355" t="s">
        <v>6</v>
      </c>
      <c r="D355">
        <v>993201</v>
      </c>
      <c r="E355" t="s">
        <v>8</v>
      </c>
    </row>
    <row r="356" spans="1:5" x14ac:dyDescent="0.55000000000000004">
      <c r="A356" t="s">
        <v>1675</v>
      </c>
      <c r="B356" t="s">
        <v>1674</v>
      </c>
      <c r="C356" t="s">
        <v>10</v>
      </c>
      <c r="D356">
        <v>774052</v>
      </c>
      <c r="E356" t="s">
        <v>8</v>
      </c>
    </row>
    <row r="357" spans="1:5" x14ac:dyDescent="0.55000000000000004">
      <c r="A357" t="s">
        <v>3476</v>
      </c>
      <c r="B357" t="s">
        <v>3475</v>
      </c>
      <c r="C357" t="s">
        <v>10</v>
      </c>
      <c r="D357">
        <v>891510</v>
      </c>
      <c r="E357" t="s">
        <v>8</v>
      </c>
    </row>
    <row r="358" spans="1:5" x14ac:dyDescent="0.55000000000000004">
      <c r="A358" t="s">
        <v>1250</v>
      </c>
      <c r="B358" t="s">
        <v>1249</v>
      </c>
      <c r="C358" t="s">
        <v>10</v>
      </c>
      <c r="D358">
        <v>4621005</v>
      </c>
      <c r="E358" t="s">
        <v>8</v>
      </c>
    </row>
    <row r="359" spans="1:5" x14ac:dyDescent="0.55000000000000004">
      <c r="A359" t="s">
        <v>2373</v>
      </c>
      <c r="B359" t="s">
        <v>2372</v>
      </c>
      <c r="C359" t="s">
        <v>10</v>
      </c>
      <c r="D359">
        <v>1207220</v>
      </c>
      <c r="E359" t="s">
        <v>8</v>
      </c>
    </row>
    <row r="360" spans="1:5" x14ac:dyDescent="0.55000000000000004">
      <c r="A360" t="s">
        <v>1142</v>
      </c>
      <c r="B360" t="s">
        <v>1141</v>
      </c>
      <c r="C360" t="s">
        <v>6</v>
      </c>
      <c r="D360">
        <v>233179</v>
      </c>
      <c r="E360" t="s">
        <v>8</v>
      </c>
    </row>
    <row r="361" spans="1:5" x14ac:dyDescent="0.55000000000000004">
      <c r="A361" t="s">
        <v>2778</v>
      </c>
      <c r="B361" t="s">
        <v>2779</v>
      </c>
      <c r="C361" t="s">
        <v>6</v>
      </c>
      <c r="D361">
        <v>396373</v>
      </c>
      <c r="E361" t="s">
        <v>8</v>
      </c>
    </row>
    <row r="362" spans="1:5" x14ac:dyDescent="0.55000000000000004">
      <c r="A362" t="s">
        <v>1823</v>
      </c>
      <c r="B362" t="s">
        <v>1822</v>
      </c>
      <c r="C362" t="s">
        <v>13</v>
      </c>
      <c r="D362">
        <v>170381</v>
      </c>
      <c r="E362" t="s">
        <v>8</v>
      </c>
    </row>
    <row r="363" spans="1:5" x14ac:dyDescent="0.55000000000000004">
      <c r="A363" t="s">
        <v>1148</v>
      </c>
      <c r="B363" t="s">
        <v>3380</v>
      </c>
      <c r="C363" t="s">
        <v>10</v>
      </c>
      <c r="D363">
        <v>643645</v>
      </c>
      <c r="E363" t="s">
        <v>8</v>
      </c>
    </row>
    <row r="364" spans="1:5" x14ac:dyDescent="0.55000000000000004">
      <c r="A364" t="s">
        <v>515</v>
      </c>
      <c r="B364" t="s">
        <v>513</v>
      </c>
      <c r="C364" t="s">
        <v>514</v>
      </c>
      <c r="D364">
        <v>3272071</v>
      </c>
      <c r="E364" t="s">
        <v>8</v>
      </c>
    </row>
    <row r="365" spans="1:5" x14ac:dyDescent="0.55000000000000004">
      <c r="A365" t="s">
        <v>1179</v>
      </c>
      <c r="B365" t="s">
        <v>1178</v>
      </c>
      <c r="C365" t="s">
        <v>10</v>
      </c>
      <c r="D365">
        <v>776572</v>
      </c>
      <c r="E365" t="s">
        <v>8</v>
      </c>
    </row>
    <row r="366" spans="1:5" x14ac:dyDescent="0.55000000000000004">
      <c r="A366" t="s">
        <v>935</v>
      </c>
      <c r="B366" t="s">
        <v>934</v>
      </c>
      <c r="C366" t="s">
        <v>10</v>
      </c>
      <c r="D366">
        <v>771896</v>
      </c>
      <c r="E366" t="s">
        <v>8</v>
      </c>
    </row>
    <row r="367" spans="1:5" x14ac:dyDescent="0.55000000000000004">
      <c r="A367" t="s">
        <v>2956</v>
      </c>
      <c r="B367" t="s">
        <v>2955</v>
      </c>
      <c r="C367" t="s">
        <v>10</v>
      </c>
      <c r="D367">
        <v>1463589</v>
      </c>
      <c r="E367" t="s">
        <v>8</v>
      </c>
    </row>
    <row r="368" spans="1:5" x14ac:dyDescent="0.55000000000000004">
      <c r="A368" t="s">
        <v>1819</v>
      </c>
      <c r="B368" t="s">
        <v>1818</v>
      </c>
      <c r="C368" t="s">
        <v>10</v>
      </c>
      <c r="D368">
        <v>3075934</v>
      </c>
      <c r="E368" t="s">
        <v>8</v>
      </c>
    </row>
    <row r="369" spans="1:5" x14ac:dyDescent="0.55000000000000004">
      <c r="A369" t="s">
        <v>937</v>
      </c>
      <c r="B369" t="s">
        <v>936</v>
      </c>
      <c r="C369" t="s">
        <v>10</v>
      </c>
      <c r="D369">
        <v>507564</v>
      </c>
      <c r="E369" t="s">
        <v>8</v>
      </c>
    </row>
    <row r="370" spans="1:5" x14ac:dyDescent="0.55000000000000004">
      <c r="A370" t="s">
        <v>500</v>
      </c>
      <c r="B370" t="s">
        <v>499</v>
      </c>
      <c r="C370" t="s">
        <v>10</v>
      </c>
      <c r="D370">
        <v>233146</v>
      </c>
      <c r="E370" t="s">
        <v>8</v>
      </c>
    </row>
    <row r="371" spans="1:5" x14ac:dyDescent="0.55000000000000004">
      <c r="A371" t="s">
        <v>2073</v>
      </c>
      <c r="B371" t="s">
        <v>2072</v>
      </c>
      <c r="C371" t="s">
        <v>10</v>
      </c>
      <c r="D371">
        <v>228612</v>
      </c>
      <c r="E371" t="s">
        <v>8</v>
      </c>
    </row>
    <row r="372" spans="1:5" x14ac:dyDescent="0.55000000000000004">
      <c r="A372" t="s">
        <v>1605</v>
      </c>
      <c r="B372" t="s">
        <v>1604</v>
      </c>
      <c r="C372" t="s">
        <v>10</v>
      </c>
      <c r="D372">
        <v>1140552</v>
      </c>
      <c r="E372" t="s">
        <v>8</v>
      </c>
    </row>
    <row r="373" spans="1:5" x14ac:dyDescent="0.55000000000000004">
      <c r="A373" t="s">
        <v>1146</v>
      </c>
      <c r="B373" t="s">
        <v>1145</v>
      </c>
      <c r="C373" t="s">
        <v>10</v>
      </c>
      <c r="D373">
        <v>1189022</v>
      </c>
      <c r="E373" t="s">
        <v>8</v>
      </c>
    </row>
    <row r="374" spans="1:5" x14ac:dyDescent="0.55000000000000004">
      <c r="A374" t="s">
        <v>3230</v>
      </c>
      <c r="B374" t="s">
        <v>3229</v>
      </c>
      <c r="C374" t="s">
        <v>10</v>
      </c>
      <c r="D374">
        <v>1309638</v>
      </c>
      <c r="E374" t="s">
        <v>8</v>
      </c>
    </row>
    <row r="375" spans="1:5" x14ac:dyDescent="0.55000000000000004">
      <c r="A375" t="s">
        <v>1938</v>
      </c>
      <c r="B375" t="s">
        <v>1936</v>
      </c>
      <c r="C375" t="s">
        <v>1937</v>
      </c>
      <c r="D375">
        <v>249312</v>
      </c>
      <c r="E375" t="s">
        <v>8</v>
      </c>
    </row>
    <row r="376" spans="1:5" x14ac:dyDescent="0.55000000000000004">
      <c r="A376" t="s">
        <v>3232</v>
      </c>
      <c r="B376" t="s">
        <v>3231</v>
      </c>
      <c r="C376" t="s">
        <v>10</v>
      </c>
      <c r="D376">
        <v>1081225</v>
      </c>
      <c r="E376" t="s">
        <v>8</v>
      </c>
    </row>
    <row r="377" spans="1:5" x14ac:dyDescent="0.55000000000000004">
      <c r="A377" t="s">
        <v>2968</v>
      </c>
      <c r="B377" t="s">
        <v>2967</v>
      </c>
      <c r="C377" t="s">
        <v>10</v>
      </c>
      <c r="D377">
        <v>2361097</v>
      </c>
      <c r="E377" t="s">
        <v>8</v>
      </c>
    </row>
    <row r="378" spans="1:5" x14ac:dyDescent="0.55000000000000004">
      <c r="A378" t="s">
        <v>2086</v>
      </c>
      <c r="B378" t="s">
        <v>2084</v>
      </c>
      <c r="C378" t="s">
        <v>2085</v>
      </c>
      <c r="D378">
        <v>1023337</v>
      </c>
      <c r="E378" t="s">
        <v>8</v>
      </c>
    </row>
    <row r="379" spans="1:5" x14ac:dyDescent="0.55000000000000004">
      <c r="A379" t="s">
        <v>39</v>
      </c>
      <c r="B379" t="s">
        <v>38</v>
      </c>
      <c r="C379" t="s">
        <v>6</v>
      </c>
      <c r="D379">
        <v>136305</v>
      </c>
      <c r="E379" t="s">
        <v>8</v>
      </c>
    </row>
    <row r="380" spans="1:5" x14ac:dyDescent="0.55000000000000004">
      <c r="A380" t="s">
        <v>2786</v>
      </c>
      <c r="B380" t="s">
        <v>2787</v>
      </c>
      <c r="C380" t="s">
        <v>10</v>
      </c>
      <c r="D380">
        <v>674887</v>
      </c>
      <c r="E380" t="s">
        <v>8</v>
      </c>
    </row>
    <row r="381" spans="1:5" x14ac:dyDescent="0.55000000000000004">
      <c r="A381" t="s">
        <v>3234</v>
      </c>
      <c r="B381" t="s">
        <v>3233</v>
      </c>
      <c r="C381" t="s">
        <v>10</v>
      </c>
      <c r="D381">
        <v>92979</v>
      </c>
      <c r="E381" t="s">
        <v>8</v>
      </c>
    </row>
    <row r="382" spans="1:5" x14ac:dyDescent="0.55000000000000004">
      <c r="A382" t="s">
        <v>3236</v>
      </c>
      <c r="B382" t="s">
        <v>3235</v>
      </c>
      <c r="C382" t="s">
        <v>10</v>
      </c>
      <c r="D382">
        <v>944842</v>
      </c>
      <c r="E382" t="s">
        <v>8</v>
      </c>
    </row>
    <row r="383" spans="1:5" x14ac:dyDescent="0.55000000000000004">
      <c r="A383" t="s">
        <v>1162</v>
      </c>
      <c r="B383" t="s">
        <v>1161</v>
      </c>
      <c r="C383" t="s">
        <v>10</v>
      </c>
      <c r="D383">
        <v>1084419</v>
      </c>
      <c r="E383" t="s">
        <v>8</v>
      </c>
    </row>
    <row r="384" spans="1:5" x14ac:dyDescent="0.55000000000000004">
      <c r="A384" t="s">
        <v>2790</v>
      </c>
      <c r="B384" t="s">
        <v>2791</v>
      </c>
      <c r="C384" t="s">
        <v>10</v>
      </c>
      <c r="D384">
        <v>272797</v>
      </c>
      <c r="E384" t="s">
        <v>8</v>
      </c>
    </row>
    <row r="385" spans="1:5" x14ac:dyDescent="0.55000000000000004">
      <c r="A385" t="s">
        <v>2974</v>
      </c>
      <c r="B385" t="s">
        <v>2973</v>
      </c>
      <c r="C385" t="s">
        <v>10</v>
      </c>
      <c r="D385">
        <v>229836</v>
      </c>
      <c r="E385" t="s">
        <v>8</v>
      </c>
    </row>
    <row r="386" spans="1:5" x14ac:dyDescent="0.55000000000000004">
      <c r="A386" t="s">
        <v>2978</v>
      </c>
      <c r="B386" t="s">
        <v>3239</v>
      </c>
      <c r="C386" t="s">
        <v>10</v>
      </c>
      <c r="D386">
        <v>1400902</v>
      </c>
      <c r="E386" t="s">
        <v>8</v>
      </c>
    </row>
    <row r="387" spans="1:5" x14ac:dyDescent="0.55000000000000004">
      <c r="A387" t="s">
        <v>2980</v>
      </c>
      <c r="B387" t="s">
        <v>2979</v>
      </c>
      <c r="C387" t="s">
        <v>10</v>
      </c>
      <c r="D387">
        <v>348692</v>
      </c>
      <c r="E387" t="s">
        <v>8</v>
      </c>
    </row>
    <row r="388" spans="1:5" x14ac:dyDescent="0.55000000000000004">
      <c r="A388" t="s">
        <v>1484</v>
      </c>
      <c r="B388" t="s">
        <v>1482</v>
      </c>
      <c r="C388" t="s">
        <v>1483</v>
      </c>
      <c r="D388">
        <v>1004066</v>
      </c>
      <c r="E388" t="s">
        <v>8</v>
      </c>
    </row>
    <row r="389" spans="1:5" x14ac:dyDescent="0.55000000000000004">
      <c r="A389" t="s">
        <v>2982</v>
      </c>
      <c r="B389" t="s">
        <v>2981</v>
      </c>
      <c r="C389" t="s">
        <v>10</v>
      </c>
      <c r="D389">
        <v>366250</v>
      </c>
      <c r="E389" t="s">
        <v>8</v>
      </c>
    </row>
    <row r="390" spans="1:5" x14ac:dyDescent="0.55000000000000004">
      <c r="A390" t="s">
        <v>517</v>
      </c>
      <c r="B390" t="s">
        <v>516</v>
      </c>
      <c r="C390" t="s">
        <v>10</v>
      </c>
      <c r="D390">
        <v>122398</v>
      </c>
      <c r="E390" t="s">
        <v>8</v>
      </c>
    </row>
    <row r="391" spans="1:5" x14ac:dyDescent="0.55000000000000004">
      <c r="A391" t="s">
        <v>3241</v>
      </c>
      <c r="B391" t="s">
        <v>3240</v>
      </c>
      <c r="C391" t="s">
        <v>13</v>
      </c>
      <c r="D391">
        <v>1206765</v>
      </c>
      <c r="E391" t="s">
        <v>8</v>
      </c>
    </row>
    <row r="392" spans="1:5" x14ac:dyDescent="0.55000000000000004">
      <c r="A392" t="s">
        <v>1168</v>
      </c>
      <c r="B392" t="s">
        <v>1167</v>
      </c>
      <c r="C392" t="s">
        <v>10</v>
      </c>
      <c r="D392">
        <v>327978</v>
      </c>
      <c r="E392" t="s">
        <v>8</v>
      </c>
    </row>
    <row r="393" spans="1:5" x14ac:dyDescent="0.55000000000000004">
      <c r="A393" t="s">
        <v>1609</v>
      </c>
      <c r="B393" t="s">
        <v>1608</v>
      </c>
      <c r="C393" t="s">
        <v>1317</v>
      </c>
      <c r="D393">
        <v>2868493</v>
      </c>
      <c r="E393" t="s">
        <v>8</v>
      </c>
    </row>
    <row r="394" spans="1:5" x14ac:dyDescent="0.55000000000000004">
      <c r="A394" t="s">
        <v>56</v>
      </c>
      <c r="B394" t="s">
        <v>55</v>
      </c>
      <c r="C394" t="s">
        <v>10</v>
      </c>
      <c r="D394">
        <v>5646529</v>
      </c>
      <c r="E394" t="s">
        <v>8</v>
      </c>
    </row>
    <row r="395" spans="1:5" x14ac:dyDescent="0.55000000000000004">
      <c r="A395" t="s">
        <v>3247</v>
      </c>
      <c r="B395" t="s">
        <v>3246</v>
      </c>
      <c r="C395" t="s">
        <v>10</v>
      </c>
      <c r="D395">
        <v>306873</v>
      </c>
      <c r="E395" t="s">
        <v>8</v>
      </c>
    </row>
    <row r="396" spans="1:5" x14ac:dyDescent="0.55000000000000004">
      <c r="A396" t="s">
        <v>2792</v>
      </c>
      <c r="B396" t="s">
        <v>2793</v>
      </c>
      <c r="C396" t="s">
        <v>10</v>
      </c>
      <c r="D396">
        <v>239272</v>
      </c>
      <c r="E396" t="s">
        <v>8</v>
      </c>
    </row>
    <row r="397" spans="1:5" x14ac:dyDescent="0.55000000000000004">
      <c r="A397" t="s">
        <v>2984</v>
      </c>
      <c r="B397" t="s">
        <v>2983</v>
      </c>
      <c r="C397" t="s">
        <v>10</v>
      </c>
      <c r="D397">
        <v>782120</v>
      </c>
      <c r="E397" t="s">
        <v>8</v>
      </c>
    </row>
    <row r="398" spans="1:5" x14ac:dyDescent="0.55000000000000004">
      <c r="A398" t="s">
        <v>2794</v>
      </c>
      <c r="B398" t="s">
        <v>3248</v>
      </c>
      <c r="C398" t="s">
        <v>10</v>
      </c>
      <c r="D398">
        <v>61275</v>
      </c>
      <c r="E398" t="s">
        <v>8</v>
      </c>
    </row>
    <row r="399" spans="1:5" x14ac:dyDescent="0.55000000000000004">
      <c r="A399" t="s">
        <v>2796</v>
      </c>
      <c r="B399" t="s">
        <v>2797</v>
      </c>
      <c r="C399" t="s">
        <v>41</v>
      </c>
      <c r="D399">
        <v>890657</v>
      </c>
      <c r="E399" t="s">
        <v>8</v>
      </c>
    </row>
    <row r="400" spans="1:5" x14ac:dyDescent="0.55000000000000004">
      <c r="A400" t="s">
        <v>2798</v>
      </c>
      <c r="B400" t="s">
        <v>2799</v>
      </c>
      <c r="C400" t="s">
        <v>6</v>
      </c>
      <c r="D400">
        <v>519188</v>
      </c>
      <c r="E400" t="s">
        <v>8</v>
      </c>
    </row>
    <row r="401" spans="1:5" x14ac:dyDescent="0.55000000000000004">
      <c r="A401" t="s">
        <v>2993</v>
      </c>
      <c r="B401" t="s">
        <v>2992</v>
      </c>
      <c r="C401" t="s">
        <v>10</v>
      </c>
      <c r="D401">
        <v>998999</v>
      </c>
      <c r="E401" t="s">
        <v>8</v>
      </c>
    </row>
    <row r="402" spans="1:5" x14ac:dyDescent="0.55000000000000004">
      <c r="A402" t="s">
        <v>2419</v>
      </c>
      <c r="B402" t="s">
        <v>2418</v>
      </c>
      <c r="C402" t="s">
        <v>6</v>
      </c>
      <c r="D402">
        <v>553028</v>
      </c>
      <c r="E402" t="s">
        <v>8</v>
      </c>
    </row>
    <row r="403" spans="1:5" x14ac:dyDescent="0.55000000000000004">
      <c r="A403" t="s">
        <v>3250</v>
      </c>
      <c r="B403" t="s">
        <v>3249</v>
      </c>
      <c r="C403" t="s">
        <v>13</v>
      </c>
      <c r="D403">
        <v>2297678</v>
      </c>
      <c r="E403" t="s">
        <v>8</v>
      </c>
    </row>
    <row r="404" spans="1:5" x14ac:dyDescent="0.55000000000000004">
      <c r="A404" t="s">
        <v>1185</v>
      </c>
      <c r="B404" t="s">
        <v>1184</v>
      </c>
      <c r="C404" t="s">
        <v>10</v>
      </c>
      <c r="D404">
        <v>3517896</v>
      </c>
      <c r="E404" t="s">
        <v>8</v>
      </c>
    </row>
    <row r="405" spans="1:5" x14ac:dyDescent="0.55000000000000004">
      <c r="A405" t="s">
        <v>2421</v>
      </c>
      <c r="B405" t="s">
        <v>2420</v>
      </c>
      <c r="C405" t="s">
        <v>6</v>
      </c>
      <c r="D405">
        <v>470234</v>
      </c>
      <c r="E405" t="s">
        <v>8</v>
      </c>
    </row>
    <row r="406" spans="1:5" x14ac:dyDescent="0.55000000000000004">
      <c r="A406" t="s">
        <v>1183</v>
      </c>
      <c r="B406" t="s">
        <v>1182</v>
      </c>
      <c r="C406" t="s">
        <v>10</v>
      </c>
      <c r="D406">
        <v>2059901</v>
      </c>
      <c r="E406" t="s">
        <v>8</v>
      </c>
    </row>
    <row r="407" spans="1:5" x14ac:dyDescent="0.55000000000000004">
      <c r="A407" t="s">
        <v>2800</v>
      </c>
      <c r="B407" t="s">
        <v>2801</v>
      </c>
      <c r="C407" t="s">
        <v>10</v>
      </c>
      <c r="D407">
        <v>7439411</v>
      </c>
      <c r="E407" t="s">
        <v>8</v>
      </c>
    </row>
    <row r="408" spans="1:5" x14ac:dyDescent="0.55000000000000004">
      <c r="A408" t="s">
        <v>3256</v>
      </c>
      <c r="B408" t="s">
        <v>3255</v>
      </c>
      <c r="C408" t="s">
        <v>1483</v>
      </c>
      <c r="D408">
        <v>5073746</v>
      </c>
      <c r="E408" t="s">
        <v>8</v>
      </c>
    </row>
    <row r="409" spans="1:5" x14ac:dyDescent="0.55000000000000004">
      <c r="A409" t="s">
        <v>1834</v>
      </c>
      <c r="B409" t="s">
        <v>1833</v>
      </c>
      <c r="C409" t="s">
        <v>10</v>
      </c>
      <c r="D409">
        <v>1304467</v>
      </c>
      <c r="E409" t="s">
        <v>8</v>
      </c>
    </row>
    <row r="410" spans="1:5" x14ac:dyDescent="0.55000000000000004">
      <c r="A410" t="s">
        <v>1619</v>
      </c>
      <c r="B410" t="s">
        <v>1618</v>
      </c>
      <c r="C410" t="s">
        <v>41</v>
      </c>
      <c r="D410">
        <v>2785163</v>
      </c>
      <c r="E410" t="s">
        <v>8</v>
      </c>
    </row>
    <row r="411" spans="1:5" x14ac:dyDescent="0.55000000000000004">
      <c r="A411" t="s">
        <v>2989</v>
      </c>
      <c r="B411" t="s">
        <v>2987</v>
      </c>
      <c r="C411" t="s">
        <v>2988</v>
      </c>
      <c r="D411">
        <v>1959872</v>
      </c>
      <c r="E411" t="s">
        <v>8</v>
      </c>
    </row>
    <row r="412" spans="1:5" x14ac:dyDescent="0.55000000000000004">
      <c r="A412" t="s">
        <v>3263</v>
      </c>
      <c r="B412" t="s">
        <v>3262</v>
      </c>
      <c r="C412" t="s">
        <v>10</v>
      </c>
      <c r="D412">
        <v>279887</v>
      </c>
      <c r="E412" t="s">
        <v>8</v>
      </c>
    </row>
    <row r="413" spans="1:5" x14ac:dyDescent="0.55000000000000004">
      <c r="A413" t="s">
        <v>3265</v>
      </c>
      <c r="B413" t="s">
        <v>3264</v>
      </c>
      <c r="C413" t="s">
        <v>10</v>
      </c>
      <c r="D413">
        <v>2438569</v>
      </c>
      <c r="E413" t="s">
        <v>8</v>
      </c>
    </row>
    <row r="414" spans="1:5" x14ac:dyDescent="0.55000000000000004">
      <c r="A414" t="s">
        <v>1190</v>
      </c>
      <c r="B414" t="s">
        <v>1189</v>
      </c>
      <c r="C414" t="s">
        <v>10</v>
      </c>
      <c r="D414">
        <v>613460</v>
      </c>
      <c r="E414" t="s">
        <v>8</v>
      </c>
    </row>
    <row r="415" spans="1:5" x14ac:dyDescent="0.55000000000000004">
      <c r="A415" t="s">
        <v>2427</v>
      </c>
      <c r="B415" t="s">
        <v>2426</v>
      </c>
      <c r="C415" t="s">
        <v>26</v>
      </c>
      <c r="D415">
        <v>296234</v>
      </c>
      <c r="E415" t="s">
        <v>8</v>
      </c>
    </row>
    <row r="416" spans="1:5" x14ac:dyDescent="0.55000000000000004">
      <c r="A416" t="s">
        <v>3267</v>
      </c>
      <c r="B416" t="s">
        <v>3266</v>
      </c>
      <c r="C416" t="s">
        <v>10</v>
      </c>
      <c r="D416">
        <v>3552557</v>
      </c>
      <c r="E416" t="s">
        <v>8</v>
      </c>
    </row>
    <row r="417" spans="1:5" x14ac:dyDescent="0.55000000000000004">
      <c r="A417" t="s">
        <v>963</v>
      </c>
      <c r="B417" t="s">
        <v>962</v>
      </c>
      <c r="C417" t="s">
        <v>6</v>
      </c>
      <c r="D417">
        <v>353550</v>
      </c>
      <c r="E417" t="s">
        <v>8</v>
      </c>
    </row>
    <row r="418" spans="1:5" x14ac:dyDescent="0.55000000000000004">
      <c r="A418" t="s">
        <v>2995</v>
      </c>
      <c r="B418" t="s">
        <v>2994</v>
      </c>
      <c r="C418" t="s">
        <v>41</v>
      </c>
      <c r="D418">
        <v>724387</v>
      </c>
      <c r="E418" t="s">
        <v>8</v>
      </c>
    </row>
    <row r="419" spans="1:5" x14ac:dyDescent="0.55000000000000004">
      <c r="A419" t="s">
        <v>2116</v>
      </c>
      <c r="B419" t="s">
        <v>2115</v>
      </c>
      <c r="C419" t="s">
        <v>10</v>
      </c>
      <c r="D419">
        <v>1600359</v>
      </c>
      <c r="E419" t="s">
        <v>8</v>
      </c>
    </row>
    <row r="420" spans="1:5" x14ac:dyDescent="0.55000000000000004">
      <c r="A420" t="s">
        <v>2118</v>
      </c>
      <c r="B420" t="s">
        <v>2117</v>
      </c>
      <c r="C420" t="s">
        <v>10</v>
      </c>
      <c r="D420">
        <v>277881</v>
      </c>
      <c r="E420" t="s">
        <v>8</v>
      </c>
    </row>
    <row r="421" spans="1:5" x14ac:dyDescent="0.55000000000000004">
      <c r="A421" t="s">
        <v>1621</v>
      </c>
      <c r="B421" t="s">
        <v>1620</v>
      </c>
      <c r="C421" t="s">
        <v>13</v>
      </c>
      <c r="D421">
        <v>3075186</v>
      </c>
      <c r="E421" t="s">
        <v>8</v>
      </c>
    </row>
    <row r="422" spans="1:5" x14ac:dyDescent="0.55000000000000004">
      <c r="A422" t="s">
        <v>3271</v>
      </c>
      <c r="B422" t="s">
        <v>3270</v>
      </c>
      <c r="C422" t="s">
        <v>10</v>
      </c>
      <c r="D422">
        <v>212692</v>
      </c>
      <c r="E422" t="s">
        <v>8</v>
      </c>
    </row>
    <row r="423" spans="1:5" x14ac:dyDescent="0.55000000000000004">
      <c r="A423" t="s">
        <v>1181</v>
      </c>
      <c r="B423" t="s">
        <v>1180</v>
      </c>
      <c r="C423" t="s">
        <v>10</v>
      </c>
      <c r="D423">
        <v>66274</v>
      </c>
      <c r="E423" t="s">
        <v>8</v>
      </c>
    </row>
    <row r="424" spans="1:5" x14ac:dyDescent="0.55000000000000004">
      <c r="A424" t="s">
        <v>3273</v>
      </c>
      <c r="B424" t="s">
        <v>3272</v>
      </c>
      <c r="C424" t="s">
        <v>10</v>
      </c>
      <c r="D424">
        <v>1236185</v>
      </c>
      <c r="E424" t="s">
        <v>8</v>
      </c>
    </row>
    <row r="425" spans="1:5" x14ac:dyDescent="0.55000000000000004">
      <c r="A425" t="s">
        <v>2804</v>
      </c>
      <c r="B425" t="s">
        <v>2805</v>
      </c>
      <c r="C425" t="s">
        <v>13</v>
      </c>
      <c r="D425">
        <v>1618753</v>
      </c>
      <c r="E425" t="s">
        <v>8</v>
      </c>
    </row>
    <row r="426" spans="1:5" x14ac:dyDescent="0.55000000000000004">
      <c r="A426" t="s">
        <v>3287</v>
      </c>
      <c r="B426" t="s">
        <v>3286</v>
      </c>
      <c r="C426" t="s">
        <v>10</v>
      </c>
      <c r="D426">
        <v>334296</v>
      </c>
      <c r="E426" t="s">
        <v>8</v>
      </c>
    </row>
    <row r="427" spans="1:5" x14ac:dyDescent="0.55000000000000004">
      <c r="A427" t="s">
        <v>1628</v>
      </c>
      <c r="B427" t="s">
        <v>1626</v>
      </c>
      <c r="C427" t="s">
        <v>1627</v>
      </c>
      <c r="D427">
        <v>569814</v>
      </c>
      <c r="E427" t="s">
        <v>8</v>
      </c>
    </row>
    <row r="428" spans="1:5" x14ac:dyDescent="0.55000000000000004">
      <c r="A428" t="s">
        <v>91</v>
      </c>
      <c r="B428" t="s">
        <v>3274</v>
      </c>
      <c r="C428" t="s">
        <v>41</v>
      </c>
      <c r="D428">
        <v>2096634</v>
      </c>
      <c r="E428" t="s">
        <v>8</v>
      </c>
    </row>
    <row r="429" spans="1:5" x14ac:dyDescent="0.55000000000000004">
      <c r="A429" t="s">
        <v>1206</v>
      </c>
      <c r="B429" t="s">
        <v>1205</v>
      </c>
      <c r="C429" t="s">
        <v>10</v>
      </c>
      <c r="D429">
        <v>1635353</v>
      </c>
      <c r="E429" t="s">
        <v>8</v>
      </c>
    </row>
    <row r="430" spans="1:5" x14ac:dyDescent="0.55000000000000004">
      <c r="A430" t="s">
        <v>2806</v>
      </c>
      <c r="B430" t="s">
        <v>2807</v>
      </c>
      <c r="C430" t="s">
        <v>10</v>
      </c>
      <c r="D430">
        <v>2187484</v>
      </c>
      <c r="E430" t="s">
        <v>8</v>
      </c>
    </row>
    <row r="431" spans="1:5" x14ac:dyDescent="0.55000000000000004">
      <c r="A431" t="s">
        <v>150</v>
      </c>
      <c r="B431" t="s">
        <v>149</v>
      </c>
      <c r="C431" t="s">
        <v>10</v>
      </c>
      <c r="D431">
        <v>2515001</v>
      </c>
      <c r="E431" t="s">
        <v>8</v>
      </c>
    </row>
    <row r="432" spans="1:5" x14ac:dyDescent="0.55000000000000004">
      <c r="A432" t="s">
        <v>2997</v>
      </c>
      <c r="B432" t="s">
        <v>2996</v>
      </c>
      <c r="C432" t="s">
        <v>10</v>
      </c>
      <c r="D432">
        <v>981784</v>
      </c>
      <c r="E432" t="s">
        <v>8</v>
      </c>
    </row>
    <row r="433" spans="1:5" x14ac:dyDescent="0.55000000000000004">
      <c r="A433" t="s">
        <v>3276</v>
      </c>
      <c r="B433" t="s">
        <v>3275</v>
      </c>
      <c r="C433" t="s">
        <v>10</v>
      </c>
      <c r="D433">
        <v>304039</v>
      </c>
      <c r="E433" t="s">
        <v>8</v>
      </c>
    </row>
    <row r="434" spans="1:5" x14ac:dyDescent="0.55000000000000004">
      <c r="A434" t="s">
        <v>2130</v>
      </c>
      <c r="B434" t="s">
        <v>2129</v>
      </c>
      <c r="C434" t="s">
        <v>10</v>
      </c>
      <c r="D434">
        <v>740177</v>
      </c>
      <c r="E434" t="s">
        <v>8</v>
      </c>
    </row>
    <row r="435" spans="1:5" x14ac:dyDescent="0.55000000000000004">
      <c r="A435" t="s">
        <v>3001</v>
      </c>
      <c r="B435" t="s">
        <v>3000</v>
      </c>
      <c r="C435" t="s">
        <v>13</v>
      </c>
      <c r="D435">
        <v>330422</v>
      </c>
      <c r="E435" t="s">
        <v>8</v>
      </c>
    </row>
    <row r="436" spans="1:5" x14ac:dyDescent="0.55000000000000004">
      <c r="A436" t="s">
        <v>93</v>
      </c>
      <c r="B436" t="s">
        <v>92</v>
      </c>
      <c r="C436" t="s">
        <v>10</v>
      </c>
      <c r="D436">
        <v>916940</v>
      </c>
      <c r="E436" t="s">
        <v>8</v>
      </c>
    </row>
    <row r="437" spans="1:5" x14ac:dyDescent="0.55000000000000004">
      <c r="A437" t="s">
        <v>3283</v>
      </c>
      <c r="B437" t="s">
        <v>3282</v>
      </c>
      <c r="C437" t="s">
        <v>10</v>
      </c>
      <c r="D437">
        <v>1089654</v>
      </c>
      <c r="E437" t="s">
        <v>8</v>
      </c>
    </row>
    <row r="438" spans="1:5" x14ac:dyDescent="0.55000000000000004">
      <c r="A438" t="s">
        <v>100</v>
      </c>
      <c r="B438" t="s">
        <v>99</v>
      </c>
      <c r="C438" t="s">
        <v>10</v>
      </c>
      <c r="D438">
        <v>203937</v>
      </c>
      <c r="E438" t="s">
        <v>8</v>
      </c>
    </row>
    <row r="439" spans="1:5" x14ac:dyDescent="0.55000000000000004">
      <c r="A439" t="s">
        <v>102</v>
      </c>
      <c r="B439" t="s">
        <v>101</v>
      </c>
      <c r="C439" t="s">
        <v>41</v>
      </c>
      <c r="D439">
        <v>598725</v>
      </c>
      <c r="E439" t="s">
        <v>8</v>
      </c>
    </row>
    <row r="440" spans="1:5" x14ac:dyDescent="0.55000000000000004">
      <c r="A440" t="s">
        <v>104</v>
      </c>
      <c r="B440" t="s">
        <v>103</v>
      </c>
      <c r="C440" t="s">
        <v>10</v>
      </c>
      <c r="D440">
        <v>1162303</v>
      </c>
      <c r="E440" t="s">
        <v>8</v>
      </c>
    </row>
    <row r="441" spans="1:5" x14ac:dyDescent="0.55000000000000004">
      <c r="A441" t="s">
        <v>3005</v>
      </c>
      <c r="B441" t="s">
        <v>3004</v>
      </c>
      <c r="C441" t="s">
        <v>10</v>
      </c>
      <c r="D441">
        <v>824473</v>
      </c>
      <c r="E441" t="s">
        <v>8</v>
      </c>
    </row>
    <row r="442" spans="1:5" x14ac:dyDescent="0.55000000000000004">
      <c r="A442" t="s">
        <v>3292</v>
      </c>
      <c r="B442" t="s">
        <v>3291</v>
      </c>
      <c r="C442" t="s">
        <v>10</v>
      </c>
      <c r="D442">
        <v>1265723</v>
      </c>
      <c r="E442" t="s">
        <v>8</v>
      </c>
    </row>
    <row r="443" spans="1:5" x14ac:dyDescent="0.55000000000000004">
      <c r="A443" t="s">
        <v>3298</v>
      </c>
      <c r="B443" t="s">
        <v>3297</v>
      </c>
      <c r="C443" t="s">
        <v>10</v>
      </c>
      <c r="D443">
        <v>286821</v>
      </c>
      <c r="E443" t="s">
        <v>8</v>
      </c>
    </row>
    <row r="444" spans="1:5" x14ac:dyDescent="0.55000000000000004">
      <c r="A444" t="s">
        <v>3300</v>
      </c>
      <c r="B444" t="s">
        <v>3299</v>
      </c>
      <c r="C444" t="s">
        <v>41</v>
      </c>
      <c r="D444">
        <v>180710</v>
      </c>
      <c r="E444" t="s">
        <v>8</v>
      </c>
    </row>
    <row r="445" spans="1:5" x14ac:dyDescent="0.55000000000000004">
      <c r="A445" t="s">
        <v>1640</v>
      </c>
      <c r="B445" t="s">
        <v>1639</v>
      </c>
      <c r="C445" t="s">
        <v>6</v>
      </c>
      <c r="D445">
        <v>936588</v>
      </c>
      <c r="E445" t="s">
        <v>8</v>
      </c>
    </row>
    <row r="446" spans="1:5" x14ac:dyDescent="0.55000000000000004">
      <c r="A446" t="s">
        <v>3302</v>
      </c>
      <c r="B446" t="s">
        <v>3301</v>
      </c>
      <c r="C446" t="s">
        <v>10</v>
      </c>
      <c r="D446">
        <v>379370</v>
      </c>
      <c r="E446" t="s">
        <v>8</v>
      </c>
    </row>
    <row r="447" spans="1:5" x14ac:dyDescent="0.55000000000000004">
      <c r="A447" t="s">
        <v>1204</v>
      </c>
      <c r="B447" t="s">
        <v>1203</v>
      </c>
      <c r="C447" t="s">
        <v>10</v>
      </c>
      <c r="D447">
        <v>922261</v>
      </c>
      <c r="E447" t="s">
        <v>8</v>
      </c>
    </row>
    <row r="448" spans="1:5" x14ac:dyDescent="0.55000000000000004">
      <c r="A448" t="s">
        <v>833</v>
      </c>
      <c r="B448" t="s">
        <v>832</v>
      </c>
      <c r="C448" t="s">
        <v>141</v>
      </c>
      <c r="D448">
        <v>1661656</v>
      </c>
      <c r="E448" t="s">
        <v>8</v>
      </c>
    </row>
    <row r="449" spans="1:5" x14ac:dyDescent="0.55000000000000004">
      <c r="A449" t="s">
        <v>3019</v>
      </c>
      <c r="B449" t="s">
        <v>3018</v>
      </c>
      <c r="C449" t="s">
        <v>41</v>
      </c>
      <c r="D449">
        <v>1327336</v>
      </c>
      <c r="E449" t="s">
        <v>8</v>
      </c>
    </row>
    <row r="450" spans="1:5" x14ac:dyDescent="0.55000000000000004">
      <c r="A450" t="s">
        <v>835</v>
      </c>
      <c r="B450" t="s">
        <v>834</v>
      </c>
      <c r="C450" t="s">
        <v>10</v>
      </c>
      <c r="D450">
        <v>444976</v>
      </c>
      <c r="E450" t="s">
        <v>8</v>
      </c>
    </row>
    <row r="451" spans="1:5" x14ac:dyDescent="0.55000000000000004">
      <c r="A451" t="s">
        <v>3310</v>
      </c>
      <c r="B451" t="s">
        <v>3309</v>
      </c>
      <c r="C451" t="s">
        <v>10</v>
      </c>
      <c r="D451">
        <v>1153188</v>
      </c>
      <c r="E451" t="s">
        <v>8</v>
      </c>
    </row>
    <row r="452" spans="1:5" x14ac:dyDescent="0.55000000000000004">
      <c r="A452" t="s">
        <v>2146</v>
      </c>
      <c r="B452" t="s">
        <v>2145</v>
      </c>
      <c r="C452" t="s">
        <v>13</v>
      </c>
      <c r="D452">
        <v>504923</v>
      </c>
      <c r="E452" t="s">
        <v>8</v>
      </c>
    </row>
    <row r="453" spans="1:5" x14ac:dyDescent="0.55000000000000004">
      <c r="A453" t="s">
        <v>1861</v>
      </c>
      <c r="B453" t="s">
        <v>1860</v>
      </c>
      <c r="C453" t="s">
        <v>10</v>
      </c>
      <c r="D453">
        <v>1669042</v>
      </c>
      <c r="E453" t="s">
        <v>8</v>
      </c>
    </row>
    <row r="454" spans="1:5" x14ac:dyDescent="0.55000000000000004">
      <c r="A454" t="s">
        <v>130</v>
      </c>
      <c r="B454" t="s">
        <v>129</v>
      </c>
      <c r="C454" t="s">
        <v>6</v>
      </c>
      <c r="D454">
        <v>374919</v>
      </c>
      <c r="E454" t="s">
        <v>8</v>
      </c>
    </row>
    <row r="455" spans="1:5" x14ac:dyDescent="0.55000000000000004">
      <c r="A455" t="s">
        <v>3316</v>
      </c>
      <c r="B455" t="s">
        <v>3315</v>
      </c>
      <c r="C455" t="s">
        <v>10</v>
      </c>
      <c r="D455">
        <v>416888</v>
      </c>
      <c r="E455" t="s">
        <v>8</v>
      </c>
    </row>
    <row r="456" spans="1:5" x14ac:dyDescent="0.55000000000000004">
      <c r="A456" t="s">
        <v>1867</v>
      </c>
      <c r="B456" t="s">
        <v>1866</v>
      </c>
      <c r="C456" t="s">
        <v>10</v>
      </c>
      <c r="D456">
        <v>825089</v>
      </c>
      <c r="E456" t="s">
        <v>8</v>
      </c>
    </row>
    <row r="457" spans="1:5" x14ac:dyDescent="0.55000000000000004">
      <c r="A457" t="s">
        <v>1652</v>
      </c>
      <c r="B457" t="s">
        <v>1651</v>
      </c>
      <c r="C457" t="s">
        <v>10</v>
      </c>
      <c r="D457">
        <v>79792</v>
      </c>
      <c r="E457" t="s">
        <v>8</v>
      </c>
    </row>
    <row r="458" spans="1:5" x14ac:dyDescent="0.55000000000000004">
      <c r="A458" t="s">
        <v>134</v>
      </c>
      <c r="B458" t="s">
        <v>3322</v>
      </c>
      <c r="C458" t="s">
        <v>10</v>
      </c>
      <c r="D458">
        <v>6878356</v>
      </c>
      <c r="E458" t="s">
        <v>8</v>
      </c>
    </row>
    <row r="459" spans="1:5" x14ac:dyDescent="0.55000000000000004">
      <c r="A459" t="s">
        <v>3025</v>
      </c>
      <c r="B459" t="s">
        <v>3024</v>
      </c>
      <c r="C459" t="s">
        <v>10</v>
      </c>
      <c r="D459">
        <v>1783794</v>
      </c>
      <c r="E459" t="s">
        <v>8</v>
      </c>
    </row>
    <row r="460" spans="1:5" x14ac:dyDescent="0.55000000000000004">
      <c r="A460" t="s">
        <v>136</v>
      </c>
      <c r="B460" t="s">
        <v>135</v>
      </c>
      <c r="C460" t="s">
        <v>10</v>
      </c>
      <c r="D460">
        <v>1220669</v>
      </c>
      <c r="E460" t="s">
        <v>8</v>
      </c>
    </row>
    <row r="461" spans="1:5" x14ac:dyDescent="0.55000000000000004">
      <c r="A461" t="s">
        <v>3027</v>
      </c>
      <c r="B461" t="s">
        <v>3026</v>
      </c>
      <c r="C461" t="s">
        <v>13</v>
      </c>
      <c r="D461">
        <v>665555</v>
      </c>
      <c r="E461" t="s">
        <v>8</v>
      </c>
    </row>
    <row r="462" spans="1:5" x14ac:dyDescent="0.55000000000000004">
      <c r="A462" t="s">
        <v>1219</v>
      </c>
      <c r="B462" t="s">
        <v>1218</v>
      </c>
      <c r="C462" t="s">
        <v>10</v>
      </c>
      <c r="D462">
        <v>287116</v>
      </c>
      <c r="E462" t="s">
        <v>8</v>
      </c>
    </row>
    <row r="463" spans="1:5" x14ac:dyDescent="0.55000000000000004">
      <c r="A463" t="s">
        <v>1654</v>
      </c>
      <c r="B463" t="s">
        <v>1653</v>
      </c>
      <c r="C463" t="s">
        <v>6</v>
      </c>
      <c r="D463">
        <v>870605</v>
      </c>
      <c r="E463" t="s">
        <v>8</v>
      </c>
    </row>
    <row r="464" spans="1:5" x14ac:dyDescent="0.55000000000000004">
      <c r="A464" t="s">
        <v>146</v>
      </c>
      <c r="B464" t="s">
        <v>145</v>
      </c>
      <c r="C464" t="s">
        <v>13</v>
      </c>
      <c r="D464">
        <v>949868</v>
      </c>
      <c r="E464" t="s">
        <v>8</v>
      </c>
    </row>
    <row r="465" spans="1:5" x14ac:dyDescent="0.55000000000000004">
      <c r="A465" t="s">
        <v>3330</v>
      </c>
      <c r="B465" t="s">
        <v>3329</v>
      </c>
      <c r="C465" t="s">
        <v>6</v>
      </c>
      <c r="D465">
        <v>318290</v>
      </c>
      <c r="E465" t="s">
        <v>8</v>
      </c>
    </row>
    <row r="466" spans="1:5" x14ac:dyDescent="0.55000000000000004">
      <c r="A466" t="s">
        <v>2457</v>
      </c>
      <c r="B466" t="s">
        <v>2456</v>
      </c>
      <c r="C466" t="s">
        <v>10</v>
      </c>
      <c r="D466">
        <v>491450</v>
      </c>
      <c r="E466" t="s">
        <v>8</v>
      </c>
    </row>
    <row r="467" spans="1:5" x14ac:dyDescent="0.55000000000000004">
      <c r="A467" t="s">
        <v>152</v>
      </c>
      <c r="B467" t="s">
        <v>151</v>
      </c>
      <c r="C467" t="s">
        <v>10</v>
      </c>
      <c r="D467">
        <v>5477960</v>
      </c>
      <c r="E467" t="s">
        <v>8</v>
      </c>
    </row>
    <row r="468" spans="1:5" x14ac:dyDescent="0.55000000000000004">
      <c r="A468" t="s">
        <v>2812</v>
      </c>
      <c r="B468" t="s">
        <v>2813</v>
      </c>
      <c r="C468" t="s">
        <v>76</v>
      </c>
      <c r="D468">
        <v>308260</v>
      </c>
      <c r="E468" t="s">
        <v>8</v>
      </c>
    </row>
    <row r="469" spans="1:5" x14ac:dyDescent="0.55000000000000004">
      <c r="A469" t="s">
        <v>2154</v>
      </c>
      <c r="B469" t="s">
        <v>2153</v>
      </c>
      <c r="C469" t="s">
        <v>10</v>
      </c>
      <c r="D469">
        <v>4351118</v>
      </c>
      <c r="E469" t="s">
        <v>8</v>
      </c>
    </row>
    <row r="470" spans="1:5" x14ac:dyDescent="0.55000000000000004">
      <c r="A470" t="s">
        <v>1227</v>
      </c>
      <c r="B470" t="s">
        <v>1226</v>
      </c>
      <c r="C470" t="s">
        <v>10</v>
      </c>
      <c r="D470">
        <v>803147</v>
      </c>
      <c r="E470" t="s">
        <v>8</v>
      </c>
    </row>
    <row r="471" spans="1:5" x14ac:dyDescent="0.55000000000000004">
      <c r="A471" t="s">
        <v>3033</v>
      </c>
      <c r="B471" t="s">
        <v>3032</v>
      </c>
      <c r="C471" t="s">
        <v>76</v>
      </c>
      <c r="D471">
        <v>527926</v>
      </c>
      <c r="E471" t="s">
        <v>8</v>
      </c>
    </row>
    <row r="472" spans="1:5" x14ac:dyDescent="0.55000000000000004">
      <c r="A472" t="s">
        <v>3039</v>
      </c>
      <c r="B472" t="s">
        <v>3038</v>
      </c>
      <c r="C472" t="s">
        <v>10</v>
      </c>
      <c r="D472">
        <v>3416398</v>
      </c>
      <c r="E472" t="s">
        <v>8</v>
      </c>
    </row>
    <row r="473" spans="1:5" x14ac:dyDescent="0.55000000000000004">
      <c r="A473" t="s">
        <v>2158</v>
      </c>
      <c r="B473" t="s">
        <v>2157</v>
      </c>
      <c r="C473" t="s">
        <v>10</v>
      </c>
      <c r="D473">
        <v>846163</v>
      </c>
      <c r="E473" t="s">
        <v>8</v>
      </c>
    </row>
    <row r="474" spans="1:5" x14ac:dyDescent="0.55000000000000004">
      <c r="A474" t="s">
        <v>3340</v>
      </c>
      <c r="B474" t="s">
        <v>3339</v>
      </c>
      <c r="C474" t="s">
        <v>10</v>
      </c>
      <c r="D474">
        <v>290504</v>
      </c>
      <c r="E474" t="s">
        <v>8</v>
      </c>
    </row>
    <row r="475" spans="1:5" x14ac:dyDescent="0.55000000000000004">
      <c r="A475" t="s">
        <v>3047</v>
      </c>
      <c r="B475" t="s">
        <v>3046</v>
      </c>
      <c r="C475" t="s">
        <v>10</v>
      </c>
      <c r="D475">
        <v>877112</v>
      </c>
      <c r="E475" t="s">
        <v>8</v>
      </c>
    </row>
    <row r="476" spans="1:5" x14ac:dyDescent="0.55000000000000004">
      <c r="A476" t="s">
        <v>180</v>
      </c>
      <c r="B476" t="s">
        <v>179</v>
      </c>
      <c r="C476" t="s">
        <v>41</v>
      </c>
      <c r="D476">
        <v>530224</v>
      </c>
      <c r="E476" t="s">
        <v>8</v>
      </c>
    </row>
    <row r="477" spans="1:5" x14ac:dyDescent="0.55000000000000004">
      <c r="A477" t="s">
        <v>3049</v>
      </c>
      <c r="B477" t="s">
        <v>3048</v>
      </c>
      <c r="C477" t="s">
        <v>10</v>
      </c>
      <c r="D477">
        <v>3417955</v>
      </c>
      <c r="E477" t="s">
        <v>8</v>
      </c>
    </row>
    <row r="478" spans="1:5" x14ac:dyDescent="0.55000000000000004">
      <c r="A478" t="s">
        <v>2166</v>
      </c>
      <c r="B478" t="s">
        <v>2165</v>
      </c>
      <c r="C478" t="s">
        <v>10</v>
      </c>
      <c r="D478">
        <v>291939</v>
      </c>
      <c r="E478" t="s">
        <v>8</v>
      </c>
    </row>
    <row r="479" spans="1:5" x14ac:dyDescent="0.55000000000000004">
      <c r="A479" t="s">
        <v>1003</v>
      </c>
      <c r="B479" t="s">
        <v>1002</v>
      </c>
      <c r="C479" t="s">
        <v>10</v>
      </c>
      <c r="D479">
        <v>308233</v>
      </c>
      <c r="E479" t="s">
        <v>8</v>
      </c>
    </row>
    <row r="480" spans="1:5" x14ac:dyDescent="0.55000000000000004">
      <c r="A480" t="s">
        <v>2467</v>
      </c>
      <c r="B480" t="s">
        <v>2466</v>
      </c>
      <c r="C480" t="s">
        <v>10</v>
      </c>
      <c r="D480">
        <v>1525556</v>
      </c>
      <c r="E480" t="s">
        <v>8</v>
      </c>
    </row>
    <row r="481" spans="1:5" x14ac:dyDescent="0.55000000000000004">
      <c r="A481" t="s">
        <v>1005</v>
      </c>
      <c r="B481" t="s">
        <v>1004</v>
      </c>
      <c r="C481" t="s">
        <v>10</v>
      </c>
      <c r="D481">
        <v>409320</v>
      </c>
      <c r="E481" t="s">
        <v>8</v>
      </c>
    </row>
    <row r="482" spans="1:5" x14ac:dyDescent="0.55000000000000004">
      <c r="A482" t="s">
        <v>1501</v>
      </c>
      <c r="B482" t="s">
        <v>1500</v>
      </c>
      <c r="C482" t="s">
        <v>10</v>
      </c>
      <c r="D482">
        <v>776271</v>
      </c>
      <c r="E482" t="s">
        <v>8</v>
      </c>
    </row>
    <row r="483" spans="1:5" x14ac:dyDescent="0.55000000000000004">
      <c r="A483" t="s">
        <v>1671</v>
      </c>
      <c r="B483" t="s">
        <v>1670</v>
      </c>
      <c r="C483" t="s">
        <v>10</v>
      </c>
      <c r="D483">
        <v>3042788</v>
      </c>
      <c r="E483" t="s">
        <v>8</v>
      </c>
    </row>
    <row r="484" spans="1:5" x14ac:dyDescent="0.55000000000000004">
      <c r="A484" t="s">
        <v>3347</v>
      </c>
      <c r="B484" t="s">
        <v>3346</v>
      </c>
      <c r="C484" t="s">
        <v>10</v>
      </c>
      <c r="D484">
        <v>921946</v>
      </c>
      <c r="E484" t="s">
        <v>8</v>
      </c>
    </row>
    <row r="485" spans="1:5" x14ac:dyDescent="0.55000000000000004">
      <c r="A485" t="s">
        <v>565</v>
      </c>
      <c r="B485" t="s">
        <v>564</v>
      </c>
      <c r="C485" t="s">
        <v>10</v>
      </c>
      <c r="D485">
        <v>637545</v>
      </c>
      <c r="E485" t="s">
        <v>8</v>
      </c>
    </row>
    <row r="486" spans="1:5" x14ac:dyDescent="0.55000000000000004">
      <c r="A486" t="s">
        <v>2823</v>
      </c>
      <c r="B486" t="s">
        <v>2824</v>
      </c>
      <c r="C486" t="s">
        <v>10</v>
      </c>
      <c r="D486">
        <v>163209</v>
      </c>
      <c r="E486" t="s">
        <v>8</v>
      </c>
    </row>
    <row r="487" spans="1:5" x14ac:dyDescent="0.55000000000000004">
      <c r="A487" t="s">
        <v>3353</v>
      </c>
      <c r="B487" t="s">
        <v>3352</v>
      </c>
      <c r="C487" t="s">
        <v>76</v>
      </c>
      <c r="D487">
        <v>754739</v>
      </c>
      <c r="E487" t="s">
        <v>8</v>
      </c>
    </row>
    <row r="488" spans="1:5" x14ac:dyDescent="0.55000000000000004">
      <c r="A488" t="s">
        <v>1246</v>
      </c>
      <c r="B488" t="s">
        <v>1245</v>
      </c>
      <c r="C488" t="s">
        <v>41</v>
      </c>
      <c r="D488">
        <v>2591048</v>
      </c>
      <c r="E488" t="s">
        <v>8</v>
      </c>
    </row>
    <row r="489" spans="1:5" x14ac:dyDescent="0.55000000000000004">
      <c r="A489" t="s">
        <v>2178</v>
      </c>
      <c r="B489" t="s">
        <v>2177</v>
      </c>
      <c r="C489" t="s">
        <v>10</v>
      </c>
      <c r="D489">
        <v>2357026</v>
      </c>
      <c r="E489" t="s">
        <v>8</v>
      </c>
    </row>
    <row r="490" spans="1:5" x14ac:dyDescent="0.55000000000000004">
      <c r="A490" t="s">
        <v>2825</v>
      </c>
      <c r="B490" t="s">
        <v>2826</v>
      </c>
      <c r="C490" t="s">
        <v>13</v>
      </c>
      <c r="D490">
        <v>510743</v>
      </c>
      <c r="E490" t="s">
        <v>8</v>
      </c>
    </row>
    <row r="491" spans="1:5" x14ac:dyDescent="0.55000000000000004">
      <c r="A491" t="s">
        <v>194</v>
      </c>
      <c r="B491" t="s">
        <v>193</v>
      </c>
      <c r="C491" t="s">
        <v>10</v>
      </c>
      <c r="D491">
        <v>3560593</v>
      </c>
      <c r="E491" t="s">
        <v>8</v>
      </c>
    </row>
    <row r="492" spans="1:5" x14ac:dyDescent="0.55000000000000004">
      <c r="A492" t="s">
        <v>3053</v>
      </c>
      <c r="B492" t="s">
        <v>3052</v>
      </c>
      <c r="C492" t="s">
        <v>10</v>
      </c>
      <c r="D492">
        <v>6195383</v>
      </c>
      <c r="E492" t="s">
        <v>8</v>
      </c>
    </row>
    <row r="493" spans="1:5" x14ac:dyDescent="0.55000000000000004">
      <c r="A493" t="s">
        <v>2827</v>
      </c>
      <c r="B493" t="s">
        <v>2828</v>
      </c>
      <c r="C493" t="s">
        <v>10</v>
      </c>
      <c r="D493">
        <v>3848816</v>
      </c>
      <c r="E493" t="s">
        <v>8</v>
      </c>
    </row>
    <row r="494" spans="1:5" x14ac:dyDescent="0.55000000000000004">
      <c r="A494" t="s">
        <v>571</v>
      </c>
      <c r="B494" t="s">
        <v>570</v>
      </c>
      <c r="C494" t="s">
        <v>10</v>
      </c>
      <c r="D494">
        <v>548127</v>
      </c>
      <c r="E494" t="s">
        <v>8</v>
      </c>
    </row>
    <row r="495" spans="1:5" x14ac:dyDescent="0.55000000000000004">
      <c r="A495" t="s">
        <v>3359</v>
      </c>
      <c r="B495" t="s">
        <v>3358</v>
      </c>
      <c r="C495" t="s">
        <v>10</v>
      </c>
      <c r="D495">
        <v>426790</v>
      </c>
      <c r="E495" t="s">
        <v>8</v>
      </c>
    </row>
    <row r="496" spans="1:5" x14ac:dyDescent="0.55000000000000004">
      <c r="A496" t="s">
        <v>3363</v>
      </c>
      <c r="B496" t="s">
        <v>3362</v>
      </c>
      <c r="C496" t="s">
        <v>10</v>
      </c>
      <c r="D496">
        <v>987405</v>
      </c>
      <c r="E496" t="s">
        <v>8</v>
      </c>
    </row>
    <row r="497" spans="1:5" x14ac:dyDescent="0.55000000000000004">
      <c r="A497" t="s">
        <v>3365</v>
      </c>
      <c r="B497" t="s">
        <v>3364</v>
      </c>
      <c r="C497" t="s">
        <v>10</v>
      </c>
      <c r="D497">
        <v>412727</v>
      </c>
      <c r="E497" t="s">
        <v>8</v>
      </c>
    </row>
    <row r="498" spans="1:5" x14ac:dyDescent="0.55000000000000004">
      <c r="A498" t="s">
        <v>1017</v>
      </c>
      <c r="B498" t="s">
        <v>1016</v>
      </c>
      <c r="C498" t="s">
        <v>10</v>
      </c>
      <c r="D498">
        <v>1489712</v>
      </c>
      <c r="E498" t="s">
        <v>8</v>
      </c>
    </row>
    <row r="499" spans="1:5" x14ac:dyDescent="0.55000000000000004">
      <c r="A499" t="s">
        <v>3057</v>
      </c>
      <c r="B499" t="s">
        <v>3056</v>
      </c>
      <c r="C499" t="s">
        <v>10</v>
      </c>
      <c r="D499">
        <v>6284370</v>
      </c>
      <c r="E499" t="s">
        <v>8</v>
      </c>
    </row>
    <row r="500" spans="1:5" x14ac:dyDescent="0.55000000000000004">
      <c r="A500" t="s">
        <v>3059</v>
      </c>
      <c r="B500" t="s">
        <v>3058</v>
      </c>
      <c r="C500" t="s">
        <v>6</v>
      </c>
      <c r="D500">
        <v>785902</v>
      </c>
      <c r="E500" t="s">
        <v>8</v>
      </c>
    </row>
    <row r="501" spans="1:5" x14ac:dyDescent="0.55000000000000004">
      <c r="A501" t="s">
        <v>3372</v>
      </c>
      <c r="B501" t="s">
        <v>3371</v>
      </c>
      <c r="C501" t="s">
        <v>76</v>
      </c>
      <c r="D501">
        <v>136270</v>
      </c>
      <c r="E501" t="s">
        <v>8</v>
      </c>
    </row>
    <row r="502" spans="1:5" x14ac:dyDescent="0.55000000000000004">
      <c r="A502" t="s">
        <v>3374</v>
      </c>
      <c r="B502" t="s">
        <v>3373</v>
      </c>
      <c r="C502" t="s">
        <v>10</v>
      </c>
      <c r="D502">
        <v>325270</v>
      </c>
      <c r="E502" t="s">
        <v>8</v>
      </c>
    </row>
    <row r="503" spans="1:5" x14ac:dyDescent="0.55000000000000004">
      <c r="A503" t="s">
        <v>2829</v>
      </c>
      <c r="B503" t="s">
        <v>2830</v>
      </c>
      <c r="C503" t="s">
        <v>141</v>
      </c>
      <c r="D503">
        <v>912792</v>
      </c>
      <c r="E503" t="s">
        <v>8</v>
      </c>
    </row>
    <row r="504" spans="1:5" x14ac:dyDescent="0.55000000000000004">
      <c r="A504" t="s">
        <v>3528</v>
      </c>
      <c r="B504" t="s">
        <v>3527</v>
      </c>
      <c r="C504" t="s">
        <v>41</v>
      </c>
      <c r="D504">
        <v>690670</v>
      </c>
      <c r="E504" t="s">
        <v>8</v>
      </c>
    </row>
    <row r="505" spans="1:5" x14ac:dyDescent="0.55000000000000004">
      <c r="A505" t="s">
        <v>2195</v>
      </c>
      <c r="B505" t="s">
        <v>2194</v>
      </c>
      <c r="C505" t="s">
        <v>10</v>
      </c>
      <c r="D505">
        <v>577632</v>
      </c>
      <c r="E505" t="s">
        <v>8</v>
      </c>
    </row>
    <row r="506" spans="1:5" x14ac:dyDescent="0.55000000000000004">
      <c r="A506" t="s">
        <v>1505</v>
      </c>
      <c r="B506" t="s">
        <v>1589</v>
      </c>
      <c r="C506" t="s">
        <v>10</v>
      </c>
      <c r="D506">
        <v>720914</v>
      </c>
      <c r="E506" t="s">
        <v>8</v>
      </c>
    </row>
    <row r="507" spans="1:5" x14ac:dyDescent="0.55000000000000004">
      <c r="A507" t="s">
        <v>3376</v>
      </c>
      <c r="B507" t="s">
        <v>3375</v>
      </c>
      <c r="C507" t="s">
        <v>10</v>
      </c>
      <c r="D507">
        <v>783560</v>
      </c>
      <c r="E507" t="s">
        <v>8</v>
      </c>
    </row>
    <row r="508" spans="1:5" x14ac:dyDescent="0.55000000000000004">
      <c r="A508" t="s">
        <v>2206</v>
      </c>
      <c r="B508" t="s">
        <v>2205</v>
      </c>
      <c r="C508" t="s">
        <v>10</v>
      </c>
      <c r="D508">
        <v>1549398</v>
      </c>
      <c r="E508" t="s">
        <v>8</v>
      </c>
    </row>
    <row r="509" spans="1:5" x14ac:dyDescent="0.55000000000000004">
      <c r="A509" t="s">
        <v>1023</v>
      </c>
      <c r="B509" t="s">
        <v>1022</v>
      </c>
      <c r="C509" t="s">
        <v>10</v>
      </c>
      <c r="D509">
        <v>2556840</v>
      </c>
      <c r="E509" t="s">
        <v>8</v>
      </c>
    </row>
    <row r="510" spans="1:5" x14ac:dyDescent="0.55000000000000004">
      <c r="A510" t="s">
        <v>2833</v>
      </c>
      <c r="B510" t="s">
        <v>1268</v>
      </c>
      <c r="C510" t="s">
        <v>26</v>
      </c>
      <c r="D510">
        <v>1076857</v>
      </c>
      <c r="E510" t="s">
        <v>8</v>
      </c>
    </row>
    <row r="511" spans="1:5" x14ac:dyDescent="0.55000000000000004">
      <c r="A511" t="s">
        <v>2487</v>
      </c>
      <c r="B511" t="s">
        <v>2486</v>
      </c>
      <c r="C511" t="s">
        <v>10</v>
      </c>
      <c r="D511">
        <v>1748026</v>
      </c>
      <c r="E511" t="s">
        <v>8</v>
      </c>
    </row>
    <row r="512" spans="1:5" x14ac:dyDescent="0.55000000000000004">
      <c r="A512" t="s">
        <v>1280</v>
      </c>
      <c r="B512" t="s">
        <v>1279</v>
      </c>
      <c r="C512" t="s">
        <v>10</v>
      </c>
      <c r="D512">
        <v>468217</v>
      </c>
      <c r="E512" t="s">
        <v>8</v>
      </c>
    </row>
    <row r="513" spans="1:5" x14ac:dyDescent="0.55000000000000004">
      <c r="A513" t="s">
        <v>1910</v>
      </c>
      <c r="B513" t="s">
        <v>1909</v>
      </c>
      <c r="C513" t="s">
        <v>10</v>
      </c>
      <c r="D513">
        <v>3484633</v>
      </c>
      <c r="E513" t="s">
        <v>8</v>
      </c>
    </row>
    <row r="514" spans="1:5" x14ac:dyDescent="0.55000000000000004">
      <c r="A514" t="s">
        <v>2217</v>
      </c>
      <c r="B514" t="s">
        <v>2216</v>
      </c>
      <c r="C514" t="s">
        <v>6</v>
      </c>
      <c r="D514">
        <v>317860</v>
      </c>
      <c r="E514" t="s">
        <v>8</v>
      </c>
    </row>
    <row r="515" spans="1:5" x14ac:dyDescent="0.55000000000000004">
      <c r="A515" t="s">
        <v>2836</v>
      </c>
      <c r="B515" t="s">
        <v>2837</v>
      </c>
      <c r="C515" t="s">
        <v>13</v>
      </c>
      <c r="D515">
        <v>302613</v>
      </c>
      <c r="E515" t="s">
        <v>8</v>
      </c>
    </row>
    <row r="516" spans="1:5" x14ac:dyDescent="0.55000000000000004">
      <c r="A516" t="s">
        <v>587</v>
      </c>
      <c r="B516" t="s">
        <v>586</v>
      </c>
      <c r="C516" t="s">
        <v>10</v>
      </c>
      <c r="D516">
        <v>811610</v>
      </c>
      <c r="E516" t="s">
        <v>8</v>
      </c>
    </row>
    <row r="517" spans="1:5" x14ac:dyDescent="0.55000000000000004">
      <c r="A517" t="s">
        <v>2223</v>
      </c>
      <c r="B517" t="s">
        <v>2222</v>
      </c>
      <c r="C517" t="s">
        <v>10</v>
      </c>
      <c r="D517">
        <v>1431458</v>
      </c>
      <c r="E517" t="s">
        <v>8</v>
      </c>
    </row>
    <row r="518" spans="1:5" x14ac:dyDescent="0.55000000000000004">
      <c r="A518" t="s">
        <v>1915</v>
      </c>
      <c r="B518" t="s">
        <v>1914</v>
      </c>
      <c r="C518" t="s">
        <v>10</v>
      </c>
      <c r="D518">
        <v>973455</v>
      </c>
      <c r="E518" t="s">
        <v>8</v>
      </c>
    </row>
    <row r="519" spans="1:5" x14ac:dyDescent="0.55000000000000004">
      <c r="A519" t="s">
        <v>2840</v>
      </c>
      <c r="B519" t="s">
        <v>2841</v>
      </c>
      <c r="C519" t="s">
        <v>10</v>
      </c>
      <c r="D519">
        <v>2560315</v>
      </c>
      <c r="E519" t="s">
        <v>8</v>
      </c>
    </row>
    <row r="520" spans="1:5" x14ac:dyDescent="0.55000000000000004">
      <c r="A520" t="s">
        <v>3390</v>
      </c>
      <c r="B520" t="s">
        <v>3389</v>
      </c>
      <c r="C520" t="s">
        <v>10</v>
      </c>
      <c r="D520">
        <v>639979</v>
      </c>
      <c r="E520" t="s">
        <v>8</v>
      </c>
    </row>
    <row r="521" spans="1:5" x14ac:dyDescent="0.55000000000000004">
      <c r="A521" t="s">
        <v>2842</v>
      </c>
      <c r="B521" t="s">
        <v>2843</v>
      </c>
      <c r="C521" t="s">
        <v>10</v>
      </c>
      <c r="D521">
        <v>1035117</v>
      </c>
      <c r="E521" t="s">
        <v>8</v>
      </c>
    </row>
    <row r="522" spans="1:5" x14ac:dyDescent="0.55000000000000004">
      <c r="A522" t="s">
        <v>1921</v>
      </c>
      <c r="B522" t="s">
        <v>1920</v>
      </c>
      <c r="C522" t="s">
        <v>10</v>
      </c>
      <c r="D522">
        <v>3579286</v>
      </c>
      <c r="E522" t="s">
        <v>8</v>
      </c>
    </row>
    <row r="523" spans="1:5" x14ac:dyDescent="0.55000000000000004">
      <c r="A523" t="s">
        <v>2225</v>
      </c>
      <c r="B523" t="s">
        <v>2224</v>
      </c>
      <c r="C523" t="s">
        <v>10</v>
      </c>
      <c r="D523">
        <v>3312952</v>
      </c>
      <c r="E523" t="s">
        <v>8</v>
      </c>
    </row>
    <row r="524" spans="1:5" x14ac:dyDescent="0.55000000000000004">
      <c r="A524" t="s">
        <v>3442</v>
      </c>
      <c r="B524" t="s">
        <v>3441</v>
      </c>
      <c r="C524" t="s">
        <v>13</v>
      </c>
      <c r="D524">
        <v>531310</v>
      </c>
      <c r="E524" t="s">
        <v>8</v>
      </c>
    </row>
    <row r="525" spans="1:5" x14ac:dyDescent="0.55000000000000004">
      <c r="A525" t="s">
        <v>3397</v>
      </c>
      <c r="B525" t="s">
        <v>3396</v>
      </c>
      <c r="C525" t="s">
        <v>10</v>
      </c>
      <c r="D525">
        <v>2051280</v>
      </c>
      <c r="E525" t="s">
        <v>8</v>
      </c>
    </row>
    <row r="526" spans="1:5" x14ac:dyDescent="0.55000000000000004">
      <c r="A526" t="s">
        <v>2846</v>
      </c>
      <c r="B526" t="s">
        <v>3402</v>
      </c>
      <c r="C526" t="s">
        <v>10</v>
      </c>
      <c r="D526">
        <v>2245127</v>
      </c>
      <c r="E526" t="s">
        <v>8</v>
      </c>
    </row>
    <row r="527" spans="1:5" x14ac:dyDescent="0.55000000000000004">
      <c r="A527" t="s">
        <v>142</v>
      </c>
      <c r="B527" t="s">
        <v>140</v>
      </c>
      <c r="C527" t="s">
        <v>141</v>
      </c>
      <c r="D527">
        <v>3040551</v>
      </c>
      <c r="E527" t="s">
        <v>8</v>
      </c>
    </row>
    <row r="528" spans="1:5" x14ac:dyDescent="0.55000000000000004">
      <c r="A528" t="s">
        <v>3399</v>
      </c>
      <c r="B528" t="s">
        <v>3398</v>
      </c>
      <c r="C528" t="s">
        <v>10</v>
      </c>
      <c r="D528">
        <v>29880</v>
      </c>
      <c r="E528" t="s">
        <v>8</v>
      </c>
    </row>
    <row r="529" spans="1:5" x14ac:dyDescent="0.55000000000000004">
      <c r="A529" t="s">
        <v>2241</v>
      </c>
      <c r="B529" t="s">
        <v>2240</v>
      </c>
      <c r="C529" t="s">
        <v>10</v>
      </c>
      <c r="D529">
        <v>1901870</v>
      </c>
      <c r="E529" t="s">
        <v>8</v>
      </c>
    </row>
    <row r="530" spans="1:5" x14ac:dyDescent="0.55000000000000004">
      <c r="A530" t="s">
        <v>2501</v>
      </c>
      <c r="B530" t="s">
        <v>2500</v>
      </c>
      <c r="C530" t="s">
        <v>10</v>
      </c>
      <c r="D530">
        <v>5594500</v>
      </c>
      <c r="E530" t="s">
        <v>8</v>
      </c>
    </row>
    <row r="531" spans="1:5" x14ac:dyDescent="0.55000000000000004">
      <c r="A531" t="s">
        <v>1514</v>
      </c>
      <c r="B531" t="s">
        <v>1513</v>
      </c>
      <c r="C531" t="s">
        <v>10</v>
      </c>
      <c r="D531">
        <v>264007</v>
      </c>
      <c r="E531" t="s">
        <v>8</v>
      </c>
    </row>
    <row r="532" spans="1:5" x14ac:dyDescent="0.55000000000000004">
      <c r="A532" t="s">
        <v>2850</v>
      </c>
      <c r="B532" t="s">
        <v>2851</v>
      </c>
      <c r="C532" t="s">
        <v>10</v>
      </c>
      <c r="D532">
        <v>1374227</v>
      </c>
      <c r="E532" t="s">
        <v>8</v>
      </c>
    </row>
    <row r="533" spans="1:5" x14ac:dyDescent="0.55000000000000004">
      <c r="A533" t="s">
        <v>3082</v>
      </c>
      <c r="B533" t="s">
        <v>3081</v>
      </c>
      <c r="C533" t="s">
        <v>6</v>
      </c>
      <c r="D533">
        <v>4054113</v>
      </c>
      <c r="E533" t="s">
        <v>8</v>
      </c>
    </row>
    <row r="534" spans="1:5" x14ac:dyDescent="0.55000000000000004">
      <c r="A534" t="s">
        <v>617</v>
      </c>
      <c r="B534" t="s">
        <v>616</v>
      </c>
      <c r="C534" t="s">
        <v>10</v>
      </c>
      <c r="D534">
        <v>254439</v>
      </c>
      <c r="E534" t="s">
        <v>8</v>
      </c>
    </row>
    <row r="535" spans="1:5" x14ac:dyDescent="0.55000000000000004">
      <c r="A535" t="s">
        <v>3408</v>
      </c>
      <c r="B535" t="s">
        <v>3407</v>
      </c>
      <c r="C535" t="s">
        <v>10</v>
      </c>
      <c r="D535">
        <v>1174164</v>
      </c>
      <c r="E535" t="s">
        <v>8</v>
      </c>
    </row>
    <row r="536" spans="1:5" x14ac:dyDescent="0.55000000000000004">
      <c r="A536" t="s">
        <v>1039</v>
      </c>
      <c r="B536" t="s">
        <v>1038</v>
      </c>
      <c r="C536" t="s">
        <v>10</v>
      </c>
      <c r="D536">
        <v>1151657</v>
      </c>
      <c r="E536" t="s">
        <v>8</v>
      </c>
    </row>
    <row r="537" spans="1:5" x14ac:dyDescent="0.55000000000000004">
      <c r="A537" t="s">
        <v>273</v>
      </c>
      <c r="B537" t="s">
        <v>272</v>
      </c>
      <c r="C537" t="s">
        <v>10</v>
      </c>
      <c r="D537">
        <v>424283</v>
      </c>
      <c r="E537" t="s">
        <v>8</v>
      </c>
    </row>
    <row r="538" spans="1:5" x14ac:dyDescent="0.55000000000000004">
      <c r="A538" t="s">
        <v>3414</v>
      </c>
      <c r="B538" t="s">
        <v>3413</v>
      </c>
      <c r="C538" t="s">
        <v>10</v>
      </c>
      <c r="D538">
        <v>253566</v>
      </c>
      <c r="E538" t="s">
        <v>8</v>
      </c>
    </row>
    <row r="539" spans="1:5" x14ac:dyDescent="0.55000000000000004">
      <c r="A539" t="s">
        <v>3412</v>
      </c>
      <c r="B539" t="s">
        <v>3411</v>
      </c>
      <c r="C539" t="s">
        <v>10</v>
      </c>
      <c r="D539">
        <v>1074960</v>
      </c>
      <c r="E539" t="s">
        <v>8</v>
      </c>
    </row>
    <row r="540" spans="1:5" x14ac:dyDescent="0.55000000000000004">
      <c r="A540" t="s">
        <v>2852</v>
      </c>
      <c r="B540" t="s">
        <v>2853</v>
      </c>
      <c r="C540" t="s">
        <v>10</v>
      </c>
      <c r="D540">
        <v>3916905</v>
      </c>
      <c r="E540" t="s">
        <v>8</v>
      </c>
    </row>
    <row r="541" spans="1:5" x14ac:dyDescent="0.55000000000000004">
      <c r="A541" t="s">
        <v>3417</v>
      </c>
      <c r="B541" t="s">
        <v>3416</v>
      </c>
      <c r="C541" t="s">
        <v>10</v>
      </c>
      <c r="D541">
        <v>1873298</v>
      </c>
      <c r="E541" t="s">
        <v>8</v>
      </c>
    </row>
    <row r="542" spans="1:5" x14ac:dyDescent="0.55000000000000004">
      <c r="A542" t="s">
        <v>621</v>
      </c>
      <c r="B542" t="s">
        <v>620</v>
      </c>
      <c r="C542" t="s">
        <v>10</v>
      </c>
      <c r="D542">
        <v>293287</v>
      </c>
      <c r="E542" t="s">
        <v>8</v>
      </c>
    </row>
    <row r="543" spans="1:5" x14ac:dyDescent="0.55000000000000004">
      <c r="A543" t="s">
        <v>2854</v>
      </c>
      <c r="B543" t="s">
        <v>2855</v>
      </c>
      <c r="C543" t="s">
        <v>10</v>
      </c>
      <c r="D543">
        <v>3123252</v>
      </c>
      <c r="E543" t="s">
        <v>8</v>
      </c>
    </row>
    <row r="544" spans="1:5" x14ac:dyDescent="0.55000000000000004">
      <c r="A544" t="s">
        <v>861</v>
      </c>
      <c r="B544" t="s">
        <v>860</v>
      </c>
      <c r="C544" t="s">
        <v>10</v>
      </c>
      <c r="D544">
        <v>1750324</v>
      </c>
      <c r="E544" t="s">
        <v>8</v>
      </c>
    </row>
    <row r="545" spans="1:5" x14ac:dyDescent="0.55000000000000004">
      <c r="A545" t="s">
        <v>3088</v>
      </c>
      <c r="B545" t="s">
        <v>3087</v>
      </c>
      <c r="C545" t="s">
        <v>10</v>
      </c>
      <c r="D545">
        <v>1717555</v>
      </c>
      <c r="E545" t="s">
        <v>8</v>
      </c>
    </row>
    <row r="546" spans="1:5" x14ac:dyDescent="0.55000000000000004">
      <c r="A546" t="s">
        <v>1322</v>
      </c>
      <c r="B546" t="s">
        <v>1321</v>
      </c>
      <c r="C546" t="s">
        <v>10</v>
      </c>
      <c r="D546">
        <v>1652614</v>
      </c>
      <c r="E546" t="s">
        <v>8</v>
      </c>
    </row>
    <row r="547" spans="1:5" x14ac:dyDescent="0.55000000000000004">
      <c r="A547" t="s">
        <v>1324</v>
      </c>
      <c r="B547" t="s">
        <v>1323</v>
      </c>
      <c r="C547" t="s">
        <v>10</v>
      </c>
      <c r="D547">
        <v>1405206</v>
      </c>
      <c r="E547" t="s">
        <v>8</v>
      </c>
    </row>
    <row r="548" spans="1:5" x14ac:dyDescent="0.55000000000000004">
      <c r="A548" t="s">
        <v>3424</v>
      </c>
      <c r="B548" t="s">
        <v>3423</v>
      </c>
      <c r="C548" t="s">
        <v>10</v>
      </c>
      <c r="D548">
        <v>978368</v>
      </c>
      <c r="E548" t="s">
        <v>8</v>
      </c>
    </row>
    <row r="549" spans="1:5" x14ac:dyDescent="0.55000000000000004">
      <c r="A549" t="s">
        <v>3419</v>
      </c>
      <c r="B549" t="s">
        <v>3418</v>
      </c>
      <c r="C549" t="s">
        <v>10</v>
      </c>
      <c r="D549">
        <v>322624</v>
      </c>
      <c r="E549" t="s">
        <v>8</v>
      </c>
    </row>
    <row r="550" spans="1:5" x14ac:dyDescent="0.55000000000000004">
      <c r="A550" t="s">
        <v>285</v>
      </c>
      <c r="B550" t="s">
        <v>284</v>
      </c>
      <c r="C550" t="s">
        <v>10</v>
      </c>
      <c r="D550">
        <v>589527</v>
      </c>
      <c r="E550" t="s">
        <v>8</v>
      </c>
    </row>
    <row r="551" spans="1:5" x14ac:dyDescent="0.55000000000000004">
      <c r="A551" t="s">
        <v>627</v>
      </c>
      <c r="B551" t="s">
        <v>3422</v>
      </c>
      <c r="C551" t="s">
        <v>41</v>
      </c>
      <c r="D551">
        <v>279154</v>
      </c>
      <c r="E551" t="s">
        <v>8</v>
      </c>
    </row>
    <row r="552" spans="1:5" x14ac:dyDescent="0.55000000000000004">
      <c r="A552" t="s">
        <v>3094</v>
      </c>
      <c r="B552" t="s">
        <v>3093</v>
      </c>
      <c r="C552" t="s">
        <v>10</v>
      </c>
      <c r="D552">
        <v>549644</v>
      </c>
      <c r="E552" t="s">
        <v>8</v>
      </c>
    </row>
    <row r="553" spans="1:5" x14ac:dyDescent="0.55000000000000004">
      <c r="A553" t="s">
        <v>1699</v>
      </c>
      <c r="B553" t="s">
        <v>1698</v>
      </c>
      <c r="C553" t="s">
        <v>6</v>
      </c>
      <c r="D553">
        <v>207130</v>
      </c>
      <c r="E553" t="s">
        <v>8</v>
      </c>
    </row>
    <row r="554" spans="1:5" x14ac:dyDescent="0.55000000000000004">
      <c r="A554" t="s">
        <v>2512</v>
      </c>
      <c r="B554" t="s">
        <v>2511</v>
      </c>
      <c r="C554" t="s">
        <v>2452</v>
      </c>
      <c r="D554">
        <v>333204</v>
      </c>
      <c r="E554" t="s">
        <v>8</v>
      </c>
    </row>
    <row r="555" spans="1:5" x14ac:dyDescent="0.55000000000000004">
      <c r="A555" t="s">
        <v>2250</v>
      </c>
      <c r="B555" t="s">
        <v>2249</v>
      </c>
      <c r="C555" t="s">
        <v>10</v>
      </c>
      <c r="D555">
        <v>1597446</v>
      </c>
      <c r="E555" t="s">
        <v>8</v>
      </c>
    </row>
    <row r="556" spans="1:5" x14ac:dyDescent="0.55000000000000004">
      <c r="A556" t="s">
        <v>3426</v>
      </c>
      <c r="B556" t="s">
        <v>3425</v>
      </c>
      <c r="C556" t="s">
        <v>1483</v>
      </c>
      <c r="D556">
        <v>852532</v>
      </c>
      <c r="E556" t="s">
        <v>8</v>
      </c>
    </row>
    <row r="557" spans="1:5" x14ac:dyDescent="0.55000000000000004">
      <c r="A557" t="s">
        <v>1053</v>
      </c>
      <c r="B557" t="s">
        <v>1052</v>
      </c>
      <c r="C557" t="s">
        <v>10</v>
      </c>
      <c r="D557">
        <v>278659</v>
      </c>
      <c r="E557" t="s">
        <v>8</v>
      </c>
    </row>
    <row r="558" spans="1:5" x14ac:dyDescent="0.55000000000000004">
      <c r="A558" t="s">
        <v>3440</v>
      </c>
      <c r="B558" t="s">
        <v>3439</v>
      </c>
      <c r="C558" t="s">
        <v>10</v>
      </c>
      <c r="D558">
        <v>1123094</v>
      </c>
      <c r="E558" t="s">
        <v>8</v>
      </c>
    </row>
    <row r="559" spans="1:5" x14ac:dyDescent="0.55000000000000004">
      <c r="A559" t="s">
        <v>633</v>
      </c>
      <c r="B559" t="s">
        <v>632</v>
      </c>
      <c r="C559" t="s">
        <v>10</v>
      </c>
      <c r="D559">
        <v>1136465</v>
      </c>
      <c r="E559" t="s">
        <v>8</v>
      </c>
    </row>
    <row r="560" spans="1:5" x14ac:dyDescent="0.55000000000000004">
      <c r="A560" t="s">
        <v>2254</v>
      </c>
      <c r="B560" t="s">
        <v>2253</v>
      </c>
      <c r="C560" t="s">
        <v>10</v>
      </c>
      <c r="D560">
        <v>1388338</v>
      </c>
      <c r="E560" t="s">
        <v>8</v>
      </c>
    </row>
    <row r="561" spans="1:5" x14ac:dyDescent="0.55000000000000004">
      <c r="A561" t="s">
        <v>3176</v>
      </c>
      <c r="B561" t="s">
        <v>3175</v>
      </c>
      <c r="C561" t="s">
        <v>13</v>
      </c>
      <c r="D561">
        <v>963971</v>
      </c>
      <c r="E561" t="s">
        <v>8</v>
      </c>
    </row>
    <row r="562" spans="1:5" x14ac:dyDescent="0.55000000000000004">
      <c r="A562" t="s">
        <v>3102</v>
      </c>
      <c r="B562" t="s">
        <v>3101</v>
      </c>
      <c r="C562" t="s">
        <v>10</v>
      </c>
      <c r="D562">
        <v>745938</v>
      </c>
      <c r="E562" t="s">
        <v>8</v>
      </c>
    </row>
    <row r="563" spans="1:5" x14ac:dyDescent="0.55000000000000004">
      <c r="A563" t="s">
        <v>2524</v>
      </c>
      <c r="B563" t="s">
        <v>2523</v>
      </c>
      <c r="C563" t="s">
        <v>10</v>
      </c>
      <c r="D563">
        <v>2440591</v>
      </c>
      <c r="E563" t="s">
        <v>8</v>
      </c>
    </row>
    <row r="564" spans="1:5" x14ac:dyDescent="0.55000000000000004">
      <c r="A564" t="s">
        <v>1059</v>
      </c>
      <c r="B564" t="s">
        <v>1058</v>
      </c>
      <c r="C564" t="s">
        <v>10</v>
      </c>
      <c r="D564">
        <v>1371903</v>
      </c>
      <c r="E564" t="s">
        <v>8</v>
      </c>
    </row>
    <row r="565" spans="1:5" x14ac:dyDescent="0.55000000000000004">
      <c r="A565" t="s">
        <v>2860</v>
      </c>
      <c r="B565" t="s">
        <v>2861</v>
      </c>
      <c r="C565" t="s">
        <v>10</v>
      </c>
      <c r="D565">
        <v>968376</v>
      </c>
      <c r="E565" t="s">
        <v>8</v>
      </c>
    </row>
    <row r="566" spans="1:5" x14ac:dyDescent="0.55000000000000004">
      <c r="A566" t="s">
        <v>3134</v>
      </c>
      <c r="B566" t="s">
        <v>3133</v>
      </c>
      <c r="C566" t="s">
        <v>10</v>
      </c>
      <c r="D566">
        <v>940038</v>
      </c>
      <c r="E566" t="s">
        <v>8</v>
      </c>
    </row>
    <row r="567" spans="1:5" x14ac:dyDescent="0.55000000000000004">
      <c r="A567" t="s">
        <v>2862</v>
      </c>
      <c r="B567" t="s">
        <v>2863</v>
      </c>
      <c r="C567" t="s">
        <v>10</v>
      </c>
      <c r="D567">
        <v>505672</v>
      </c>
      <c r="E567" t="s">
        <v>8</v>
      </c>
    </row>
    <row r="568" spans="1:5" x14ac:dyDescent="0.55000000000000004">
      <c r="A568" t="s">
        <v>1958</v>
      </c>
      <c r="B568" t="s">
        <v>1957</v>
      </c>
      <c r="C568" t="s">
        <v>10</v>
      </c>
      <c r="D568">
        <v>2715588</v>
      </c>
      <c r="E568" t="s">
        <v>8</v>
      </c>
    </row>
    <row r="569" spans="1:5" x14ac:dyDescent="0.55000000000000004">
      <c r="A569" t="s">
        <v>3444</v>
      </c>
      <c r="B569" t="s">
        <v>3443</v>
      </c>
      <c r="C569" t="s">
        <v>13</v>
      </c>
      <c r="D569">
        <v>216621</v>
      </c>
      <c r="E569" t="s">
        <v>8</v>
      </c>
    </row>
    <row r="570" spans="1:5" x14ac:dyDescent="0.55000000000000004">
      <c r="A570" t="s">
        <v>2866</v>
      </c>
      <c r="B570" t="s">
        <v>2867</v>
      </c>
      <c r="C570" t="s">
        <v>10</v>
      </c>
      <c r="D570">
        <v>2456901</v>
      </c>
      <c r="E570" t="s">
        <v>8</v>
      </c>
    </row>
    <row r="571" spans="1:5" x14ac:dyDescent="0.55000000000000004">
      <c r="A571" t="s">
        <v>3446</v>
      </c>
      <c r="B571" t="s">
        <v>3445</v>
      </c>
      <c r="C571" t="s">
        <v>10</v>
      </c>
      <c r="D571">
        <v>529686</v>
      </c>
      <c r="E571" t="s">
        <v>8</v>
      </c>
    </row>
    <row r="572" spans="1:5" x14ac:dyDescent="0.55000000000000004">
      <c r="A572" t="s">
        <v>1724</v>
      </c>
      <c r="B572" t="s">
        <v>1723</v>
      </c>
      <c r="C572" t="s">
        <v>10</v>
      </c>
      <c r="D572">
        <v>329492</v>
      </c>
      <c r="E572" t="s">
        <v>8</v>
      </c>
    </row>
    <row r="573" spans="1:5" x14ac:dyDescent="0.55000000000000004">
      <c r="A573" t="s">
        <v>2284</v>
      </c>
      <c r="B573" t="s">
        <v>2283</v>
      </c>
      <c r="C573" t="s">
        <v>10</v>
      </c>
      <c r="D573">
        <v>3615132</v>
      </c>
      <c r="E573" t="s">
        <v>8</v>
      </c>
    </row>
    <row r="574" spans="1:5" x14ac:dyDescent="0.55000000000000004">
      <c r="A574" t="s">
        <v>3448</v>
      </c>
      <c r="B574" t="s">
        <v>3447</v>
      </c>
      <c r="C574" t="s">
        <v>10</v>
      </c>
      <c r="D574">
        <v>398308</v>
      </c>
      <c r="E574" t="s">
        <v>8</v>
      </c>
    </row>
    <row r="575" spans="1:5" x14ac:dyDescent="0.55000000000000004">
      <c r="A575" t="s">
        <v>3114</v>
      </c>
      <c r="B575" t="s">
        <v>3449</v>
      </c>
      <c r="C575" t="s">
        <v>10</v>
      </c>
      <c r="D575">
        <v>1255198</v>
      </c>
      <c r="E575" t="s">
        <v>8</v>
      </c>
    </row>
    <row r="576" spans="1:5" x14ac:dyDescent="0.55000000000000004">
      <c r="A576" t="s">
        <v>3451</v>
      </c>
      <c r="B576" t="s">
        <v>3450</v>
      </c>
      <c r="C576" t="s">
        <v>10</v>
      </c>
      <c r="D576">
        <v>1335003</v>
      </c>
      <c r="E576" t="s">
        <v>8</v>
      </c>
    </row>
    <row r="577" spans="1:5" x14ac:dyDescent="0.55000000000000004">
      <c r="A577" t="s">
        <v>3116</v>
      </c>
      <c r="B577" t="s">
        <v>3115</v>
      </c>
      <c r="C577" t="s">
        <v>10</v>
      </c>
      <c r="D577">
        <v>3008525</v>
      </c>
      <c r="E577" t="s">
        <v>8</v>
      </c>
    </row>
    <row r="578" spans="1:5" x14ac:dyDescent="0.55000000000000004">
      <c r="A578" t="s">
        <v>2538</v>
      </c>
      <c r="B578" t="s">
        <v>2537</v>
      </c>
      <c r="C578" t="s">
        <v>13</v>
      </c>
      <c r="D578">
        <v>218494</v>
      </c>
      <c r="E578" t="s">
        <v>8</v>
      </c>
    </row>
    <row r="579" spans="1:5" x14ac:dyDescent="0.55000000000000004">
      <c r="A579" t="s">
        <v>1964</v>
      </c>
      <c r="B579" t="s">
        <v>1963</v>
      </c>
      <c r="C579" t="s">
        <v>76</v>
      </c>
      <c r="D579">
        <v>1987361</v>
      </c>
      <c r="E579" t="s">
        <v>8</v>
      </c>
    </row>
    <row r="580" spans="1:5" x14ac:dyDescent="0.55000000000000004">
      <c r="A580" t="s">
        <v>771</v>
      </c>
      <c r="B580" t="s">
        <v>997</v>
      </c>
      <c r="C580" t="s">
        <v>10</v>
      </c>
      <c r="D580">
        <v>330848</v>
      </c>
      <c r="E580" t="s">
        <v>8</v>
      </c>
    </row>
    <row r="581" spans="1:5" x14ac:dyDescent="0.55000000000000004">
      <c r="A581" t="s">
        <v>2294</v>
      </c>
      <c r="B581" t="s">
        <v>2293</v>
      </c>
      <c r="C581" t="s">
        <v>10</v>
      </c>
      <c r="D581">
        <v>331762</v>
      </c>
      <c r="E581" t="s">
        <v>8</v>
      </c>
    </row>
    <row r="582" spans="1:5" x14ac:dyDescent="0.55000000000000004">
      <c r="A582" t="s">
        <v>335</v>
      </c>
      <c r="B582" t="s">
        <v>334</v>
      </c>
      <c r="C582" t="s">
        <v>10</v>
      </c>
      <c r="D582">
        <v>449695</v>
      </c>
      <c r="E582" t="s">
        <v>8</v>
      </c>
    </row>
    <row r="583" spans="1:5" x14ac:dyDescent="0.55000000000000004">
      <c r="A583" t="s">
        <v>1077</v>
      </c>
      <c r="B583" t="s">
        <v>1076</v>
      </c>
      <c r="C583" t="s">
        <v>10</v>
      </c>
      <c r="D583">
        <v>2065828</v>
      </c>
      <c r="E583" t="s">
        <v>8</v>
      </c>
    </row>
    <row r="584" spans="1:5" x14ac:dyDescent="0.55000000000000004">
      <c r="A584" t="s">
        <v>3464</v>
      </c>
      <c r="B584" t="s">
        <v>3463</v>
      </c>
      <c r="C584" t="s">
        <v>1317</v>
      </c>
      <c r="D584">
        <v>334953</v>
      </c>
      <c r="E584" t="s">
        <v>8</v>
      </c>
    </row>
    <row r="585" spans="1:5" x14ac:dyDescent="0.55000000000000004">
      <c r="A585" t="s">
        <v>3466</v>
      </c>
      <c r="B585" t="s">
        <v>3465</v>
      </c>
      <c r="C585" t="s">
        <v>10</v>
      </c>
      <c r="D585">
        <v>490605</v>
      </c>
      <c r="E585" t="s">
        <v>8</v>
      </c>
    </row>
    <row r="586" spans="1:5" x14ac:dyDescent="0.55000000000000004">
      <c r="A586" t="s">
        <v>1727</v>
      </c>
      <c r="B586" t="s">
        <v>1726</v>
      </c>
      <c r="C586" t="s">
        <v>10</v>
      </c>
      <c r="D586">
        <v>576906</v>
      </c>
      <c r="E586" t="s">
        <v>8</v>
      </c>
    </row>
    <row r="587" spans="1:5" x14ac:dyDescent="0.55000000000000004">
      <c r="A587" t="s">
        <v>2870</v>
      </c>
      <c r="B587" t="s">
        <v>2871</v>
      </c>
      <c r="C587" t="s">
        <v>10</v>
      </c>
      <c r="D587">
        <v>3129756</v>
      </c>
      <c r="E587" t="s">
        <v>8</v>
      </c>
    </row>
    <row r="588" spans="1:5" x14ac:dyDescent="0.55000000000000004">
      <c r="A588" t="s">
        <v>1373</v>
      </c>
      <c r="B588" t="s">
        <v>1372</v>
      </c>
      <c r="C588" t="s">
        <v>10</v>
      </c>
      <c r="D588">
        <v>3696822</v>
      </c>
      <c r="E588" t="s">
        <v>8</v>
      </c>
    </row>
    <row r="589" spans="1:5" x14ac:dyDescent="0.55000000000000004">
      <c r="A589" t="s">
        <v>1735</v>
      </c>
      <c r="B589" t="s">
        <v>1734</v>
      </c>
      <c r="C589" t="s">
        <v>13</v>
      </c>
      <c r="D589">
        <v>410961</v>
      </c>
      <c r="E589" t="s">
        <v>8</v>
      </c>
    </row>
    <row r="590" spans="1:5" x14ac:dyDescent="0.55000000000000004">
      <c r="A590" t="s">
        <v>3136</v>
      </c>
      <c r="B590" t="s">
        <v>3135</v>
      </c>
      <c r="C590" t="s">
        <v>10</v>
      </c>
      <c r="D590">
        <v>1695691</v>
      </c>
      <c r="E590" t="s">
        <v>8</v>
      </c>
    </row>
    <row r="591" spans="1:5" x14ac:dyDescent="0.55000000000000004">
      <c r="A591" t="s">
        <v>3481</v>
      </c>
      <c r="B591" t="s">
        <v>3480</v>
      </c>
      <c r="C591" t="s">
        <v>6</v>
      </c>
      <c r="D591">
        <v>781175</v>
      </c>
      <c r="E591" t="s">
        <v>8</v>
      </c>
    </row>
    <row r="592" spans="1:5" x14ac:dyDescent="0.55000000000000004">
      <c r="A592" t="s">
        <v>2569</v>
      </c>
      <c r="B592" t="s">
        <v>2568</v>
      </c>
      <c r="C592" t="s">
        <v>10</v>
      </c>
      <c r="D592">
        <v>1022508</v>
      </c>
      <c r="E592" t="s">
        <v>8</v>
      </c>
    </row>
    <row r="593" spans="1:5" x14ac:dyDescent="0.55000000000000004">
      <c r="A593" t="s">
        <v>3468</v>
      </c>
      <c r="B593" t="s">
        <v>3467</v>
      </c>
      <c r="C593" t="s">
        <v>1483</v>
      </c>
      <c r="D593">
        <v>249958</v>
      </c>
      <c r="E593" t="s">
        <v>8</v>
      </c>
    </row>
    <row r="594" spans="1:5" x14ac:dyDescent="0.55000000000000004">
      <c r="A594" t="s">
        <v>2296</v>
      </c>
      <c r="B594" t="s">
        <v>2295</v>
      </c>
      <c r="C594" t="s">
        <v>10</v>
      </c>
      <c r="D594">
        <v>702419</v>
      </c>
      <c r="E594" t="s">
        <v>8</v>
      </c>
    </row>
    <row r="595" spans="1:5" x14ac:dyDescent="0.55000000000000004">
      <c r="A595" t="s">
        <v>663</v>
      </c>
      <c r="B595" t="s">
        <v>662</v>
      </c>
      <c r="C595" t="s">
        <v>41</v>
      </c>
      <c r="D595">
        <v>1394805</v>
      </c>
      <c r="E595" t="s">
        <v>8</v>
      </c>
    </row>
    <row r="596" spans="1:5" x14ac:dyDescent="0.55000000000000004">
      <c r="A596" t="s">
        <v>2556</v>
      </c>
      <c r="B596" t="s">
        <v>2555</v>
      </c>
      <c r="C596" t="s">
        <v>10</v>
      </c>
      <c r="D596">
        <v>842188</v>
      </c>
      <c r="E596" t="s">
        <v>8</v>
      </c>
    </row>
    <row r="597" spans="1:5" x14ac:dyDescent="0.55000000000000004">
      <c r="A597" t="s">
        <v>894</v>
      </c>
      <c r="B597" t="s">
        <v>893</v>
      </c>
      <c r="C597" t="s">
        <v>141</v>
      </c>
      <c r="D597">
        <v>361042</v>
      </c>
      <c r="E597" t="s">
        <v>8</v>
      </c>
    </row>
    <row r="598" spans="1:5" x14ac:dyDescent="0.55000000000000004">
      <c r="A598" t="s">
        <v>3138</v>
      </c>
      <c r="B598" t="s">
        <v>3137</v>
      </c>
      <c r="C598" t="s">
        <v>10</v>
      </c>
      <c r="D598">
        <v>861983</v>
      </c>
      <c r="E598" t="s">
        <v>8</v>
      </c>
    </row>
    <row r="599" spans="1:5" x14ac:dyDescent="0.55000000000000004">
      <c r="A599" t="s">
        <v>3478</v>
      </c>
      <c r="B599" t="s">
        <v>3477</v>
      </c>
      <c r="C599" t="s">
        <v>76</v>
      </c>
      <c r="D599">
        <v>312991</v>
      </c>
      <c r="E599" t="s">
        <v>8</v>
      </c>
    </row>
    <row r="600" spans="1:5" x14ac:dyDescent="0.55000000000000004">
      <c r="A600" t="s">
        <v>356</v>
      </c>
      <c r="B600" t="s">
        <v>355</v>
      </c>
      <c r="C600" t="s">
        <v>208</v>
      </c>
      <c r="D600">
        <v>1938009</v>
      </c>
      <c r="E600" t="s">
        <v>8</v>
      </c>
    </row>
    <row r="601" spans="1:5" x14ac:dyDescent="0.55000000000000004">
      <c r="A601" t="s">
        <v>669</v>
      </c>
      <c r="B601" t="s">
        <v>668</v>
      </c>
      <c r="C601" t="s">
        <v>10</v>
      </c>
      <c r="D601">
        <v>653363</v>
      </c>
      <c r="E601" t="s">
        <v>8</v>
      </c>
    </row>
    <row r="602" spans="1:5" x14ac:dyDescent="0.55000000000000004">
      <c r="A602" t="s">
        <v>1385</v>
      </c>
      <c r="B602" t="s">
        <v>1384</v>
      </c>
      <c r="C602" t="s">
        <v>6</v>
      </c>
      <c r="D602">
        <v>367123</v>
      </c>
      <c r="E602" t="s">
        <v>8</v>
      </c>
    </row>
    <row r="603" spans="1:5" x14ac:dyDescent="0.55000000000000004">
      <c r="A603" t="s">
        <v>3483</v>
      </c>
      <c r="B603" t="s">
        <v>3482</v>
      </c>
      <c r="C603" t="s">
        <v>10</v>
      </c>
      <c r="D603">
        <v>2130940</v>
      </c>
      <c r="E603" t="s">
        <v>8</v>
      </c>
    </row>
    <row r="604" spans="1:5" x14ac:dyDescent="0.55000000000000004">
      <c r="A604" t="s">
        <v>1544</v>
      </c>
      <c r="B604" t="s">
        <v>1543</v>
      </c>
      <c r="C604" t="s">
        <v>10</v>
      </c>
      <c r="D604">
        <v>6634304</v>
      </c>
      <c r="E604" t="s">
        <v>8</v>
      </c>
    </row>
    <row r="605" spans="1:5" x14ac:dyDescent="0.55000000000000004">
      <c r="A605" t="s">
        <v>1091</v>
      </c>
      <c r="B605" t="s">
        <v>1090</v>
      </c>
      <c r="C605" t="s">
        <v>10</v>
      </c>
      <c r="D605">
        <v>524334</v>
      </c>
      <c r="E605" t="s">
        <v>8</v>
      </c>
    </row>
    <row r="606" spans="1:5" x14ac:dyDescent="0.55000000000000004">
      <c r="A606" t="s">
        <v>1093</v>
      </c>
      <c r="B606" t="s">
        <v>3348</v>
      </c>
      <c r="C606" t="s">
        <v>13</v>
      </c>
      <c r="D606">
        <v>424320</v>
      </c>
      <c r="E606" t="s">
        <v>8</v>
      </c>
    </row>
    <row r="607" spans="1:5" x14ac:dyDescent="0.55000000000000004">
      <c r="A607" t="s">
        <v>1747</v>
      </c>
      <c r="B607" t="s">
        <v>1746</v>
      </c>
      <c r="C607" t="s">
        <v>10</v>
      </c>
      <c r="D607">
        <v>3342341</v>
      </c>
      <c r="E607" t="s">
        <v>8</v>
      </c>
    </row>
    <row r="608" spans="1:5" x14ac:dyDescent="0.55000000000000004">
      <c r="A608" t="s">
        <v>3485</v>
      </c>
      <c r="B608" t="s">
        <v>3484</v>
      </c>
      <c r="C608" t="s">
        <v>10</v>
      </c>
      <c r="D608">
        <v>1277594</v>
      </c>
      <c r="E608" t="s">
        <v>8</v>
      </c>
    </row>
    <row r="609" spans="1:5" x14ac:dyDescent="0.55000000000000004">
      <c r="A609" t="s">
        <v>2322</v>
      </c>
      <c r="B609" t="s">
        <v>2321</v>
      </c>
      <c r="C609" t="s">
        <v>13</v>
      </c>
      <c r="D609">
        <v>470303</v>
      </c>
      <c r="E609" t="s">
        <v>8</v>
      </c>
    </row>
    <row r="610" spans="1:5" x14ac:dyDescent="0.55000000000000004">
      <c r="A610" t="s">
        <v>2878</v>
      </c>
      <c r="B610" t="s">
        <v>2879</v>
      </c>
      <c r="C610" t="s">
        <v>1317</v>
      </c>
      <c r="D610">
        <v>61789</v>
      </c>
      <c r="E610" t="s">
        <v>8</v>
      </c>
    </row>
    <row r="611" spans="1:5" x14ac:dyDescent="0.55000000000000004">
      <c r="A611" t="s">
        <v>1751</v>
      </c>
      <c r="B611" t="s">
        <v>1750</v>
      </c>
      <c r="C611" t="s">
        <v>10</v>
      </c>
      <c r="D611">
        <v>910817</v>
      </c>
      <c r="E611" t="s">
        <v>8</v>
      </c>
    </row>
    <row r="612" spans="1:5" x14ac:dyDescent="0.55000000000000004">
      <c r="A612" t="s">
        <v>2880</v>
      </c>
      <c r="B612" t="s">
        <v>2881</v>
      </c>
      <c r="C612" t="s">
        <v>10</v>
      </c>
      <c r="D612">
        <v>622959</v>
      </c>
      <c r="E612" t="s">
        <v>8</v>
      </c>
    </row>
    <row r="613" spans="1:5" x14ac:dyDescent="0.55000000000000004">
      <c r="A613" t="s">
        <v>2882</v>
      </c>
      <c r="B613" t="s">
        <v>2883</v>
      </c>
      <c r="C613" t="s">
        <v>13</v>
      </c>
      <c r="D613">
        <v>348974</v>
      </c>
      <c r="E613" t="s">
        <v>8</v>
      </c>
    </row>
    <row r="614" spans="1:5" x14ac:dyDescent="0.55000000000000004">
      <c r="A614" t="s">
        <v>378</v>
      </c>
      <c r="B614" t="s">
        <v>377</v>
      </c>
      <c r="C614" t="s">
        <v>10</v>
      </c>
      <c r="D614">
        <v>839392</v>
      </c>
      <c r="E614" t="s">
        <v>8</v>
      </c>
    </row>
    <row r="615" spans="1:5" x14ac:dyDescent="0.55000000000000004">
      <c r="A615" t="s">
        <v>1991</v>
      </c>
      <c r="B615" t="s">
        <v>1990</v>
      </c>
      <c r="C615" t="s">
        <v>6</v>
      </c>
      <c r="D615">
        <v>109806</v>
      </c>
      <c r="E615" t="s">
        <v>8</v>
      </c>
    </row>
    <row r="616" spans="1:5" x14ac:dyDescent="0.55000000000000004">
      <c r="A616" t="s">
        <v>3489</v>
      </c>
      <c r="B616" t="s">
        <v>3488</v>
      </c>
      <c r="C616" t="s">
        <v>10</v>
      </c>
      <c r="D616">
        <v>433385</v>
      </c>
      <c r="E616" t="s">
        <v>8</v>
      </c>
    </row>
    <row r="617" spans="1:5" x14ac:dyDescent="0.55000000000000004">
      <c r="A617" t="s">
        <v>388</v>
      </c>
      <c r="B617" t="s">
        <v>387</v>
      </c>
      <c r="C617" t="s">
        <v>6</v>
      </c>
      <c r="D617">
        <v>1375869</v>
      </c>
      <c r="E617" t="s">
        <v>8</v>
      </c>
    </row>
    <row r="618" spans="1:5" x14ac:dyDescent="0.55000000000000004">
      <c r="A618" t="s">
        <v>2886</v>
      </c>
      <c r="B618" t="s">
        <v>2887</v>
      </c>
      <c r="C618" t="s">
        <v>6</v>
      </c>
      <c r="D618">
        <v>931316</v>
      </c>
      <c r="E618" t="s">
        <v>8</v>
      </c>
    </row>
    <row r="619" spans="1:5" x14ac:dyDescent="0.55000000000000004">
      <c r="A619" t="s">
        <v>3497</v>
      </c>
      <c r="B619" t="s">
        <v>3496</v>
      </c>
      <c r="C619" t="s">
        <v>10</v>
      </c>
      <c r="D619">
        <v>709042</v>
      </c>
      <c r="E619" t="s">
        <v>8</v>
      </c>
    </row>
    <row r="620" spans="1:5" x14ac:dyDescent="0.55000000000000004">
      <c r="A620" t="s">
        <v>1105</v>
      </c>
      <c r="B620" t="s">
        <v>1104</v>
      </c>
      <c r="C620" t="s">
        <v>10</v>
      </c>
      <c r="D620">
        <v>822958</v>
      </c>
      <c r="E620" t="s">
        <v>8</v>
      </c>
    </row>
    <row r="621" spans="1:5" x14ac:dyDescent="0.55000000000000004">
      <c r="A621" t="s">
        <v>1416</v>
      </c>
      <c r="B621" t="s">
        <v>1415</v>
      </c>
      <c r="C621" t="s">
        <v>10</v>
      </c>
      <c r="D621">
        <v>1423148</v>
      </c>
      <c r="E621" t="s">
        <v>8</v>
      </c>
    </row>
    <row r="622" spans="1:5" x14ac:dyDescent="0.55000000000000004">
      <c r="A622" t="s">
        <v>3520</v>
      </c>
      <c r="B622" t="s">
        <v>3519</v>
      </c>
      <c r="C622" t="s">
        <v>10</v>
      </c>
      <c r="D622">
        <v>5708854</v>
      </c>
      <c r="E622" t="s">
        <v>8</v>
      </c>
    </row>
    <row r="623" spans="1:5" x14ac:dyDescent="0.55000000000000004">
      <c r="A623" t="s">
        <v>3162</v>
      </c>
      <c r="B623" t="s">
        <v>3161</v>
      </c>
      <c r="C623" t="s">
        <v>10</v>
      </c>
      <c r="D623">
        <v>1342473</v>
      </c>
      <c r="E623" t="s">
        <v>8</v>
      </c>
    </row>
    <row r="624" spans="1:5" x14ac:dyDescent="0.55000000000000004">
      <c r="A624" t="s">
        <v>3166</v>
      </c>
      <c r="B624" t="s">
        <v>3165</v>
      </c>
      <c r="C624" t="s">
        <v>10</v>
      </c>
      <c r="D624">
        <v>1013336</v>
      </c>
      <c r="E624" t="s">
        <v>8</v>
      </c>
    </row>
    <row r="625" spans="1:5" x14ac:dyDescent="0.55000000000000004">
      <c r="A625" t="s">
        <v>3168</v>
      </c>
      <c r="B625" t="s">
        <v>3167</v>
      </c>
      <c r="C625" t="s">
        <v>10</v>
      </c>
      <c r="D625">
        <v>362420</v>
      </c>
      <c r="E625" t="s">
        <v>8</v>
      </c>
    </row>
    <row r="626" spans="1:5" x14ac:dyDescent="0.55000000000000004">
      <c r="A626" t="s">
        <v>1997</v>
      </c>
      <c r="B626" t="s">
        <v>1996</v>
      </c>
      <c r="C626" t="s">
        <v>10</v>
      </c>
      <c r="D626">
        <v>272024</v>
      </c>
      <c r="E626" t="s">
        <v>8</v>
      </c>
    </row>
    <row r="627" spans="1:5" x14ac:dyDescent="0.55000000000000004">
      <c r="A627" t="s">
        <v>3172</v>
      </c>
      <c r="B627" t="s">
        <v>3171</v>
      </c>
      <c r="C627" t="s">
        <v>1467</v>
      </c>
      <c r="D627">
        <v>1242826</v>
      </c>
      <c r="E627" t="s">
        <v>8</v>
      </c>
    </row>
    <row r="628" spans="1:5" x14ac:dyDescent="0.55000000000000004">
      <c r="A628" t="s">
        <v>3504</v>
      </c>
      <c r="B628" t="s">
        <v>3503</v>
      </c>
      <c r="C628" t="s">
        <v>10</v>
      </c>
      <c r="D628">
        <v>1359018</v>
      </c>
      <c r="E628" t="s">
        <v>8</v>
      </c>
    </row>
    <row r="629" spans="1:5" x14ac:dyDescent="0.55000000000000004">
      <c r="A629" t="s">
        <v>1408</v>
      </c>
      <c r="B629" t="s">
        <v>1407</v>
      </c>
      <c r="C629" t="s">
        <v>10</v>
      </c>
      <c r="D629">
        <v>483722</v>
      </c>
      <c r="E629" t="s">
        <v>8</v>
      </c>
    </row>
    <row r="630" spans="1:5" x14ac:dyDescent="0.55000000000000004">
      <c r="A630" t="s">
        <v>3507</v>
      </c>
      <c r="B630" t="s">
        <v>3506</v>
      </c>
      <c r="C630" t="s">
        <v>10</v>
      </c>
      <c r="D630">
        <v>827137</v>
      </c>
      <c r="E630" t="s">
        <v>8</v>
      </c>
    </row>
    <row r="631" spans="1:5" x14ac:dyDescent="0.55000000000000004">
      <c r="A631" t="s">
        <v>2334</v>
      </c>
      <c r="B631" t="s">
        <v>2333</v>
      </c>
      <c r="C631" t="s">
        <v>10</v>
      </c>
      <c r="D631">
        <v>1950452</v>
      </c>
      <c r="E631" t="s">
        <v>8</v>
      </c>
    </row>
    <row r="632" spans="1:5" x14ac:dyDescent="0.55000000000000004">
      <c r="A632" t="s">
        <v>2336</v>
      </c>
      <c r="B632" t="s">
        <v>2335</v>
      </c>
      <c r="C632" t="s">
        <v>10</v>
      </c>
      <c r="D632">
        <v>295495</v>
      </c>
      <c r="E632" t="s">
        <v>8</v>
      </c>
    </row>
    <row r="633" spans="1:5" x14ac:dyDescent="0.55000000000000004">
      <c r="A633" t="s">
        <v>3510</v>
      </c>
      <c r="B633" t="s">
        <v>3509</v>
      </c>
      <c r="C633" t="s">
        <v>208</v>
      </c>
      <c r="D633">
        <v>245076</v>
      </c>
      <c r="E633" t="s">
        <v>8</v>
      </c>
    </row>
    <row r="634" spans="1:5" x14ac:dyDescent="0.55000000000000004">
      <c r="A634" t="s">
        <v>1109</v>
      </c>
      <c r="B634" t="s">
        <v>1108</v>
      </c>
      <c r="C634" t="s">
        <v>13</v>
      </c>
      <c r="D634">
        <v>248703</v>
      </c>
      <c r="E634" t="s">
        <v>8</v>
      </c>
    </row>
    <row r="635" spans="1:5" x14ac:dyDescent="0.55000000000000004">
      <c r="A635" t="s">
        <v>3512</v>
      </c>
      <c r="B635" t="s">
        <v>3511</v>
      </c>
      <c r="C635" t="s">
        <v>10</v>
      </c>
      <c r="D635">
        <v>673097</v>
      </c>
      <c r="E635" t="s">
        <v>8</v>
      </c>
    </row>
    <row r="636" spans="1:5" x14ac:dyDescent="0.55000000000000004">
      <c r="A636" t="s">
        <v>3514</v>
      </c>
      <c r="B636" t="s">
        <v>3513</v>
      </c>
      <c r="C636" t="s">
        <v>10</v>
      </c>
      <c r="D636">
        <v>965460</v>
      </c>
      <c r="E636" t="s">
        <v>8</v>
      </c>
    </row>
    <row r="637" spans="1:5" x14ac:dyDescent="0.55000000000000004">
      <c r="A637" t="s">
        <v>3518</v>
      </c>
      <c r="B637" t="s">
        <v>3517</v>
      </c>
      <c r="C637" t="s">
        <v>10</v>
      </c>
      <c r="D637">
        <v>752274</v>
      </c>
      <c r="E637" t="s">
        <v>8</v>
      </c>
    </row>
    <row r="638" spans="1:5" x14ac:dyDescent="0.55000000000000004">
      <c r="A638" t="s">
        <v>3178</v>
      </c>
      <c r="B638" t="s">
        <v>3177</v>
      </c>
      <c r="C638" t="s">
        <v>10</v>
      </c>
      <c r="D638">
        <v>736900</v>
      </c>
      <c r="E638" t="s">
        <v>8</v>
      </c>
    </row>
    <row r="639" spans="1:5" x14ac:dyDescent="0.55000000000000004">
      <c r="A639" t="s">
        <v>1775</v>
      </c>
      <c r="B639" t="s">
        <v>1774</v>
      </c>
      <c r="C639" t="s">
        <v>13</v>
      </c>
      <c r="D639">
        <v>401658</v>
      </c>
      <c r="E639" t="s">
        <v>8</v>
      </c>
    </row>
    <row r="640" spans="1:5" x14ac:dyDescent="0.55000000000000004">
      <c r="A640" t="s">
        <v>1777</v>
      </c>
      <c r="B640" t="s">
        <v>1776</v>
      </c>
      <c r="C640" t="s">
        <v>10</v>
      </c>
      <c r="D640">
        <v>552182</v>
      </c>
      <c r="E640" t="s">
        <v>8</v>
      </c>
    </row>
    <row r="641" spans="1:5" x14ac:dyDescent="0.55000000000000004">
      <c r="A641" t="s">
        <v>3522</v>
      </c>
      <c r="B641" t="s">
        <v>3521</v>
      </c>
      <c r="C641" t="s">
        <v>6</v>
      </c>
      <c r="D641">
        <v>392163</v>
      </c>
      <c r="E641" t="s">
        <v>8</v>
      </c>
    </row>
    <row r="642" spans="1:5" x14ac:dyDescent="0.55000000000000004">
      <c r="A642" t="s">
        <v>2351</v>
      </c>
      <c r="B642" t="s">
        <v>2350</v>
      </c>
      <c r="C642" t="s">
        <v>10</v>
      </c>
      <c r="D642">
        <v>1990877</v>
      </c>
      <c r="E642" t="s">
        <v>8</v>
      </c>
    </row>
    <row r="643" spans="1:5" x14ac:dyDescent="0.55000000000000004">
      <c r="A643" t="s">
        <v>1433</v>
      </c>
      <c r="B643" t="s">
        <v>3546</v>
      </c>
      <c r="C643" t="s">
        <v>10</v>
      </c>
      <c r="D643">
        <v>757803</v>
      </c>
      <c r="E643" t="s">
        <v>8</v>
      </c>
    </row>
    <row r="644" spans="1:5" x14ac:dyDescent="0.55000000000000004">
      <c r="A644" t="s">
        <v>3548</v>
      </c>
      <c r="B644" t="s">
        <v>3547</v>
      </c>
      <c r="C644" t="s">
        <v>10</v>
      </c>
      <c r="D644">
        <v>451542</v>
      </c>
      <c r="E644" t="s">
        <v>8</v>
      </c>
    </row>
    <row r="645" spans="1:5" x14ac:dyDescent="0.55000000000000004">
      <c r="A645" t="s">
        <v>2018</v>
      </c>
      <c r="B645" t="s">
        <v>2017</v>
      </c>
      <c r="C645" t="s">
        <v>10</v>
      </c>
      <c r="D645">
        <v>2260410</v>
      </c>
      <c r="E645" t="s">
        <v>8</v>
      </c>
    </row>
    <row r="646" spans="1:5" x14ac:dyDescent="0.55000000000000004">
      <c r="A646" t="s">
        <v>2359</v>
      </c>
      <c r="B646" t="s">
        <v>2358</v>
      </c>
      <c r="C646" t="s">
        <v>10</v>
      </c>
      <c r="D646">
        <v>1765080</v>
      </c>
      <c r="E646" t="s">
        <v>8</v>
      </c>
    </row>
    <row r="647" spans="1:5" x14ac:dyDescent="0.55000000000000004">
      <c r="A647" t="s">
        <v>2896</v>
      </c>
      <c r="B647" t="s">
        <v>2897</v>
      </c>
      <c r="C647" t="s">
        <v>13</v>
      </c>
      <c r="D647">
        <v>371121</v>
      </c>
      <c r="E647" t="s">
        <v>8</v>
      </c>
    </row>
    <row r="648" spans="1:5" x14ac:dyDescent="0.55000000000000004">
      <c r="A648" t="s">
        <v>2898</v>
      </c>
      <c r="B648" t="s">
        <v>2899</v>
      </c>
      <c r="C648" t="s">
        <v>10</v>
      </c>
      <c r="D648">
        <v>3723942</v>
      </c>
      <c r="E648" t="s">
        <v>8</v>
      </c>
    </row>
    <row r="649" spans="1:5" x14ac:dyDescent="0.55000000000000004">
      <c r="A649" t="s">
        <v>701</v>
      </c>
      <c r="B649" t="s">
        <v>700</v>
      </c>
      <c r="C649" t="s">
        <v>10</v>
      </c>
      <c r="D649">
        <v>309680</v>
      </c>
      <c r="E649" t="s">
        <v>8</v>
      </c>
    </row>
    <row r="650" spans="1:5" x14ac:dyDescent="0.55000000000000004">
      <c r="A650" t="s">
        <v>1784</v>
      </c>
      <c r="B650" t="s">
        <v>1782</v>
      </c>
      <c r="C650" t="s">
        <v>1783</v>
      </c>
      <c r="D650">
        <v>474700</v>
      </c>
      <c r="E650" t="s">
        <v>8</v>
      </c>
    </row>
    <row r="651" spans="1:5" x14ac:dyDescent="0.55000000000000004">
      <c r="A651" t="s">
        <v>2902</v>
      </c>
      <c r="B651" t="s">
        <v>2903</v>
      </c>
      <c r="C651" t="s">
        <v>10</v>
      </c>
      <c r="D651">
        <v>1265352</v>
      </c>
      <c r="E651" t="s">
        <v>8</v>
      </c>
    </row>
    <row r="652" spans="1:5" x14ac:dyDescent="0.55000000000000004">
      <c r="A652" t="s">
        <v>417</v>
      </c>
      <c r="B652" t="s">
        <v>416</v>
      </c>
      <c r="C652" t="s">
        <v>10</v>
      </c>
      <c r="D652">
        <v>591654</v>
      </c>
      <c r="E652" t="s">
        <v>8</v>
      </c>
    </row>
    <row r="653" spans="1:5" x14ac:dyDescent="0.55000000000000004">
      <c r="A653" t="s">
        <v>2365</v>
      </c>
      <c r="B653" t="s">
        <v>2364</v>
      </c>
      <c r="C653" t="s">
        <v>10</v>
      </c>
      <c r="D653">
        <v>696465</v>
      </c>
      <c r="E653" t="s">
        <v>8</v>
      </c>
    </row>
    <row r="654" spans="1:5" x14ac:dyDescent="0.55000000000000004">
      <c r="A654" t="s">
        <v>3537</v>
      </c>
      <c r="B654" t="s">
        <v>3536</v>
      </c>
      <c r="C654" t="s">
        <v>10</v>
      </c>
      <c r="D654">
        <v>1736968</v>
      </c>
      <c r="E654" t="s">
        <v>8</v>
      </c>
    </row>
    <row r="655" spans="1:5" x14ac:dyDescent="0.55000000000000004">
      <c r="A655" t="s">
        <v>3539</v>
      </c>
      <c r="B655" t="s">
        <v>3538</v>
      </c>
      <c r="C655" t="s">
        <v>10</v>
      </c>
      <c r="D655">
        <v>219247</v>
      </c>
      <c r="E655" t="s">
        <v>8</v>
      </c>
    </row>
    <row r="656" spans="1:5" x14ac:dyDescent="0.55000000000000004">
      <c r="A656" t="s">
        <v>810</v>
      </c>
      <c r="B656" t="s">
        <v>3216</v>
      </c>
      <c r="C656" t="s">
        <v>41</v>
      </c>
      <c r="D656">
        <v>51807</v>
      </c>
      <c r="E656" t="s">
        <v>8</v>
      </c>
    </row>
    <row r="657" spans="1:5" x14ac:dyDescent="0.55000000000000004">
      <c r="A657" t="s">
        <v>492</v>
      </c>
      <c r="B657" t="s">
        <v>491</v>
      </c>
      <c r="C657" t="s">
        <v>10</v>
      </c>
      <c r="D657">
        <v>570318</v>
      </c>
      <c r="E657" t="s">
        <v>8</v>
      </c>
    </row>
    <row r="658" spans="1:5" x14ac:dyDescent="0.55000000000000004">
      <c r="A658" t="s">
        <v>3543</v>
      </c>
      <c r="B658" t="s">
        <v>3542</v>
      </c>
      <c r="C658" t="s">
        <v>10</v>
      </c>
      <c r="D658">
        <v>380379</v>
      </c>
      <c r="E658" t="s">
        <v>8</v>
      </c>
    </row>
    <row r="659" spans="1:5" x14ac:dyDescent="0.55000000000000004">
      <c r="A659" t="s">
        <v>3545</v>
      </c>
      <c r="B659" t="s">
        <v>3544</v>
      </c>
      <c r="C659" t="s">
        <v>10</v>
      </c>
      <c r="D659">
        <v>612012</v>
      </c>
      <c r="E659" t="s">
        <v>8</v>
      </c>
    </row>
    <row r="660" spans="1:5" x14ac:dyDescent="0.55000000000000004">
      <c r="A660" t="s">
        <v>3190</v>
      </c>
      <c r="B660" t="s">
        <v>3189</v>
      </c>
      <c r="C660" t="s">
        <v>10</v>
      </c>
      <c r="D660">
        <v>1218719</v>
      </c>
      <c r="E660" t="s">
        <v>8</v>
      </c>
    </row>
    <row r="661" spans="1:5" x14ac:dyDescent="0.55000000000000004">
      <c r="A661" t="s">
        <v>707</v>
      </c>
      <c r="B661" t="s">
        <v>706</v>
      </c>
      <c r="C661" t="s">
        <v>10</v>
      </c>
      <c r="D661">
        <v>1174809</v>
      </c>
      <c r="E661" t="s">
        <v>8</v>
      </c>
    </row>
    <row r="662" spans="1:5" x14ac:dyDescent="0.55000000000000004">
      <c r="A662" t="s">
        <v>1802</v>
      </c>
      <c r="B662" t="s">
        <v>1801</v>
      </c>
      <c r="C662" t="s">
        <v>10</v>
      </c>
      <c r="D662">
        <v>501843</v>
      </c>
      <c r="E662" t="s">
        <v>8</v>
      </c>
    </row>
    <row r="663" spans="1:5" x14ac:dyDescent="0.55000000000000004">
      <c r="A663" t="s">
        <v>2615</v>
      </c>
      <c r="B663" t="s">
        <v>2614</v>
      </c>
      <c r="C663" t="s">
        <v>10</v>
      </c>
      <c r="D663">
        <v>507513</v>
      </c>
      <c r="E663" t="s">
        <v>8</v>
      </c>
    </row>
    <row r="664" spans="1:5" x14ac:dyDescent="0.55000000000000004">
      <c r="A664" t="s">
        <v>2375</v>
      </c>
      <c r="B664" t="s">
        <v>2374</v>
      </c>
      <c r="C664" t="s">
        <v>10</v>
      </c>
      <c r="D664">
        <v>679451</v>
      </c>
      <c r="E664" t="s">
        <v>8</v>
      </c>
    </row>
    <row r="665" spans="1:5" x14ac:dyDescent="0.55000000000000004">
      <c r="A665" t="s">
        <v>2908</v>
      </c>
      <c r="B665" t="s">
        <v>2909</v>
      </c>
      <c r="C665" t="s">
        <v>10</v>
      </c>
      <c r="D665">
        <v>3388212</v>
      </c>
      <c r="E665" t="s">
        <v>8</v>
      </c>
    </row>
    <row r="666" spans="1:5" x14ac:dyDescent="0.55000000000000004">
      <c r="A666" t="s">
        <v>2910</v>
      </c>
      <c r="B666" t="s">
        <v>2911</v>
      </c>
      <c r="C666" t="s">
        <v>10</v>
      </c>
      <c r="D666">
        <v>3674285</v>
      </c>
      <c r="E666" t="s">
        <v>8</v>
      </c>
    </row>
    <row r="667" spans="1:5" x14ac:dyDescent="0.55000000000000004">
      <c r="A667" t="s">
        <v>2042</v>
      </c>
      <c r="B667" t="s">
        <v>2041</v>
      </c>
      <c r="C667" t="s">
        <v>1317</v>
      </c>
      <c r="D667">
        <v>568216</v>
      </c>
      <c r="E667" t="s">
        <v>8</v>
      </c>
    </row>
    <row r="668" spans="1:5" x14ac:dyDescent="0.55000000000000004">
      <c r="A668" t="s">
        <v>1457</v>
      </c>
      <c r="B668" t="s">
        <v>1456</v>
      </c>
      <c r="C668" t="s">
        <v>6</v>
      </c>
      <c r="D668">
        <v>86663</v>
      </c>
      <c r="E668" t="s">
        <v>8</v>
      </c>
    </row>
    <row r="669" spans="1:5" x14ac:dyDescent="0.55000000000000004">
      <c r="A669" t="s">
        <v>3555</v>
      </c>
      <c r="B669" t="s">
        <v>3554</v>
      </c>
      <c r="C669" t="s">
        <v>10</v>
      </c>
      <c r="D669">
        <v>273322</v>
      </c>
      <c r="E669" t="s">
        <v>8</v>
      </c>
    </row>
    <row r="670" spans="1:5" x14ac:dyDescent="0.55000000000000004">
      <c r="A670" t="s">
        <v>3564</v>
      </c>
      <c r="B670" t="s">
        <v>3563</v>
      </c>
      <c r="C670" t="s">
        <v>10</v>
      </c>
      <c r="D670">
        <v>610995</v>
      </c>
      <c r="E670" t="s">
        <v>8</v>
      </c>
    </row>
    <row r="671" spans="1:5" x14ac:dyDescent="0.55000000000000004">
      <c r="A671" t="s">
        <v>464</v>
      </c>
      <c r="B671" t="s">
        <v>463</v>
      </c>
      <c r="C671" t="s">
        <v>6</v>
      </c>
      <c r="D671">
        <v>2579972</v>
      </c>
      <c r="E671" t="s">
        <v>8</v>
      </c>
    </row>
    <row r="672" spans="1:5" x14ac:dyDescent="0.55000000000000004">
      <c r="A672" t="s">
        <v>3566</v>
      </c>
      <c r="B672" t="s">
        <v>3565</v>
      </c>
      <c r="C672" t="s">
        <v>10</v>
      </c>
      <c r="D672">
        <v>1293480</v>
      </c>
      <c r="E672" t="s">
        <v>8</v>
      </c>
    </row>
    <row r="673" spans="1:5" x14ac:dyDescent="0.55000000000000004">
      <c r="A673" t="s">
        <v>470</v>
      </c>
      <c r="B673" t="s">
        <v>469</v>
      </c>
      <c r="C673" t="s">
        <v>10</v>
      </c>
      <c r="D673">
        <v>913308</v>
      </c>
      <c r="E673" t="s">
        <v>8</v>
      </c>
    </row>
    <row r="674" spans="1:5" x14ac:dyDescent="0.55000000000000004">
      <c r="A674" t="s">
        <v>2381</v>
      </c>
      <c r="B674" t="s">
        <v>2380</v>
      </c>
      <c r="C674" t="s">
        <v>76</v>
      </c>
      <c r="D674">
        <v>2222711</v>
      </c>
      <c r="E674" t="s">
        <v>8</v>
      </c>
    </row>
    <row r="675" spans="1:5" x14ac:dyDescent="0.55000000000000004">
      <c r="A675" t="s">
        <v>2631</v>
      </c>
      <c r="B675" t="s">
        <v>2630</v>
      </c>
      <c r="C675" t="s">
        <v>10</v>
      </c>
      <c r="D675">
        <v>440903</v>
      </c>
      <c r="E675" t="s">
        <v>8</v>
      </c>
    </row>
    <row r="676" spans="1:5" x14ac:dyDescent="0.55000000000000004">
      <c r="A676" t="s">
        <v>2633</v>
      </c>
      <c r="B676" t="s">
        <v>2632</v>
      </c>
      <c r="C676" t="s">
        <v>10</v>
      </c>
      <c r="D676">
        <v>1585697</v>
      </c>
      <c r="E676" t="s">
        <v>8</v>
      </c>
    </row>
    <row r="677" spans="1:5" x14ac:dyDescent="0.55000000000000004">
      <c r="A677" t="s">
        <v>2050</v>
      </c>
      <c r="B677" t="s">
        <v>2049</v>
      </c>
      <c r="C677" t="s">
        <v>10</v>
      </c>
      <c r="D677">
        <v>674872</v>
      </c>
      <c r="E677" t="s">
        <v>8</v>
      </c>
    </row>
    <row r="678" spans="1:5" x14ac:dyDescent="0.55000000000000004">
      <c r="A678" t="s">
        <v>2912</v>
      </c>
      <c r="B678" t="s">
        <v>2913</v>
      </c>
      <c r="C678" t="s">
        <v>10</v>
      </c>
      <c r="D678">
        <v>475137</v>
      </c>
      <c r="E678" t="s">
        <v>8</v>
      </c>
    </row>
    <row r="679" spans="1:5" x14ac:dyDescent="0.55000000000000004">
      <c r="A679" t="s">
        <v>1465</v>
      </c>
      <c r="B679" t="s">
        <v>1464</v>
      </c>
      <c r="C679" t="s">
        <v>13</v>
      </c>
      <c r="D679">
        <v>933807</v>
      </c>
      <c r="E679" t="s">
        <v>8</v>
      </c>
    </row>
    <row r="680" spans="1:5" x14ac:dyDescent="0.55000000000000004">
      <c r="A680" t="s">
        <v>1474</v>
      </c>
      <c r="B680" t="s">
        <v>1473</v>
      </c>
      <c r="C680" t="s">
        <v>10</v>
      </c>
      <c r="D680">
        <v>827028</v>
      </c>
      <c r="E680" t="s">
        <v>8</v>
      </c>
    </row>
    <row r="681" spans="1:5" x14ac:dyDescent="0.55000000000000004">
      <c r="A681" t="s">
        <v>2916</v>
      </c>
      <c r="B681" t="s">
        <v>2917</v>
      </c>
      <c r="C681" t="s">
        <v>10</v>
      </c>
      <c r="D681">
        <v>1499957</v>
      </c>
      <c r="E681" t="s">
        <v>8</v>
      </c>
    </row>
    <row r="682" spans="1:5" x14ac:dyDescent="0.55000000000000004">
      <c r="A682" t="s">
        <v>2058</v>
      </c>
      <c r="B682" t="s">
        <v>2057</v>
      </c>
      <c r="C682" t="s">
        <v>13</v>
      </c>
      <c r="D682">
        <v>651159</v>
      </c>
      <c r="E682" t="s">
        <v>8</v>
      </c>
    </row>
    <row r="683" spans="1:5" x14ac:dyDescent="0.55000000000000004">
      <c r="A683" t="s">
        <v>3572</v>
      </c>
      <c r="B683" t="s">
        <v>3571</v>
      </c>
      <c r="C683" t="s">
        <v>10</v>
      </c>
      <c r="D683">
        <v>2442938</v>
      </c>
      <c r="E683" t="s">
        <v>8</v>
      </c>
    </row>
    <row r="684" spans="1:5" x14ac:dyDescent="0.55000000000000004">
      <c r="A684" t="s">
        <v>2060</v>
      </c>
      <c r="B684" t="s">
        <v>2059</v>
      </c>
      <c r="C684" t="s">
        <v>13</v>
      </c>
      <c r="D684">
        <v>2132627</v>
      </c>
      <c r="E684" t="s">
        <v>8</v>
      </c>
    </row>
    <row r="685" spans="1:5" x14ac:dyDescent="0.55000000000000004">
      <c r="A685" t="s">
        <v>488</v>
      </c>
      <c r="B685" t="s">
        <v>487</v>
      </c>
      <c r="C685" t="s">
        <v>10</v>
      </c>
      <c r="D685">
        <v>606474</v>
      </c>
      <c r="E685" t="s">
        <v>8</v>
      </c>
    </row>
    <row r="686" spans="1:5" x14ac:dyDescent="0.55000000000000004">
      <c r="A686" t="s">
        <v>3304</v>
      </c>
      <c r="B686" t="s">
        <v>3303</v>
      </c>
      <c r="C686" t="s">
        <v>18</v>
      </c>
      <c r="D686">
        <v>1351045</v>
      </c>
      <c r="E686" t="s">
        <v>8</v>
      </c>
    </row>
    <row r="687" spans="1:5" x14ac:dyDescent="0.55000000000000004">
      <c r="A687" t="s">
        <v>1234</v>
      </c>
      <c r="B687" t="s">
        <v>3336</v>
      </c>
      <c r="C687" t="s">
        <v>1233</v>
      </c>
      <c r="D687">
        <v>1857200</v>
      </c>
      <c r="E687" t="s">
        <v>8</v>
      </c>
    </row>
    <row r="688" spans="1:5" x14ac:dyDescent="0.55000000000000004">
      <c r="A688" t="s">
        <v>1863</v>
      </c>
      <c r="B688" t="s">
        <v>1862</v>
      </c>
      <c r="C688" t="s">
        <v>1269</v>
      </c>
      <c r="D688">
        <v>2452740</v>
      </c>
      <c r="E688" t="s">
        <v>8</v>
      </c>
    </row>
    <row r="689" spans="1:5" x14ac:dyDescent="0.55000000000000004">
      <c r="A689" t="s">
        <v>2077</v>
      </c>
      <c r="B689" t="s">
        <v>2076</v>
      </c>
      <c r="C689" t="s">
        <v>926</v>
      </c>
      <c r="D689">
        <v>451852</v>
      </c>
      <c r="E689" t="s">
        <v>8</v>
      </c>
    </row>
    <row r="690" spans="1:5" x14ac:dyDescent="0.55000000000000004">
      <c r="A690" t="s">
        <v>2966</v>
      </c>
      <c r="B690" t="s">
        <v>2965</v>
      </c>
      <c r="C690" t="s">
        <v>18</v>
      </c>
      <c r="D690">
        <v>1698326</v>
      </c>
      <c r="E690" t="s">
        <v>8</v>
      </c>
    </row>
    <row r="691" spans="1:5" x14ac:dyDescent="0.55000000000000004">
      <c r="A691" t="s">
        <v>2922</v>
      </c>
      <c r="B691" t="s">
        <v>2923</v>
      </c>
      <c r="C691" t="s">
        <v>2260</v>
      </c>
      <c r="D691">
        <v>5214177</v>
      </c>
      <c r="E691" t="s">
        <v>8</v>
      </c>
    </row>
    <row r="692" spans="1:5" x14ac:dyDescent="0.55000000000000004">
      <c r="A692" t="s">
        <v>3245</v>
      </c>
      <c r="B692" t="s">
        <v>3244</v>
      </c>
      <c r="C692" t="s">
        <v>2260</v>
      </c>
      <c r="D692">
        <v>1346815</v>
      </c>
      <c r="E692" t="s">
        <v>8</v>
      </c>
    </row>
    <row r="693" spans="1:5" x14ac:dyDescent="0.55000000000000004">
      <c r="A693" t="s">
        <v>66</v>
      </c>
      <c r="B693" t="s">
        <v>65</v>
      </c>
      <c r="C693" t="s">
        <v>18</v>
      </c>
      <c r="D693">
        <v>2453108</v>
      </c>
      <c r="E693" t="s">
        <v>8</v>
      </c>
    </row>
    <row r="694" spans="1:5" x14ac:dyDescent="0.55000000000000004">
      <c r="A694" t="s">
        <v>1836</v>
      </c>
      <c r="B694" t="s">
        <v>1835</v>
      </c>
      <c r="C694" t="s">
        <v>141</v>
      </c>
      <c r="D694">
        <v>340861</v>
      </c>
      <c r="E694" t="s">
        <v>8</v>
      </c>
    </row>
    <row r="695" spans="1:5" x14ac:dyDescent="0.55000000000000004">
      <c r="A695" t="s">
        <v>1140</v>
      </c>
      <c r="B695" t="s">
        <v>1138</v>
      </c>
      <c r="C695" t="s">
        <v>1139</v>
      </c>
      <c r="D695">
        <v>1201043</v>
      </c>
      <c r="E695" t="s">
        <v>8</v>
      </c>
    </row>
    <row r="696" spans="1:5" x14ac:dyDescent="0.55000000000000004">
      <c r="A696" t="s">
        <v>533</v>
      </c>
      <c r="B696" t="s">
        <v>532</v>
      </c>
      <c r="C696" t="s">
        <v>18</v>
      </c>
      <c r="D696">
        <v>1884770</v>
      </c>
      <c r="E696" t="s">
        <v>8</v>
      </c>
    </row>
    <row r="697" spans="1:5" x14ac:dyDescent="0.55000000000000004">
      <c r="A697" t="s">
        <v>3328</v>
      </c>
      <c r="B697" t="s">
        <v>3327</v>
      </c>
      <c r="C697" t="s">
        <v>230</v>
      </c>
      <c r="D697">
        <v>606833</v>
      </c>
      <c r="E697" t="s">
        <v>8</v>
      </c>
    </row>
    <row r="698" spans="1:5" x14ac:dyDescent="0.55000000000000004">
      <c r="A698" t="s">
        <v>1886</v>
      </c>
      <c r="B698" t="s">
        <v>1885</v>
      </c>
      <c r="C698" t="s">
        <v>10</v>
      </c>
      <c r="D698">
        <v>482757</v>
      </c>
      <c r="E698" t="s">
        <v>8</v>
      </c>
    </row>
    <row r="699" spans="1:5" x14ac:dyDescent="0.55000000000000004">
      <c r="A699" t="s">
        <v>2211</v>
      </c>
      <c r="B699" t="s">
        <v>2209</v>
      </c>
      <c r="C699" t="s">
        <v>2210</v>
      </c>
      <c r="D699">
        <v>421466</v>
      </c>
      <c r="E699" t="s">
        <v>8</v>
      </c>
    </row>
    <row r="700" spans="1:5" x14ac:dyDescent="0.55000000000000004">
      <c r="A700" t="s">
        <v>3384</v>
      </c>
      <c r="B700" t="s">
        <v>3383</v>
      </c>
      <c r="C700" t="s">
        <v>880</v>
      </c>
      <c r="D700">
        <v>2532358</v>
      </c>
      <c r="E700" t="s">
        <v>8</v>
      </c>
    </row>
    <row r="701" spans="1:5" x14ac:dyDescent="0.55000000000000004">
      <c r="A701" t="s">
        <v>3076</v>
      </c>
      <c r="B701" t="s">
        <v>3075</v>
      </c>
      <c r="C701" t="s">
        <v>926</v>
      </c>
      <c r="D701">
        <v>856986</v>
      </c>
      <c r="E701" t="s">
        <v>8</v>
      </c>
    </row>
    <row r="702" spans="1:5" x14ac:dyDescent="0.55000000000000004">
      <c r="A702" t="s">
        <v>2233</v>
      </c>
      <c r="B702" t="s">
        <v>2232</v>
      </c>
      <c r="C702" t="s">
        <v>926</v>
      </c>
      <c r="D702">
        <v>453160</v>
      </c>
      <c r="E702" t="s">
        <v>8</v>
      </c>
    </row>
    <row r="703" spans="1:5" x14ac:dyDescent="0.55000000000000004">
      <c r="A703" t="s">
        <v>3401</v>
      </c>
      <c r="B703" t="s">
        <v>3400</v>
      </c>
      <c r="C703" t="s">
        <v>18</v>
      </c>
      <c r="D703">
        <v>1238949</v>
      </c>
      <c r="E703" t="s">
        <v>8</v>
      </c>
    </row>
    <row r="704" spans="1:5" x14ac:dyDescent="0.55000000000000004">
      <c r="A704" t="s">
        <v>2926</v>
      </c>
      <c r="B704" t="s">
        <v>2927</v>
      </c>
      <c r="C704" t="s">
        <v>18</v>
      </c>
      <c r="D704">
        <v>509074</v>
      </c>
      <c r="E704" t="s">
        <v>8</v>
      </c>
    </row>
    <row r="705" spans="1:5" x14ac:dyDescent="0.55000000000000004">
      <c r="A705" t="s">
        <v>2243</v>
      </c>
      <c r="B705" t="s">
        <v>2242</v>
      </c>
      <c r="C705" t="s">
        <v>558</v>
      </c>
      <c r="D705">
        <v>2643675</v>
      </c>
      <c r="E705" t="s">
        <v>8</v>
      </c>
    </row>
    <row r="706" spans="1:5" x14ac:dyDescent="0.55000000000000004">
      <c r="A706" t="s">
        <v>3434</v>
      </c>
      <c r="B706" t="s">
        <v>3432</v>
      </c>
      <c r="C706" t="s">
        <v>3433</v>
      </c>
      <c r="D706">
        <v>364725</v>
      </c>
      <c r="E706" t="s">
        <v>8</v>
      </c>
    </row>
    <row r="707" spans="1:5" x14ac:dyDescent="0.55000000000000004">
      <c r="A707" t="s">
        <v>19</v>
      </c>
      <c r="B707" t="s">
        <v>17</v>
      </c>
      <c r="C707" t="s">
        <v>18</v>
      </c>
      <c r="D707">
        <v>2171104</v>
      </c>
      <c r="E707" t="s">
        <v>8</v>
      </c>
    </row>
    <row r="708" spans="1:5" x14ac:dyDescent="0.55000000000000004">
      <c r="A708" t="s">
        <v>639</v>
      </c>
      <c r="B708" t="s">
        <v>638</v>
      </c>
      <c r="C708" t="s">
        <v>18</v>
      </c>
      <c r="D708">
        <v>2280246</v>
      </c>
      <c r="E708" t="s">
        <v>8</v>
      </c>
    </row>
    <row r="709" spans="1:5" x14ac:dyDescent="0.55000000000000004">
      <c r="A709" t="s">
        <v>321</v>
      </c>
      <c r="B709" t="s">
        <v>320</v>
      </c>
      <c r="C709" t="s">
        <v>10</v>
      </c>
      <c r="D709">
        <v>923220</v>
      </c>
      <c r="E709" t="s">
        <v>8</v>
      </c>
    </row>
    <row r="710" spans="1:5" x14ac:dyDescent="0.55000000000000004">
      <c r="A710" t="s">
        <v>3120</v>
      </c>
      <c r="B710" t="s">
        <v>3119</v>
      </c>
      <c r="C710" t="s">
        <v>926</v>
      </c>
      <c r="D710">
        <v>293493</v>
      </c>
      <c r="E710" t="s">
        <v>8</v>
      </c>
    </row>
    <row r="711" spans="1:5" x14ac:dyDescent="0.55000000000000004">
      <c r="A711" t="s">
        <v>3132</v>
      </c>
      <c r="B711" t="s">
        <v>3131</v>
      </c>
      <c r="C711" t="s">
        <v>18</v>
      </c>
      <c r="D711">
        <v>554265</v>
      </c>
      <c r="E711" t="s">
        <v>8</v>
      </c>
    </row>
    <row r="712" spans="1:5" x14ac:dyDescent="0.55000000000000004">
      <c r="A712" t="s">
        <v>3472</v>
      </c>
      <c r="B712" t="s">
        <v>3471</v>
      </c>
      <c r="C712" t="s">
        <v>6</v>
      </c>
      <c r="D712">
        <v>171032</v>
      </c>
      <c r="E712" t="s">
        <v>8</v>
      </c>
    </row>
    <row r="713" spans="1:5" x14ac:dyDescent="0.55000000000000004">
      <c r="A713" t="s">
        <v>1379</v>
      </c>
      <c r="B713" t="s">
        <v>1378</v>
      </c>
      <c r="C713" t="s">
        <v>18</v>
      </c>
      <c r="D713">
        <v>410146</v>
      </c>
      <c r="E713" t="s">
        <v>8</v>
      </c>
    </row>
    <row r="714" spans="1:5" x14ac:dyDescent="0.55000000000000004">
      <c r="A714" t="s">
        <v>3156</v>
      </c>
      <c r="B714" t="s">
        <v>3155</v>
      </c>
      <c r="C714" t="s">
        <v>10</v>
      </c>
      <c r="D714">
        <v>1302165</v>
      </c>
      <c r="E714" t="s">
        <v>8</v>
      </c>
    </row>
    <row r="715" spans="1:5" x14ac:dyDescent="0.55000000000000004">
      <c r="A715" t="s">
        <v>3495</v>
      </c>
      <c r="B715" t="s">
        <v>3494</v>
      </c>
      <c r="C715" t="s">
        <v>1139</v>
      </c>
      <c r="D715">
        <v>510449</v>
      </c>
      <c r="E715" t="s">
        <v>8</v>
      </c>
    </row>
    <row r="716" spans="1:5" x14ac:dyDescent="0.55000000000000004">
      <c r="A716" t="s">
        <v>3502</v>
      </c>
      <c r="B716" t="s">
        <v>3501</v>
      </c>
      <c r="C716" t="s">
        <v>18</v>
      </c>
      <c r="D716">
        <v>1390626</v>
      </c>
      <c r="E716" t="s">
        <v>8</v>
      </c>
    </row>
    <row r="717" spans="1:5" x14ac:dyDescent="0.55000000000000004">
      <c r="A717" t="s">
        <v>352</v>
      </c>
      <c r="B717" t="s">
        <v>351</v>
      </c>
      <c r="C717" t="s">
        <v>18</v>
      </c>
      <c r="D717">
        <v>6075051</v>
      </c>
      <c r="E717" t="s">
        <v>8</v>
      </c>
    </row>
    <row r="718" spans="1:5" x14ac:dyDescent="0.55000000000000004">
      <c r="A718" t="s">
        <v>2345</v>
      </c>
      <c r="B718" t="s">
        <v>2344</v>
      </c>
      <c r="C718" t="s">
        <v>558</v>
      </c>
      <c r="D718">
        <v>1592578</v>
      </c>
      <c r="E718" t="s">
        <v>8</v>
      </c>
    </row>
    <row r="719" spans="1:5" x14ac:dyDescent="0.55000000000000004">
      <c r="A719" t="s">
        <v>3524</v>
      </c>
      <c r="B719" t="s">
        <v>3523</v>
      </c>
      <c r="C719" t="s">
        <v>6</v>
      </c>
      <c r="D719">
        <v>153964</v>
      </c>
      <c r="E719" t="s">
        <v>8</v>
      </c>
    </row>
    <row r="720" spans="1:5" x14ac:dyDescent="0.55000000000000004">
      <c r="A720" t="s">
        <v>1796</v>
      </c>
      <c r="B720" t="s">
        <v>1795</v>
      </c>
      <c r="C720" t="s">
        <v>18</v>
      </c>
      <c r="D720">
        <v>1573165</v>
      </c>
      <c r="E720" t="s">
        <v>8</v>
      </c>
    </row>
    <row r="721" spans="1:5" x14ac:dyDescent="0.55000000000000004">
      <c r="A721" t="s">
        <v>2932</v>
      </c>
      <c r="B721" t="s">
        <v>2933</v>
      </c>
      <c r="C721" t="s">
        <v>926</v>
      </c>
      <c r="D721">
        <v>2870423</v>
      </c>
      <c r="E721" t="s">
        <v>8</v>
      </c>
    </row>
    <row r="722" spans="1:5" x14ac:dyDescent="0.55000000000000004">
      <c r="A722" t="s">
        <v>1463</v>
      </c>
      <c r="B722" t="s">
        <v>1462</v>
      </c>
      <c r="C722" t="s">
        <v>801</v>
      </c>
      <c r="D722">
        <v>192016</v>
      </c>
      <c r="E722" t="s">
        <v>8</v>
      </c>
    </row>
    <row r="723" spans="1:5" x14ac:dyDescent="0.55000000000000004">
      <c r="A723" t="s">
        <v>1476</v>
      </c>
      <c r="B723" t="s">
        <v>1475</v>
      </c>
      <c r="C723" t="s">
        <v>18</v>
      </c>
      <c r="D723">
        <v>3364271</v>
      </c>
      <c r="E723" t="s">
        <v>8</v>
      </c>
    </row>
    <row r="724" spans="1:5" x14ac:dyDescent="0.55000000000000004">
      <c r="A724" t="s">
        <v>2934</v>
      </c>
      <c r="B724" t="s">
        <v>2935</v>
      </c>
      <c r="C724" t="s">
        <v>926</v>
      </c>
      <c r="D724">
        <v>2588574</v>
      </c>
      <c r="E724" t="s">
        <v>8</v>
      </c>
    </row>
    <row r="725" spans="1:5" x14ac:dyDescent="0.55000000000000004">
      <c r="A725" t="s">
        <v>2936</v>
      </c>
      <c r="B725" t="s">
        <v>2937</v>
      </c>
      <c r="C725" t="s">
        <v>18</v>
      </c>
      <c r="D725">
        <v>1318962</v>
      </c>
      <c r="E725" t="s">
        <v>8</v>
      </c>
    </row>
    <row r="726" spans="1:5" x14ac:dyDescent="0.55000000000000004">
      <c r="A726" t="s">
        <v>2938</v>
      </c>
      <c r="B726" t="s">
        <v>2939</v>
      </c>
      <c r="C726" t="s">
        <v>2940</v>
      </c>
      <c r="D726">
        <v>864937</v>
      </c>
      <c r="E726" t="s">
        <v>8</v>
      </c>
    </row>
    <row r="727" spans="1:5" x14ac:dyDescent="0.55000000000000004">
      <c r="A727" t="s">
        <v>795</v>
      </c>
      <c r="B727" t="s">
        <v>794</v>
      </c>
      <c r="C727" t="s">
        <v>18</v>
      </c>
      <c r="D727">
        <v>805436</v>
      </c>
      <c r="E727" t="s">
        <v>8</v>
      </c>
    </row>
    <row r="728" spans="1:5" x14ac:dyDescent="0.55000000000000004">
      <c r="A728" t="s">
        <v>577</v>
      </c>
      <c r="B728" t="s">
        <v>576</v>
      </c>
      <c r="C728" t="s">
        <v>10</v>
      </c>
      <c r="D728">
        <v>2766559</v>
      </c>
      <c r="E728" t="s">
        <v>8</v>
      </c>
    </row>
    <row r="729" spans="1:5" x14ac:dyDescent="0.55000000000000004">
      <c r="A729" t="s">
        <v>2477</v>
      </c>
      <c r="B729" t="s">
        <v>2476</v>
      </c>
      <c r="C729" t="s">
        <v>926</v>
      </c>
      <c r="D729">
        <v>942541</v>
      </c>
      <c r="E729" t="s">
        <v>8</v>
      </c>
    </row>
    <row r="730" spans="1:5" x14ac:dyDescent="0.55000000000000004">
      <c r="A730" t="s">
        <v>2943</v>
      </c>
      <c r="B730" t="s">
        <v>2944</v>
      </c>
      <c r="C730" t="s">
        <v>215</v>
      </c>
      <c r="D730">
        <v>1021630</v>
      </c>
      <c r="E730" t="s">
        <v>8</v>
      </c>
    </row>
    <row r="731" spans="1:5" x14ac:dyDescent="0.55000000000000004">
      <c r="A731" t="s">
        <v>2947</v>
      </c>
      <c r="B731" t="s">
        <v>2948</v>
      </c>
      <c r="C731" t="s">
        <v>926</v>
      </c>
      <c r="D731">
        <v>440579</v>
      </c>
      <c r="E731" t="s">
        <v>8</v>
      </c>
    </row>
    <row r="732" spans="1:5" x14ac:dyDescent="0.55000000000000004">
      <c r="A732" t="s">
        <v>2054</v>
      </c>
      <c r="B732" t="s">
        <v>2053</v>
      </c>
      <c r="C732" t="s">
        <v>18</v>
      </c>
      <c r="D732">
        <v>693179</v>
      </c>
      <c r="E732" t="s">
        <v>8</v>
      </c>
    </row>
    <row r="733" spans="1:5" x14ac:dyDescent="0.55000000000000004">
      <c r="A733" t="s">
        <v>2399</v>
      </c>
      <c r="B733" t="s">
        <v>2398</v>
      </c>
      <c r="C733" t="s">
        <v>18</v>
      </c>
      <c r="D733">
        <v>4845060</v>
      </c>
      <c r="E733" t="s">
        <v>8</v>
      </c>
    </row>
    <row r="734" spans="1:5" x14ac:dyDescent="0.55000000000000004">
      <c r="A734" t="s">
        <v>3345</v>
      </c>
      <c r="B734" t="s">
        <v>3344</v>
      </c>
      <c r="C734" t="s">
        <v>926</v>
      </c>
      <c r="D734">
        <v>498930</v>
      </c>
      <c r="E734" t="s">
        <v>8</v>
      </c>
    </row>
    <row r="735" spans="1:5" x14ac:dyDescent="0.55000000000000004">
      <c r="A735" t="s">
        <v>3351</v>
      </c>
      <c r="B735" t="s">
        <v>3350</v>
      </c>
      <c r="C735" t="s">
        <v>10</v>
      </c>
      <c r="D735">
        <v>187784</v>
      </c>
      <c r="E735" t="s">
        <v>8</v>
      </c>
    </row>
    <row r="736" spans="1:5" x14ac:dyDescent="0.55000000000000004">
      <c r="A736" t="s">
        <v>2471</v>
      </c>
      <c r="B736" t="s">
        <v>2470</v>
      </c>
      <c r="C736" t="s">
        <v>926</v>
      </c>
      <c r="D736">
        <v>568147</v>
      </c>
      <c r="E736" t="s">
        <v>8</v>
      </c>
    </row>
    <row r="737" spans="1:5" x14ac:dyDescent="0.55000000000000004">
      <c r="A737" t="s">
        <v>297</v>
      </c>
      <c r="B737" t="s">
        <v>3431</v>
      </c>
      <c r="C737" t="s">
        <v>296</v>
      </c>
      <c r="D737">
        <v>544988</v>
      </c>
      <c r="E737" t="s">
        <v>8</v>
      </c>
    </row>
    <row r="738" spans="1:5" x14ac:dyDescent="0.55000000000000004">
      <c r="A738" t="s">
        <v>3261</v>
      </c>
      <c r="B738" t="s">
        <v>3260</v>
      </c>
      <c r="C738" t="s">
        <v>18</v>
      </c>
      <c r="D738">
        <v>372842</v>
      </c>
      <c r="E738" t="s">
        <v>8</v>
      </c>
    </row>
    <row r="739" spans="1:5" x14ac:dyDescent="0.55000000000000004">
      <c r="A739" t="s">
        <v>1164</v>
      </c>
      <c r="B739" t="s">
        <v>1163</v>
      </c>
      <c r="C739" t="s">
        <v>10</v>
      </c>
      <c r="D739">
        <v>1496025</v>
      </c>
      <c r="E739" t="s">
        <v>8</v>
      </c>
    </row>
    <row r="740" spans="1:5" x14ac:dyDescent="0.55000000000000004">
      <c r="A740" t="s">
        <v>2126</v>
      </c>
      <c r="B740" t="s">
        <v>2125</v>
      </c>
      <c r="C740" t="s">
        <v>10</v>
      </c>
      <c r="D740">
        <v>2887189</v>
      </c>
      <c r="E740" t="s">
        <v>8</v>
      </c>
    </row>
    <row r="741" spans="1:5" x14ac:dyDescent="0.55000000000000004">
      <c r="A741" t="s">
        <v>556</v>
      </c>
      <c r="B741" t="s">
        <v>555</v>
      </c>
      <c r="C741" t="s">
        <v>215</v>
      </c>
      <c r="D741">
        <v>433876</v>
      </c>
      <c r="E741" t="s">
        <v>8</v>
      </c>
    </row>
    <row r="742" spans="1:5" x14ac:dyDescent="0.55000000000000004">
      <c r="A742" t="s">
        <v>559</v>
      </c>
      <c r="B742" t="s">
        <v>557</v>
      </c>
      <c r="C742" t="s">
        <v>558</v>
      </c>
      <c r="D742">
        <v>1572790</v>
      </c>
      <c r="E742" t="s">
        <v>8</v>
      </c>
    </row>
    <row r="743" spans="1:5" x14ac:dyDescent="0.55000000000000004">
      <c r="A743" t="s">
        <v>1913</v>
      </c>
      <c r="B743" t="s">
        <v>1290</v>
      </c>
      <c r="C743" t="s">
        <v>18</v>
      </c>
      <c r="D743">
        <v>354631</v>
      </c>
      <c r="E743" t="s">
        <v>8</v>
      </c>
    </row>
    <row r="744" spans="1:5" x14ac:dyDescent="0.55000000000000004">
      <c r="A744" t="s">
        <v>1360</v>
      </c>
      <c r="B744" t="s">
        <v>1359</v>
      </c>
      <c r="C744" t="s">
        <v>18</v>
      </c>
      <c r="D744">
        <v>214350</v>
      </c>
      <c r="E744" t="s">
        <v>8</v>
      </c>
    </row>
    <row r="745" spans="1:5" x14ac:dyDescent="0.55000000000000004">
      <c r="A745" t="s">
        <v>3126</v>
      </c>
      <c r="B745" t="s">
        <v>3125</v>
      </c>
      <c r="C745" t="s">
        <v>18</v>
      </c>
      <c r="D745">
        <v>753943</v>
      </c>
      <c r="E745" t="s">
        <v>8</v>
      </c>
    </row>
    <row r="746" spans="1:5" x14ac:dyDescent="0.55000000000000004">
      <c r="A746" t="s">
        <v>3500</v>
      </c>
      <c r="B746" t="s">
        <v>3499</v>
      </c>
      <c r="C746" t="s">
        <v>18</v>
      </c>
      <c r="D746">
        <v>1408068</v>
      </c>
      <c r="E746" t="s">
        <v>8</v>
      </c>
    </row>
    <row r="747" spans="1:5" x14ac:dyDescent="0.55000000000000004">
      <c r="A747" t="s">
        <v>1419</v>
      </c>
      <c r="B747" t="s">
        <v>1417</v>
      </c>
      <c r="C747" t="s">
        <v>1418</v>
      </c>
      <c r="D747">
        <v>3285950</v>
      </c>
      <c r="E747" t="s">
        <v>8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AEF5B-1D2D-4A12-8E8A-22EB7ADC4577}">
  <dimension ref="A1:E609"/>
  <sheetViews>
    <sheetView workbookViewId="0">
      <selection activeCell="D609" sqref="D2:D609"/>
    </sheetView>
  </sheetViews>
  <sheetFormatPr defaultRowHeight="18" x14ac:dyDescent="0.55000000000000004"/>
  <cols>
    <col min="1" max="1" width="11.33203125" bestFit="1" customWidth="1"/>
    <col min="2" max="2" width="36.58203125" bestFit="1" customWidth="1"/>
    <col min="3" max="3" width="19" bestFit="1" customWidth="1"/>
    <col min="5" max="5" width="8.25" bestFit="1" customWidth="1"/>
    <col min="6" max="6" width="23.33203125" bestFit="1" customWidth="1"/>
  </cols>
  <sheetData>
    <row r="1" spans="1:5" x14ac:dyDescent="0.55000000000000004">
      <c r="A1" t="s">
        <v>2</v>
      </c>
      <c r="B1" t="s">
        <v>0</v>
      </c>
      <c r="C1" t="s">
        <v>1</v>
      </c>
      <c r="D1" t="s">
        <v>3</v>
      </c>
      <c r="E1" t="s">
        <v>4</v>
      </c>
    </row>
    <row r="2" spans="1:5" x14ac:dyDescent="0.55000000000000004">
      <c r="A2" t="s">
        <v>933</v>
      </c>
      <c r="B2" t="s">
        <v>932</v>
      </c>
      <c r="C2" t="s">
        <v>10</v>
      </c>
      <c r="D2">
        <v>1325048</v>
      </c>
      <c r="E2" t="s">
        <v>8</v>
      </c>
    </row>
    <row r="3" spans="1:5" x14ac:dyDescent="0.55000000000000004">
      <c r="A3" t="s">
        <v>2403</v>
      </c>
      <c r="B3" t="s">
        <v>2402</v>
      </c>
      <c r="C3" t="s">
        <v>10</v>
      </c>
      <c r="D3">
        <v>280086</v>
      </c>
      <c r="E3" t="s">
        <v>8</v>
      </c>
    </row>
    <row r="4" spans="1:5" x14ac:dyDescent="0.55000000000000004">
      <c r="A4" t="s">
        <v>2958</v>
      </c>
      <c r="B4" t="s">
        <v>2957</v>
      </c>
      <c r="C4" t="s">
        <v>10</v>
      </c>
      <c r="D4">
        <v>1234555</v>
      </c>
      <c r="E4" t="s">
        <v>8</v>
      </c>
    </row>
    <row r="5" spans="1:5" x14ac:dyDescent="0.55000000000000004">
      <c r="A5" t="s">
        <v>2960</v>
      </c>
      <c r="B5" t="s">
        <v>2959</v>
      </c>
      <c r="C5" t="s">
        <v>10</v>
      </c>
      <c r="D5">
        <v>394281</v>
      </c>
      <c r="E5" t="s">
        <v>8</v>
      </c>
    </row>
    <row r="6" spans="1:5" x14ac:dyDescent="0.55000000000000004">
      <c r="A6" t="s">
        <v>2962</v>
      </c>
      <c r="B6" t="s">
        <v>2961</v>
      </c>
      <c r="C6" t="s">
        <v>10</v>
      </c>
      <c r="D6">
        <v>1077014</v>
      </c>
      <c r="E6" t="s">
        <v>8</v>
      </c>
    </row>
    <row r="7" spans="1:5" x14ac:dyDescent="0.55000000000000004">
      <c r="A7" t="s">
        <v>816</v>
      </c>
      <c r="B7" t="s">
        <v>815</v>
      </c>
      <c r="C7" t="s">
        <v>6</v>
      </c>
      <c r="D7">
        <v>1639633</v>
      </c>
      <c r="E7" t="s">
        <v>8</v>
      </c>
    </row>
    <row r="8" spans="1:5" x14ac:dyDescent="0.55000000000000004">
      <c r="A8" t="s">
        <v>14</v>
      </c>
      <c r="B8" t="s">
        <v>12</v>
      </c>
      <c r="C8" t="s">
        <v>13</v>
      </c>
      <c r="D8">
        <v>1362157</v>
      </c>
      <c r="E8" t="s">
        <v>8</v>
      </c>
    </row>
    <row r="9" spans="1:5" x14ac:dyDescent="0.55000000000000004">
      <c r="A9" t="s">
        <v>1479</v>
      </c>
      <c r="B9" t="s">
        <v>1478</v>
      </c>
      <c r="C9" t="s">
        <v>10</v>
      </c>
      <c r="D9">
        <v>855077</v>
      </c>
      <c r="E9" t="s">
        <v>8</v>
      </c>
    </row>
    <row r="10" spans="1:5" x14ac:dyDescent="0.55000000000000004">
      <c r="A10" t="s">
        <v>965</v>
      </c>
      <c r="B10" t="s">
        <v>964</v>
      </c>
      <c r="C10" t="s">
        <v>10</v>
      </c>
      <c r="D10">
        <v>533238</v>
      </c>
      <c r="E10" t="s">
        <v>8</v>
      </c>
    </row>
    <row r="11" spans="1:5" x14ac:dyDescent="0.55000000000000004">
      <c r="A11" t="s">
        <v>945</v>
      </c>
      <c r="B11" t="s">
        <v>944</v>
      </c>
      <c r="C11" t="s">
        <v>10</v>
      </c>
      <c r="D11">
        <v>1452319</v>
      </c>
      <c r="E11" t="s">
        <v>8</v>
      </c>
    </row>
    <row r="12" spans="1:5" x14ac:dyDescent="0.55000000000000004">
      <c r="A12" t="s">
        <v>2407</v>
      </c>
      <c r="B12" t="s">
        <v>2406</v>
      </c>
      <c r="C12" t="s">
        <v>13</v>
      </c>
      <c r="D12">
        <v>976671</v>
      </c>
      <c r="E12" t="s">
        <v>8</v>
      </c>
    </row>
    <row r="13" spans="1:5" x14ac:dyDescent="0.55000000000000004">
      <c r="A13" t="s">
        <v>1150</v>
      </c>
      <c r="B13" t="s">
        <v>1149</v>
      </c>
      <c r="C13" t="s">
        <v>10</v>
      </c>
      <c r="D13">
        <v>3058083</v>
      </c>
      <c r="E13" t="s">
        <v>8</v>
      </c>
    </row>
    <row r="14" spans="1:5" x14ac:dyDescent="0.55000000000000004">
      <c r="A14" t="s">
        <v>1603</v>
      </c>
      <c r="B14" t="s">
        <v>1602</v>
      </c>
      <c r="C14" t="s">
        <v>10</v>
      </c>
      <c r="D14">
        <v>979998</v>
      </c>
      <c r="E14" t="s">
        <v>8</v>
      </c>
    </row>
    <row r="15" spans="1:5" x14ac:dyDescent="0.55000000000000004">
      <c r="A15" t="s">
        <v>37</v>
      </c>
      <c r="B15" t="s">
        <v>36</v>
      </c>
      <c r="C15" t="s">
        <v>10</v>
      </c>
      <c r="D15">
        <v>334450</v>
      </c>
      <c r="E15" t="s">
        <v>8</v>
      </c>
    </row>
    <row r="16" spans="1:5" x14ac:dyDescent="0.55000000000000004">
      <c r="A16" t="s">
        <v>1158</v>
      </c>
      <c r="B16" t="s">
        <v>1157</v>
      </c>
      <c r="C16" t="s">
        <v>10</v>
      </c>
      <c r="D16">
        <v>393374</v>
      </c>
      <c r="E16" t="s">
        <v>8</v>
      </c>
    </row>
    <row r="17" spans="1:5" x14ac:dyDescent="0.55000000000000004">
      <c r="A17" t="s">
        <v>2970</v>
      </c>
      <c r="B17" t="s">
        <v>2969</v>
      </c>
      <c r="C17" t="s">
        <v>10</v>
      </c>
      <c r="D17">
        <v>1773615</v>
      </c>
      <c r="E17" t="s">
        <v>8</v>
      </c>
    </row>
    <row r="18" spans="1:5" x14ac:dyDescent="0.55000000000000004">
      <c r="A18" t="s">
        <v>1826</v>
      </c>
      <c r="B18" t="s">
        <v>47</v>
      </c>
      <c r="C18" t="s">
        <v>1483</v>
      </c>
      <c r="D18">
        <v>1068288</v>
      </c>
      <c r="E18" t="s">
        <v>8</v>
      </c>
    </row>
    <row r="19" spans="1:5" x14ac:dyDescent="0.55000000000000004">
      <c r="A19" t="s">
        <v>2644</v>
      </c>
      <c r="B19" t="s">
        <v>2645</v>
      </c>
      <c r="C19" t="s">
        <v>10</v>
      </c>
      <c r="D19">
        <v>573211</v>
      </c>
      <c r="E19" t="s">
        <v>8</v>
      </c>
    </row>
    <row r="20" spans="1:5" x14ac:dyDescent="0.55000000000000004">
      <c r="A20" t="s">
        <v>2098</v>
      </c>
      <c r="B20" t="s">
        <v>2097</v>
      </c>
      <c r="C20" t="s">
        <v>10</v>
      </c>
      <c r="D20">
        <v>1935641</v>
      </c>
      <c r="E20" t="s">
        <v>8</v>
      </c>
    </row>
    <row r="21" spans="1:5" x14ac:dyDescent="0.55000000000000004">
      <c r="A21" t="s">
        <v>58</v>
      </c>
      <c r="B21" t="s">
        <v>57</v>
      </c>
      <c r="C21" t="s">
        <v>10</v>
      </c>
      <c r="D21">
        <v>725781</v>
      </c>
      <c r="E21" t="s">
        <v>8</v>
      </c>
    </row>
    <row r="22" spans="1:5" x14ac:dyDescent="0.55000000000000004">
      <c r="A22" t="s">
        <v>1613</v>
      </c>
      <c r="B22" t="s">
        <v>1612</v>
      </c>
      <c r="C22" t="s">
        <v>10</v>
      </c>
      <c r="D22">
        <v>1912754</v>
      </c>
      <c r="E22" t="s">
        <v>8</v>
      </c>
    </row>
    <row r="23" spans="1:5" x14ac:dyDescent="0.55000000000000004">
      <c r="A23" t="s">
        <v>2102</v>
      </c>
      <c r="B23" t="s">
        <v>2101</v>
      </c>
      <c r="C23" t="s">
        <v>10</v>
      </c>
      <c r="D23">
        <v>2925189</v>
      </c>
      <c r="E23" t="s">
        <v>8</v>
      </c>
    </row>
    <row r="24" spans="1:5" x14ac:dyDescent="0.55000000000000004">
      <c r="A24" t="s">
        <v>2648</v>
      </c>
      <c r="B24" t="s">
        <v>2649</v>
      </c>
      <c r="C24" t="s">
        <v>10</v>
      </c>
      <c r="D24">
        <v>1004834</v>
      </c>
      <c r="E24" t="s">
        <v>8</v>
      </c>
    </row>
    <row r="25" spans="1:5" x14ac:dyDescent="0.55000000000000004">
      <c r="A25" t="s">
        <v>2986</v>
      </c>
      <c r="B25" t="s">
        <v>2985</v>
      </c>
      <c r="C25" t="s">
        <v>10</v>
      </c>
      <c r="D25">
        <v>441941</v>
      </c>
      <c r="E25" t="s">
        <v>8</v>
      </c>
    </row>
    <row r="26" spans="1:5" x14ac:dyDescent="0.55000000000000004">
      <c r="A26" t="s">
        <v>2425</v>
      </c>
      <c r="B26" t="s">
        <v>2424</v>
      </c>
      <c r="C26" t="s">
        <v>880</v>
      </c>
      <c r="D26">
        <v>369285</v>
      </c>
      <c r="E26" t="s">
        <v>8</v>
      </c>
    </row>
    <row r="27" spans="1:5" x14ac:dyDescent="0.55000000000000004">
      <c r="A27" t="s">
        <v>2114</v>
      </c>
      <c r="B27" t="s">
        <v>2113</v>
      </c>
      <c r="C27" t="s">
        <v>6</v>
      </c>
      <c r="D27">
        <v>350427</v>
      </c>
      <c r="E27" t="s">
        <v>8</v>
      </c>
    </row>
    <row r="28" spans="1:5" x14ac:dyDescent="0.55000000000000004">
      <c r="A28" t="s">
        <v>2650</v>
      </c>
      <c r="B28" t="s">
        <v>2651</v>
      </c>
      <c r="C28" t="s">
        <v>10</v>
      </c>
      <c r="D28">
        <v>7978316</v>
      </c>
      <c r="E28" t="s">
        <v>8</v>
      </c>
    </row>
    <row r="29" spans="1:5" x14ac:dyDescent="0.55000000000000004">
      <c r="A29" t="s">
        <v>539</v>
      </c>
      <c r="B29" t="s">
        <v>538</v>
      </c>
      <c r="C29" t="s">
        <v>10</v>
      </c>
      <c r="D29">
        <v>358411</v>
      </c>
      <c r="E29" t="s">
        <v>8</v>
      </c>
    </row>
    <row r="30" spans="1:5" x14ac:dyDescent="0.55000000000000004">
      <c r="A30" t="s">
        <v>1194</v>
      </c>
      <c r="B30" t="s">
        <v>1193</v>
      </c>
      <c r="C30" t="s">
        <v>880</v>
      </c>
      <c r="D30">
        <v>2034139</v>
      </c>
      <c r="E30" t="s">
        <v>8</v>
      </c>
    </row>
    <row r="31" spans="1:5" x14ac:dyDescent="0.55000000000000004">
      <c r="A31" t="s">
        <v>2433</v>
      </c>
      <c r="B31" t="s">
        <v>2432</v>
      </c>
      <c r="C31" t="s">
        <v>10</v>
      </c>
      <c r="D31">
        <v>295359</v>
      </c>
      <c r="E31" t="s">
        <v>8</v>
      </c>
    </row>
    <row r="32" spans="1:5" x14ac:dyDescent="0.55000000000000004">
      <c r="A32" t="s">
        <v>1196</v>
      </c>
      <c r="B32" t="s">
        <v>1195</v>
      </c>
      <c r="C32" t="s">
        <v>10</v>
      </c>
      <c r="D32">
        <v>323223</v>
      </c>
      <c r="E32" t="s">
        <v>8</v>
      </c>
    </row>
    <row r="33" spans="1:5" x14ac:dyDescent="0.55000000000000004">
      <c r="A33" t="s">
        <v>1848</v>
      </c>
      <c r="B33" t="s">
        <v>1847</v>
      </c>
      <c r="C33" t="s">
        <v>10</v>
      </c>
      <c r="D33">
        <v>1445241</v>
      </c>
      <c r="E33" t="s">
        <v>8</v>
      </c>
    </row>
    <row r="34" spans="1:5" x14ac:dyDescent="0.55000000000000004">
      <c r="A34" t="s">
        <v>3029</v>
      </c>
      <c r="B34" t="s">
        <v>3028</v>
      </c>
      <c r="C34" t="s">
        <v>10</v>
      </c>
      <c r="D34">
        <v>273125</v>
      </c>
      <c r="E34" t="s">
        <v>8</v>
      </c>
    </row>
    <row r="35" spans="1:5" x14ac:dyDescent="0.55000000000000004">
      <c r="A35" t="s">
        <v>543</v>
      </c>
      <c r="B35" t="s">
        <v>542</v>
      </c>
      <c r="C35" t="s">
        <v>10</v>
      </c>
      <c r="D35">
        <v>997216</v>
      </c>
      <c r="E35" t="s">
        <v>8</v>
      </c>
    </row>
    <row r="36" spans="1:5" x14ac:dyDescent="0.55000000000000004">
      <c r="A36" t="s">
        <v>2999</v>
      </c>
      <c r="B36" t="s">
        <v>2998</v>
      </c>
      <c r="C36" t="s">
        <v>10</v>
      </c>
      <c r="D36">
        <v>619706</v>
      </c>
      <c r="E36" t="s">
        <v>8</v>
      </c>
    </row>
    <row r="37" spans="1:5" x14ac:dyDescent="0.55000000000000004">
      <c r="A37" t="s">
        <v>826</v>
      </c>
      <c r="B37" t="s">
        <v>825</v>
      </c>
      <c r="C37" t="s">
        <v>10</v>
      </c>
      <c r="D37">
        <v>7408808</v>
      </c>
      <c r="E37" t="s">
        <v>8</v>
      </c>
    </row>
    <row r="38" spans="1:5" x14ac:dyDescent="0.55000000000000004">
      <c r="A38" t="s">
        <v>972</v>
      </c>
      <c r="B38" t="s">
        <v>971</v>
      </c>
      <c r="C38" t="s">
        <v>10</v>
      </c>
      <c r="D38">
        <v>1411545</v>
      </c>
      <c r="E38" t="s">
        <v>8</v>
      </c>
    </row>
    <row r="39" spans="1:5" x14ac:dyDescent="0.55000000000000004">
      <c r="A39" t="s">
        <v>974</v>
      </c>
      <c r="B39" t="s">
        <v>973</v>
      </c>
      <c r="C39" t="s">
        <v>10</v>
      </c>
      <c r="D39">
        <v>2453966</v>
      </c>
      <c r="E39" t="s">
        <v>8</v>
      </c>
    </row>
    <row r="40" spans="1:5" x14ac:dyDescent="0.55000000000000004">
      <c r="A40" t="s">
        <v>95</v>
      </c>
      <c r="B40" t="s">
        <v>94</v>
      </c>
      <c r="C40" t="s">
        <v>10</v>
      </c>
      <c r="D40">
        <v>1451821</v>
      </c>
      <c r="E40" t="s">
        <v>8</v>
      </c>
    </row>
    <row r="41" spans="1:5" x14ac:dyDescent="0.55000000000000004">
      <c r="A41" t="s">
        <v>98</v>
      </c>
      <c r="B41" t="s">
        <v>96</v>
      </c>
      <c r="C41" t="s">
        <v>97</v>
      </c>
      <c r="D41">
        <v>3356590</v>
      </c>
      <c r="E41" t="s">
        <v>8</v>
      </c>
    </row>
    <row r="42" spans="1:5" x14ac:dyDescent="0.55000000000000004">
      <c r="A42" t="s">
        <v>1198</v>
      </c>
      <c r="B42" t="s">
        <v>1197</v>
      </c>
      <c r="C42" t="s">
        <v>13</v>
      </c>
      <c r="D42">
        <v>633874</v>
      </c>
      <c r="E42" t="s">
        <v>8</v>
      </c>
    </row>
    <row r="43" spans="1:5" x14ac:dyDescent="0.55000000000000004">
      <c r="A43" t="s">
        <v>3003</v>
      </c>
      <c r="B43" t="s">
        <v>3002</v>
      </c>
      <c r="C43" t="s">
        <v>10</v>
      </c>
      <c r="D43">
        <v>750027</v>
      </c>
      <c r="E43" t="s">
        <v>8</v>
      </c>
    </row>
    <row r="44" spans="1:5" x14ac:dyDescent="0.55000000000000004">
      <c r="A44" t="s">
        <v>106</v>
      </c>
      <c r="B44" t="s">
        <v>105</v>
      </c>
      <c r="C44" t="s">
        <v>10</v>
      </c>
      <c r="D44">
        <v>337638</v>
      </c>
      <c r="E44" t="s">
        <v>8</v>
      </c>
    </row>
    <row r="45" spans="1:5" x14ac:dyDescent="0.55000000000000004">
      <c r="A45" t="s">
        <v>3007</v>
      </c>
      <c r="B45" t="s">
        <v>3006</v>
      </c>
      <c r="C45" t="s">
        <v>41</v>
      </c>
      <c r="D45">
        <v>315713</v>
      </c>
      <c r="E45" t="s">
        <v>8</v>
      </c>
    </row>
    <row r="46" spans="1:5" x14ac:dyDescent="0.55000000000000004">
      <c r="A46" t="s">
        <v>2136</v>
      </c>
      <c r="B46" t="s">
        <v>2135</v>
      </c>
      <c r="C46" t="s">
        <v>1483</v>
      </c>
      <c r="D46">
        <v>625064</v>
      </c>
      <c r="E46" t="s">
        <v>8</v>
      </c>
    </row>
    <row r="47" spans="1:5" x14ac:dyDescent="0.55000000000000004">
      <c r="A47" t="s">
        <v>980</v>
      </c>
      <c r="B47" t="s">
        <v>979</v>
      </c>
      <c r="C47" t="s">
        <v>10</v>
      </c>
      <c r="D47">
        <v>444027</v>
      </c>
      <c r="E47" t="s">
        <v>8</v>
      </c>
    </row>
    <row r="48" spans="1:5" x14ac:dyDescent="0.55000000000000004">
      <c r="A48" t="s">
        <v>2444</v>
      </c>
      <c r="B48" t="s">
        <v>2443</v>
      </c>
      <c r="C48" t="s">
        <v>10</v>
      </c>
      <c r="D48">
        <v>401325</v>
      </c>
      <c r="E48" t="s">
        <v>8</v>
      </c>
    </row>
    <row r="49" spans="1:5" x14ac:dyDescent="0.55000000000000004">
      <c r="A49" t="s">
        <v>2658</v>
      </c>
      <c r="B49" t="s">
        <v>2659</v>
      </c>
      <c r="C49" t="s">
        <v>10</v>
      </c>
      <c r="D49">
        <v>370793</v>
      </c>
      <c r="E49" t="s">
        <v>8</v>
      </c>
    </row>
    <row r="50" spans="1:5" x14ac:dyDescent="0.55000000000000004">
      <c r="A50" t="s">
        <v>108</v>
      </c>
      <c r="B50" t="s">
        <v>107</v>
      </c>
      <c r="C50" t="s">
        <v>10</v>
      </c>
      <c r="D50">
        <v>1042020</v>
      </c>
      <c r="E50" t="s">
        <v>8</v>
      </c>
    </row>
    <row r="51" spans="1:5" x14ac:dyDescent="0.55000000000000004">
      <c r="A51" t="s">
        <v>3009</v>
      </c>
      <c r="B51" t="s">
        <v>3008</v>
      </c>
      <c r="C51" t="s">
        <v>10</v>
      </c>
      <c r="D51">
        <v>2026671</v>
      </c>
      <c r="E51" t="s">
        <v>8</v>
      </c>
    </row>
    <row r="52" spans="1:5" x14ac:dyDescent="0.55000000000000004">
      <c r="A52" t="s">
        <v>1630</v>
      </c>
      <c r="B52" t="s">
        <v>1629</v>
      </c>
      <c r="C52" t="s">
        <v>10</v>
      </c>
      <c r="D52">
        <v>477198</v>
      </c>
      <c r="E52" t="s">
        <v>8</v>
      </c>
    </row>
    <row r="53" spans="1:5" x14ac:dyDescent="0.55000000000000004">
      <c r="A53" t="s">
        <v>1632</v>
      </c>
      <c r="B53" t="s">
        <v>1631</v>
      </c>
      <c r="C53" t="s">
        <v>10</v>
      </c>
      <c r="D53">
        <v>133121</v>
      </c>
      <c r="E53" t="s">
        <v>8</v>
      </c>
    </row>
    <row r="54" spans="1:5" x14ac:dyDescent="0.55000000000000004">
      <c r="A54" t="s">
        <v>2176</v>
      </c>
      <c r="B54" t="s">
        <v>2175</v>
      </c>
      <c r="C54" t="s">
        <v>10</v>
      </c>
      <c r="D54">
        <v>387584</v>
      </c>
      <c r="E54" t="s">
        <v>8</v>
      </c>
    </row>
    <row r="55" spans="1:5" x14ac:dyDescent="0.55000000000000004">
      <c r="A55" t="s">
        <v>3011</v>
      </c>
      <c r="B55" t="s">
        <v>3010</v>
      </c>
      <c r="C55" t="s">
        <v>41</v>
      </c>
      <c r="D55">
        <v>723126</v>
      </c>
      <c r="E55" t="s">
        <v>8</v>
      </c>
    </row>
    <row r="56" spans="1:5" x14ac:dyDescent="0.55000000000000004">
      <c r="A56" t="s">
        <v>3013</v>
      </c>
      <c r="B56" t="s">
        <v>3012</v>
      </c>
      <c r="C56" t="s">
        <v>10</v>
      </c>
      <c r="D56">
        <v>754417</v>
      </c>
      <c r="E56" t="s">
        <v>8</v>
      </c>
    </row>
    <row r="57" spans="1:5" x14ac:dyDescent="0.55000000000000004">
      <c r="A57" t="s">
        <v>3015</v>
      </c>
      <c r="B57" t="s">
        <v>3014</v>
      </c>
      <c r="C57" t="s">
        <v>10</v>
      </c>
      <c r="D57">
        <v>295957</v>
      </c>
      <c r="E57" t="s">
        <v>8</v>
      </c>
    </row>
    <row r="58" spans="1:5" x14ac:dyDescent="0.55000000000000004">
      <c r="A58" t="s">
        <v>118</v>
      </c>
      <c r="B58" t="s">
        <v>117</v>
      </c>
      <c r="C58" t="s">
        <v>10</v>
      </c>
      <c r="D58">
        <v>910025</v>
      </c>
      <c r="E58" t="s">
        <v>8</v>
      </c>
    </row>
    <row r="59" spans="1:5" x14ac:dyDescent="0.55000000000000004">
      <c r="A59" t="s">
        <v>1859</v>
      </c>
      <c r="B59" t="s">
        <v>1858</v>
      </c>
      <c r="C59" t="s">
        <v>10</v>
      </c>
      <c r="D59">
        <v>1398249</v>
      </c>
      <c r="E59" t="s">
        <v>8</v>
      </c>
    </row>
    <row r="60" spans="1:5" x14ac:dyDescent="0.55000000000000004">
      <c r="A60" t="s">
        <v>2453</v>
      </c>
      <c r="B60" t="s">
        <v>2451</v>
      </c>
      <c r="C60" t="s">
        <v>2452</v>
      </c>
      <c r="D60">
        <v>471755</v>
      </c>
      <c r="E60" t="s">
        <v>8</v>
      </c>
    </row>
    <row r="61" spans="1:5" x14ac:dyDescent="0.55000000000000004">
      <c r="A61" t="s">
        <v>3021</v>
      </c>
      <c r="B61" t="s">
        <v>3020</v>
      </c>
      <c r="C61" t="s">
        <v>10</v>
      </c>
      <c r="D61">
        <v>326915</v>
      </c>
      <c r="E61" t="s">
        <v>8</v>
      </c>
    </row>
    <row r="62" spans="1:5" x14ac:dyDescent="0.55000000000000004">
      <c r="A62" t="s">
        <v>3023</v>
      </c>
      <c r="B62" t="s">
        <v>3022</v>
      </c>
      <c r="C62" t="s">
        <v>10</v>
      </c>
      <c r="D62">
        <v>309826</v>
      </c>
      <c r="E62" t="s">
        <v>8</v>
      </c>
    </row>
    <row r="63" spans="1:5" x14ac:dyDescent="0.55000000000000004">
      <c r="A63" t="s">
        <v>1648</v>
      </c>
      <c r="B63" t="s">
        <v>1647</v>
      </c>
      <c r="C63" t="s">
        <v>10</v>
      </c>
      <c r="D63">
        <v>1317805</v>
      </c>
      <c r="E63" t="s">
        <v>8</v>
      </c>
    </row>
    <row r="64" spans="1:5" x14ac:dyDescent="0.55000000000000004">
      <c r="A64" t="s">
        <v>1210</v>
      </c>
      <c r="B64" t="s">
        <v>1209</v>
      </c>
      <c r="C64" t="s">
        <v>10</v>
      </c>
      <c r="D64">
        <v>8607679</v>
      </c>
      <c r="E64" t="s">
        <v>8</v>
      </c>
    </row>
    <row r="65" spans="1:5" x14ac:dyDescent="0.55000000000000004">
      <c r="A65" t="s">
        <v>124</v>
      </c>
      <c r="B65" t="s">
        <v>1211</v>
      </c>
      <c r="C65" t="s">
        <v>10</v>
      </c>
      <c r="D65">
        <v>1543298</v>
      </c>
      <c r="E65" t="s">
        <v>8</v>
      </c>
    </row>
    <row r="66" spans="1:5" x14ac:dyDescent="0.55000000000000004">
      <c r="A66" t="s">
        <v>128</v>
      </c>
      <c r="B66" t="s">
        <v>127</v>
      </c>
      <c r="C66" t="s">
        <v>10</v>
      </c>
      <c r="D66">
        <v>623681</v>
      </c>
      <c r="E66" t="s">
        <v>8</v>
      </c>
    </row>
    <row r="67" spans="1:5" x14ac:dyDescent="0.55000000000000004">
      <c r="A67" t="s">
        <v>988</v>
      </c>
      <c r="B67" t="s">
        <v>987</v>
      </c>
      <c r="C67" t="s">
        <v>10</v>
      </c>
      <c r="D67">
        <v>523984</v>
      </c>
      <c r="E67" t="s">
        <v>8</v>
      </c>
    </row>
    <row r="68" spans="1:5" x14ac:dyDescent="0.55000000000000004">
      <c r="A68" t="s">
        <v>1865</v>
      </c>
      <c r="B68" t="s">
        <v>1864</v>
      </c>
      <c r="C68" t="s">
        <v>10</v>
      </c>
      <c r="D68">
        <v>5486050</v>
      </c>
      <c r="E68" t="s">
        <v>8</v>
      </c>
    </row>
    <row r="69" spans="1:5" x14ac:dyDescent="0.55000000000000004">
      <c r="A69" t="s">
        <v>1872</v>
      </c>
      <c r="B69" t="s">
        <v>1871</v>
      </c>
      <c r="C69" t="s">
        <v>10</v>
      </c>
      <c r="D69">
        <v>1473398</v>
      </c>
      <c r="E69" t="s">
        <v>8</v>
      </c>
    </row>
    <row r="70" spans="1:5" x14ac:dyDescent="0.55000000000000004">
      <c r="A70" t="s">
        <v>839</v>
      </c>
      <c r="B70" t="s">
        <v>838</v>
      </c>
      <c r="C70" t="s">
        <v>10</v>
      </c>
      <c r="D70">
        <v>4904380</v>
      </c>
      <c r="E70" t="s">
        <v>8</v>
      </c>
    </row>
    <row r="71" spans="1:5" x14ac:dyDescent="0.55000000000000004">
      <c r="A71" t="s">
        <v>3031</v>
      </c>
      <c r="B71" t="s">
        <v>3030</v>
      </c>
      <c r="C71" t="s">
        <v>10</v>
      </c>
      <c r="D71">
        <v>877071</v>
      </c>
      <c r="E71" t="s">
        <v>8</v>
      </c>
    </row>
    <row r="72" spans="1:5" x14ac:dyDescent="0.55000000000000004">
      <c r="A72" t="s">
        <v>3041</v>
      </c>
      <c r="B72" t="s">
        <v>3040</v>
      </c>
      <c r="C72" t="s">
        <v>41</v>
      </c>
      <c r="D72">
        <v>468803</v>
      </c>
      <c r="E72" t="s">
        <v>8</v>
      </c>
    </row>
    <row r="73" spans="1:5" x14ac:dyDescent="0.55000000000000004">
      <c r="A73" t="s">
        <v>2662</v>
      </c>
      <c r="B73" t="s">
        <v>2663</v>
      </c>
      <c r="C73" t="s">
        <v>10</v>
      </c>
      <c r="D73">
        <v>806700</v>
      </c>
      <c r="E73" t="s">
        <v>8</v>
      </c>
    </row>
    <row r="74" spans="1:5" x14ac:dyDescent="0.55000000000000004">
      <c r="A74" t="s">
        <v>1876</v>
      </c>
      <c r="B74" t="s">
        <v>1875</v>
      </c>
      <c r="C74" t="s">
        <v>10</v>
      </c>
      <c r="D74">
        <v>1578174</v>
      </c>
      <c r="E74" t="s">
        <v>8</v>
      </c>
    </row>
    <row r="75" spans="1:5" x14ac:dyDescent="0.55000000000000004">
      <c r="A75" t="s">
        <v>1225</v>
      </c>
      <c r="B75" t="s">
        <v>1224</v>
      </c>
      <c r="C75" t="s">
        <v>10</v>
      </c>
      <c r="D75">
        <v>861601</v>
      </c>
      <c r="E75" t="s">
        <v>8</v>
      </c>
    </row>
    <row r="76" spans="1:5" x14ac:dyDescent="0.55000000000000004">
      <c r="A76" t="s">
        <v>3035</v>
      </c>
      <c r="B76" t="s">
        <v>3034</v>
      </c>
      <c r="C76" t="s">
        <v>10</v>
      </c>
      <c r="D76">
        <v>380304</v>
      </c>
      <c r="E76" t="s">
        <v>8</v>
      </c>
    </row>
    <row r="77" spans="1:5" x14ac:dyDescent="0.55000000000000004">
      <c r="A77" t="s">
        <v>3037</v>
      </c>
      <c r="B77" t="s">
        <v>3036</v>
      </c>
      <c r="C77" t="s">
        <v>10</v>
      </c>
      <c r="D77">
        <v>322409</v>
      </c>
      <c r="E77" t="s">
        <v>8</v>
      </c>
    </row>
    <row r="78" spans="1:5" x14ac:dyDescent="0.55000000000000004">
      <c r="A78" t="s">
        <v>2666</v>
      </c>
      <c r="B78" t="s">
        <v>2667</v>
      </c>
      <c r="C78" t="s">
        <v>10</v>
      </c>
      <c r="D78">
        <v>6628398</v>
      </c>
      <c r="E78" t="s">
        <v>8</v>
      </c>
    </row>
    <row r="79" spans="1:5" x14ac:dyDescent="0.55000000000000004">
      <c r="A79" t="s">
        <v>2668</v>
      </c>
      <c r="B79" t="s">
        <v>2669</v>
      </c>
      <c r="C79" t="s">
        <v>10</v>
      </c>
      <c r="D79">
        <v>2730232</v>
      </c>
      <c r="E79" t="s">
        <v>8</v>
      </c>
    </row>
    <row r="80" spans="1:5" x14ac:dyDescent="0.55000000000000004">
      <c r="A80" t="s">
        <v>745</v>
      </c>
      <c r="B80" t="s">
        <v>744</v>
      </c>
      <c r="C80" t="s">
        <v>10</v>
      </c>
      <c r="D80">
        <v>3171595</v>
      </c>
      <c r="E80" t="s">
        <v>8</v>
      </c>
    </row>
    <row r="81" spans="1:5" x14ac:dyDescent="0.55000000000000004">
      <c r="A81" t="s">
        <v>1669</v>
      </c>
      <c r="B81" t="s">
        <v>1668</v>
      </c>
      <c r="C81" t="s">
        <v>10</v>
      </c>
      <c r="D81">
        <v>561273</v>
      </c>
      <c r="E81" t="s">
        <v>8</v>
      </c>
    </row>
    <row r="82" spans="1:5" x14ac:dyDescent="0.55000000000000004">
      <c r="A82" t="s">
        <v>3051</v>
      </c>
      <c r="B82" t="s">
        <v>3050</v>
      </c>
      <c r="C82" t="s">
        <v>141</v>
      </c>
      <c r="D82">
        <v>296284</v>
      </c>
      <c r="E82" t="s">
        <v>8</v>
      </c>
    </row>
    <row r="83" spans="1:5" x14ac:dyDescent="0.55000000000000004">
      <c r="A83" t="s">
        <v>2469</v>
      </c>
      <c r="B83" t="s">
        <v>2468</v>
      </c>
      <c r="C83" t="s">
        <v>10</v>
      </c>
      <c r="D83">
        <v>245755</v>
      </c>
      <c r="E83" t="s">
        <v>8</v>
      </c>
    </row>
    <row r="84" spans="1:5" x14ac:dyDescent="0.55000000000000004">
      <c r="A84" t="s">
        <v>1240</v>
      </c>
      <c r="B84" t="s">
        <v>1239</v>
      </c>
      <c r="C84" t="s">
        <v>10</v>
      </c>
      <c r="D84">
        <v>1723892</v>
      </c>
      <c r="E84" t="s">
        <v>8</v>
      </c>
    </row>
    <row r="85" spans="1:5" x14ac:dyDescent="0.55000000000000004">
      <c r="A85" t="s">
        <v>2670</v>
      </c>
      <c r="B85" t="s">
        <v>2671</v>
      </c>
      <c r="C85" t="s">
        <v>10</v>
      </c>
      <c r="D85">
        <v>1297945</v>
      </c>
      <c r="E85" t="s">
        <v>8</v>
      </c>
    </row>
    <row r="86" spans="1:5" x14ac:dyDescent="0.55000000000000004">
      <c r="A86" t="s">
        <v>847</v>
      </c>
      <c r="B86" t="s">
        <v>846</v>
      </c>
      <c r="C86" t="s">
        <v>41</v>
      </c>
      <c r="D86">
        <v>295597</v>
      </c>
      <c r="E86" t="s">
        <v>8</v>
      </c>
    </row>
    <row r="87" spans="1:5" x14ac:dyDescent="0.55000000000000004">
      <c r="A87" t="s">
        <v>3064</v>
      </c>
      <c r="B87" t="s">
        <v>3062</v>
      </c>
      <c r="C87" t="s">
        <v>3063</v>
      </c>
      <c r="D87">
        <v>362057</v>
      </c>
      <c r="E87" t="s">
        <v>8</v>
      </c>
    </row>
    <row r="88" spans="1:5" x14ac:dyDescent="0.55000000000000004">
      <c r="A88" t="s">
        <v>1673</v>
      </c>
      <c r="B88" t="s">
        <v>1672</v>
      </c>
      <c r="C88" t="s">
        <v>10</v>
      </c>
      <c r="D88">
        <v>292221</v>
      </c>
      <c r="E88" t="s">
        <v>8</v>
      </c>
    </row>
    <row r="89" spans="1:5" x14ac:dyDescent="0.55000000000000004">
      <c r="A89" t="s">
        <v>2473</v>
      </c>
      <c r="B89" t="s">
        <v>2472</v>
      </c>
      <c r="C89" t="s">
        <v>10</v>
      </c>
      <c r="D89">
        <v>546039</v>
      </c>
      <c r="E89" t="s">
        <v>8</v>
      </c>
    </row>
    <row r="90" spans="1:5" x14ac:dyDescent="0.55000000000000004">
      <c r="A90" t="s">
        <v>2672</v>
      </c>
      <c r="B90" t="s">
        <v>2673</v>
      </c>
      <c r="C90" t="s">
        <v>10</v>
      </c>
      <c r="D90">
        <v>950934</v>
      </c>
      <c r="E90" t="s">
        <v>8</v>
      </c>
    </row>
    <row r="91" spans="1:5" x14ac:dyDescent="0.55000000000000004">
      <c r="A91" t="s">
        <v>2184</v>
      </c>
      <c r="B91" t="s">
        <v>2183</v>
      </c>
      <c r="C91" t="s">
        <v>41</v>
      </c>
      <c r="D91">
        <v>6045759</v>
      </c>
      <c r="E91" t="s">
        <v>8</v>
      </c>
    </row>
    <row r="92" spans="1:5" x14ac:dyDescent="0.55000000000000004">
      <c r="A92" t="s">
        <v>2674</v>
      </c>
      <c r="B92" t="s">
        <v>2675</v>
      </c>
      <c r="C92" t="s">
        <v>10</v>
      </c>
      <c r="D92">
        <v>1813149</v>
      </c>
      <c r="E92" t="s">
        <v>8</v>
      </c>
    </row>
    <row r="93" spans="1:5" x14ac:dyDescent="0.55000000000000004">
      <c r="A93" t="s">
        <v>3055</v>
      </c>
      <c r="B93" t="s">
        <v>3054</v>
      </c>
      <c r="C93" t="s">
        <v>10</v>
      </c>
      <c r="D93">
        <v>2481738</v>
      </c>
      <c r="E93" t="s">
        <v>8</v>
      </c>
    </row>
    <row r="94" spans="1:5" x14ac:dyDescent="0.55000000000000004">
      <c r="A94" t="s">
        <v>2676</v>
      </c>
      <c r="B94" t="s">
        <v>2677</v>
      </c>
      <c r="C94" t="s">
        <v>10</v>
      </c>
      <c r="D94">
        <v>3338685</v>
      </c>
      <c r="E94" t="s">
        <v>8</v>
      </c>
    </row>
    <row r="95" spans="1:5" x14ac:dyDescent="0.55000000000000004">
      <c r="A95" t="s">
        <v>3061</v>
      </c>
      <c r="B95" t="s">
        <v>3060</v>
      </c>
      <c r="C95" t="s">
        <v>10</v>
      </c>
      <c r="D95">
        <v>1455134</v>
      </c>
      <c r="E95" t="s">
        <v>8</v>
      </c>
    </row>
    <row r="96" spans="1:5" x14ac:dyDescent="0.55000000000000004">
      <c r="A96" t="s">
        <v>2193</v>
      </c>
      <c r="B96" t="s">
        <v>2192</v>
      </c>
      <c r="C96" t="s">
        <v>10</v>
      </c>
      <c r="D96">
        <v>706179</v>
      </c>
      <c r="E96" t="s">
        <v>8</v>
      </c>
    </row>
    <row r="97" spans="1:5" x14ac:dyDescent="0.55000000000000004">
      <c r="A97" t="s">
        <v>1254</v>
      </c>
      <c r="B97" t="s">
        <v>1253</v>
      </c>
      <c r="C97" t="s">
        <v>41</v>
      </c>
      <c r="D97">
        <v>502184</v>
      </c>
      <c r="E97" t="s">
        <v>8</v>
      </c>
    </row>
    <row r="98" spans="1:5" x14ac:dyDescent="0.55000000000000004">
      <c r="A98" t="s">
        <v>2483</v>
      </c>
      <c r="B98" t="s">
        <v>2482</v>
      </c>
      <c r="C98" t="s">
        <v>10</v>
      </c>
      <c r="D98">
        <v>203189</v>
      </c>
      <c r="E98" t="s">
        <v>8</v>
      </c>
    </row>
    <row r="99" spans="1:5" x14ac:dyDescent="0.55000000000000004">
      <c r="A99" t="s">
        <v>1256</v>
      </c>
      <c r="B99" t="s">
        <v>1255</v>
      </c>
      <c r="C99" t="s">
        <v>10</v>
      </c>
      <c r="D99">
        <v>1397231</v>
      </c>
      <c r="E99" t="s">
        <v>8</v>
      </c>
    </row>
    <row r="100" spans="1:5" x14ac:dyDescent="0.55000000000000004">
      <c r="A100" t="s">
        <v>209</v>
      </c>
      <c r="B100" t="s">
        <v>207</v>
      </c>
      <c r="C100" t="s">
        <v>208</v>
      </c>
      <c r="D100">
        <v>1508257</v>
      </c>
      <c r="E100" t="s">
        <v>8</v>
      </c>
    </row>
    <row r="101" spans="1:5" x14ac:dyDescent="0.55000000000000004">
      <c r="A101" t="s">
        <v>1260</v>
      </c>
      <c r="B101" t="s">
        <v>1259</v>
      </c>
      <c r="C101" t="s">
        <v>10</v>
      </c>
      <c r="D101">
        <v>4940353</v>
      </c>
      <c r="E101" t="s">
        <v>8</v>
      </c>
    </row>
    <row r="102" spans="1:5" x14ac:dyDescent="0.55000000000000004">
      <c r="A102" t="s">
        <v>3066</v>
      </c>
      <c r="B102" t="s">
        <v>3065</v>
      </c>
      <c r="C102" t="s">
        <v>10</v>
      </c>
      <c r="D102">
        <v>913787</v>
      </c>
      <c r="E102" t="s">
        <v>8</v>
      </c>
    </row>
    <row r="103" spans="1:5" x14ac:dyDescent="0.55000000000000004">
      <c r="A103" t="s">
        <v>1900</v>
      </c>
      <c r="B103" t="s">
        <v>1899</v>
      </c>
      <c r="C103" t="s">
        <v>10</v>
      </c>
      <c r="D103">
        <v>1555018</v>
      </c>
      <c r="E103" t="s">
        <v>8</v>
      </c>
    </row>
    <row r="104" spans="1:5" x14ac:dyDescent="0.55000000000000004">
      <c r="A104" t="s">
        <v>2680</v>
      </c>
      <c r="B104" t="s">
        <v>2681</v>
      </c>
      <c r="C104" t="s">
        <v>13</v>
      </c>
      <c r="D104">
        <v>565943</v>
      </c>
      <c r="E104" t="s">
        <v>8</v>
      </c>
    </row>
    <row r="105" spans="1:5" x14ac:dyDescent="0.55000000000000004">
      <c r="A105" t="s">
        <v>1278</v>
      </c>
      <c r="B105" t="s">
        <v>1277</v>
      </c>
      <c r="C105" t="s">
        <v>13</v>
      </c>
      <c r="D105">
        <v>2378738</v>
      </c>
      <c r="E105" t="s">
        <v>8</v>
      </c>
    </row>
    <row r="106" spans="1:5" x14ac:dyDescent="0.55000000000000004">
      <c r="A106" t="s">
        <v>2682</v>
      </c>
      <c r="B106" t="s">
        <v>2683</v>
      </c>
      <c r="C106" t="s">
        <v>10</v>
      </c>
      <c r="D106">
        <v>2258683</v>
      </c>
      <c r="E106" t="s">
        <v>8</v>
      </c>
    </row>
    <row r="107" spans="1:5" x14ac:dyDescent="0.55000000000000004">
      <c r="A107" t="s">
        <v>1025</v>
      </c>
      <c r="B107" t="s">
        <v>1024</v>
      </c>
      <c r="C107" t="s">
        <v>10</v>
      </c>
      <c r="D107">
        <v>1450065</v>
      </c>
      <c r="E107" t="s">
        <v>8</v>
      </c>
    </row>
    <row r="108" spans="1:5" x14ac:dyDescent="0.55000000000000004">
      <c r="A108" t="s">
        <v>3068</v>
      </c>
      <c r="B108" t="s">
        <v>3067</v>
      </c>
      <c r="C108" t="s">
        <v>10</v>
      </c>
      <c r="D108">
        <v>627591</v>
      </c>
      <c r="E108" t="s">
        <v>8</v>
      </c>
    </row>
    <row r="109" spans="1:5" x14ac:dyDescent="0.55000000000000004">
      <c r="A109" t="s">
        <v>853</v>
      </c>
      <c r="B109" t="s">
        <v>852</v>
      </c>
      <c r="C109" t="s">
        <v>10</v>
      </c>
      <c r="D109">
        <v>841824</v>
      </c>
      <c r="E109" t="s">
        <v>8</v>
      </c>
    </row>
    <row r="110" spans="1:5" x14ac:dyDescent="0.55000000000000004">
      <c r="A110" t="s">
        <v>3070</v>
      </c>
      <c r="B110" t="s">
        <v>3069</v>
      </c>
      <c r="C110" t="s">
        <v>10</v>
      </c>
      <c r="D110">
        <v>799336</v>
      </c>
      <c r="E110" t="s">
        <v>8</v>
      </c>
    </row>
    <row r="111" spans="1:5" x14ac:dyDescent="0.55000000000000004">
      <c r="A111" t="s">
        <v>222</v>
      </c>
      <c r="B111" t="s">
        <v>221</v>
      </c>
      <c r="C111" t="s">
        <v>10</v>
      </c>
      <c r="D111">
        <v>222067</v>
      </c>
      <c r="E111" t="s">
        <v>8</v>
      </c>
    </row>
    <row r="112" spans="1:5" x14ac:dyDescent="0.55000000000000004">
      <c r="A112" t="s">
        <v>585</v>
      </c>
      <c r="B112" t="s">
        <v>584</v>
      </c>
      <c r="C112" t="s">
        <v>10</v>
      </c>
      <c r="D112">
        <v>2062165</v>
      </c>
      <c r="E112" t="s">
        <v>8</v>
      </c>
    </row>
    <row r="113" spans="1:5" x14ac:dyDescent="0.55000000000000004">
      <c r="A113" t="s">
        <v>224</v>
      </c>
      <c r="B113" t="s">
        <v>223</v>
      </c>
      <c r="C113" t="s">
        <v>10</v>
      </c>
      <c r="D113">
        <v>313392</v>
      </c>
      <c r="E113" t="s">
        <v>8</v>
      </c>
    </row>
    <row r="114" spans="1:5" x14ac:dyDescent="0.55000000000000004">
      <c r="A114" t="s">
        <v>226</v>
      </c>
      <c r="B114" t="s">
        <v>225</v>
      </c>
      <c r="C114" t="s">
        <v>10</v>
      </c>
      <c r="D114">
        <v>276490</v>
      </c>
      <c r="E114" t="s">
        <v>8</v>
      </c>
    </row>
    <row r="115" spans="1:5" x14ac:dyDescent="0.55000000000000004">
      <c r="A115" t="s">
        <v>231</v>
      </c>
      <c r="B115" t="s">
        <v>229</v>
      </c>
      <c r="C115" t="s">
        <v>230</v>
      </c>
      <c r="D115">
        <v>1097563</v>
      </c>
      <c r="E115" t="s">
        <v>8</v>
      </c>
    </row>
    <row r="116" spans="1:5" x14ac:dyDescent="0.55000000000000004">
      <c r="A116" t="s">
        <v>2684</v>
      </c>
      <c r="B116" t="s">
        <v>2685</v>
      </c>
      <c r="C116" t="s">
        <v>10</v>
      </c>
      <c r="D116">
        <v>6747798</v>
      </c>
      <c r="E116" t="s">
        <v>8</v>
      </c>
    </row>
    <row r="117" spans="1:5" x14ac:dyDescent="0.55000000000000004">
      <c r="A117" t="s">
        <v>589</v>
      </c>
      <c r="B117" t="s">
        <v>588</v>
      </c>
      <c r="C117" t="s">
        <v>10</v>
      </c>
      <c r="D117">
        <v>291909</v>
      </c>
      <c r="E117" t="s">
        <v>8</v>
      </c>
    </row>
    <row r="118" spans="1:5" x14ac:dyDescent="0.55000000000000004">
      <c r="A118" t="s">
        <v>591</v>
      </c>
      <c r="B118" t="s">
        <v>590</v>
      </c>
      <c r="C118" t="s">
        <v>10</v>
      </c>
      <c r="D118">
        <v>2249588</v>
      </c>
      <c r="E118" t="s">
        <v>8</v>
      </c>
    </row>
    <row r="119" spans="1:5" x14ac:dyDescent="0.55000000000000004">
      <c r="A119" t="s">
        <v>3072</v>
      </c>
      <c r="B119" t="s">
        <v>3071</v>
      </c>
      <c r="C119" t="s">
        <v>10</v>
      </c>
      <c r="D119">
        <v>185296</v>
      </c>
      <c r="E119" t="s">
        <v>8</v>
      </c>
    </row>
    <row r="120" spans="1:5" x14ac:dyDescent="0.55000000000000004">
      <c r="A120" t="s">
        <v>247</v>
      </c>
      <c r="B120" t="s">
        <v>246</v>
      </c>
      <c r="C120" t="s">
        <v>10</v>
      </c>
      <c r="D120">
        <v>7366526</v>
      </c>
      <c r="E120" t="s">
        <v>8</v>
      </c>
    </row>
    <row r="121" spans="1:5" x14ac:dyDescent="0.55000000000000004">
      <c r="A121" t="s">
        <v>3074</v>
      </c>
      <c r="B121" t="s">
        <v>3073</v>
      </c>
      <c r="C121" t="s">
        <v>1656</v>
      </c>
      <c r="D121">
        <v>720310</v>
      </c>
      <c r="E121" t="s">
        <v>8</v>
      </c>
    </row>
    <row r="122" spans="1:5" x14ac:dyDescent="0.55000000000000004">
      <c r="A122" t="s">
        <v>1295</v>
      </c>
      <c r="B122" t="s">
        <v>1294</v>
      </c>
      <c r="C122" t="s">
        <v>10</v>
      </c>
      <c r="D122">
        <v>272374</v>
      </c>
      <c r="E122" t="s">
        <v>8</v>
      </c>
    </row>
    <row r="123" spans="1:5" x14ac:dyDescent="0.55000000000000004">
      <c r="A123" t="s">
        <v>3078</v>
      </c>
      <c r="B123" t="s">
        <v>3077</v>
      </c>
      <c r="C123" t="s">
        <v>10</v>
      </c>
      <c r="D123">
        <v>2466503</v>
      </c>
      <c r="E123" t="s">
        <v>8</v>
      </c>
    </row>
    <row r="124" spans="1:5" x14ac:dyDescent="0.55000000000000004">
      <c r="A124" t="s">
        <v>2686</v>
      </c>
      <c r="B124" t="s">
        <v>2687</v>
      </c>
      <c r="C124" t="s">
        <v>10</v>
      </c>
      <c r="D124">
        <v>5337467</v>
      </c>
      <c r="E124" t="s">
        <v>8</v>
      </c>
    </row>
    <row r="125" spans="1:5" x14ac:dyDescent="0.55000000000000004">
      <c r="A125" t="s">
        <v>257</v>
      </c>
      <c r="B125" t="s">
        <v>256</v>
      </c>
      <c r="C125" t="s">
        <v>10</v>
      </c>
      <c r="D125">
        <v>6144557</v>
      </c>
      <c r="E125" t="s">
        <v>8</v>
      </c>
    </row>
    <row r="126" spans="1:5" x14ac:dyDescent="0.55000000000000004">
      <c r="A126" t="s">
        <v>2495</v>
      </c>
      <c r="B126" t="s">
        <v>2494</v>
      </c>
      <c r="C126" t="s">
        <v>13</v>
      </c>
      <c r="D126">
        <v>896904</v>
      </c>
      <c r="E126" t="s">
        <v>8</v>
      </c>
    </row>
    <row r="127" spans="1:5" x14ac:dyDescent="0.55000000000000004">
      <c r="A127" t="s">
        <v>1687</v>
      </c>
      <c r="B127" t="s">
        <v>1686</v>
      </c>
      <c r="C127" t="s">
        <v>10</v>
      </c>
      <c r="D127">
        <v>1358977</v>
      </c>
      <c r="E127" t="s">
        <v>8</v>
      </c>
    </row>
    <row r="128" spans="1:5" x14ac:dyDescent="0.55000000000000004">
      <c r="A128" t="s">
        <v>261</v>
      </c>
      <c r="B128" t="s">
        <v>260</v>
      </c>
      <c r="C128" t="s">
        <v>10</v>
      </c>
      <c r="D128">
        <v>1730807</v>
      </c>
      <c r="E128" t="s">
        <v>8</v>
      </c>
    </row>
    <row r="129" spans="1:5" x14ac:dyDescent="0.55000000000000004">
      <c r="A129" t="s">
        <v>1029</v>
      </c>
      <c r="B129" t="s">
        <v>1028</v>
      </c>
      <c r="C129" t="s">
        <v>10</v>
      </c>
      <c r="D129">
        <v>400553</v>
      </c>
      <c r="E129" t="s">
        <v>8</v>
      </c>
    </row>
    <row r="130" spans="1:5" x14ac:dyDescent="0.55000000000000004">
      <c r="A130" t="s">
        <v>1303</v>
      </c>
      <c r="B130" t="s">
        <v>1302</v>
      </c>
      <c r="C130" t="s">
        <v>10</v>
      </c>
      <c r="D130">
        <v>4410708</v>
      </c>
      <c r="E130" t="s">
        <v>8</v>
      </c>
    </row>
    <row r="131" spans="1:5" x14ac:dyDescent="0.55000000000000004">
      <c r="A131" t="s">
        <v>3080</v>
      </c>
      <c r="B131" t="s">
        <v>3079</v>
      </c>
      <c r="C131" t="s">
        <v>6</v>
      </c>
      <c r="D131">
        <v>344848</v>
      </c>
      <c r="E131" t="s">
        <v>8</v>
      </c>
    </row>
    <row r="132" spans="1:5" x14ac:dyDescent="0.55000000000000004">
      <c r="A132" t="s">
        <v>265</v>
      </c>
      <c r="B132" t="s">
        <v>264</v>
      </c>
      <c r="C132" t="s">
        <v>10</v>
      </c>
      <c r="D132">
        <v>933072</v>
      </c>
      <c r="E132" t="s">
        <v>8</v>
      </c>
    </row>
    <row r="133" spans="1:5" x14ac:dyDescent="0.55000000000000004">
      <c r="A133" t="s">
        <v>2497</v>
      </c>
      <c r="B133" t="s">
        <v>2496</v>
      </c>
      <c r="C133" t="s">
        <v>10</v>
      </c>
      <c r="D133">
        <v>698272</v>
      </c>
      <c r="E133" t="s">
        <v>8</v>
      </c>
    </row>
    <row r="134" spans="1:5" x14ac:dyDescent="0.55000000000000004">
      <c r="A134" t="s">
        <v>2499</v>
      </c>
      <c r="B134" t="s">
        <v>2498</v>
      </c>
      <c r="C134" t="s">
        <v>41</v>
      </c>
      <c r="D134">
        <v>409585</v>
      </c>
      <c r="E134" t="s">
        <v>8</v>
      </c>
    </row>
    <row r="135" spans="1:5" x14ac:dyDescent="0.55000000000000004">
      <c r="A135" t="s">
        <v>2693</v>
      </c>
      <c r="B135" t="s">
        <v>2694</v>
      </c>
      <c r="C135" t="s">
        <v>10</v>
      </c>
      <c r="D135">
        <v>1705374</v>
      </c>
      <c r="E135" t="s">
        <v>8</v>
      </c>
    </row>
    <row r="136" spans="1:5" x14ac:dyDescent="0.55000000000000004">
      <c r="A136" t="s">
        <v>3084</v>
      </c>
      <c r="B136" t="s">
        <v>3083</v>
      </c>
      <c r="C136" t="s">
        <v>10</v>
      </c>
      <c r="D136">
        <v>1734291</v>
      </c>
      <c r="E136" t="s">
        <v>8</v>
      </c>
    </row>
    <row r="137" spans="1:5" x14ac:dyDescent="0.55000000000000004">
      <c r="A137" t="s">
        <v>1933</v>
      </c>
      <c r="B137" t="s">
        <v>1931</v>
      </c>
      <c r="C137" t="s">
        <v>1932</v>
      </c>
      <c r="D137">
        <v>725571</v>
      </c>
      <c r="E137" t="s">
        <v>8</v>
      </c>
    </row>
    <row r="138" spans="1:5" x14ac:dyDescent="0.55000000000000004">
      <c r="A138" t="s">
        <v>2246</v>
      </c>
      <c r="B138" t="s">
        <v>2245</v>
      </c>
      <c r="C138" t="s">
        <v>13</v>
      </c>
      <c r="D138">
        <v>1473278</v>
      </c>
      <c r="E138" t="s">
        <v>8</v>
      </c>
    </row>
    <row r="139" spans="1:5" x14ac:dyDescent="0.55000000000000004">
      <c r="A139" t="s">
        <v>3086</v>
      </c>
      <c r="B139" t="s">
        <v>3085</v>
      </c>
      <c r="C139" t="s">
        <v>10</v>
      </c>
      <c r="D139">
        <v>3821703</v>
      </c>
      <c r="E139" t="s">
        <v>8</v>
      </c>
    </row>
    <row r="140" spans="1:5" x14ac:dyDescent="0.55000000000000004">
      <c r="A140" t="s">
        <v>3090</v>
      </c>
      <c r="B140" t="s">
        <v>3089</v>
      </c>
      <c r="C140" t="s">
        <v>10</v>
      </c>
      <c r="D140">
        <v>69467</v>
      </c>
      <c r="E140" t="s">
        <v>8</v>
      </c>
    </row>
    <row r="141" spans="1:5" x14ac:dyDescent="0.55000000000000004">
      <c r="A141" t="s">
        <v>1695</v>
      </c>
      <c r="B141" t="s">
        <v>1694</v>
      </c>
      <c r="C141" t="s">
        <v>10</v>
      </c>
      <c r="D141">
        <v>1047665</v>
      </c>
      <c r="E141" t="s">
        <v>8</v>
      </c>
    </row>
    <row r="142" spans="1:5" x14ac:dyDescent="0.55000000000000004">
      <c r="A142" t="s">
        <v>2697</v>
      </c>
      <c r="B142" t="s">
        <v>2698</v>
      </c>
      <c r="C142" t="s">
        <v>10</v>
      </c>
      <c r="D142">
        <v>424526</v>
      </c>
      <c r="E142" t="s">
        <v>8</v>
      </c>
    </row>
    <row r="143" spans="1:5" x14ac:dyDescent="0.55000000000000004">
      <c r="A143" t="s">
        <v>3092</v>
      </c>
      <c r="B143" t="s">
        <v>3091</v>
      </c>
      <c r="C143" t="s">
        <v>10</v>
      </c>
      <c r="D143">
        <v>572647</v>
      </c>
      <c r="E143" t="s">
        <v>8</v>
      </c>
    </row>
    <row r="144" spans="1:5" x14ac:dyDescent="0.55000000000000004">
      <c r="A144" t="s">
        <v>1047</v>
      </c>
      <c r="B144" t="s">
        <v>1046</v>
      </c>
      <c r="C144" t="s">
        <v>10</v>
      </c>
      <c r="D144">
        <v>469070</v>
      </c>
      <c r="E144" t="s">
        <v>8</v>
      </c>
    </row>
    <row r="145" spans="1:5" x14ac:dyDescent="0.55000000000000004">
      <c r="A145" t="s">
        <v>3096</v>
      </c>
      <c r="B145" t="s">
        <v>1941</v>
      </c>
      <c r="C145" t="s">
        <v>3095</v>
      </c>
      <c r="D145">
        <v>651644</v>
      </c>
      <c r="E145" t="s">
        <v>8</v>
      </c>
    </row>
    <row r="146" spans="1:5" x14ac:dyDescent="0.55000000000000004">
      <c r="A146" t="s">
        <v>1527</v>
      </c>
      <c r="B146" t="s">
        <v>1526</v>
      </c>
      <c r="C146" t="s">
        <v>10</v>
      </c>
      <c r="D146">
        <v>539193</v>
      </c>
      <c r="E146" t="s">
        <v>8</v>
      </c>
    </row>
    <row r="147" spans="1:5" x14ac:dyDescent="0.55000000000000004">
      <c r="A147" t="s">
        <v>1945</v>
      </c>
      <c r="B147" t="s">
        <v>1944</v>
      </c>
      <c r="C147" t="s">
        <v>10</v>
      </c>
      <c r="D147">
        <v>356617</v>
      </c>
      <c r="E147" t="s">
        <v>8</v>
      </c>
    </row>
    <row r="148" spans="1:5" x14ac:dyDescent="0.55000000000000004">
      <c r="A148" t="s">
        <v>1049</v>
      </c>
      <c r="B148" t="s">
        <v>1048</v>
      </c>
      <c r="C148" t="s">
        <v>10</v>
      </c>
      <c r="D148">
        <v>224010</v>
      </c>
      <c r="E148" t="s">
        <v>8</v>
      </c>
    </row>
    <row r="149" spans="1:5" x14ac:dyDescent="0.55000000000000004">
      <c r="A149" t="s">
        <v>294</v>
      </c>
      <c r="B149" t="s">
        <v>293</v>
      </c>
      <c r="C149" t="s">
        <v>10</v>
      </c>
      <c r="D149">
        <v>289471</v>
      </c>
      <c r="E149" t="s">
        <v>8</v>
      </c>
    </row>
    <row r="150" spans="1:5" x14ac:dyDescent="0.55000000000000004">
      <c r="A150" t="s">
        <v>2530</v>
      </c>
      <c r="B150" t="s">
        <v>2529</v>
      </c>
      <c r="C150" t="s">
        <v>6</v>
      </c>
      <c r="D150">
        <v>553093</v>
      </c>
      <c r="E150" t="s">
        <v>8</v>
      </c>
    </row>
    <row r="151" spans="1:5" x14ac:dyDescent="0.55000000000000004">
      <c r="A151" t="s">
        <v>3100</v>
      </c>
      <c r="B151" t="s">
        <v>3099</v>
      </c>
      <c r="C151" t="s">
        <v>6</v>
      </c>
      <c r="D151">
        <v>971906</v>
      </c>
      <c r="E151" t="s">
        <v>8</v>
      </c>
    </row>
    <row r="152" spans="1:5" x14ac:dyDescent="0.55000000000000004">
      <c r="A152" t="s">
        <v>1338</v>
      </c>
      <c r="B152" t="s">
        <v>1337</v>
      </c>
      <c r="C152" t="s">
        <v>10</v>
      </c>
      <c r="D152">
        <v>213147</v>
      </c>
      <c r="E152" t="s">
        <v>8</v>
      </c>
    </row>
    <row r="153" spans="1:5" x14ac:dyDescent="0.55000000000000004">
      <c r="A153" t="s">
        <v>2258</v>
      </c>
      <c r="B153" t="s">
        <v>2257</v>
      </c>
      <c r="C153" t="s">
        <v>10</v>
      </c>
      <c r="D153">
        <v>296360</v>
      </c>
      <c r="E153" t="s">
        <v>8</v>
      </c>
    </row>
    <row r="154" spans="1:5" x14ac:dyDescent="0.55000000000000004">
      <c r="A154" t="s">
        <v>2526</v>
      </c>
      <c r="B154" t="s">
        <v>2525</v>
      </c>
      <c r="C154" t="s">
        <v>10</v>
      </c>
      <c r="D154">
        <v>7997211</v>
      </c>
      <c r="E154" t="s">
        <v>8</v>
      </c>
    </row>
    <row r="155" spans="1:5" x14ac:dyDescent="0.55000000000000004">
      <c r="A155" t="s">
        <v>2265</v>
      </c>
      <c r="B155" t="s">
        <v>2264</v>
      </c>
      <c r="C155" t="s">
        <v>13</v>
      </c>
      <c r="D155">
        <v>580459</v>
      </c>
      <c r="E155" t="s">
        <v>8</v>
      </c>
    </row>
    <row r="156" spans="1:5" x14ac:dyDescent="0.55000000000000004">
      <c r="A156" t="s">
        <v>2709</v>
      </c>
      <c r="B156" t="s">
        <v>2710</v>
      </c>
      <c r="C156" t="s">
        <v>10</v>
      </c>
      <c r="D156">
        <v>3001930</v>
      </c>
      <c r="E156" t="s">
        <v>8</v>
      </c>
    </row>
    <row r="157" spans="1:5" x14ac:dyDescent="0.55000000000000004">
      <c r="A157" t="s">
        <v>1708</v>
      </c>
      <c r="B157" t="s">
        <v>1707</v>
      </c>
      <c r="C157" t="s">
        <v>10</v>
      </c>
      <c r="D157">
        <v>2321276</v>
      </c>
      <c r="E157" t="s">
        <v>8</v>
      </c>
    </row>
    <row r="158" spans="1:5" x14ac:dyDescent="0.55000000000000004">
      <c r="A158" t="s">
        <v>2711</v>
      </c>
      <c r="B158" t="s">
        <v>2712</v>
      </c>
      <c r="C158" t="s">
        <v>2713</v>
      </c>
      <c r="D158">
        <v>1451152</v>
      </c>
      <c r="E158" t="s">
        <v>8</v>
      </c>
    </row>
    <row r="159" spans="1:5" x14ac:dyDescent="0.55000000000000004">
      <c r="A159" t="s">
        <v>2270</v>
      </c>
      <c r="B159" t="s">
        <v>2268</v>
      </c>
      <c r="C159" t="s">
        <v>2269</v>
      </c>
      <c r="D159">
        <v>846576</v>
      </c>
      <c r="E159" t="s">
        <v>8</v>
      </c>
    </row>
    <row r="160" spans="1:5" x14ac:dyDescent="0.55000000000000004">
      <c r="A160" t="s">
        <v>309</v>
      </c>
      <c r="B160" t="s">
        <v>308</v>
      </c>
      <c r="C160" t="s">
        <v>10</v>
      </c>
      <c r="D160">
        <v>698242</v>
      </c>
      <c r="E160" t="s">
        <v>8</v>
      </c>
    </row>
    <row r="161" spans="1:5" x14ac:dyDescent="0.55000000000000004">
      <c r="A161" t="s">
        <v>1952</v>
      </c>
      <c r="B161" t="s">
        <v>1951</v>
      </c>
      <c r="C161" t="s">
        <v>10</v>
      </c>
      <c r="D161">
        <v>207470</v>
      </c>
      <c r="E161" t="s">
        <v>8</v>
      </c>
    </row>
    <row r="162" spans="1:5" x14ac:dyDescent="0.55000000000000004">
      <c r="A162" t="s">
        <v>1954</v>
      </c>
      <c r="B162" t="s">
        <v>1953</v>
      </c>
      <c r="C162" t="s">
        <v>10</v>
      </c>
      <c r="D162">
        <v>2656525</v>
      </c>
      <c r="E162" t="s">
        <v>8</v>
      </c>
    </row>
    <row r="163" spans="1:5" x14ac:dyDescent="0.55000000000000004">
      <c r="A163" t="s">
        <v>3106</v>
      </c>
      <c r="B163" t="s">
        <v>3105</v>
      </c>
      <c r="C163" t="s">
        <v>41</v>
      </c>
      <c r="D163">
        <v>55561</v>
      </c>
      <c r="E163" t="s">
        <v>8</v>
      </c>
    </row>
    <row r="164" spans="1:5" x14ac:dyDescent="0.55000000000000004">
      <c r="A164" t="s">
        <v>3108</v>
      </c>
      <c r="B164" t="s">
        <v>3107</v>
      </c>
      <c r="C164" t="s">
        <v>10</v>
      </c>
      <c r="D164">
        <v>1137772</v>
      </c>
      <c r="E164" t="s">
        <v>8</v>
      </c>
    </row>
    <row r="165" spans="1:5" x14ac:dyDescent="0.55000000000000004">
      <c r="A165" t="s">
        <v>2714</v>
      </c>
      <c r="B165" t="s">
        <v>2715</v>
      </c>
      <c r="C165" t="s">
        <v>10</v>
      </c>
      <c r="D165">
        <v>747195</v>
      </c>
      <c r="E165" t="s">
        <v>8</v>
      </c>
    </row>
    <row r="166" spans="1:5" x14ac:dyDescent="0.55000000000000004">
      <c r="A166" t="s">
        <v>1714</v>
      </c>
      <c r="B166" t="s">
        <v>1713</v>
      </c>
      <c r="C166" t="s">
        <v>41</v>
      </c>
      <c r="D166">
        <v>1059028</v>
      </c>
      <c r="E166" t="s">
        <v>8</v>
      </c>
    </row>
    <row r="167" spans="1:5" x14ac:dyDescent="0.55000000000000004">
      <c r="A167" t="s">
        <v>3112</v>
      </c>
      <c r="B167" t="s">
        <v>3111</v>
      </c>
      <c r="C167" t="s">
        <v>10</v>
      </c>
      <c r="D167">
        <v>1108437</v>
      </c>
      <c r="E167" t="s">
        <v>8</v>
      </c>
    </row>
    <row r="168" spans="1:5" x14ac:dyDescent="0.55000000000000004">
      <c r="A168" t="s">
        <v>313</v>
      </c>
      <c r="B168" t="s">
        <v>312</v>
      </c>
      <c r="C168" t="s">
        <v>10</v>
      </c>
      <c r="D168">
        <v>254210</v>
      </c>
      <c r="E168" t="s">
        <v>8</v>
      </c>
    </row>
    <row r="169" spans="1:5" x14ac:dyDescent="0.55000000000000004">
      <c r="A169" t="s">
        <v>2716</v>
      </c>
      <c r="B169" t="s">
        <v>2717</v>
      </c>
      <c r="C169" t="s">
        <v>10</v>
      </c>
      <c r="D169">
        <v>2539919</v>
      </c>
      <c r="E169" t="s">
        <v>8</v>
      </c>
    </row>
    <row r="170" spans="1:5" x14ac:dyDescent="0.55000000000000004">
      <c r="A170" t="s">
        <v>2274</v>
      </c>
      <c r="B170" t="s">
        <v>2273</v>
      </c>
      <c r="C170" t="s">
        <v>41</v>
      </c>
      <c r="D170">
        <v>4319250</v>
      </c>
      <c r="E170" t="s">
        <v>8</v>
      </c>
    </row>
    <row r="171" spans="1:5" x14ac:dyDescent="0.55000000000000004">
      <c r="A171" t="s">
        <v>1960</v>
      </c>
      <c r="B171" t="s">
        <v>1959</v>
      </c>
      <c r="C171" t="s">
        <v>10</v>
      </c>
      <c r="D171">
        <v>630766</v>
      </c>
      <c r="E171" t="s">
        <v>8</v>
      </c>
    </row>
    <row r="172" spans="1:5" x14ac:dyDescent="0.55000000000000004">
      <c r="A172" t="s">
        <v>315</v>
      </c>
      <c r="B172" t="s">
        <v>314</v>
      </c>
      <c r="C172" t="s">
        <v>10</v>
      </c>
      <c r="D172">
        <v>562507</v>
      </c>
      <c r="E172" t="s">
        <v>8</v>
      </c>
    </row>
    <row r="173" spans="1:5" x14ac:dyDescent="0.55000000000000004">
      <c r="A173" t="s">
        <v>2718</v>
      </c>
      <c r="B173" t="s">
        <v>2719</v>
      </c>
      <c r="C173" t="s">
        <v>10</v>
      </c>
      <c r="D173">
        <v>1541015</v>
      </c>
      <c r="E173" t="s">
        <v>8</v>
      </c>
    </row>
    <row r="174" spans="1:5" x14ac:dyDescent="0.55000000000000004">
      <c r="A174" t="s">
        <v>643</v>
      </c>
      <c r="B174" t="s">
        <v>642</v>
      </c>
      <c r="C174" t="s">
        <v>10</v>
      </c>
      <c r="D174">
        <v>432971</v>
      </c>
      <c r="E174" t="s">
        <v>8</v>
      </c>
    </row>
    <row r="175" spans="1:5" x14ac:dyDescent="0.55000000000000004">
      <c r="A175" t="s">
        <v>317</v>
      </c>
      <c r="B175" t="s">
        <v>316</v>
      </c>
      <c r="C175" t="s">
        <v>10</v>
      </c>
      <c r="D175">
        <v>1910644</v>
      </c>
      <c r="E175" t="s">
        <v>8</v>
      </c>
    </row>
    <row r="176" spans="1:5" x14ac:dyDescent="0.55000000000000004">
      <c r="A176" t="s">
        <v>2276</v>
      </c>
      <c r="B176" t="s">
        <v>2275</v>
      </c>
      <c r="C176" t="s">
        <v>13</v>
      </c>
      <c r="D176">
        <v>4076915</v>
      </c>
      <c r="E176" t="s">
        <v>8</v>
      </c>
    </row>
    <row r="177" spans="1:5" x14ac:dyDescent="0.55000000000000004">
      <c r="A177" t="s">
        <v>3118</v>
      </c>
      <c r="B177" t="s">
        <v>3117</v>
      </c>
      <c r="C177" t="s">
        <v>10</v>
      </c>
      <c r="D177">
        <v>451960</v>
      </c>
      <c r="E177" t="s">
        <v>8</v>
      </c>
    </row>
    <row r="178" spans="1:5" x14ac:dyDescent="0.55000000000000004">
      <c r="A178" t="s">
        <v>2720</v>
      </c>
      <c r="B178" t="s">
        <v>2721</v>
      </c>
      <c r="C178" t="s">
        <v>10</v>
      </c>
      <c r="D178">
        <v>1989492</v>
      </c>
      <c r="E178" t="s">
        <v>8</v>
      </c>
    </row>
    <row r="179" spans="1:5" x14ac:dyDescent="0.55000000000000004">
      <c r="A179" t="s">
        <v>2722</v>
      </c>
      <c r="B179" t="s">
        <v>2723</v>
      </c>
      <c r="C179" t="s">
        <v>10</v>
      </c>
      <c r="D179">
        <v>1628303</v>
      </c>
      <c r="E179" t="s">
        <v>8</v>
      </c>
    </row>
    <row r="180" spans="1:5" x14ac:dyDescent="0.55000000000000004">
      <c r="A180" t="s">
        <v>114</v>
      </c>
      <c r="B180" t="s">
        <v>113</v>
      </c>
      <c r="C180" t="s">
        <v>41</v>
      </c>
      <c r="D180">
        <v>1587302</v>
      </c>
      <c r="E180" t="s">
        <v>8</v>
      </c>
    </row>
    <row r="181" spans="1:5" x14ac:dyDescent="0.55000000000000004">
      <c r="A181" t="s">
        <v>3124</v>
      </c>
      <c r="B181" t="s">
        <v>3123</v>
      </c>
      <c r="C181" t="s">
        <v>10</v>
      </c>
      <c r="D181">
        <v>205970</v>
      </c>
      <c r="E181" t="s">
        <v>8</v>
      </c>
    </row>
    <row r="182" spans="1:5" x14ac:dyDescent="0.55000000000000004">
      <c r="A182" t="s">
        <v>2546</v>
      </c>
      <c r="B182" t="s">
        <v>2545</v>
      </c>
      <c r="C182" t="s">
        <v>10</v>
      </c>
      <c r="D182">
        <v>239590</v>
      </c>
      <c r="E182" t="s">
        <v>8</v>
      </c>
    </row>
    <row r="183" spans="1:5" x14ac:dyDescent="0.55000000000000004">
      <c r="A183" t="s">
        <v>2292</v>
      </c>
      <c r="B183" t="s">
        <v>2291</v>
      </c>
      <c r="C183" t="s">
        <v>10</v>
      </c>
      <c r="D183">
        <v>3254790</v>
      </c>
      <c r="E183" t="s">
        <v>8</v>
      </c>
    </row>
    <row r="184" spans="1:5" x14ac:dyDescent="0.55000000000000004">
      <c r="A184" t="s">
        <v>777</v>
      </c>
      <c r="B184" t="s">
        <v>776</v>
      </c>
      <c r="C184" t="s">
        <v>10</v>
      </c>
      <c r="D184">
        <v>7248851</v>
      </c>
      <c r="E184" t="s">
        <v>8</v>
      </c>
    </row>
    <row r="185" spans="1:5" x14ac:dyDescent="0.55000000000000004">
      <c r="A185" t="s">
        <v>339</v>
      </c>
      <c r="B185" t="s">
        <v>338</v>
      </c>
      <c r="C185" t="s">
        <v>10</v>
      </c>
      <c r="D185">
        <v>215091</v>
      </c>
      <c r="E185" t="s">
        <v>8</v>
      </c>
    </row>
    <row r="186" spans="1:5" x14ac:dyDescent="0.55000000000000004">
      <c r="A186" t="s">
        <v>2726</v>
      </c>
      <c r="B186" t="s">
        <v>2727</v>
      </c>
      <c r="C186" t="s">
        <v>10</v>
      </c>
      <c r="D186">
        <v>213747</v>
      </c>
      <c r="E186" t="s">
        <v>8</v>
      </c>
    </row>
    <row r="187" spans="1:5" x14ac:dyDescent="0.55000000000000004">
      <c r="A187" t="s">
        <v>2562</v>
      </c>
      <c r="B187" t="s">
        <v>2561</v>
      </c>
      <c r="C187" t="s">
        <v>10</v>
      </c>
      <c r="D187">
        <v>481540</v>
      </c>
      <c r="E187" t="s">
        <v>8</v>
      </c>
    </row>
    <row r="188" spans="1:5" x14ac:dyDescent="0.55000000000000004">
      <c r="A188" t="s">
        <v>1741</v>
      </c>
      <c r="B188" t="s">
        <v>1740</v>
      </c>
      <c r="C188" t="s">
        <v>10</v>
      </c>
      <c r="D188">
        <v>232072</v>
      </c>
      <c r="E188" t="s">
        <v>8</v>
      </c>
    </row>
    <row r="189" spans="1:5" x14ac:dyDescent="0.55000000000000004">
      <c r="A189" t="s">
        <v>892</v>
      </c>
      <c r="B189" t="s">
        <v>891</v>
      </c>
      <c r="C189" t="s">
        <v>10</v>
      </c>
      <c r="D189">
        <v>1060695</v>
      </c>
      <c r="E189" t="s">
        <v>8</v>
      </c>
    </row>
    <row r="190" spans="1:5" x14ac:dyDescent="0.55000000000000004">
      <c r="A190" t="s">
        <v>2728</v>
      </c>
      <c r="B190" t="s">
        <v>2729</v>
      </c>
      <c r="C190" t="s">
        <v>10</v>
      </c>
      <c r="D190">
        <v>448803</v>
      </c>
      <c r="E190" t="s">
        <v>8</v>
      </c>
    </row>
    <row r="191" spans="1:5" x14ac:dyDescent="0.55000000000000004">
      <c r="A191" t="s">
        <v>2731</v>
      </c>
      <c r="B191" t="s">
        <v>2732</v>
      </c>
      <c r="C191" t="s">
        <v>10</v>
      </c>
      <c r="D191">
        <v>923453</v>
      </c>
      <c r="E191" t="s">
        <v>8</v>
      </c>
    </row>
    <row r="192" spans="1:5" x14ac:dyDescent="0.55000000000000004">
      <c r="A192" t="s">
        <v>358</v>
      </c>
      <c r="B192" t="s">
        <v>357</v>
      </c>
      <c r="C192" t="s">
        <v>10</v>
      </c>
      <c r="D192">
        <v>201740</v>
      </c>
      <c r="E192" t="s">
        <v>8</v>
      </c>
    </row>
    <row r="193" spans="1:5" x14ac:dyDescent="0.55000000000000004">
      <c r="A193" t="s">
        <v>1985</v>
      </c>
      <c r="B193" t="s">
        <v>1984</v>
      </c>
      <c r="C193" t="s">
        <v>10</v>
      </c>
      <c r="D193">
        <v>373251</v>
      </c>
      <c r="E193" t="s">
        <v>8</v>
      </c>
    </row>
    <row r="194" spans="1:5" x14ac:dyDescent="0.55000000000000004">
      <c r="A194" t="s">
        <v>3140</v>
      </c>
      <c r="B194" t="s">
        <v>3139</v>
      </c>
      <c r="C194" t="s">
        <v>10</v>
      </c>
      <c r="D194">
        <v>903968</v>
      </c>
      <c r="E194" t="s">
        <v>8</v>
      </c>
    </row>
    <row r="195" spans="1:5" x14ac:dyDescent="0.55000000000000004">
      <c r="A195" t="s">
        <v>3144</v>
      </c>
      <c r="B195" t="s">
        <v>3143</v>
      </c>
      <c r="C195" t="s">
        <v>10</v>
      </c>
      <c r="D195">
        <v>879618</v>
      </c>
      <c r="E195" t="s">
        <v>8</v>
      </c>
    </row>
    <row r="196" spans="1:5" x14ac:dyDescent="0.55000000000000004">
      <c r="A196" t="s">
        <v>671</v>
      </c>
      <c r="B196" t="s">
        <v>670</v>
      </c>
      <c r="C196" t="s">
        <v>41</v>
      </c>
      <c r="D196">
        <v>3542843</v>
      </c>
      <c r="E196" t="s">
        <v>8</v>
      </c>
    </row>
    <row r="197" spans="1:5" x14ac:dyDescent="0.55000000000000004">
      <c r="A197" t="s">
        <v>3146</v>
      </c>
      <c r="B197" t="s">
        <v>3145</v>
      </c>
      <c r="C197" t="s">
        <v>10</v>
      </c>
      <c r="D197">
        <v>456290</v>
      </c>
      <c r="E197" t="s">
        <v>8</v>
      </c>
    </row>
    <row r="198" spans="1:5" x14ac:dyDescent="0.55000000000000004">
      <c r="A198" t="s">
        <v>3148</v>
      </c>
      <c r="B198" t="s">
        <v>3147</v>
      </c>
      <c r="C198" t="s">
        <v>10</v>
      </c>
      <c r="D198">
        <v>215814</v>
      </c>
      <c r="E198" t="s">
        <v>8</v>
      </c>
    </row>
    <row r="199" spans="1:5" x14ac:dyDescent="0.55000000000000004">
      <c r="A199" t="s">
        <v>1387</v>
      </c>
      <c r="B199" t="s">
        <v>1386</v>
      </c>
      <c r="C199" t="s">
        <v>10</v>
      </c>
      <c r="D199">
        <v>2668308</v>
      </c>
      <c r="E199" t="s">
        <v>8</v>
      </c>
    </row>
    <row r="200" spans="1:5" x14ac:dyDescent="0.55000000000000004">
      <c r="A200" t="s">
        <v>1089</v>
      </c>
      <c r="B200" t="s">
        <v>1088</v>
      </c>
      <c r="C200" t="s">
        <v>41</v>
      </c>
      <c r="D200">
        <v>215112</v>
      </c>
      <c r="E200" t="s">
        <v>8</v>
      </c>
    </row>
    <row r="201" spans="1:5" x14ac:dyDescent="0.55000000000000004">
      <c r="A201" t="s">
        <v>3150</v>
      </c>
      <c r="B201" t="s">
        <v>3149</v>
      </c>
      <c r="C201" t="s">
        <v>2690</v>
      </c>
      <c r="D201">
        <v>650550</v>
      </c>
      <c r="E201" t="s">
        <v>8</v>
      </c>
    </row>
    <row r="202" spans="1:5" x14ac:dyDescent="0.55000000000000004">
      <c r="A202" t="s">
        <v>2733</v>
      </c>
      <c r="B202" t="s">
        <v>2734</v>
      </c>
      <c r="C202" t="s">
        <v>10</v>
      </c>
      <c r="D202">
        <v>2031718</v>
      </c>
      <c r="E202" t="s">
        <v>8</v>
      </c>
    </row>
    <row r="203" spans="1:5" x14ac:dyDescent="0.55000000000000004">
      <c r="A203" t="s">
        <v>2735</v>
      </c>
      <c r="B203" t="s">
        <v>2736</v>
      </c>
      <c r="C203" t="s">
        <v>10</v>
      </c>
      <c r="D203">
        <v>5499428</v>
      </c>
      <c r="E203" t="s">
        <v>8</v>
      </c>
    </row>
    <row r="204" spans="1:5" x14ac:dyDescent="0.55000000000000004">
      <c r="A204" t="s">
        <v>2567</v>
      </c>
      <c r="B204" t="s">
        <v>2566</v>
      </c>
      <c r="C204" t="s">
        <v>10</v>
      </c>
      <c r="D204">
        <v>401514</v>
      </c>
      <c r="E204" t="s">
        <v>8</v>
      </c>
    </row>
    <row r="205" spans="1:5" x14ac:dyDescent="0.55000000000000004">
      <c r="A205" t="s">
        <v>2573</v>
      </c>
      <c r="B205" t="s">
        <v>2572</v>
      </c>
      <c r="C205" t="s">
        <v>10</v>
      </c>
      <c r="D205">
        <v>1426972</v>
      </c>
      <c r="E205" t="s">
        <v>8</v>
      </c>
    </row>
    <row r="206" spans="1:5" x14ac:dyDescent="0.55000000000000004">
      <c r="A206" t="s">
        <v>1759</v>
      </c>
      <c r="B206" t="s">
        <v>1758</v>
      </c>
      <c r="C206" t="s">
        <v>10</v>
      </c>
      <c r="D206">
        <v>109980</v>
      </c>
      <c r="E206" t="s">
        <v>8</v>
      </c>
    </row>
    <row r="207" spans="1:5" x14ac:dyDescent="0.55000000000000004">
      <c r="A207" t="s">
        <v>2310</v>
      </c>
      <c r="B207" t="s">
        <v>2309</v>
      </c>
      <c r="C207" t="s">
        <v>10</v>
      </c>
      <c r="D207">
        <v>3042990</v>
      </c>
      <c r="E207" t="s">
        <v>8</v>
      </c>
    </row>
    <row r="208" spans="1:5" x14ac:dyDescent="0.55000000000000004">
      <c r="A208" t="s">
        <v>2575</v>
      </c>
      <c r="B208" t="s">
        <v>2574</v>
      </c>
      <c r="C208" t="s">
        <v>10</v>
      </c>
      <c r="D208">
        <v>241619</v>
      </c>
      <c r="E208" t="s">
        <v>8</v>
      </c>
    </row>
    <row r="209" spans="1:5" x14ac:dyDescent="0.55000000000000004">
      <c r="A209" t="s">
        <v>2739</v>
      </c>
      <c r="B209" t="s">
        <v>2740</v>
      </c>
      <c r="C209" t="s">
        <v>41</v>
      </c>
      <c r="D209">
        <v>261039</v>
      </c>
      <c r="E209" t="s">
        <v>8</v>
      </c>
    </row>
    <row r="210" spans="1:5" x14ac:dyDescent="0.55000000000000004">
      <c r="A210" t="s">
        <v>1753</v>
      </c>
      <c r="B210" t="s">
        <v>1752</v>
      </c>
      <c r="C210" t="s">
        <v>10</v>
      </c>
      <c r="D210">
        <v>4243500</v>
      </c>
      <c r="E210" t="s">
        <v>8</v>
      </c>
    </row>
    <row r="211" spans="1:5" x14ac:dyDescent="0.55000000000000004">
      <c r="A211" t="s">
        <v>2741</v>
      </c>
      <c r="B211" t="s">
        <v>2742</v>
      </c>
      <c r="C211" t="s">
        <v>10</v>
      </c>
      <c r="D211">
        <v>7720186</v>
      </c>
      <c r="E211" t="s">
        <v>8</v>
      </c>
    </row>
    <row r="212" spans="1:5" x14ac:dyDescent="0.55000000000000004">
      <c r="A212" t="s">
        <v>902</v>
      </c>
      <c r="B212" t="s">
        <v>901</v>
      </c>
      <c r="C212" t="s">
        <v>10</v>
      </c>
      <c r="D212">
        <v>216783</v>
      </c>
      <c r="E212" t="s">
        <v>8</v>
      </c>
    </row>
    <row r="213" spans="1:5" x14ac:dyDescent="0.55000000000000004">
      <c r="A213" t="s">
        <v>1393</v>
      </c>
      <c r="B213" t="s">
        <v>1392</v>
      </c>
      <c r="C213" t="s">
        <v>6</v>
      </c>
      <c r="D213">
        <v>591965</v>
      </c>
      <c r="E213" t="s">
        <v>8</v>
      </c>
    </row>
    <row r="214" spans="1:5" x14ac:dyDescent="0.55000000000000004">
      <c r="A214" t="s">
        <v>386</v>
      </c>
      <c r="B214" t="s">
        <v>385</v>
      </c>
      <c r="C214" t="s">
        <v>13</v>
      </c>
      <c r="D214">
        <v>1713379</v>
      </c>
      <c r="E214" t="s">
        <v>8</v>
      </c>
    </row>
    <row r="215" spans="1:5" x14ac:dyDescent="0.55000000000000004">
      <c r="A215" t="s">
        <v>679</v>
      </c>
      <c r="B215" t="s">
        <v>678</v>
      </c>
      <c r="C215" t="s">
        <v>10</v>
      </c>
      <c r="D215">
        <v>2335678</v>
      </c>
      <c r="E215" t="s">
        <v>8</v>
      </c>
    </row>
    <row r="216" spans="1:5" x14ac:dyDescent="0.55000000000000004">
      <c r="A216" t="s">
        <v>3158</v>
      </c>
      <c r="B216" t="s">
        <v>3157</v>
      </c>
      <c r="C216" t="s">
        <v>10</v>
      </c>
      <c r="D216">
        <v>4467325</v>
      </c>
      <c r="E216" t="s">
        <v>8</v>
      </c>
    </row>
    <row r="217" spans="1:5" x14ac:dyDescent="0.55000000000000004">
      <c r="A217" t="s">
        <v>1397</v>
      </c>
      <c r="B217" t="s">
        <v>1396</v>
      </c>
      <c r="C217" t="s">
        <v>10</v>
      </c>
      <c r="D217">
        <v>303896</v>
      </c>
      <c r="E217" t="s">
        <v>8</v>
      </c>
    </row>
    <row r="218" spans="1:5" x14ac:dyDescent="0.55000000000000004">
      <c r="A218" t="s">
        <v>2745</v>
      </c>
      <c r="B218" t="s">
        <v>2746</v>
      </c>
      <c r="C218" t="s">
        <v>13</v>
      </c>
      <c r="D218">
        <v>1595526</v>
      </c>
      <c r="E218" t="s">
        <v>8</v>
      </c>
    </row>
    <row r="219" spans="1:5" x14ac:dyDescent="0.55000000000000004">
      <c r="A219" t="s">
        <v>1401</v>
      </c>
      <c r="B219" t="s">
        <v>1400</v>
      </c>
      <c r="C219" t="s">
        <v>10</v>
      </c>
      <c r="D219">
        <v>206094</v>
      </c>
      <c r="E219" t="s">
        <v>8</v>
      </c>
    </row>
    <row r="220" spans="1:5" x14ac:dyDescent="0.55000000000000004">
      <c r="A220" t="s">
        <v>3160</v>
      </c>
      <c r="B220" t="s">
        <v>3159</v>
      </c>
      <c r="C220" t="s">
        <v>10</v>
      </c>
      <c r="D220">
        <v>3457460</v>
      </c>
      <c r="E220" t="s">
        <v>8</v>
      </c>
    </row>
    <row r="221" spans="1:5" x14ac:dyDescent="0.55000000000000004">
      <c r="A221" t="s">
        <v>1111</v>
      </c>
      <c r="B221" t="s">
        <v>1110</v>
      </c>
      <c r="C221" t="s">
        <v>10</v>
      </c>
      <c r="D221">
        <v>741247</v>
      </c>
      <c r="E221" t="s">
        <v>8</v>
      </c>
    </row>
    <row r="222" spans="1:5" x14ac:dyDescent="0.55000000000000004">
      <c r="A222" t="s">
        <v>2583</v>
      </c>
      <c r="B222" t="s">
        <v>2582</v>
      </c>
      <c r="C222" t="s">
        <v>10</v>
      </c>
      <c r="D222">
        <v>1425555</v>
      </c>
      <c r="E222" t="s">
        <v>8</v>
      </c>
    </row>
    <row r="223" spans="1:5" x14ac:dyDescent="0.55000000000000004">
      <c r="A223" t="s">
        <v>2585</v>
      </c>
      <c r="B223" t="s">
        <v>2584</v>
      </c>
      <c r="C223" t="s">
        <v>10</v>
      </c>
      <c r="D223">
        <v>531528</v>
      </c>
      <c r="E223" t="s">
        <v>8</v>
      </c>
    </row>
    <row r="224" spans="1:5" x14ac:dyDescent="0.55000000000000004">
      <c r="A224" t="s">
        <v>2587</v>
      </c>
      <c r="B224" t="s">
        <v>2586</v>
      </c>
      <c r="C224" t="s">
        <v>10</v>
      </c>
      <c r="D224">
        <v>372271</v>
      </c>
      <c r="E224" t="s">
        <v>8</v>
      </c>
    </row>
    <row r="225" spans="1:5" x14ac:dyDescent="0.55000000000000004">
      <c r="A225" t="s">
        <v>2591</v>
      </c>
      <c r="B225" t="s">
        <v>2590</v>
      </c>
      <c r="C225" t="s">
        <v>10</v>
      </c>
      <c r="D225">
        <v>442548</v>
      </c>
      <c r="E225" t="s">
        <v>8</v>
      </c>
    </row>
    <row r="226" spans="1:5" x14ac:dyDescent="0.55000000000000004">
      <c r="A226" t="s">
        <v>2595</v>
      </c>
      <c r="B226" t="s">
        <v>2594</v>
      </c>
      <c r="C226" t="s">
        <v>10</v>
      </c>
      <c r="D226">
        <v>271180</v>
      </c>
      <c r="E226" t="s">
        <v>8</v>
      </c>
    </row>
    <row r="227" spans="1:5" x14ac:dyDescent="0.55000000000000004">
      <c r="A227" t="s">
        <v>2330</v>
      </c>
      <c r="B227" t="s">
        <v>2329</v>
      </c>
      <c r="C227" t="s">
        <v>10</v>
      </c>
      <c r="D227">
        <v>496414</v>
      </c>
      <c r="E227" t="s">
        <v>8</v>
      </c>
    </row>
    <row r="228" spans="1:5" x14ac:dyDescent="0.55000000000000004">
      <c r="A228" t="s">
        <v>2597</v>
      </c>
      <c r="B228" t="s">
        <v>2596</v>
      </c>
      <c r="C228" t="s">
        <v>10</v>
      </c>
      <c r="D228">
        <v>474109</v>
      </c>
      <c r="E228" t="s">
        <v>8</v>
      </c>
    </row>
    <row r="229" spans="1:5" x14ac:dyDescent="0.55000000000000004">
      <c r="A229" t="s">
        <v>1406</v>
      </c>
      <c r="B229" t="s">
        <v>1405</v>
      </c>
      <c r="C229" t="s">
        <v>10</v>
      </c>
      <c r="D229">
        <v>307418</v>
      </c>
      <c r="E229" t="s">
        <v>8</v>
      </c>
    </row>
    <row r="230" spans="1:5" x14ac:dyDescent="0.55000000000000004">
      <c r="A230" t="s">
        <v>2747</v>
      </c>
      <c r="B230" t="s">
        <v>2748</v>
      </c>
      <c r="C230" t="s">
        <v>2749</v>
      </c>
      <c r="D230">
        <v>5604878</v>
      </c>
      <c r="E230" t="s">
        <v>8</v>
      </c>
    </row>
    <row r="231" spans="1:5" x14ac:dyDescent="0.55000000000000004">
      <c r="A231" t="s">
        <v>2005</v>
      </c>
      <c r="B231" t="s">
        <v>2004</v>
      </c>
      <c r="C231" t="s">
        <v>10</v>
      </c>
      <c r="D231">
        <v>930368</v>
      </c>
      <c r="E231" t="s">
        <v>8</v>
      </c>
    </row>
    <row r="232" spans="1:5" x14ac:dyDescent="0.55000000000000004">
      <c r="A232" t="s">
        <v>3174</v>
      </c>
      <c r="B232" t="s">
        <v>3173</v>
      </c>
      <c r="C232" t="s">
        <v>10</v>
      </c>
      <c r="D232">
        <v>3826379</v>
      </c>
      <c r="E232" t="s">
        <v>8</v>
      </c>
    </row>
    <row r="233" spans="1:5" x14ac:dyDescent="0.55000000000000004">
      <c r="A233" t="s">
        <v>1412</v>
      </c>
      <c r="B233" t="s">
        <v>1411</v>
      </c>
      <c r="C233" t="s">
        <v>10</v>
      </c>
      <c r="D233">
        <v>2082418</v>
      </c>
      <c r="E233" t="s">
        <v>8</v>
      </c>
    </row>
    <row r="234" spans="1:5" x14ac:dyDescent="0.55000000000000004">
      <c r="A234" t="s">
        <v>2752</v>
      </c>
      <c r="B234" t="s">
        <v>2753</v>
      </c>
      <c r="C234" t="s">
        <v>10</v>
      </c>
      <c r="D234">
        <v>2227398</v>
      </c>
      <c r="E234" t="s">
        <v>8</v>
      </c>
    </row>
    <row r="235" spans="1:5" x14ac:dyDescent="0.55000000000000004">
      <c r="A235" t="s">
        <v>2010</v>
      </c>
      <c r="B235" t="s">
        <v>2009</v>
      </c>
      <c r="C235" t="s">
        <v>10</v>
      </c>
      <c r="D235">
        <v>2306906</v>
      </c>
      <c r="E235" t="s">
        <v>8</v>
      </c>
    </row>
    <row r="236" spans="1:5" x14ac:dyDescent="0.55000000000000004">
      <c r="A236" t="s">
        <v>2756</v>
      </c>
      <c r="B236" t="s">
        <v>2757</v>
      </c>
      <c r="C236" t="s">
        <v>10</v>
      </c>
      <c r="D236">
        <v>764343</v>
      </c>
      <c r="E236" t="s">
        <v>8</v>
      </c>
    </row>
    <row r="237" spans="1:5" x14ac:dyDescent="0.55000000000000004">
      <c r="A237" t="s">
        <v>1421</v>
      </c>
      <c r="B237" t="s">
        <v>1420</v>
      </c>
      <c r="C237" t="s">
        <v>10</v>
      </c>
      <c r="D237">
        <v>1280879</v>
      </c>
      <c r="E237" t="s">
        <v>8</v>
      </c>
    </row>
    <row r="238" spans="1:5" x14ac:dyDescent="0.55000000000000004">
      <c r="A238" t="s">
        <v>1425</v>
      </c>
      <c r="B238" t="s">
        <v>1424</v>
      </c>
      <c r="C238" t="s">
        <v>10</v>
      </c>
      <c r="D238">
        <v>2564078</v>
      </c>
      <c r="E238" t="s">
        <v>8</v>
      </c>
    </row>
    <row r="239" spans="1:5" x14ac:dyDescent="0.55000000000000004">
      <c r="A239" t="s">
        <v>2355</v>
      </c>
      <c r="B239" t="s">
        <v>2354</v>
      </c>
      <c r="C239" t="s">
        <v>10</v>
      </c>
      <c r="D239">
        <v>873478</v>
      </c>
      <c r="E239" t="s">
        <v>8</v>
      </c>
    </row>
    <row r="240" spans="1:5" x14ac:dyDescent="0.55000000000000004">
      <c r="A240" t="s">
        <v>425</v>
      </c>
      <c r="B240" t="s">
        <v>424</v>
      </c>
      <c r="C240" t="s">
        <v>6</v>
      </c>
      <c r="D240">
        <v>1495069</v>
      </c>
      <c r="E240" t="s">
        <v>8</v>
      </c>
    </row>
    <row r="241" spans="1:5" x14ac:dyDescent="0.55000000000000004">
      <c r="A241" t="s">
        <v>2363</v>
      </c>
      <c r="B241" t="s">
        <v>2362</v>
      </c>
      <c r="C241" t="s">
        <v>10</v>
      </c>
      <c r="D241">
        <v>1035264</v>
      </c>
      <c r="E241" t="s">
        <v>8</v>
      </c>
    </row>
    <row r="242" spans="1:5" x14ac:dyDescent="0.55000000000000004">
      <c r="A242" t="s">
        <v>1786</v>
      </c>
      <c r="B242" t="s">
        <v>1785</v>
      </c>
      <c r="C242" t="s">
        <v>1317</v>
      </c>
      <c r="D242">
        <v>1555975</v>
      </c>
      <c r="E242" t="s">
        <v>8</v>
      </c>
    </row>
    <row r="243" spans="1:5" x14ac:dyDescent="0.55000000000000004">
      <c r="A243" t="s">
        <v>2027</v>
      </c>
      <c r="B243" t="s">
        <v>2026</v>
      </c>
      <c r="C243" t="s">
        <v>10</v>
      </c>
      <c r="D243">
        <v>7575683</v>
      </c>
      <c r="E243" t="s">
        <v>8</v>
      </c>
    </row>
    <row r="244" spans="1:5" x14ac:dyDescent="0.55000000000000004">
      <c r="A244" t="s">
        <v>2033</v>
      </c>
      <c r="B244" t="s">
        <v>2032</v>
      </c>
      <c r="C244" t="s">
        <v>10</v>
      </c>
      <c r="D244">
        <v>6929764</v>
      </c>
      <c r="E244" t="s">
        <v>8</v>
      </c>
    </row>
    <row r="245" spans="1:5" x14ac:dyDescent="0.55000000000000004">
      <c r="A245" t="s">
        <v>705</v>
      </c>
      <c r="B245" t="s">
        <v>704</v>
      </c>
      <c r="C245" t="s">
        <v>10</v>
      </c>
      <c r="D245">
        <v>3342909</v>
      </c>
      <c r="E245" t="s">
        <v>8</v>
      </c>
    </row>
    <row r="246" spans="1:5" x14ac:dyDescent="0.55000000000000004">
      <c r="A246" t="s">
        <v>2369</v>
      </c>
      <c r="B246" t="s">
        <v>2368</v>
      </c>
      <c r="C246" t="s">
        <v>10</v>
      </c>
      <c r="D246">
        <v>238498</v>
      </c>
      <c r="E246" t="s">
        <v>8</v>
      </c>
    </row>
    <row r="247" spans="1:5" x14ac:dyDescent="0.55000000000000004">
      <c r="A247" t="s">
        <v>2758</v>
      </c>
      <c r="B247" t="s">
        <v>2759</v>
      </c>
      <c r="C247" t="s">
        <v>13</v>
      </c>
      <c r="D247">
        <v>2229842</v>
      </c>
      <c r="E247" t="s">
        <v>8</v>
      </c>
    </row>
    <row r="248" spans="1:5" x14ac:dyDescent="0.55000000000000004">
      <c r="A248" t="s">
        <v>2371</v>
      </c>
      <c r="B248" t="s">
        <v>2370</v>
      </c>
      <c r="C248" t="s">
        <v>10</v>
      </c>
      <c r="D248">
        <v>644226</v>
      </c>
      <c r="E248" t="s">
        <v>8</v>
      </c>
    </row>
    <row r="249" spans="1:5" x14ac:dyDescent="0.55000000000000004">
      <c r="A249" t="s">
        <v>1439</v>
      </c>
      <c r="B249" t="s">
        <v>1438</v>
      </c>
      <c r="C249" t="s">
        <v>10</v>
      </c>
      <c r="D249">
        <v>363274</v>
      </c>
      <c r="E249" t="s">
        <v>8</v>
      </c>
    </row>
    <row r="250" spans="1:5" x14ac:dyDescent="0.55000000000000004">
      <c r="A250" t="s">
        <v>3192</v>
      </c>
      <c r="B250" t="s">
        <v>3191</v>
      </c>
      <c r="C250" t="s">
        <v>10</v>
      </c>
      <c r="D250">
        <v>523858</v>
      </c>
      <c r="E250" t="s">
        <v>8</v>
      </c>
    </row>
    <row r="251" spans="1:5" x14ac:dyDescent="0.55000000000000004">
      <c r="A251" t="s">
        <v>2619</v>
      </c>
      <c r="B251" t="s">
        <v>2618</v>
      </c>
      <c r="C251" t="s">
        <v>10</v>
      </c>
      <c r="D251">
        <v>1470733</v>
      </c>
      <c r="E251" t="s">
        <v>8</v>
      </c>
    </row>
    <row r="252" spans="1:5" x14ac:dyDescent="0.55000000000000004">
      <c r="A252" t="s">
        <v>3194</v>
      </c>
      <c r="B252" t="s">
        <v>3193</v>
      </c>
      <c r="C252" t="s">
        <v>10</v>
      </c>
      <c r="D252">
        <v>502971</v>
      </c>
      <c r="E252" t="s">
        <v>8</v>
      </c>
    </row>
    <row r="253" spans="1:5" x14ac:dyDescent="0.55000000000000004">
      <c r="A253" t="s">
        <v>3196</v>
      </c>
      <c r="B253" t="s">
        <v>3195</v>
      </c>
      <c r="C253" t="s">
        <v>880</v>
      </c>
      <c r="D253">
        <v>259226</v>
      </c>
      <c r="E253" t="s">
        <v>8</v>
      </c>
    </row>
    <row r="254" spans="1:5" x14ac:dyDescent="0.55000000000000004">
      <c r="A254" t="s">
        <v>1119</v>
      </c>
      <c r="B254" t="s">
        <v>1118</v>
      </c>
      <c r="C254" t="s">
        <v>10</v>
      </c>
      <c r="D254">
        <v>137847</v>
      </c>
      <c r="E254" t="s">
        <v>8</v>
      </c>
    </row>
    <row r="255" spans="1:5" x14ac:dyDescent="0.55000000000000004">
      <c r="A255" t="s">
        <v>2044</v>
      </c>
      <c r="B255" t="s">
        <v>2043</v>
      </c>
      <c r="C255" t="s">
        <v>10</v>
      </c>
      <c r="D255">
        <v>661761</v>
      </c>
      <c r="E255" t="s">
        <v>8</v>
      </c>
    </row>
    <row r="256" spans="1:5" x14ac:dyDescent="0.55000000000000004">
      <c r="A256" t="s">
        <v>2623</v>
      </c>
      <c r="B256" t="s">
        <v>2622</v>
      </c>
      <c r="C256" t="s">
        <v>141</v>
      </c>
      <c r="D256">
        <v>2980120</v>
      </c>
      <c r="E256" t="s">
        <v>8</v>
      </c>
    </row>
    <row r="257" spans="1:5" x14ac:dyDescent="0.55000000000000004">
      <c r="A257" t="s">
        <v>709</v>
      </c>
      <c r="B257" t="s">
        <v>708</v>
      </c>
      <c r="C257" t="s">
        <v>10</v>
      </c>
      <c r="D257">
        <v>2456305</v>
      </c>
      <c r="E257" t="s">
        <v>8</v>
      </c>
    </row>
    <row r="258" spans="1:5" x14ac:dyDescent="0.55000000000000004">
      <c r="A258" t="s">
        <v>2762</v>
      </c>
      <c r="B258" t="s">
        <v>2763</v>
      </c>
      <c r="C258" t="s">
        <v>10</v>
      </c>
      <c r="D258">
        <v>814035</v>
      </c>
      <c r="E258" t="s">
        <v>8</v>
      </c>
    </row>
    <row r="259" spans="1:5" x14ac:dyDescent="0.55000000000000004">
      <c r="A259" t="s">
        <v>3198</v>
      </c>
      <c r="B259" t="s">
        <v>3197</v>
      </c>
      <c r="C259" t="s">
        <v>76</v>
      </c>
      <c r="D259">
        <v>702856</v>
      </c>
      <c r="E259" t="s">
        <v>8</v>
      </c>
    </row>
    <row r="260" spans="1:5" x14ac:dyDescent="0.55000000000000004">
      <c r="A260" t="s">
        <v>2627</v>
      </c>
      <c r="B260" t="s">
        <v>2626</v>
      </c>
      <c r="C260" t="s">
        <v>10</v>
      </c>
      <c r="D260">
        <v>2680529</v>
      </c>
      <c r="E260" t="s">
        <v>8</v>
      </c>
    </row>
    <row r="261" spans="1:5" x14ac:dyDescent="0.55000000000000004">
      <c r="A261" t="s">
        <v>3200</v>
      </c>
      <c r="B261" t="s">
        <v>3199</v>
      </c>
      <c r="C261" t="s">
        <v>10</v>
      </c>
      <c r="D261">
        <v>1561310</v>
      </c>
      <c r="E261" t="s">
        <v>8</v>
      </c>
    </row>
    <row r="262" spans="1:5" x14ac:dyDescent="0.55000000000000004">
      <c r="A262" t="s">
        <v>2048</v>
      </c>
      <c r="B262" t="s">
        <v>2047</v>
      </c>
      <c r="C262" t="s">
        <v>10</v>
      </c>
      <c r="D262">
        <v>4667911</v>
      </c>
      <c r="E262" t="s">
        <v>8</v>
      </c>
    </row>
    <row r="263" spans="1:5" x14ac:dyDescent="0.55000000000000004">
      <c r="A263" t="s">
        <v>2764</v>
      </c>
      <c r="B263" t="s">
        <v>2765</v>
      </c>
      <c r="C263" t="s">
        <v>10</v>
      </c>
      <c r="D263">
        <v>4814000</v>
      </c>
      <c r="E263" t="s">
        <v>8</v>
      </c>
    </row>
    <row r="264" spans="1:5" x14ac:dyDescent="0.55000000000000004">
      <c r="A264" t="s">
        <v>924</v>
      </c>
      <c r="B264" t="s">
        <v>923</v>
      </c>
      <c r="C264" t="s">
        <v>10</v>
      </c>
      <c r="D264">
        <v>884323</v>
      </c>
      <c r="E264" t="s">
        <v>8</v>
      </c>
    </row>
    <row r="265" spans="1:5" x14ac:dyDescent="0.55000000000000004">
      <c r="A265" t="s">
        <v>2389</v>
      </c>
      <c r="B265" t="s">
        <v>2388</v>
      </c>
      <c r="C265" t="s">
        <v>10</v>
      </c>
      <c r="D265">
        <v>723768</v>
      </c>
      <c r="E265" t="s">
        <v>8</v>
      </c>
    </row>
    <row r="266" spans="1:5" x14ac:dyDescent="0.55000000000000004">
      <c r="A266" t="s">
        <v>1125</v>
      </c>
      <c r="B266" t="s">
        <v>1124</v>
      </c>
      <c r="C266" t="s">
        <v>10</v>
      </c>
      <c r="D266">
        <v>6067796</v>
      </c>
      <c r="E266" t="s">
        <v>8</v>
      </c>
    </row>
    <row r="267" spans="1:5" x14ac:dyDescent="0.55000000000000004">
      <c r="A267" t="s">
        <v>3202</v>
      </c>
      <c r="B267" t="s">
        <v>3201</v>
      </c>
      <c r="C267" t="s">
        <v>13</v>
      </c>
      <c r="D267">
        <v>267187</v>
      </c>
      <c r="E267" t="s">
        <v>8</v>
      </c>
    </row>
    <row r="268" spans="1:5" x14ac:dyDescent="0.55000000000000004">
      <c r="A268" t="s">
        <v>3204</v>
      </c>
      <c r="B268" t="s">
        <v>3203</v>
      </c>
      <c r="C268" t="s">
        <v>10</v>
      </c>
      <c r="D268">
        <v>968410</v>
      </c>
      <c r="E268" t="s">
        <v>8</v>
      </c>
    </row>
    <row r="269" spans="1:5" x14ac:dyDescent="0.55000000000000004">
      <c r="A269" t="s">
        <v>1127</v>
      </c>
      <c r="B269" t="s">
        <v>1126</v>
      </c>
      <c r="C269" t="s">
        <v>10</v>
      </c>
      <c r="D269">
        <v>1834089</v>
      </c>
      <c r="E269" t="s">
        <v>8</v>
      </c>
    </row>
    <row r="270" spans="1:5" x14ac:dyDescent="0.55000000000000004">
      <c r="A270" t="s">
        <v>476</v>
      </c>
      <c r="B270" t="s">
        <v>3205</v>
      </c>
      <c r="C270" t="s">
        <v>10</v>
      </c>
      <c r="D270">
        <v>567457</v>
      </c>
      <c r="E270" t="s">
        <v>8</v>
      </c>
    </row>
    <row r="271" spans="1:5" x14ac:dyDescent="0.55000000000000004">
      <c r="A271" t="s">
        <v>1472</v>
      </c>
      <c r="B271" t="s">
        <v>1471</v>
      </c>
      <c r="C271" t="s">
        <v>10</v>
      </c>
      <c r="D271">
        <v>752537</v>
      </c>
      <c r="E271" t="s">
        <v>8</v>
      </c>
    </row>
    <row r="272" spans="1:5" x14ac:dyDescent="0.55000000000000004">
      <c r="A272" t="s">
        <v>3207</v>
      </c>
      <c r="B272" t="s">
        <v>3206</v>
      </c>
      <c r="C272" t="s">
        <v>10</v>
      </c>
      <c r="D272">
        <v>428260</v>
      </c>
      <c r="E272" t="s">
        <v>8</v>
      </c>
    </row>
    <row r="273" spans="1:5" x14ac:dyDescent="0.55000000000000004">
      <c r="A273" t="s">
        <v>2770</v>
      </c>
      <c r="B273" t="s">
        <v>2771</v>
      </c>
      <c r="C273" t="s">
        <v>10</v>
      </c>
      <c r="D273">
        <v>557580</v>
      </c>
      <c r="E273" t="s">
        <v>8</v>
      </c>
    </row>
    <row r="274" spans="1:5" x14ac:dyDescent="0.55000000000000004">
      <c r="A274" t="s">
        <v>2056</v>
      </c>
      <c r="B274" t="s">
        <v>2055</v>
      </c>
      <c r="C274" t="s">
        <v>10</v>
      </c>
      <c r="D274">
        <v>4466476</v>
      </c>
      <c r="E274" t="s">
        <v>8</v>
      </c>
    </row>
    <row r="275" spans="1:5" x14ac:dyDescent="0.55000000000000004">
      <c r="A275" t="s">
        <v>2774</v>
      </c>
      <c r="B275" t="s">
        <v>2775</v>
      </c>
      <c r="C275" t="s">
        <v>10</v>
      </c>
      <c r="D275">
        <v>3068533</v>
      </c>
      <c r="E275" t="s">
        <v>8</v>
      </c>
    </row>
    <row r="276" spans="1:5" x14ac:dyDescent="0.55000000000000004">
      <c r="A276" t="s">
        <v>1568</v>
      </c>
      <c r="B276" t="s">
        <v>1567</v>
      </c>
      <c r="C276" t="s">
        <v>13</v>
      </c>
      <c r="D276">
        <v>773625</v>
      </c>
      <c r="E276" t="s">
        <v>8</v>
      </c>
    </row>
    <row r="277" spans="1:5" x14ac:dyDescent="0.55000000000000004">
      <c r="A277" t="s">
        <v>2635</v>
      </c>
      <c r="B277" t="s">
        <v>2634</v>
      </c>
      <c r="C277" t="s">
        <v>10</v>
      </c>
      <c r="D277">
        <v>286967</v>
      </c>
      <c r="E277" t="s">
        <v>8</v>
      </c>
    </row>
    <row r="278" spans="1:5" x14ac:dyDescent="0.55000000000000004">
      <c r="A278" t="s">
        <v>2170</v>
      </c>
      <c r="B278" t="s">
        <v>2169</v>
      </c>
      <c r="C278" t="s">
        <v>10</v>
      </c>
      <c r="D278">
        <v>466494</v>
      </c>
      <c r="E278" t="s">
        <v>8</v>
      </c>
    </row>
    <row r="279" spans="1:5" x14ac:dyDescent="0.55000000000000004">
      <c r="A279" t="s">
        <v>1906</v>
      </c>
      <c r="B279" t="s">
        <v>1905</v>
      </c>
      <c r="C279" t="s">
        <v>10</v>
      </c>
      <c r="D279">
        <v>259240</v>
      </c>
      <c r="E279" t="s">
        <v>8</v>
      </c>
    </row>
    <row r="280" spans="1:5" x14ac:dyDescent="0.55000000000000004">
      <c r="A280" t="s">
        <v>2972</v>
      </c>
      <c r="B280" t="s">
        <v>2971</v>
      </c>
      <c r="C280" t="s">
        <v>10</v>
      </c>
      <c r="D280">
        <v>788928</v>
      </c>
      <c r="E280" t="s">
        <v>8</v>
      </c>
    </row>
    <row r="281" spans="1:5" x14ac:dyDescent="0.55000000000000004">
      <c r="A281" t="s">
        <v>3180</v>
      </c>
      <c r="B281" t="s">
        <v>3179</v>
      </c>
      <c r="C281" t="s">
        <v>10</v>
      </c>
      <c r="D281">
        <v>327698</v>
      </c>
      <c r="E281" t="s">
        <v>8</v>
      </c>
    </row>
    <row r="282" spans="1:5" x14ac:dyDescent="0.55000000000000004">
      <c r="A282" t="s">
        <v>2776</v>
      </c>
      <c r="B282" t="s">
        <v>2777</v>
      </c>
      <c r="C282" t="s">
        <v>10</v>
      </c>
      <c r="D282">
        <v>134612</v>
      </c>
      <c r="E282" t="s">
        <v>8</v>
      </c>
    </row>
    <row r="283" spans="1:5" x14ac:dyDescent="0.55000000000000004">
      <c r="A283" t="s">
        <v>1852</v>
      </c>
      <c r="B283" t="s">
        <v>1851</v>
      </c>
      <c r="C283" t="s">
        <v>10</v>
      </c>
      <c r="D283">
        <v>702520</v>
      </c>
      <c r="E283" t="s">
        <v>8</v>
      </c>
    </row>
    <row r="284" spans="1:5" x14ac:dyDescent="0.55000000000000004">
      <c r="A284" t="s">
        <v>2079</v>
      </c>
      <c r="B284" t="s">
        <v>2078</v>
      </c>
      <c r="C284" t="s">
        <v>10</v>
      </c>
      <c r="D284">
        <v>920999</v>
      </c>
      <c r="E284" t="s">
        <v>8</v>
      </c>
    </row>
    <row r="285" spans="1:5" x14ac:dyDescent="0.55000000000000004">
      <c r="A285" t="s">
        <v>2204</v>
      </c>
      <c r="B285" t="s">
        <v>2203</v>
      </c>
      <c r="C285" t="s">
        <v>6</v>
      </c>
      <c r="D285">
        <v>733661</v>
      </c>
      <c r="E285" t="s">
        <v>8</v>
      </c>
    </row>
    <row r="286" spans="1:5" x14ac:dyDescent="0.55000000000000004">
      <c r="A286" t="s">
        <v>1250</v>
      </c>
      <c r="B286" t="s">
        <v>1249</v>
      </c>
      <c r="C286" t="s">
        <v>10</v>
      </c>
      <c r="D286">
        <v>2356435</v>
      </c>
      <c r="E286" t="s">
        <v>8</v>
      </c>
    </row>
    <row r="287" spans="1:5" x14ac:dyDescent="0.55000000000000004">
      <c r="A287" t="s">
        <v>2373</v>
      </c>
      <c r="B287" t="s">
        <v>2372</v>
      </c>
      <c r="C287" t="s">
        <v>10</v>
      </c>
      <c r="D287">
        <v>1447379</v>
      </c>
      <c r="E287" t="s">
        <v>8</v>
      </c>
    </row>
    <row r="288" spans="1:5" x14ac:dyDescent="0.55000000000000004">
      <c r="A288" t="s">
        <v>1823</v>
      </c>
      <c r="B288" t="s">
        <v>1822</v>
      </c>
      <c r="C288" t="s">
        <v>13</v>
      </c>
      <c r="D288">
        <v>1427800</v>
      </c>
      <c r="E288" t="s">
        <v>8</v>
      </c>
    </row>
    <row r="289" spans="1:5" x14ac:dyDescent="0.55000000000000004">
      <c r="A289" t="s">
        <v>1179</v>
      </c>
      <c r="B289" t="s">
        <v>1178</v>
      </c>
      <c r="C289" t="s">
        <v>10</v>
      </c>
      <c r="D289">
        <v>449040</v>
      </c>
      <c r="E289" t="s">
        <v>8</v>
      </c>
    </row>
    <row r="290" spans="1:5" x14ac:dyDescent="0.55000000000000004">
      <c r="A290" t="s">
        <v>935</v>
      </c>
      <c r="B290" t="s">
        <v>934</v>
      </c>
      <c r="C290" t="s">
        <v>10</v>
      </c>
      <c r="D290">
        <v>647579</v>
      </c>
      <c r="E290" t="s">
        <v>8</v>
      </c>
    </row>
    <row r="291" spans="1:5" x14ac:dyDescent="0.55000000000000004">
      <c r="A291" t="s">
        <v>2956</v>
      </c>
      <c r="B291" t="s">
        <v>2955</v>
      </c>
      <c r="C291" t="s">
        <v>10</v>
      </c>
      <c r="D291">
        <v>896500</v>
      </c>
      <c r="E291" t="s">
        <v>8</v>
      </c>
    </row>
    <row r="292" spans="1:5" x14ac:dyDescent="0.55000000000000004">
      <c r="A292" t="s">
        <v>1819</v>
      </c>
      <c r="B292" t="s">
        <v>1818</v>
      </c>
      <c r="C292" t="s">
        <v>10</v>
      </c>
      <c r="D292">
        <v>814077</v>
      </c>
      <c r="E292" t="s">
        <v>8</v>
      </c>
    </row>
    <row r="293" spans="1:5" x14ac:dyDescent="0.55000000000000004">
      <c r="A293" t="s">
        <v>498</v>
      </c>
      <c r="B293" t="s">
        <v>497</v>
      </c>
      <c r="C293" t="s">
        <v>10</v>
      </c>
      <c r="D293">
        <v>250498</v>
      </c>
      <c r="E293" t="s">
        <v>8</v>
      </c>
    </row>
    <row r="294" spans="1:5" x14ac:dyDescent="0.55000000000000004">
      <c r="A294" t="s">
        <v>937</v>
      </c>
      <c r="B294" t="s">
        <v>936</v>
      </c>
      <c r="C294" t="s">
        <v>10</v>
      </c>
      <c r="D294">
        <v>157558</v>
      </c>
      <c r="E294" t="s">
        <v>8</v>
      </c>
    </row>
    <row r="295" spans="1:5" x14ac:dyDescent="0.55000000000000004">
      <c r="A295" t="s">
        <v>1821</v>
      </c>
      <c r="B295" t="s">
        <v>1820</v>
      </c>
      <c r="C295" t="s">
        <v>10</v>
      </c>
      <c r="D295">
        <v>845772</v>
      </c>
      <c r="E295" t="s">
        <v>8</v>
      </c>
    </row>
    <row r="296" spans="1:5" x14ac:dyDescent="0.55000000000000004">
      <c r="A296" t="s">
        <v>2073</v>
      </c>
      <c r="B296" t="s">
        <v>2072</v>
      </c>
      <c r="C296" t="s">
        <v>10</v>
      </c>
      <c r="D296">
        <v>207071</v>
      </c>
      <c r="E296" t="s">
        <v>8</v>
      </c>
    </row>
    <row r="297" spans="1:5" x14ac:dyDescent="0.55000000000000004">
      <c r="A297" t="s">
        <v>1605</v>
      </c>
      <c r="B297" t="s">
        <v>1604</v>
      </c>
      <c r="C297" t="s">
        <v>10</v>
      </c>
      <c r="D297">
        <v>966968</v>
      </c>
      <c r="E297" t="s">
        <v>8</v>
      </c>
    </row>
    <row r="298" spans="1:5" x14ac:dyDescent="0.55000000000000004">
      <c r="A298" t="s">
        <v>2075</v>
      </c>
      <c r="B298" t="s">
        <v>2074</v>
      </c>
      <c r="C298" t="s">
        <v>10</v>
      </c>
      <c r="D298">
        <v>419187</v>
      </c>
      <c r="E298" t="s">
        <v>8</v>
      </c>
    </row>
    <row r="299" spans="1:5" x14ac:dyDescent="0.55000000000000004">
      <c r="A299" t="s">
        <v>2964</v>
      </c>
      <c r="B299" t="s">
        <v>2963</v>
      </c>
      <c r="C299" t="s">
        <v>10</v>
      </c>
      <c r="D299">
        <v>1230799</v>
      </c>
      <c r="E299" t="s">
        <v>8</v>
      </c>
    </row>
    <row r="300" spans="1:5" x14ac:dyDescent="0.55000000000000004">
      <c r="A300" t="s">
        <v>504</v>
      </c>
      <c r="B300" t="s">
        <v>503</v>
      </c>
      <c r="C300" t="s">
        <v>41</v>
      </c>
      <c r="D300">
        <v>756935</v>
      </c>
      <c r="E300" t="s">
        <v>8</v>
      </c>
    </row>
    <row r="301" spans="1:5" x14ac:dyDescent="0.55000000000000004">
      <c r="A301" t="s">
        <v>2968</v>
      </c>
      <c r="B301" t="s">
        <v>2967</v>
      </c>
      <c r="C301" t="s">
        <v>10</v>
      </c>
      <c r="D301">
        <v>1778463</v>
      </c>
      <c r="E301" t="s">
        <v>8</v>
      </c>
    </row>
    <row r="302" spans="1:5" x14ac:dyDescent="0.55000000000000004">
      <c r="A302" t="s">
        <v>2086</v>
      </c>
      <c r="B302" t="s">
        <v>2084</v>
      </c>
      <c r="C302" t="s">
        <v>2085</v>
      </c>
      <c r="D302">
        <v>1574257</v>
      </c>
      <c r="E302" t="s">
        <v>8</v>
      </c>
    </row>
    <row r="303" spans="1:5" x14ac:dyDescent="0.55000000000000004">
      <c r="A303" t="s">
        <v>39</v>
      </c>
      <c r="B303" t="s">
        <v>38</v>
      </c>
      <c r="C303" t="s">
        <v>6</v>
      </c>
      <c r="D303">
        <v>218028</v>
      </c>
      <c r="E303" t="s">
        <v>8</v>
      </c>
    </row>
    <row r="304" spans="1:5" x14ac:dyDescent="0.55000000000000004">
      <c r="A304" t="s">
        <v>2784</v>
      </c>
      <c r="B304" t="s">
        <v>2785</v>
      </c>
      <c r="C304" t="s">
        <v>76</v>
      </c>
      <c r="D304">
        <v>759089</v>
      </c>
      <c r="E304" t="s">
        <v>8</v>
      </c>
    </row>
    <row r="305" spans="1:5" x14ac:dyDescent="0.55000000000000004">
      <c r="A305" t="s">
        <v>2786</v>
      </c>
      <c r="B305" t="s">
        <v>2787</v>
      </c>
      <c r="C305" t="s">
        <v>10</v>
      </c>
      <c r="D305">
        <v>1360788</v>
      </c>
      <c r="E305" t="s">
        <v>8</v>
      </c>
    </row>
    <row r="306" spans="1:5" x14ac:dyDescent="0.55000000000000004">
      <c r="A306" t="s">
        <v>731</v>
      </c>
      <c r="B306" t="s">
        <v>730</v>
      </c>
      <c r="C306" t="s">
        <v>10</v>
      </c>
      <c r="D306">
        <v>252592</v>
      </c>
      <c r="E306" t="s">
        <v>8</v>
      </c>
    </row>
    <row r="307" spans="1:5" x14ac:dyDescent="0.55000000000000004">
      <c r="A307" t="s">
        <v>2788</v>
      </c>
      <c r="B307" t="s">
        <v>2789</v>
      </c>
      <c r="C307" t="s">
        <v>10</v>
      </c>
      <c r="D307">
        <v>256806</v>
      </c>
      <c r="E307" t="s">
        <v>8</v>
      </c>
    </row>
    <row r="308" spans="1:5" x14ac:dyDescent="0.55000000000000004">
      <c r="A308" t="s">
        <v>1162</v>
      </c>
      <c r="B308" t="s">
        <v>1161</v>
      </c>
      <c r="C308" t="s">
        <v>10</v>
      </c>
      <c r="D308">
        <v>2237125</v>
      </c>
      <c r="E308" t="s">
        <v>8</v>
      </c>
    </row>
    <row r="309" spans="1:5" x14ac:dyDescent="0.55000000000000004">
      <c r="A309" t="s">
        <v>2790</v>
      </c>
      <c r="B309" t="s">
        <v>2791</v>
      </c>
      <c r="C309" t="s">
        <v>10</v>
      </c>
      <c r="D309">
        <v>271285</v>
      </c>
      <c r="E309" t="s">
        <v>8</v>
      </c>
    </row>
    <row r="310" spans="1:5" x14ac:dyDescent="0.55000000000000004">
      <c r="A310" t="s">
        <v>2974</v>
      </c>
      <c r="B310" t="s">
        <v>2973</v>
      </c>
      <c r="C310" t="s">
        <v>10</v>
      </c>
      <c r="D310">
        <v>616431</v>
      </c>
      <c r="E310" t="s">
        <v>8</v>
      </c>
    </row>
    <row r="311" spans="1:5" x14ac:dyDescent="0.55000000000000004">
      <c r="A311" t="s">
        <v>2976</v>
      </c>
      <c r="B311" t="s">
        <v>2975</v>
      </c>
      <c r="C311" t="s">
        <v>6</v>
      </c>
      <c r="D311">
        <v>360884</v>
      </c>
      <c r="E311" t="s">
        <v>8</v>
      </c>
    </row>
    <row r="312" spans="1:5" x14ac:dyDescent="0.55000000000000004">
      <c r="A312" t="s">
        <v>2978</v>
      </c>
      <c r="B312" t="s">
        <v>2977</v>
      </c>
      <c r="C312" t="s">
        <v>10</v>
      </c>
      <c r="D312">
        <v>3106032</v>
      </c>
      <c r="E312" t="s">
        <v>8</v>
      </c>
    </row>
    <row r="313" spans="1:5" x14ac:dyDescent="0.55000000000000004">
      <c r="A313" t="s">
        <v>2980</v>
      </c>
      <c r="B313" t="s">
        <v>2979</v>
      </c>
      <c r="C313" t="s">
        <v>10</v>
      </c>
      <c r="D313">
        <v>404297</v>
      </c>
      <c r="E313" t="s">
        <v>8</v>
      </c>
    </row>
    <row r="314" spans="1:5" x14ac:dyDescent="0.55000000000000004">
      <c r="A314" t="s">
        <v>2982</v>
      </c>
      <c r="B314" t="s">
        <v>2981</v>
      </c>
      <c r="C314" t="s">
        <v>10</v>
      </c>
      <c r="D314">
        <v>389500</v>
      </c>
      <c r="E314" t="s">
        <v>8</v>
      </c>
    </row>
    <row r="315" spans="1:5" x14ac:dyDescent="0.55000000000000004">
      <c r="A315" t="s">
        <v>517</v>
      </c>
      <c r="B315" t="s">
        <v>516</v>
      </c>
      <c r="C315" t="s">
        <v>10</v>
      </c>
      <c r="D315">
        <v>383647</v>
      </c>
      <c r="E315" t="s">
        <v>8</v>
      </c>
    </row>
    <row r="316" spans="1:5" x14ac:dyDescent="0.55000000000000004">
      <c r="A316" t="s">
        <v>1168</v>
      </c>
      <c r="B316" t="s">
        <v>1167</v>
      </c>
      <c r="C316" t="s">
        <v>10</v>
      </c>
      <c r="D316">
        <v>712843</v>
      </c>
      <c r="E316" t="s">
        <v>8</v>
      </c>
    </row>
    <row r="317" spans="1:5" x14ac:dyDescent="0.55000000000000004">
      <c r="A317" t="s">
        <v>1609</v>
      </c>
      <c r="B317" t="s">
        <v>1608</v>
      </c>
      <c r="C317" t="s">
        <v>1317</v>
      </c>
      <c r="D317">
        <v>2192807</v>
      </c>
      <c r="E317" t="s">
        <v>8</v>
      </c>
    </row>
    <row r="318" spans="1:5" x14ac:dyDescent="0.55000000000000004">
      <c r="A318" t="s">
        <v>955</v>
      </c>
      <c r="B318" t="s">
        <v>954</v>
      </c>
      <c r="C318" t="s">
        <v>10</v>
      </c>
      <c r="D318">
        <v>508236</v>
      </c>
      <c r="E318" t="s">
        <v>8</v>
      </c>
    </row>
    <row r="319" spans="1:5" x14ac:dyDescent="0.55000000000000004">
      <c r="A319" t="s">
        <v>2792</v>
      </c>
      <c r="B319" t="s">
        <v>2793</v>
      </c>
      <c r="C319" t="s">
        <v>10</v>
      </c>
      <c r="D319">
        <v>89715</v>
      </c>
      <c r="E319" t="s">
        <v>8</v>
      </c>
    </row>
    <row r="320" spans="1:5" x14ac:dyDescent="0.55000000000000004">
      <c r="A320" t="s">
        <v>2984</v>
      </c>
      <c r="B320" t="s">
        <v>2983</v>
      </c>
      <c r="C320" t="s">
        <v>10</v>
      </c>
      <c r="D320">
        <v>2319945</v>
      </c>
      <c r="E320" t="s">
        <v>8</v>
      </c>
    </row>
    <row r="321" spans="1:5" x14ac:dyDescent="0.55000000000000004">
      <c r="A321" t="s">
        <v>2794</v>
      </c>
      <c r="B321" t="s">
        <v>2795</v>
      </c>
      <c r="C321" t="s">
        <v>10</v>
      </c>
      <c r="D321">
        <v>49682</v>
      </c>
      <c r="E321" t="s">
        <v>8</v>
      </c>
    </row>
    <row r="322" spans="1:5" x14ac:dyDescent="0.55000000000000004">
      <c r="A322" t="s">
        <v>2993</v>
      </c>
      <c r="B322" t="s">
        <v>2992</v>
      </c>
      <c r="C322" t="s">
        <v>10</v>
      </c>
      <c r="D322">
        <v>231264</v>
      </c>
      <c r="E322" t="s">
        <v>8</v>
      </c>
    </row>
    <row r="323" spans="1:5" x14ac:dyDescent="0.55000000000000004">
      <c r="A323" t="s">
        <v>2419</v>
      </c>
      <c r="B323" t="s">
        <v>2418</v>
      </c>
      <c r="C323" t="s">
        <v>6</v>
      </c>
      <c r="D323">
        <v>458660</v>
      </c>
      <c r="E323" t="s">
        <v>8</v>
      </c>
    </row>
    <row r="324" spans="1:5" x14ac:dyDescent="0.55000000000000004">
      <c r="A324" t="s">
        <v>1185</v>
      </c>
      <c r="B324" t="s">
        <v>1184</v>
      </c>
      <c r="C324" t="s">
        <v>10</v>
      </c>
      <c r="D324">
        <v>1176186</v>
      </c>
      <c r="E324" t="s">
        <v>8</v>
      </c>
    </row>
    <row r="325" spans="1:5" x14ac:dyDescent="0.55000000000000004">
      <c r="A325" t="s">
        <v>1187</v>
      </c>
      <c r="B325" t="s">
        <v>1186</v>
      </c>
      <c r="C325" t="s">
        <v>10</v>
      </c>
      <c r="D325">
        <v>214849</v>
      </c>
      <c r="E325" t="s">
        <v>8</v>
      </c>
    </row>
    <row r="326" spans="1:5" x14ac:dyDescent="0.55000000000000004">
      <c r="A326" t="s">
        <v>1183</v>
      </c>
      <c r="B326" t="s">
        <v>1182</v>
      </c>
      <c r="C326" t="s">
        <v>10</v>
      </c>
      <c r="D326">
        <v>348937</v>
      </c>
      <c r="E326" t="s">
        <v>8</v>
      </c>
    </row>
    <row r="327" spans="1:5" x14ac:dyDescent="0.55000000000000004">
      <c r="A327" t="s">
        <v>2800</v>
      </c>
      <c r="B327" t="s">
        <v>2801</v>
      </c>
      <c r="C327" t="s">
        <v>10</v>
      </c>
      <c r="D327">
        <v>7608671</v>
      </c>
      <c r="E327" t="s">
        <v>8</v>
      </c>
    </row>
    <row r="328" spans="1:5" x14ac:dyDescent="0.55000000000000004">
      <c r="A328" t="s">
        <v>72</v>
      </c>
      <c r="B328" t="s">
        <v>71</v>
      </c>
      <c r="C328" t="s">
        <v>41</v>
      </c>
      <c r="D328">
        <v>1059518</v>
      </c>
      <c r="E328" t="s">
        <v>8</v>
      </c>
    </row>
    <row r="329" spans="1:5" x14ac:dyDescent="0.55000000000000004">
      <c r="A329" t="s">
        <v>1834</v>
      </c>
      <c r="B329" t="s">
        <v>1833</v>
      </c>
      <c r="C329" t="s">
        <v>10</v>
      </c>
      <c r="D329">
        <v>1578304</v>
      </c>
      <c r="E329" t="s">
        <v>8</v>
      </c>
    </row>
    <row r="330" spans="1:5" x14ac:dyDescent="0.55000000000000004">
      <c r="A330" t="s">
        <v>2802</v>
      </c>
      <c r="B330" t="s">
        <v>2803</v>
      </c>
      <c r="C330" t="s">
        <v>10</v>
      </c>
      <c r="D330">
        <v>492125</v>
      </c>
      <c r="E330" t="s">
        <v>8</v>
      </c>
    </row>
    <row r="331" spans="1:5" x14ac:dyDescent="0.55000000000000004">
      <c r="A331" t="s">
        <v>2989</v>
      </c>
      <c r="B331" t="s">
        <v>2987</v>
      </c>
      <c r="C331" t="s">
        <v>2988</v>
      </c>
      <c r="D331">
        <v>4957252</v>
      </c>
      <c r="E331" t="s">
        <v>8</v>
      </c>
    </row>
    <row r="332" spans="1:5" x14ac:dyDescent="0.55000000000000004">
      <c r="A332" t="s">
        <v>2991</v>
      </c>
      <c r="B332" t="s">
        <v>2990</v>
      </c>
      <c r="C332" t="s">
        <v>10</v>
      </c>
      <c r="D332">
        <v>1044664</v>
      </c>
      <c r="E332" t="s">
        <v>8</v>
      </c>
    </row>
    <row r="333" spans="1:5" x14ac:dyDescent="0.55000000000000004">
      <c r="A333" t="s">
        <v>2427</v>
      </c>
      <c r="B333" t="s">
        <v>2426</v>
      </c>
      <c r="C333" t="s">
        <v>26</v>
      </c>
      <c r="D333">
        <v>254438</v>
      </c>
      <c r="E333" t="s">
        <v>8</v>
      </c>
    </row>
    <row r="334" spans="1:5" x14ac:dyDescent="0.55000000000000004">
      <c r="A334" t="s">
        <v>2995</v>
      </c>
      <c r="B334" t="s">
        <v>2994</v>
      </c>
      <c r="C334" t="s">
        <v>41</v>
      </c>
      <c r="D334">
        <v>310897</v>
      </c>
      <c r="E334" t="s">
        <v>8</v>
      </c>
    </row>
    <row r="335" spans="1:5" x14ac:dyDescent="0.55000000000000004">
      <c r="A335" t="s">
        <v>2116</v>
      </c>
      <c r="B335" t="s">
        <v>2115</v>
      </c>
      <c r="C335" t="s">
        <v>10</v>
      </c>
      <c r="D335">
        <v>1276371</v>
      </c>
      <c r="E335" t="s">
        <v>8</v>
      </c>
    </row>
    <row r="336" spans="1:5" x14ac:dyDescent="0.55000000000000004">
      <c r="A336" t="s">
        <v>2118</v>
      </c>
      <c r="B336" t="s">
        <v>2117</v>
      </c>
      <c r="C336" t="s">
        <v>10</v>
      </c>
      <c r="D336">
        <v>556954</v>
      </c>
      <c r="E336" t="s">
        <v>8</v>
      </c>
    </row>
    <row r="337" spans="1:5" x14ac:dyDescent="0.55000000000000004">
      <c r="A337" t="s">
        <v>1621</v>
      </c>
      <c r="B337" t="s">
        <v>1620</v>
      </c>
      <c r="C337" t="s">
        <v>13</v>
      </c>
      <c r="D337">
        <v>1391533</v>
      </c>
      <c r="E337" t="s">
        <v>8</v>
      </c>
    </row>
    <row r="338" spans="1:5" x14ac:dyDescent="0.55000000000000004">
      <c r="A338" t="s">
        <v>83</v>
      </c>
      <c r="B338" t="s">
        <v>82</v>
      </c>
      <c r="C338" t="s">
        <v>6</v>
      </c>
      <c r="D338">
        <v>272091</v>
      </c>
      <c r="E338" t="s">
        <v>8</v>
      </c>
    </row>
    <row r="339" spans="1:5" x14ac:dyDescent="0.55000000000000004">
      <c r="A339" t="s">
        <v>1846</v>
      </c>
      <c r="B339" t="s">
        <v>1845</v>
      </c>
      <c r="C339" t="s">
        <v>10</v>
      </c>
      <c r="D339">
        <v>364426</v>
      </c>
      <c r="E339" t="s">
        <v>8</v>
      </c>
    </row>
    <row r="340" spans="1:5" x14ac:dyDescent="0.55000000000000004">
      <c r="A340" t="s">
        <v>1181</v>
      </c>
      <c r="B340" t="s">
        <v>1180</v>
      </c>
      <c r="C340" t="s">
        <v>10</v>
      </c>
      <c r="D340">
        <v>174758</v>
      </c>
      <c r="E340" t="s">
        <v>8</v>
      </c>
    </row>
    <row r="341" spans="1:5" x14ac:dyDescent="0.55000000000000004">
      <c r="A341" t="s">
        <v>2804</v>
      </c>
      <c r="B341" t="s">
        <v>2805</v>
      </c>
      <c r="C341" t="s">
        <v>13</v>
      </c>
      <c r="D341">
        <v>593376</v>
      </c>
      <c r="E341" t="s">
        <v>8</v>
      </c>
    </row>
    <row r="342" spans="1:5" x14ac:dyDescent="0.55000000000000004">
      <c r="A342" t="s">
        <v>1850</v>
      </c>
      <c r="B342" t="s">
        <v>1849</v>
      </c>
      <c r="C342" t="s">
        <v>10</v>
      </c>
      <c r="D342">
        <v>785602</v>
      </c>
      <c r="E342" t="s">
        <v>8</v>
      </c>
    </row>
    <row r="343" spans="1:5" x14ac:dyDescent="0.55000000000000004">
      <c r="A343" t="s">
        <v>1628</v>
      </c>
      <c r="B343" t="s">
        <v>1626</v>
      </c>
      <c r="C343" t="s">
        <v>1627</v>
      </c>
      <c r="D343">
        <v>2553849</v>
      </c>
      <c r="E343" t="s">
        <v>8</v>
      </c>
    </row>
    <row r="344" spans="1:5" x14ac:dyDescent="0.55000000000000004">
      <c r="A344" t="s">
        <v>1206</v>
      </c>
      <c r="B344" t="s">
        <v>1205</v>
      </c>
      <c r="C344" t="s">
        <v>10</v>
      </c>
      <c r="D344">
        <v>3557686</v>
      </c>
      <c r="E344" t="s">
        <v>8</v>
      </c>
    </row>
    <row r="345" spans="1:5" x14ac:dyDescent="0.55000000000000004">
      <c r="A345" t="s">
        <v>2806</v>
      </c>
      <c r="B345" t="s">
        <v>2807</v>
      </c>
      <c r="C345" t="s">
        <v>10</v>
      </c>
      <c r="D345">
        <v>700426</v>
      </c>
      <c r="E345" t="s">
        <v>8</v>
      </c>
    </row>
    <row r="346" spans="1:5" x14ac:dyDescent="0.55000000000000004">
      <c r="A346" t="s">
        <v>3017</v>
      </c>
      <c r="B346" t="s">
        <v>3016</v>
      </c>
      <c r="C346" t="s">
        <v>10</v>
      </c>
      <c r="D346">
        <v>822766</v>
      </c>
      <c r="E346" t="s">
        <v>8</v>
      </c>
    </row>
    <row r="347" spans="1:5" x14ac:dyDescent="0.55000000000000004">
      <c r="A347" t="s">
        <v>2997</v>
      </c>
      <c r="B347" t="s">
        <v>2996</v>
      </c>
      <c r="C347" t="s">
        <v>10</v>
      </c>
      <c r="D347">
        <v>668072</v>
      </c>
      <c r="E347" t="s">
        <v>8</v>
      </c>
    </row>
    <row r="348" spans="1:5" x14ac:dyDescent="0.55000000000000004">
      <c r="A348" t="s">
        <v>2130</v>
      </c>
      <c r="B348" t="s">
        <v>2129</v>
      </c>
      <c r="C348" t="s">
        <v>10</v>
      </c>
      <c r="D348">
        <v>513716</v>
      </c>
      <c r="E348" t="s">
        <v>8</v>
      </c>
    </row>
    <row r="349" spans="1:5" x14ac:dyDescent="0.55000000000000004">
      <c r="A349" t="s">
        <v>3001</v>
      </c>
      <c r="B349" t="s">
        <v>3000</v>
      </c>
      <c r="C349" t="s">
        <v>13</v>
      </c>
      <c r="D349">
        <v>141143</v>
      </c>
      <c r="E349" t="s">
        <v>8</v>
      </c>
    </row>
    <row r="350" spans="1:5" x14ac:dyDescent="0.55000000000000004">
      <c r="A350" t="s">
        <v>93</v>
      </c>
      <c r="B350" t="s">
        <v>92</v>
      </c>
      <c r="C350" t="s">
        <v>10</v>
      </c>
      <c r="D350">
        <v>3202684</v>
      </c>
      <c r="E350" t="s">
        <v>8</v>
      </c>
    </row>
    <row r="351" spans="1:5" x14ac:dyDescent="0.55000000000000004">
      <c r="A351" t="s">
        <v>2808</v>
      </c>
      <c r="B351" t="s">
        <v>2809</v>
      </c>
      <c r="C351" t="s">
        <v>10</v>
      </c>
      <c r="D351">
        <v>1545154</v>
      </c>
      <c r="E351" t="s">
        <v>8</v>
      </c>
    </row>
    <row r="352" spans="1:5" x14ac:dyDescent="0.55000000000000004">
      <c r="A352" t="s">
        <v>976</v>
      </c>
      <c r="B352" t="s">
        <v>975</v>
      </c>
      <c r="C352" t="s">
        <v>10</v>
      </c>
      <c r="D352">
        <v>2166810</v>
      </c>
      <c r="E352" t="s">
        <v>8</v>
      </c>
    </row>
    <row r="353" spans="1:5" x14ac:dyDescent="0.55000000000000004">
      <c r="A353" t="s">
        <v>104</v>
      </c>
      <c r="B353" t="s">
        <v>103</v>
      </c>
      <c r="C353" t="s">
        <v>10</v>
      </c>
      <c r="D353">
        <v>754938</v>
      </c>
      <c r="E353" t="s">
        <v>8</v>
      </c>
    </row>
    <row r="354" spans="1:5" x14ac:dyDescent="0.55000000000000004">
      <c r="A354" t="s">
        <v>3005</v>
      </c>
      <c r="B354" t="s">
        <v>3004</v>
      </c>
      <c r="C354" t="s">
        <v>10</v>
      </c>
      <c r="D354">
        <v>2771107</v>
      </c>
      <c r="E354" t="s">
        <v>8</v>
      </c>
    </row>
    <row r="355" spans="1:5" x14ac:dyDescent="0.55000000000000004">
      <c r="A355" t="s">
        <v>1204</v>
      </c>
      <c r="B355" t="s">
        <v>1203</v>
      </c>
      <c r="C355" t="s">
        <v>10</v>
      </c>
      <c r="D355">
        <v>1053309</v>
      </c>
      <c r="E355" t="s">
        <v>8</v>
      </c>
    </row>
    <row r="356" spans="1:5" x14ac:dyDescent="0.55000000000000004">
      <c r="A356" t="s">
        <v>833</v>
      </c>
      <c r="B356" t="s">
        <v>832</v>
      </c>
      <c r="C356" t="s">
        <v>141</v>
      </c>
      <c r="D356">
        <v>4508229</v>
      </c>
      <c r="E356" t="s">
        <v>8</v>
      </c>
    </row>
    <row r="357" spans="1:5" x14ac:dyDescent="0.55000000000000004">
      <c r="A357" t="s">
        <v>3019</v>
      </c>
      <c r="B357" t="s">
        <v>3018</v>
      </c>
      <c r="C357" t="s">
        <v>41</v>
      </c>
      <c r="D357">
        <v>977567</v>
      </c>
      <c r="E357" t="s">
        <v>8</v>
      </c>
    </row>
    <row r="358" spans="1:5" x14ac:dyDescent="0.55000000000000004">
      <c r="A358" t="s">
        <v>2450</v>
      </c>
      <c r="B358" t="s">
        <v>2449</v>
      </c>
      <c r="C358" t="s">
        <v>10</v>
      </c>
      <c r="D358">
        <v>306680</v>
      </c>
      <c r="E358" t="s">
        <v>8</v>
      </c>
    </row>
    <row r="359" spans="1:5" x14ac:dyDescent="0.55000000000000004">
      <c r="A359" t="s">
        <v>552</v>
      </c>
      <c r="B359" t="s">
        <v>551</v>
      </c>
      <c r="C359" t="s">
        <v>10</v>
      </c>
      <c r="D359">
        <v>1173242</v>
      </c>
      <c r="E359" t="s">
        <v>8</v>
      </c>
    </row>
    <row r="360" spans="1:5" x14ac:dyDescent="0.55000000000000004">
      <c r="A360" t="s">
        <v>2146</v>
      </c>
      <c r="B360" t="s">
        <v>2145</v>
      </c>
      <c r="C360" t="s">
        <v>13</v>
      </c>
      <c r="D360">
        <v>485832</v>
      </c>
      <c r="E360" t="s">
        <v>8</v>
      </c>
    </row>
    <row r="361" spans="1:5" x14ac:dyDescent="0.55000000000000004">
      <c r="A361" t="s">
        <v>130</v>
      </c>
      <c r="B361" t="s">
        <v>129</v>
      </c>
      <c r="C361" t="s">
        <v>6</v>
      </c>
      <c r="D361">
        <v>1394433</v>
      </c>
      <c r="E361" t="s">
        <v>8</v>
      </c>
    </row>
    <row r="362" spans="1:5" x14ac:dyDescent="0.55000000000000004">
      <c r="A362" t="s">
        <v>1867</v>
      </c>
      <c r="B362" t="s">
        <v>1866</v>
      </c>
      <c r="C362" t="s">
        <v>10</v>
      </c>
      <c r="D362">
        <v>246777</v>
      </c>
      <c r="E362" t="s">
        <v>8</v>
      </c>
    </row>
    <row r="363" spans="1:5" x14ac:dyDescent="0.55000000000000004">
      <c r="A363" t="s">
        <v>1652</v>
      </c>
      <c r="B363" t="s">
        <v>1651</v>
      </c>
      <c r="C363" t="s">
        <v>10</v>
      </c>
      <c r="D363">
        <v>92379</v>
      </c>
      <c r="E363" t="s">
        <v>8</v>
      </c>
    </row>
    <row r="364" spans="1:5" x14ac:dyDescent="0.55000000000000004">
      <c r="A364" t="s">
        <v>134</v>
      </c>
      <c r="B364" t="s">
        <v>133</v>
      </c>
      <c r="C364" t="s">
        <v>10</v>
      </c>
      <c r="D364">
        <v>7957674</v>
      </c>
      <c r="E364" t="s">
        <v>8</v>
      </c>
    </row>
    <row r="365" spans="1:5" x14ac:dyDescent="0.55000000000000004">
      <c r="A365" t="s">
        <v>3025</v>
      </c>
      <c r="B365" t="s">
        <v>3024</v>
      </c>
      <c r="C365" t="s">
        <v>10</v>
      </c>
      <c r="D365">
        <v>2026277</v>
      </c>
      <c r="E365" t="s">
        <v>8</v>
      </c>
    </row>
    <row r="366" spans="1:5" x14ac:dyDescent="0.55000000000000004">
      <c r="A366" t="s">
        <v>136</v>
      </c>
      <c r="B366" t="s">
        <v>135</v>
      </c>
      <c r="C366" t="s">
        <v>10</v>
      </c>
      <c r="D366">
        <v>114706</v>
      </c>
      <c r="E366" t="s">
        <v>8</v>
      </c>
    </row>
    <row r="367" spans="1:5" x14ac:dyDescent="0.55000000000000004">
      <c r="A367" t="s">
        <v>3027</v>
      </c>
      <c r="B367" t="s">
        <v>3026</v>
      </c>
      <c r="C367" t="s">
        <v>13</v>
      </c>
      <c r="D367">
        <v>584986</v>
      </c>
      <c r="E367" t="s">
        <v>8</v>
      </c>
    </row>
    <row r="368" spans="1:5" x14ac:dyDescent="0.55000000000000004">
      <c r="A368" t="s">
        <v>146</v>
      </c>
      <c r="B368" t="s">
        <v>145</v>
      </c>
      <c r="C368" t="s">
        <v>13</v>
      </c>
      <c r="D368">
        <v>600950</v>
      </c>
      <c r="E368" t="s">
        <v>8</v>
      </c>
    </row>
    <row r="369" spans="1:5" x14ac:dyDescent="0.55000000000000004">
      <c r="A369" t="s">
        <v>2457</v>
      </c>
      <c r="B369" t="s">
        <v>2456</v>
      </c>
      <c r="C369" t="s">
        <v>10</v>
      </c>
      <c r="D369">
        <v>943158</v>
      </c>
      <c r="E369" t="s">
        <v>8</v>
      </c>
    </row>
    <row r="370" spans="1:5" x14ac:dyDescent="0.55000000000000004">
      <c r="A370" t="s">
        <v>152</v>
      </c>
      <c r="B370" t="s">
        <v>151</v>
      </c>
      <c r="C370" t="s">
        <v>10</v>
      </c>
      <c r="D370">
        <v>3945270</v>
      </c>
      <c r="E370" t="s">
        <v>8</v>
      </c>
    </row>
    <row r="371" spans="1:5" x14ac:dyDescent="0.55000000000000004">
      <c r="A371" t="s">
        <v>2812</v>
      </c>
      <c r="B371" t="s">
        <v>2813</v>
      </c>
      <c r="C371" t="s">
        <v>76</v>
      </c>
      <c r="D371">
        <v>2460621</v>
      </c>
      <c r="E371" t="s">
        <v>8</v>
      </c>
    </row>
    <row r="372" spans="1:5" x14ac:dyDescent="0.55000000000000004">
      <c r="A372" t="s">
        <v>154</v>
      </c>
      <c r="B372" t="s">
        <v>153</v>
      </c>
      <c r="C372" t="s">
        <v>141</v>
      </c>
      <c r="D372">
        <v>712452</v>
      </c>
      <c r="E372" t="s">
        <v>8</v>
      </c>
    </row>
    <row r="373" spans="1:5" x14ac:dyDescent="0.55000000000000004">
      <c r="A373" t="s">
        <v>2154</v>
      </c>
      <c r="B373" t="s">
        <v>2153</v>
      </c>
      <c r="C373" t="s">
        <v>10</v>
      </c>
      <c r="D373">
        <v>485115</v>
      </c>
      <c r="E373" t="s">
        <v>8</v>
      </c>
    </row>
    <row r="374" spans="1:5" x14ac:dyDescent="0.55000000000000004">
      <c r="A374" t="s">
        <v>1227</v>
      </c>
      <c r="B374" t="s">
        <v>1226</v>
      </c>
      <c r="C374" t="s">
        <v>10</v>
      </c>
      <c r="D374">
        <v>1679735</v>
      </c>
      <c r="E374" t="s">
        <v>8</v>
      </c>
    </row>
    <row r="375" spans="1:5" x14ac:dyDescent="0.55000000000000004">
      <c r="A375" t="s">
        <v>1878</v>
      </c>
      <c r="B375" t="s">
        <v>1877</v>
      </c>
      <c r="C375" t="s">
        <v>41</v>
      </c>
      <c r="D375">
        <v>515450</v>
      </c>
      <c r="E375" t="s">
        <v>8</v>
      </c>
    </row>
    <row r="376" spans="1:5" x14ac:dyDescent="0.55000000000000004">
      <c r="A376" t="s">
        <v>3033</v>
      </c>
      <c r="B376" t="s">
        <v>3032</v>
      </c>
      <c r="C376" t="s">
        <v>76</v>
      </c>
      <c r="D376">
        <v>518123</v>
      </c>
      <c r="E376" t="s">
        <v>8</v>
      </c>
    </row>
    <row r="377" spans="1:5" x14ac:dyDescent="0.55000000000000004">
      <c r="A377" t="s">
        <v>3039</v>
      </c>
      <c r="B377" t="s">
        <v>3038</v>
      </c>
      <c r="C377" t="s">
        <v>10</v>
      </c>
      <c r="D377">
        <v>2755597</v>
      </c>
      <c r="E377" t="s">
        <v>8</v>
      </c>
    </row>
    <row r="378" spans="1:5" x14ac:dyDescent="0.55000000000000004">
      <c r="A378" t="s">
        <v>2158</v>
      </c>
      <c r="B378" t="s">
        <v>2157</v>
      </c>
      <c r="C378" t="s">
        <v>10</v>
      </c>
      <c r="D378">
        <v>1243121</v>
      </c>
      <c r="E378" t="s">
        <v>8</v>
      </c>
    </row>
    <row r="379" spans="1:5" x14ac:dyDescent="0.55000000000000004">
      <c r="A379" t="s">
        <v>162</v>
      </c>
      <c r="B379" t="s">
        <v>161</v>
      </c>
      <c r="C379" t="s">
        <v>13</v>
      </c>
      <c r="D379">
        <v>291706</v>
      </c>
      <c r="E379" t="s">
        <v>8</v>
      </c>
    </row>
    <row r="380" spans="1:5" x14ac:dyDescent="0.55000000000000004">
      <c r="A380" t="s">
        <v>1882</v>
      </c>
      <c r="B380" t="s">
        <v>1881</v>
      </c>
      <c r="C380" t="s">
        <v>10</v>
      </c>
      <c r="D380">
        <v>842713</v>
      </c>
      <c r="E380" t="s">
        <v>8</v>
      </c>
    </row>
    <row r="381" spans="1:5" x14ac:dyDescent="0.55000000000000004">
      <c r="A381" t="s">
        <v>3047</v>
      </c>
      <c r="B381" t="s">
        <v>3046</v>
      </c>
      <c r="C381" t="s">
        <v>10</v>
      </c>
      <c r="D381">
        <v>228809</v>
      </c>
      <c r="E381" t="s">
        <v>8</v>
      </c>
    </row>
    <row r="382" spans="1:5" x14ac:dyDescent="0.55000000000000004">
      <c r="A382" t="s">
        <v>180</v>
      </c>
      <c r="B382" t="s">
        <v>179</v>
      </c>
      <c r="C382" t="s">
        <v>41</v>
      </c>
      <c r="D382">
        <v>37299</v>
      </c>
      <c r="E382" t="s">
        <v>8</v>
      </c>
    </row>
    <row r="383" spans="1:5" x14ac:dyDescent="0.55000000000000004">
      <c r="A383" t="s">
        <v>3049</v>
      </c>
      <c r="B383" t="s">
        <v>3048</v>
      </c>
      <c r="C383" t="s">
        <v>10</v>
      </c>
      <c r="D383">
        <v>1712144</v>
      </c>
      <c r="E383" t="s">
        <v>8</v>
      </c>
    </row>
    <row r="384" spans="1:5" x14ac:dyDescent="0.55000000000000004">
      <c r="A384" t="s">
        <v>2166</v>
      </c>
      <c r="B384" t="s">
        <v>2165</v>
      </c>
      <c r="C384" t="s">
        <v>10</v>
      </c>
      <c r="D384">
        <v>251787</v>
      </c>
      <c r="E384" t="s">
        <v>8</v>
      </c>
    </row>
    <row r="385" spans="1:5" x14ac:dyDescent="0.55000000000000004">
      <c r="A385" t="s">
        <v>2819</v>
      </c>
      <c r="B385" t="s">
        <v>2820</v>
      </c>
      <c r="C385" t="s">
        <v>10</v>
      </c>
      <c r="D385">
        <v>529764</v>
      </c>
      <c r="E385" t="s">
        <v>8</v>
      </c>
    </row>
    <row r="386" spans="1:5" x14ac:dyDescent="0.55000000000000004">
      <c r="A386" t="s">
        <v>2467</v>
      </c>
      <c r="B386" t="s">
        <v>2466</v>
      </c>
      <c r="C386" t="s">
        <v>10</v>
      </c>
      <c r="D386">
        <v>1499339</v>
      </c>
      <c r="E386" t="s">
        <v>8</v>
      </c>
    </row>
    <row r="387" spans="1:5" x14ac:dyDescent="0.55000000000000004">
      <c r="A387" t="s">
        <v>2821</v>
      </c>
      <c r="B387" t="s">
        <v>2822</v>
      </c>
      <c r="C387" t="s">
        <v>6</v>
      </c>
      <c r="D387">
        <v>335377</v>
      </c>
      <c r="E387" t="s">
        <v>8</v>
      </c>
    </row>
    <row r="388" spans="1:5" x14ac:dyDescent="0.55000000000000004">
      <c r="A388" t="s">
        <v>1501</v>
      </c>
      <c r="B388" t="s">
        <v>1500</v>
      </c>
      <c r="C388" t="s">
        <v>10</v>
      </c>
      <c r="D388">
        <v>164001</v>
      </c>
      <c r="E388" t="s">
        <v>8</v>
      </c>
    </row>
    <row r="389" spans="1:5" x14ac:dyDescent="0.55000000000000004">
      <c r="A389" t="s">
        <v>1671</v>
      </c>
      <c r="B389" t="s">
        <v>1670</v>
      </c>
      <c r="C389" t="s">
        <v>10</v>
      </c>
      <c r="D389">
        <v>1016923</v>
      </c>
      <c r="E389" t="s">
        <v>8</v>
      </c>
    </row>
    <row r="390" spans="1:5" x14ac:dyDescent="0.55000000000000004">
      <c r="A390" t="s">
        <v>565</v>
      </c>
      <c r="B390" t="s">
        <v>564</v>
      </c>
      <c r="C390" t="s">
        <v>10</v>
      </c>
      <c r="D390">
        <v>319722</v>
      </c>
      <c r="E390" t="s">
        <v>8</v>
      </c>
    </row>
    <row r="391" spans="1:5" x14ac:dyDescent="0.55000000000000004">
      <c r="A391" t="s">
        <v>2823</v>
      </c>
      <c r="B391" t="s">
        <v>2824</v>
      </c>
      <c r="C391" t="s">
        <v>10</v>
      </c>
      <c r="D391">
        <v>355780</v>
      </c>
      <c r="E391" t="s">
        <v>8</v>
      </c>
    </row>
    <row r="392" spans="1:5" x14ac:dyDescent="0.55000000000000004">
      <c r="A392" t="s">
        <v>188</v>
      </c>
      <c r="B392" t="s">
        <v>187</v>
      </c>
      <c r="C392" t="s">
        <v>6</v>
      </c>
      <c r="D392">
        <v>811121</v>
      </c>
      <c r="E392" t="s">
        <v>8</v>
      </c>
    </row>
    <row r="393" spans="1:5" x14ac:dyDescent="0.55000000000000004">
      <c r="A393" t="s">
        <v>1246</v>
      </c>
      <c r="B393" t="s">
        <v>1245</v>
      </c>
      <c r="C393" t="s">
        <v>41</v>
      </c>
      <c r="D393">
        <v>2019150</v>
      </c>
      <c r="E393" t="s">
        <v>8</v>
      </c>
    </row>
    <row r="394" spans="1:5" x14ac:dyDescent="0.55000000000000004">
      <c r="A394" t="s">
        <v>2178</v>
      </c>
      <c r="B394" t="s">
        <v>2177</v>
      </c>
      <c r="C394" t="s">
        <v>10</v>
      </c>
      <c r="D394">
        <v>524006</v>
      </c>
      <c r="E394" t="s">
        <v>8</v>
      </c>
    </row>
    <row r="395" spans="1:5" x14ac:dyDescent="0.55000000000000004">
      <c r="A395" t="s">
        <v>194</v>
      </c>
      <c r="B395" t="s">
        <v>193</v>
      </c>
      <c r="C395" t="s">
        <v>10</v>
      </c>
      <c r="D395">
        <v>6637293</v>
      </c>
      <c r="E395" t="s">
        <v>8</v>
      </c>
    </row>
    <row r="396" spans="1:5" x14ac:dyDescent="0.55000000000000004">
      <c r="A396" t="s">
        <v>3053</v>
      </c>
      <c r="B396" t="s">
        <v>3052</v>
      </c>
      <c r="C396" t="s">
        <v>10</v>
      </c>
      <c r="D396">
        <v>4290172</v>
      </c>
      <c r="E396" t="s">
        <v>8</v>
      </c>
    </row>
    <row r="397" spans="1:5" x14ac:dyDescent="0.55000000000000004">
      <c r="A397" t="s">
        <v>2827</v>
      </c>
      <c r="B397" t="s">
        <v>2828</v>
      </c>
      <c r="C397" t="s">
        <v>10</v>
      </c>
      <c r="D397">
        <v>602767</v>
      </c>
      <c r="E397" t="s">
        <v>8</v>
      </c>
    </row>
    <row r="398" spans="1:5" x14ac:dyDescent="0.55000000000000004">
      <c r="A398" t="s">
        <v>571</v>
      </c>
      <c r="B398" t="s">
        <v>570</v>
      </c>
      <c r="C398" t="s">
        <v>10</v>
      </c>
      <c r="D398">
        <v>968912</v>
      </c>
      <c r="E398" t="s">
        <v>8</v>
      </c>
    </row>
    <row r="399" spans="1:5" x14ac:dyDescent="0.55000000000000004">
      <c r="A399" t="s">
        <v>1017</v>
      </c>
      <c r="B399" t="s">
        <v>1016</v>
      </c>
      <c r="C399" t="s">
        <v>10</v>
      </c>
      <c r="D399">
        <v>281943</v>
      </c>
      <c r="E399" t="s">
        <v>8</v>
      </c>
    </row>
    <row r="400" spans="1:5" x14ac:dyDescent="0.55000000000000004">
      <c r="A400" t="s">
        <v>3057</v>
      </c>
      <c r="B400" t="s">
        <v>3056</v>
      </c>
      <c r="C400" t="s">
        <v>10</v>
      </c>
      <c r="D400">
        <v>468662</v>
      </c>
      <c r="E400" t="s">
        <v>8</v>
      </c>
    </row>
    <row r="401" spans="1:5" x14ac:dyDescent="0.55000000000000004">
      <c r="A401" t="s">
        <v>3059</v>
      </c>
      <c r="B401" t="s">
        <v>3058</v>
      </c>
      <c r="C401" t="s">
        <v>6</v>
      </c>
      <c r="D401">
        <v>2143104</v>
      </c>
      <c r="E401" t="s">
        <v>8</v>
      </c>
    </row>
    <row r="402" spans="1:5" x14ac:dyDescent="0.55000000000000004">
      <c r="A402" t="s">
        <v>2829</v>
      </c>
      <c r="B402" t="s">
        <v>2830</v>
      </c>
      <c r="C402" t="s">
        <v>141</v>
      </c>
      <c r="D402">
        <v>477951</v>
      </c>
      <c r="E402" t="s">
        <v>8</v>
      </c>
    </row>
    <row r="403" spans="1:5" x14ac:dyDescent="0.55000000000000004">
      <c r="A403" t="s">
        <v>1021</v>
      </c>
      <c r="B403" t="s">
        <v>1020</v>
      </c>
      <c r="C403" t="s">
        <v>880</v>
      </c>
      <c r="D403">
        <v>3213585</v>
      </c>
      <c r="E403" t="s">
        <v>8</v>
      </c>
    </row>
    <row r="404" spans="1:5" x14ac:dyDescent="0.55000000000000004">
      <c r="A404" t="s">
        <v>2195</v>
      </c>
      <c r="B404" t="s">
        <v>2194</v>
      </c>
      <c r="C404" t="s">
        <v>10</v>
      </c>
      <c r="D404">
        <v>407622</v>
      </c>
      <c r="E404" t="s">
        <v>8</v>
      </c>
    </row>
    <row r="405" spans="1:5" x14ac:dyDescent="0.55000000000000004">
      <c r="A405" t="s">
        <v>1505</v>
      </c>
      <c r="B405" t="s">
        <v>1504</v>
      </c>
      <c r="C405" t="s">
        <v>10</v>
      </c>
      <c r="D405">
        <v>772648</v>
      </c>
      <c r="E405" t="s">
        <v>8</v>
      </c>
    </row>
    <row r="406" spans="1:5" x14ac:dyDescent="0.55000000000000004">
      <c r="A406" t="s">
        <v>2206</v>
      </c>
      <c r="B406" t="s">
        <v>2205</v>
      </c>
      <c r="C406" t="s">
        <v>10</v>
      </c>
      <c r="D406">
        <v>517627</v>
      </c>
      <c r="E406" t="s">
        <v>8</v>
      </c>
    </row>
    <row r="407" spans="1:5" x14ac:dyDescent="0.55000000000000004">
      <c r="A407" t="s">
        <v>1023</v>
      </c>
      <c r="B407" t="s">
        <v>1022</v>
      </c>
      <c r="C407" t="s">
        <v>10</v>
      </c>
      <c r="D407">
        <v>2108709</v>
      </c>
      <c r="E407" t="s">
        <v>8</v>
      </c>
    </row>
    <row r="408" spans="1:5" x14ac:dyDescent="0.55000000000000004">
      <c r="A408" t="s">
        <v>2833</v>
      </c>
      <c r="B408" t="s">
        <v>1268</v>
      </c>
      <c r="C408" t="s">
        <v>26</v>
      </c>
      <c r="D408">
        <v>212944</v>
      </c>
      <c r="E408" t="s">
        <v>8</v>
      </c>
    </row>
    <row r="409" spans="1:5" x14ac:dyDescent="0.55000000000000004">
      <c r="A409" t="s">
        <v>2487</v>
      </c>
      <c r="B409" t="s">
        <v>2486</v>
      </c>
      <c r="C409" t="s">
        <v>10</v>
      </c>
      <c r="D409">
        <v>2848053</v>
      </c>
      <c r="E409" t="s">
        <v>8</v>
      </c>
    </row>
    <row r="410" spans="1:5" x14ac:dyDescent="0.55000000000000004">
      <c r="A410" t="s">
        <v>2223</v>
      </c>
      <c r="B410" t="s">
        <v>2222</v>
      </c>
      <c r="C410" t="s">
        <v>10</v>
      </c>
      <c r="D410">
        <v>1417295</v>
      </c>
      <c r="E410" t="s">
        <v>8</v>
      </c>
    </row>
    <row r="411" spans="1:5" x14ac:dyDescent="0.55000000000000004">
      <c r="A411" t="s">
        <v>1915</v>
      </c>
      <c r="B411" t="s">
        <v>1914</v>
      </c>
      <c r="C411" t="s">
        <v>10</v>
      </c>
      <c r="D411">
        <v>2069124</v>
      </c>
      <c r="E411" t="s">
        <v>8</v>
      </c>
    </row>
    <row r="412" spans="1:5" x14ac:dyDescent="0.55000000000000004">
      <c r="A412" t="s">
        <v>2840</v>
      </c>
      <c r="B412" t="s">
        <v>2841</v>
      </c>
      <c r="C412" t="s">
        <v>10</v>
      </c>
      <c r="D412">
        <v>1776990</v>
      </c>
      <c r="E412" t="s">
        <v>8</v>
      </c>
    </row>
    <row r="413" spans="1:5" x14ac:dyDescent="0.55000000000000004">
      <c r="A413" t="s">
        <v>2842</v>
      </c>
      <c r="B413" t="s">
        <v>2843</v>
      </c>
      <c r="C413" t="s">
        <v>10</v>
      </c>
      <c r="D413">
        <v>538073</v>
      </c>
      <c r="E413" t="s">
        <v>8</v>
      </c>
    </row>
    <row r="414" spans="1:5" x14ac:dyDescent="0.55000000000000004">
      <c r="A414" t="s">
        <v>1921</v>
      </c>
      <c r="B414" t="s">
        <v>1920</v>
      </c>
      <c r="C414" t="s">
        <v>10</v>
      </c>
      <c r="D414">
        <v>2116522</v>
      </c>
      <c r="E414" t="s">
        <v>8</v>
      </c>
    </row>
    <row r="415" spans="1:5" x14ac:dyDescent="0.55000000000000004">
      <c r="A415" t="s">
        <v>2844</v>
      </c>
      <c r="B415" t="s">
        <v>2845</v>
      </c>
      <c r="C415" t="s">
        <v>1467</v>
      </c>
      <c r="D415">
        <v>104947</v>
      </c>
      <c r="E415" t="s">
        <v>8</v>
      </c>
    </row>
    <row r="416" spans="1:5" x14ac:dyDescent="0.55000000000000004">
      <c r="A416" t="s">
        <v>2225</v>
      </c>
      <c r="B416" t="s">
        <v>2224</v>
      </c>
      <c r="C416" t="s">
        <v>10</v>
      </c>
      <c r="D416">
        <v>4232916</v>
      </c>
      <c r="E416" t="s">
        <v>8</v>
      </c>
    </row>
    <row r="417" spans="1:5" x14ac:dyDescent="0.55000000000000004">
      <c r="A417" t="s">
        <v>2493</v>
      </c>
      <c r="B417" t="s">
        <v>2492</v>
      </c>
      <c r="C417" t="s">
        <v>10</v>
      </c>
      <c r="D417">
        <v>283831</v>
      </c>
      <c r="E417" t="s">
        <v>8</v>
      </c>
    </row>
    <row r="418" spans="1:5" x14ac:dyDescent="0.55000000000000004">
      <c r="A418" t="s">
        <v>601</v>
      </c>
      <c r="B418" t="s">
        <v>600</v>
      </c>
      <c r="C418" t="s">
        <v>41</v>
      </c>
      <c r="D418">
        <v>228500</v>
      </c>
      <c r="E418" t="s">
        <v>8</v>
      </c>
    </row>
    <row r="419" spans="1:5" x14ac:dyDescent="0.55000000000000004">
      <c r="A419" t="s">
        <v>2846</v>
      </c>
      <c r="B419" t="s">
        <v>2847</v>
      </c>
      <c r="C419" t="s">
        <v>10</v>
      </c>
      <c r="D419">
        <v>1054244</v>
      </c>
      <c r="E419" t="s">
        <v>8</v>
      </c>
    </row>
    <row r="420" spans="1:5" x14ac:dyDescent="0.55000000000000004">
      <c r="A420" t="s">
        <v>142</v>
      </c>
      <c r="B420" t="s">
        <v>140</v>
      </c>
      <c r="C420" t="s">
        <v>141</v>
      </c>
      <c r="D420">
        <v>1957580</v>
      </c>
      <c r="E420" t="s">
        <v>8</v>
      </c>
    </row>
    <row r="421" spans="1:5" x14ac:dyDescent="0.55000000000000004">
      <c r="A421" t="s">
        <v>2241</v>
      </c>
      <c r="B421" t="s">
        <v>2240</v>
      </c>
      <c r="C421" t="s">
        <v>10</v>
      </c>
      <c r="D421">
        <v>1504158</v>
      </c>
      <c r="E421" t="s">
        <v>8</v>
      </c>
    </row>
    <row r="422" spans="1:5" x14ac:dyDescent="0.55000000000000004">
      <c r="A422" t="s">
        <v>263</v>
      </c>
      <c r="B422" t="s">
        <v>262</v>
      </c>
      <c r="C422" t="s">
        <v>10</v>
      </c>
      <c r="D422">
        <v>279900</v>
      </c>
      <c r="E422" t="s">
        <v>8</v>
      </c>
    </row>
    <row r="423" spans="1:5" x14ac:dyDescent="0.55000000000000004">
      <c r="A423" t="s">
        <v>2848</v>
      </c>
      <c r="B423" t="s">
        <v>2849</v>
      </c>
      <c r="C423" t="s">
        <v>10</v>
      </c>
      <c r="D423">
        <v>284004</v>
      </c>
      <c r="E423" t="s">
        <v>8</v>
      </c>
    </row>
    <row r="424" spans="1:5" x14ac:dyDescent="0.55000000000000004">
      <c r="A424" t="s">
        <v>2501</v>
      </c>
      <c r="B424" t="s">
        <v>2500</v>
      </c>
      <c r="C424" t="s">
        <v>10</v>
      </c>
      <c r="D424">
        <v>7521509</v>
      </c>
      <c r="E424" t="s">
        <v>8</v>
      </c>
    </row>
    <row r="425" spans="1:5" x14ac:dyDescent="0.55000000000000004">
      <c r="A425" t="s">
        <v>1514</v>
      </c>
      <c r="B425" t="s">
        <v>1513</v>
      </c>
      <c r="C425" t="s">
        <v>10</v>
      </c>
      <c r="D425">
        <v>356826</v>
      </c>
      <c r="E425" t="s">
        <v>8</v>
      </c>
    </row>
    <row r="426" spans="1:5" x14ac:dyDescent="0.55000000000000004">
      <c r="A426" t="s">
        <v>2850</v>
      </c>
      <c r="B426" t="s">
        <v>2851</v>
      </c>
      <c r="C426" t="s">
        <v>10</v>
      </c>
      <c r="D426">
        <v>264109</v>
      </c>
      <c r="E426" t="s">
        <v>8</v>
      </c>
    </row>
    <row r="427" spans="1:5" x14ac:dyDescent="0.55000000000000004">
      <c r="A427" t="s">
        <v>3082</v>
      </c>
      <c r="B427" t="s">
        <v>3081</v>
      </c>
      <c r="C427" t="s">
        <v>6</v>
      </c>
      <c r="D427">
        <v>996291</v>
      </c>
      <c r="E427" t="s">
        <v>8</v>
      </c>
    </row>
    <row r="428" spans="1:5" x14ac:dyDescent="0.55000000000000004">
      <c r="A428" t="s">
        <v>1925</v>
      </c>
      <c r="B428" t="s">
        <v>1924</v>
      </c>
      <c r="C428" t="s">
        <v>10</v>
      </c>
      <c r="D428">
        <v>1291145</v>
      </c>
      <c r="E428" t="s">
        <v>8</v>
      </c>
    </row>
    <row r="429" spans="1:5" x14ac:dyDescent="0.55000000000000004">
      <c r="A429" t="s">
        <v>2239</v>
      </c>
      <c r="B429" t="s">
        <v>2238</v>
      </c>
      <c r="C429" t="s">
        <v>41</v>
      </c>
      <c r="D429">
        <v>217482</v>
      </c>
      <c r="E429" t="s">
        <v>8</v>
      </c>
    </row>
    <row r="430" spans="1:5" x14ac:dyDescent="0.55000000000000004">
      <c r="A430" t="s">
        <v>1039</v>
      </c>
      <c r="B430" t="s">
        <v>1038</v>
      </c>
      <c r="C430" t="s">
        <v>10</v>
      </c>
      <c r="D430">
        <v>759406</v>
      </c>
      <c r="E430" t="s">
        <v>8</v>
      </c>
    </row>
    <row r="431" spans="1:5" x14ac:dyDescent="0.55000000000000004">
      <c r="A431" t="s">
        <v>273</v>
      </c>
      <c r="B431" t="s">
        <v>272</v>
      </c>
      <c r="C431" t="s">
        <v>10</v>
      </c>
      <c r="D431">
        <v>848874</v>
      </c>
      <c r="E431" t="s">
        <v>8</v>
      </c>
    </row>
    <row r="432" spans="1:5" x14ac:dyDescent="0.55000000000000004">
      <c r="A432" t="s">
        <v>1516</v>
      </c>
      <c r="B432" t="s">
        <v>1515</v>
      </c>
      <c r="C432" t="s">
        <v>6</v>
      </c>
      <c r="D432">
        <v>347786</v>
      </c>
      <c r="E432" t="s">
        <v>8</v>
      </c>
    </row>
    <row r="433" spans="1:5" x14ac:dyDescent="0.55000000000000004">
      <c r="A433" t="s">
        <v>2852</v>
      </c>
      <c r="B433" t="s">
        <v>2853</v>
      </c>
      <c r="C433" t="s">
        <v>10</v>
      </c>
      <c r="D433">
        <v>5224987</v>
      </c>
      <c r="E433" t="s">
        <v>8</v>
      </c>
    </row>
    <row r="434" spans="1:5" x14ac:dyDescent="0.55000000000000004">
      <c r="A434" t="s">
        <v>621</v>
      </c>
      <c r="B434" t="s">
        <v>620</v>
      </c>
      <c r="C434" t="s">
        <v>10</v>
      </c>
      <c r="D434">
        <v>386572</v>
      </c>
      <c r="E434" t="s">
        <v>8</v>
      </c>
    </row>
    <row r="435" spans="1:5" x14ac:dyDescent="0.55000000000000004">
      <c r="A435" t="s">
        <v>2854</v>
      </c>
      <c r="B435" t="s">
        <v>2855</v>
      </c>
      <c r="C435" t="s">
        <v>10</v>
      </c>
      <c r="D435">
        <v>3236288</v>
      </c>
      <c r="E435" t="s">
        <v>8</v>
      </c>
    </row>
    <row r="436" spans="1:5" x14ac:dyDescent="0.55000000000000004">
      <c r="A436" t="s">
        <v>861</v>
      </c>
      <c r="B436" t="s">
        <v>860</v>
      </c>
      <c r="C436" t="s">
        <v>10</v>
      </c>
      <c r="D436">
        <v>3583441</v>
      </c>
      <c r="E436" t="s">
        <v>8</v>
      </c>
    </row>
    <row r="437" spans="1:5" x14ac:dyDescent="0.55000000000000004">
      <c r="A437" t="s">
        <v>3088</v>
      </c>
      <c r="B437" t="s">
        <v>3087</v>
      </c>
      <c r="C437" t="s">
        <v>10</v>
      </c>
      <c r="D437">
        <v>639321</v>
      </c>
      <c r="E437" t="s">
        <v>8</v>
      </c>
    </row>
    <row r="438" spans="1:5" x14ac:dyDescent="0.55000000000000004">
      <c r="A438" t="s">
        <v>1324</v>
      </c>
      <c r="B438" t="s">
        <v>1323</v>
      </c>
      <c r="C438" t="s">
        <v>10</v>
      </c>
      <c r="D438">
        <v>487332</v>
      </c>
      <c r="E438" t="s">
        <v>8</v>
      </c>
    </row>
    <row r="439" spans="1:5" x14ac:dyDescent="0.55000000000000004">
      <c r="A439" t="s">
        <v>1522</v>
      </c>
      <c r="B439" t="s">
        <v>1521</v>
      </c>
      <c r="C439" t="s">
        <v>41</v>
      </c>
      <c r="D439">
        <v>403841</v>
      </c>
      <c r="E439" t="s">
        <v>8</v>
      </c>
    </row>
    <row r="440" spans="1:5" x14ac:dyDescent="0.55000000000000004">
      <c r="A440" t="s">
        <v>627</v>
      </c>
      <c r="B440" t="s">
        <v>626</v>
      </c>
      <c r="C440" t="s">
        <v>41</v>
      </c>
      <c r="D440">
        <v>428839</v>
      </c>
      <c r="E440" t="s">
        <v>8</v>
      </c>
    </row>
    <row r="441" spans="1:5" x14ac:dyDescent="0.55000000000000004">
      <c r="A441" t="s">
        <v>3094</v>
      </c>
      <c r="B441" t="s">
        <v>3093</v>
      </c>
      <c r="C441" t="s">
        <v>10</v>
      </c>
      <c r="D441">
        <v>304731</v>
      </c>
      <c r="E441" t="s">
        <v>8</v>
      </c>
    </row>
    <row r="442" spans="1:5" x14ac:dyDescent="0.55000000000000004">
      <c r="A442" t="s">
        <v>2512</v>
      </c>
      <c r="B442" t="s">
        <v>2511</v>
      </c>
      <c r="C442" t="s">
        <v>2452</v>
      </c>
      <c r="D442">
        <v>722795</v>
      </c>
      <c r="E442" t="s">
        <v>8</v>
      </c>
    </row>
    <row r="443" spans="1:5" x14ac:dyDescent="0.55000000000000004">
      <c r="A443" t="s">
        <v>2250</v>
      </c>
      <c r="B443" t="s">
        <v>2249</v>
      </c>
      <c r="C443" t="s">
        <v>10</v>
      </c>
      <c r="D443">
        <v>2331609</v>
      </c>
      <c r="E443" t="s">
        <v>8</v>
      </c>
    </row>
    <row r="444" spans="1:5" x14ac:dyDescent="0.55000000000000004">
      <c r="A444" t="s">
        <v>2252</v>
      </c>
      <c r="B444" t="s">
        <v>2251</v>
      </c>
      <c r="C444" t="s">
        <v>10</v>
      </c>
      <c r="D444">
        <v>233686</v>
      </c>
      <c r="E444" t="s">
        <v>8</v>
      </c>
    </row>
    <row r="445" spans="1:5" x14ac:dyDescent="0.55000000000000004">
      <c r="A445" t="s">
        <v>1053</v>
      </c>
      <c r="B445" t="s">
        <v>1052</v>
      </c>
      <c r="C445" t="s">
        <v>10</v>
      </c>
      <c r="D445">
        <v>661862</v>
      </c>
      <c r="E445" t="s">
        <v>8</v>
      </c>
    </row>
    <row r="446" spans="1:5" x14ac:dyDescent="0.55000000000000004">
      <c r="A446" t="s">
        <v>2254</v>
      </c>
      <c r="B446" t="s">
        <v>2253</v>
      </c>
      <c r="C446" t="s">
        <v>10</v>
      </c>
      <c r="D446">
        <v>2549148</v>
      </c>
      <c r="E446" t="s">
        <v>8</v>
      </c>
    </row>
    <row r="447" spans="1:5" x14ac:dyDescent="0.55000000000000004">
      <c r="A447" t="s">
        <v>637</v>
      </c>
      <c r="B447" t="s">
        <v>636</v>
      </c>
      <c r="C447" t="s">
        <v>10</v>
      </c>
      <c r="D447">
        <v>524400</v>
      </c>
      <c r="E447" t="s">
        <v>8</v>
      </c>
    </row>
    <row r="448" spans="1:5" x14ac:dyDescent="0.55000000000000004">
      <c r="A448" t="s">
        <v>3098</v>
      </c>
      <c r="B448" t="s">
        <v>3097</v>
      </c>
      <c r="C448" t="s">
        <v>1317</v>
      </c>
      <c r="D448">
        <v>216674</v>
      </c>
      <c r="E448" t="s">
        <v>8</v>
      </c>
    </row>
    <row r="449" spans="1:5" x14ac:dyDescent="0.55000000000000004">
      <c r="A449" t="s">
        <v>3176</v>
      </c>
      <c r="B449" t="s">
        <v>3175</v>
      </c>
      <c r="C449" t="s">
        <v>13</v>
      </c>
      <c r="D449">
        <v>1108918</v>
      </c>
      <c r="E449" t="s">
        <v>8</v>
      </c>
    </row>
    <row r="450" spans="1:5" x14ac:dyDescent="0.55000000000000004">
      <c r="A450" t="s">
        <v>3102</v>
      </c>
      <c r="B450" t="s">
        <v>3101</v>
      </c>
      <c r="C450" t="s">
        <v>10</v>
      </c>
      <c r="D450">
        <v>263244</v>
      </c>
      <c r="E450" t="s">
        <v>8</v>
      </c>
    </row>
    <row r="451" spans="1:5" x14ac:dyDescent="0.55000000000000004">
      <c r="A451" t="s">
        <v>2524</v>
      </c>
      <c r="B451" t="s">
        <v>2523</v>
      </c>
      <c r="C451" t="s">
        <v>10</v>
      </c>
      <c r="D451">
        <v>3739525</v>
      </c>
      <c r="E451" t="s">
        <v>8</v>
      </c>
    </row>
    <row r="452" spans="1:5" x14ac:dyDescent="0.55000000000000004">
      <c r="A452" t="s">
        <v>1059</v>
      </c>
      <c r="B452" t="s">
        <v>1058</v>
      </c>
      <c r="C452" t="s">
        <v>10</v>
      </c>
      <c r="D452">
        <v>383045</v>
      </c>
      <c r="E452" t="s">
        <v>8</v>
      </c>
    </row>
    <row r="453" spans="1:5" x14ac:dyDescent="0.55000000000000004">
      <c r="A453" t="s">
        <v>3104</v>
      </c>
      <c r="B453" t="s">
        <v>3103</v>
      </c>
      <c r="C453" t="s">
        <v>10</v>
      </c>
      <c r="D453">
        <v>254224</v>
      </c>
      <c r="E453" t="s">
        <v>8</v>
      </c>
    </row>
    <row r="454" spans="1:5" x14ac:dyDescent="0.55000000000000004">
      <c r="A454" t="s">
        <v>2860</v>
      </c>
      <c r="B454" t="s">
        <v>2861</v>
      </c>
      <c r="C454" t="s">
        <v>10</v>
      </c>
      <c r="D454">
        <v>1170356</v>
      </c>
      <c r="E454" t="s">
        <v>8</v>
      </c>
    </row>
    <row r="455" spans="1:5" x14ac:dyDescent="0.55000000000000004">
      <c r="A455" t="s">
        <v>3134</v>
      </c>
      <c r="B455" t="s">
        <v>3133</v>
      </c>
      <c r="C455" t="s">
        <v>10</v>
      </c>
      <c r="D455">
        <v>1902445</v>
      </c>
      <c r="E455" t="s">
        <v>8</v>
      </c>
    </row>
    <row r="456" spans="1:5" x14ac:dyDescent="0.55000000000000004">
      <c r="A456" t="s">
        <v>2862</v>
      </c>
      <c r="B456" t="s">
        <v>2863</v>
      </c>
      <c r="C456" t="s">
        <v>10</v>
      </c>
      <c r="D456">
        <v>161602</v>
      </c>
      <c r="E456" t="s">
        <v>8</v>
      </c>
    </row>
    <row r="457" spans="1:5" x14ac:dyDescent="0.55000000000000004">
      <c r="A457" t="s">
        <v>1958</v>
      </c>
      <c r="B457" t="s">
        <v>1957</v>
      </c>
      <c r="C457" t="s">
        <v>10</v>
      </c>
      <c r="D457">
        <v>467343</v>
      </c>
      <c r="E457" t="s">
        <v>8</v>
      </c>
    </row>
    <row r="458" spans="1:5" x14ac:dyDescent="0.55000000000000004">
      <c r="A458" t="s">
        <v>2866</v>
      </c>
      <c r="B458" t="s">
        <v>2867</v>
      </c>
      <c r="C458" t="s">
        <v>10</v>
      </c>
      <c r="D458">
        <v>2261535</v>
      </c>
      <c r="E458" t="s">
        <v>8</v>
      </c>
    </row>
    <row r="459" spans="1:5" x14ac:dyDescent="0.55000000000000004">
      <c r="A459" t="s">
        <v>2284</v>
      </c>
      <c r="B459" t="s">
        <v>2283</v>
      </c>
      <c r="C459" t="s">
        <v>10</v>
      </c>
      <c r="D459">
        <v>240171</v>
      </c>
      <c r="E459" t="s">
        <v>8</v>
      </c>
    </row>
    <row r="460" spans="1:5" x14ac:dyDescent="0.55000000000000004">
      <c r="A460" t="s">
        <v>3114</v>
      </c>
      <c r="B460" t="s">
        <v>3113</v>
      </c>
      <c r="C460" t="s">
        <v>10</v>
      </c>
      <c r="D460">
        <v>2198814</v>
      </c>
      <c r="E460" t="s">
        <v>8</v>
      </c>
    </row>
    <row r="461" spans="1:5" x14ac:dyDescent="0.55000000000000004">
      <c r="A461" t="s">
        <v>645</v>
      </c>
      <c r="B461" t="s">
        <v>644</v>
      </c>
      <c r="C461" t="s">
        <v>6</v>
      </c>
      <c r="D461">
        <v>422909</v>
      </c>
      <c r="E461" t="s">
        <v>8</v>
      </c>
    </row>
    <row r="462" spans="1:5" x14ac:dyDescent="0.55000000000000004">
      <c r="A462" t="s">
        <v>3116</v>
      </c>
      <c r="B462" t="s">
        <v>3115</v>
      </c>
      <c r="C462" t="s">
        <v>10</v>
      </c>
      <c r="D462">
        <v>283467</v>
      </c>
      <c r="E462" t="s">
        <v>8</v>
      </c>
    </row>
    <row r="463" spans="1:5" x14ac:dyDescent="0.55000000000000004">
      <c r="A463" t="s">
        <v>1362</v>
      </c>
      <c r="B463" t="s">
        <v>1361</v>
      </c>
      <c r="C463" t="s">
        <v>10</v>
      </c>
      <c r="D463">
        <v>629692</v>
      </c>
      <c r="E463" t="s">
        <v>8</v>
      </c>
    </row>
    <row r="464" spans="1:5" x14ac:dyDescent="0.55000000000000004">
      <c r="A464" t="s">
        <v>2538</v>
      </c>
      <c r="B464" t="s">
        <v>2537</v>
      </c>
      <c r="C464" t="s">
        <v>13</v>
      </c>
      <c r="D464">
        <v>334020</v>
      </c>
      <c r="E464" t="s">
        <v>8</v>
      </c>
    </row>
    <row r="465" spans="1:5" x14ac:dyDescent="0.55000000000000004">
      <c r="A465" t="s">
        <v>327</v>
      </c>
      <c r="B465" t="s">
        <v>326</v>
      </c>
      <c r="C465" t="s">
        <v>10</v>
      </c>
      <c r="D465">
        <v>1154041</v>
      </c>
      <c r="E465" t="s">
        <v>8</v>
      </c>
    </row>
    <row r="466" spans="1:5" x14ac:dyDescent="0.55000000000000004">
      <c r="A466" t="s">
        <v>2294</v>
      </c>
      <c r="B466" t="s">
        <v>2293</v>
      </c>
      <c r="C466" t="s">
        <v>10</v>
      </c>
      <c r="D466">
        <v>275272</v>
      </c>
      <c r="E466" t="s">
        <v>8</v>
      </c>
    </row>
    <row r="467" spans="1:5" x14ac:dyDescent="0.55000000000000004">
      <c r="A467" t="s">
        <v>2290</v>
      </c>
      <c r="B467" t="s">
        <v>2289</v>
      </c>
      <c r="C467" t="s">
        <v>10</v>
      </c>
      <c r="D467">
        <v>361608</v>
      </c>
      <c r="E467" t="s">
        <v>8</v>
      </c>
    </row>
    <row r="468" spans="1:5" x14ac:dyDescent="0.55000000000000004">
      <c r="A468" t="s">
        <v>1077</v>
      </c>
      <c r="B468" t="s">
        <v>1076</v>
      </c>
      <c r="C468" t="s">
        <v>10</v>
      </c>
      <c r="D468">
        <v>2233004</v>
      </c>
      <c r="E468" t="s">
        <v>8</v>
      </c>
    </row>
    <row r="469" spans="1:5" x14ac:dyDescent="0.55000000000000004">
      <c r="A469" t="s">
        <v>3128</v>
      </c>
      <c r="B469" t="s">
        <v>3127</v>
      </c>
      <c r="C469" t="s">
        <v>10</v>
      </c>
      <c r="D469">
        <v>446149</v>
      </c>
      <c r="E469" t="s">
        <v>8</v>
      </c>
    </row>
    <row r="470" spans="1:5" x14ac:dyDescent="0.55000000000000004">
      <c r="A470" t="s">
        <v>3130</v>
      </c>
      <c r="B470" t="s">
        <v>3129</v>
      </c>
      <c r="C470" t="s">
        <v>10</v>
      </c>
      <c r="D470">
        <v>100115</v>
      </c>
      <c r="E470" t="s">
        <v>8</v>
      </c>
    </row>
    <row r="471" spans="1:5" x14ac:dyDescent="0.55000000000000004">
      <c r="A471" t="s">
        <v>2870</v>
      </c>
      <c r="B471" t="s">
        <v>2871</v>
      </c>
      <c r="C471" t="s">
        <v>10</v>
      </c>
      <c r="D471">
        <v>7799132</v>
      </c>
      <c r="E471" t="s">
        <v>8</v>
      </c>
    </row>
    <row r="472" spans="1:5" x14ac:dyDescent="0.55000000000000004">
      <c r="A472" t="s">
        <v>1373</v>
      </c>
      <c r="B472" t="s">
        <v>1372</v>
      </c>
      <c r="C472" t="s">
        <v>10</v>
      </c>
      <c r="D472">
        <v>1000207</v>
      </c>
      <c r="E472" t="s">
        <v>8</v>
      </c>
    </row>
    <row r="473" spans="1:5" x14ac:dyDescent="0.55000000000000004">
      <c r="A473" t="s">
        <v>1735</v>
      </c>
      <c r="B473" t="s">
        <v>1734</v>
      </c>
      <c r="C473" t="s">
        <v>13</v>
      </c>
      <c r="D473">
        <v>939410</v>
      </c>
      <c r="E473" t="s">
        <v>8</v>
      </c>
    </row>
    <row r="474" spans="1:5" x14ac:dyDescent="0.55000000000000004">
      <c r="A474" t="s">
        <v>3136</v>
      </c>
      <c r="B474" t="s">
        <v>3135</v>
      </c>
      <c r="C474" t="s">
        <v>10</v>
      </c>
      <c r="D474">
        <v>1692426</v>
      </c>
      <c r="E474" t="s">
        <v>8</v>
      </c>
    </row>
    <row r="475" spans="1:5" x14ac:dyDescent="0.55000000000000004">
      <c r="A475" t="s">
        <v>2569</v>
      </c>
      <c r="B475" t="s">
        <v>2568</v>
      </c>
      <c r="C475" t="s">
        <v>10</v>
      </c>
      <c r="D475">
        <v>1071043</v>
      </c>
      <c r="E475" t="s">
        <v>8</v>
      </c>
    </row>
    <row r="476" spans="1:5" x14ac:dyDescent="0.55000000000000004">
      <c r="A476" t="s">
        <v>2296</v>
      </c>
      <c r="B476" t="s">
        <v>2295</v>
      </c>
      <c r="C476" t="s">
        <v>10</v>
      </c>
      <c r="D476">
        <v>161437</v>
      </c>
      <c r="E476" t="s">
        <v>8</v>
      </c>
    </row>
    <row r="477" spans="1:5" x14ac:dyDescent="0.55000000000000004">
      <c r="A477" t="s">
        <v>663</v>
      </c>
      <c r="B477" t="s">
        <v>662</v>
      </c>
      <c r="C477" t="s">
        <v>41</v>
      </c>
      <c r="D477">
        <v>1130665</v>
      </c>
      <c r="E477" t="s">
        <v>8</v>
      </c>
    </row>
    <row r="478" spans="1:5" x14ac:dyDescent="0.55000000000000004">
      <c r="A478" t="s">
        <v>348</v>
      </c>
      <c r="B478" t="s">
        <v>347</v>
      </c>
      <c r="C478" t="s">
        <v>10</v>
      </c>
      <c r="D478">
        <v>2576776</v>
      </c>
      <c r="E478" t="s">
        <v>8</v>
      </c>
    </row>
    <row r="479" spans="1:5" x14ac:dyDescent="0.55000000000000004">
      <c r="A479" t="s">
        <v>2556</v>
      </c>
      <c r="B479" t="s">
        <v>2555</v>
      </c>
      <c r="C479" t="s">
        <v>10</v>
      </c>
      <c r="D479">
        <v>2846277</v>
      </c>
      <c r="E479" t="s">
        <v>8</v>
      </c>
    </row>
    <row r="480" spans="1:5" x14ac:dyDescent="0.55000000000000004">
      <c r="A480" t="s">
        <v>3138</v>
      </c>
      <c r="B480" t="s">
        <v>3137</v>
      </c>
      <c r="C480" t="s">
        <v>10</v>
      </c>
      <c r="D480">
        <v>670516</v>
      </c>
      <c r="E480" t="s">
        <v>8</v>
      </c>
    </row>
    <row r="481" spans="1:5" x14ac:dyDescent="0.55000000000000004">
      <c r="A481" t="s">
        <v>1385</v>
      </c>
      <c r="B481" t="s">
        <v>1384</v>
      </c>
      <c r="C481" t="s">
        <v>6</v>
      </c>
      <c r="D481">
        <v>684600</v>
      </c>
      <c r="E481" t="s">
        <v>8</v>
      </c>
    </row>
    <row r="482" spans="1:5" x14ac:dyDescent="0.55000000000000004">
      <c r="A482" t="s">
        <v>3142</v>
      </c>
      <c r="B482" t="s">
        <v>3141</v>
      </c>
      <c r="C482" t="s">
        <v>41</v>
      </c>
      <c r="D482">
        <v>93829</v>
      </c>
      <c r="E482" t="s">
        <v>8</v>
      </c>
    </row>
    <row r="483" spans="1:5" x14ac:dyDescent="0.55000000000000004">
      <c r="A483" t="s">
        <v>1544</v>
      </c>
      <c r="B483" t="s">
        <v>1543</v>
      </c>
      <c r="C483" t="s">
        <v>10</v>
      </c>
      <c r="D483">
        <v>2667409</v>
      </c>
      <c r="E483" t="s">
        <v>8</v>
      </c>
    </row>
    <row r="484" spans="1:5" x14ac:dyDescent="0.55000000000000004">
      <c r="A484" t="s">
        <v>2874</v>
      </c>
      <c r="B484" t="s">
        <v>2875</v>
      </c>
      <c r="C484" t="s">
        <v>6</v>
      </c>
      <c r="D484">
        <v>149655</v>
      </c>
      <c r="E484" t="s">
        <v>8</v>
      </c>
    </row>
    <row r="485" spans="1:5" x14ac:dyDescent="0.55000000000000004">
      <c r="A485" t="s">
        <v>3152</v>
      </c>
      <c r="B485" t="s">
        <v>3151</v>
      </c>
      <c r="C485" t="s">
        <v>10</v>
      </c>
      <c r="D485">
        <v>528788</v>
      </c>
      <c r="E485" t="s">
        <v>8</v>
      </c>
    </row>
    <row r="486" spans="1:5" x14ac:dyDescent="0.55000000000000004">
      <c r="A486" t="s">
        <v>1546</v>
      </c>
      <c r="B486" t="s">
        <v>1545</v>
      </c>
      <c r="C486" t="s">
        <v>10</v>
      </c>
      <c r="D486">
        <v>189286</v>
      </c>
      <c r="E486" t="s">
        <v>8</v>
      </c>
    </row>
    <row r="487" spans="1:5" x14ac:dyDescent="0.55000000000000004">
      <c r="A487" t="s">
        <v>2322</v>
      </c>
      <c r="B487" t="s">
        <v>2321</v>
      </c>
      <c r="C487" t="s">
        <v>13</v>
      </c>
      <c r="D487">
        <v>593527</v>
      </c>
      <c r="E487" t="s">
        <v>8</v>
      </c>
    </row>
    <row r="488" spans="1:5" x14ac:dyDescent="0.55000000000000004">
      <c r="A488" t="s">
        <v>2878</v>
      </c>
      <c r="B488" t="s">
        <v>2879</v>
      </c>
      <c r="C488" t="s">
        <v>1317</v>
      </c>
      <c r="D488">
        <v>138786</v>
      </c>
      <c r="E488" t="s">
        <v>8</v>
      </c>
    </row>
    <row r="489" spans="1:5" x14ac:dyDescent="0.55000000000000004">
      <c r="A489" t="s">
        <v>3154</v>
      </c>
      <c r="B489" t="s">
        <v>3153</v>
      </c>
      <c r="C489" t="s">
        <v>6</v>
      </c>
      <c r="D489">
        <v>61598</v>
      </c>
      <c r="E489" t="s">
        <v>8</v>
      </c>
    </row>
    <row r="490" spans="1:5" x14ac:dyDescent="0.55000000000000004">
      <c r="A490" t="s">
        <v>1751</v>
      </c>
      <c r="B490" t="s">
        <v>1750</v>
      </c>
      <c r="C490" t="s">
        <v>10</v>
      </c>
      <c r="D490">
        <v>418043</v>
      </c>
      <c r="E490" t="s">
        <v>8</v>
      </c>
    </row>
    <row r="491" spans="1:5" x14ac:dyDescent="0.55000000000000004">
      <c r="A491" t="s">
        <v>2880</v>
      </c>
      <c r="B491" t="s">
        <v>2881</v>
      </c>
      <c r="C491" t="s">
        <v>10</v>
      </c>
      <c r="D491">
        <v>579820</v>
      </c>
      <c r="E491" t="s">
        <v>8</v>
      </c>
    </row>
    <row r="492" spans="1:5" x14ac:dyDescent="0.55000000000000004">
      <c r="A492" t="s">
        <v>2882</v>
      </c>
      <c r="B492" t="s">
        <v>2883</v>
      </c>
      <c r="C492" t="s">
        <v>13</v>
      </c>
      <c r="D492">
        <v>505884</v>
      </c>
      <c r="E492" t="s">
        <v>8</v>
      </c>
    </row>
    <row r="493" spans="1:5" x14ac:dyDescent="0.55000000000000004">
      <c r="A493" t="s">
        <v>2884</v>
      </c>
      <c r="B493" t="s">
        <v>2885</v>
      </c>
      <c r="C493" t="s">
        <v>13</v>
      </c>
      <c r="D493">
        <v>2099633</v>
      </c>
      <c r="E493" t="s">
        <v>8</v>
      </c>
    </row>
    <row r="494" spans="1:5" x14ac:dyDescent="0.55000000000000004">
      <c r="A494" t="s">
        <v>388</v>
      </c>
      <c r="B494" t="s">
        <v>387</v>
      </c>
      <c r="C494" t="s">
        <v>6</v>
      </c>
      <c r="D494">
        <v>789048</v>
      </c>
      <c r="E494" t="s">
        <v>8</v>
      </c>
    </row>
    <row r="495" spans="1:5" x14ac:dyDescent="0.55000000000000004">
      <c r="A495" t="s">
        <v>2886</v>
      </c>
      <c r="B495" t="s">
        <v>2887</v>
      </c>
      <c r="C495" t="s">
        <v>6</v>
      </c>
      <c r="D495">
        <v>341944</v>
      </c>
      <c r="E495" t="s">
        <v>8</v>
      </c>
    </row>
    <row r="496" spans="1:5" x14ac:dyDescent="0.55000000000000004">
      <c r="A496" t="s">
        <v>1416</v>
      </c>
      <c r="B496" t="s">
        <v>1415</v>
      </c>
      <c r="C496" t="s">
        <v>10</v>
      </c>
      <c r="D496">
        <v>1852032</v>
      </c>
      <c r="E496" t="s">
        <v>8</v>
      </c>
    </row>
    <row r="497" spans="1:5" x14ac:dyDescent="0.55000000000000004">
      <c r="A497" t="s">
        <v>3162</v>
      </c>
      <c r="B497" t="s">
        <v>3161</v>
      </c>
      <c r="C497" t="s">
        <v>10</v>
      </c>
      <c r="D497">
        <v>675821</v>
      </c>
      <c r="E497" t="s">
        <v>8</v>
      </c>
    </row>
    <row r="498" spans="1:5" x14ac:dyDescent="0.55000000000000004">
      <c r="A498" t="s">
        <v>3164</v>
      </c>
      <c r="B498" t="s">
        <v>3163</v>
      </c>
      <c r="C498" t="s">
        <v>10</v>
      </c>
      <c r="D498">
        <v>111762</v>
      </c>
      <c r="E498" t="s">
        <v>8</v>
      </c>
    </row>
    <row r="499" spans="1:5" x14ac:dyDescent="0.55000000000000004">
      <c r="A499" t="s">
        <v>3166</v>
      </c>
      <c r="B499" t="s">
        <v>3165</v>
      </c>
      <c r="C499" t="s">
        <v>10</v>
      </c>
      <c r="D499">
        <v>891210</v>
      </c>
      <c r="E499" t="s">
        <v>8</v>
      </c>
    </row>
    <row r="500" spans="1:5" x14ac:dyDescent="0.55000000000000004">
      <c r="A500" t="s">
        <v>3168</v>
      </c>
      <c r="B500" t="s">
        <v>3167</v>
      </c>
      <c r="C500" t="s">
        <v>10</v>
      </c>
      <c r="D500">
        <v>1278744</v>
      </c>
      <c r="E500" t="s">
        <v>8</v>
      </c>
    </row>
    <row r="501" spans="1:5" x14ac:dyDescent="0.55000000000000004">
      <c r="A501" t="s">
        <v>3170</v>
      </c>
      <c r="B501" t="s">
        <v>3169</v>
      </c>
      <c r="C501" t="s">
        <v>10</v>
      </c>
      <c r="D501">
        <v>305614</v>
      </c>
      <c r="E501" t="s">
        <v>8</v>
      </c>
    </row>
    <row r="502" spans="1:5" x14ac:dyDescent="0.55000000000000004">
      <c r="A502" t="s">
        <v>787</v>
      </c>
      <c r="B502" t="s">
        <v>786</v>
      </c>
      <c r="C502" t="s">
        <v>10</v>
      </c>
      <c r="D502">
        <v>1181951</v>
      </c>
      <c r="E502" t="s">
        <v>8</v>
      </c>
    </row>
    <row r="503" spans="1:5" x14ac:dyDescent="0.55000000000000004">
      <c r="A503" t="s">
        <v>1997</v>
      </c>
      <c r="B503" t="s">
        <v>1996</v>
      </c>
      <c r="C503" t="s">
        <v>10</v>
      </c>
      <c r="D503">
        <v>119195</v>
      </c>
      <c r="E503" t="s">
        <v>8</v>
      </c>
    </row>
    <row r="504" spans="1:5" x14ac:dyDescent="0.55000000000000004">
      <c r="A504" t="s">
        <v>3172</v>
      </c>
      <c r="B504" t="s">
        <v>3171</v>
      </c>
      <c r="C504" t="s">
        <v>1467</v>
      </c>
      <c r="D504">
        <v>214044</v>
      </c>
      <c r="E504" t="s">
        <v>8</v>
      </c>
    </row>
    <row r="505" spans="1:5" x14ac:dyDescent="0.55000000000000004">
      <c r="A505" t="s">
        <v>2334</v>
      </c>
      <c r="B505" t="s">
        <v>2333</v>
      </c>
      <c r="C505" t="s">
        <v>10</v>
      </c>
      <c r="D505">
        <v>8724962</v>
      </c>
      <c r="E505" t="s">
        <v>8</v>
      </c>
    </row>
    <row r="506" spans="1:5" x14ac:dyDescent="0.55000000000000004">
      <c r="A506" t="s">
        <v>2336</v>
      </c>
      <c r="B506" t="s">
        <v>2335</v>
      </c>
      <c r="C506" t="s">
        <v>10</v>
      </c>
      <c r="D506">
        <v>857526</v>
      </c>
      <c r="E506" t="s">
        <v>8</v>
      </c>
    </row>
    <row r="507" spans="1:5" x14ac:dyDescent="0.55000000000000004">
      <c r="A507" t="s">
        <v>1107</v>
      </c>
      <c r="B507" t="s">
        <v>2337</v>
      </c>
      <c r="C507" t="s">
        <v>6</v>
      </c>
      <c r="D507">
        <v>641236</v>
      </c>
      <c r="E507" t="s">
        <v>8</v>
      </c>
    </row>
    <row r="508" spans="1:5" x14ac:dyDescent="0.55000000000000004">
      <c r="A508" t="s">
        <v>1109</v>
      </c>
      <c r="B508" t="s">
        <v>1108</v>
      </c>
      <c r="C508" t="s">
        <v>13</v>
      </c>
      <c r="D508">
        <v>342828</v>
      </c>
      <c r="E508" t="s">
        <v>8</v>
      </c>
    </row>
    <row r="509" spans="1:5" x14ac:dyDescent="0.55000000000000004">
      <c r="A509" t="s">
        <v>2892</v>
      </c>
      <c r="B509" t="s">
        <v>2893</v>
      </c>
      <c r="C509" t="s">
        <v>10</v>
      </c>
      <c r="D509">
        <v>4456359</v>
      </c>
      <c r="E509" t="s">
        <v>8</v>
      </c>
    </row>
    <row r="510" spans="1:5" x14ac:dyDescent="0.55000000000000004">
      <c r="A510" t="s">
        <v>3178</v>
      </c>
      <c r="B510" t="s">
        <v>3177</v>
      </c>
      <c r="C510" t="s">
        <v>10</v>
      </c>
      <c r="D510">
        <v>2530001</v>
      </c>
      <c r="E510" t="s">
        <v>8</v>
      </c>
    </row>
    <row r="511" spans="1:5" x14ac:dyDescent="0.55000000000000004">
      <c r="A511" t="s">
        <v>1775</v>
      </c>
      <c r="B511" t="s">
        <v>1774</v>
      </c>
      <c r="C511" t="s">
        <v>13</v>
      </c>
      <c r="D511">
        <v>2778915</v>
      </c>
      <c r="E511" t="s">
        <v>8</v>
      </c>
    </row>
    <row r="512" spans="1:5" x14ac:dyDescent="0.55000000000000004">
      <c r="A512" t="s">
        <v>2347</v>
      </c>
      <c r="B512" t="s">
        <v>2346</v>
      </c>
      <c r="C512" t="s">
        <v>10</v>
      </c>
      <c r="D512">
        <v>624107</v>
      </c>
      <c r="E512" t="s">
        <v>8</v>
      </c>
    </row>
    <row r="513" spans="1:5" x14ac:dyDescent="0.55000000000000004">
      <c r="A513" t="s">
        <v>3182</v>
      </c>
      <c r="B513" t="s">
        <v>3181</v>
      </c>
      <c r="C513" t="s">
        <v>10</v>
      </c>
      <c r="D513">
        <v>691454</v>
      </c>
      <c r="E513" t="s">
        <v>8</v>
      </c>
    </row>
    <row r="514" spans="1:5" x14ac:dyDescent="0.55000000000000004">
      <c r="A514" t="s">
        <v>3186</v>
      </c>
      <c r="B514" t="s">
        <v>3185</v>
      </c>
      <c r="C514" t="s">
        <v>10</v>
      </c>
      <c r="D514">
        <v>280329</v>
      </c>
      <c r="E514" t="s">
        <v>8</v>
      </c>
    </row>
    <row r="515" spans="1:5" x14ac:dyDescent="0.55000000000000004">
      <c r="A515" t="s">
        <v>2351</v>
      </c>
      <c r="B515" t="s">
        <v>2350</v>
      </c>
      <c r="C515" t="s">
        <v>10</v>
      </c>
      <c r="D515">
        <v>1224419</v>
      </c>
      <c r="E515" t="s">
        <v>8</v>
      </c>
    </row>
    <row r="516" spans="1:5" x14ac:dyDescent="0.55000000000000004">
      <c r="A516" t="s">
        <v>1433</v>
      </c>
      <c r="B516" t="s">
        <v>1432</v>
      </c>
      <c r="C516" t="s">
        <v>10</v>
      </c>
      <c r="D516">
        <v>992263</v>
      </c>
      <c r="E516" t="s">
        <v>8</v>
      </c>
    </row>
    <row r="517" spans="1:5" x14ac:dyDescent="0.55000000000000004">
      <c r="A517" t="s">
        <v>1790</v>
      </c>
      <c r="B517" t="s">
        <v>1789</v>
      </c>
      <c r="C517" t="s">
        <v>13</v>
      </c>
      <c r="D517">
        <v>2042975</v>
      </c>
      <c r="E517" t="s">
        <v>8</v>
      </c>
    </row>
    <row r="518" spans="1:5" x14ac:dyDescent="0.55000000000000004">
      <c r="A518" t="s">
        <v>2018</v>
      </c>
      <c r="B518" t="s">
        <v>2017</v>
      </c>
      <c r="C518" t="s">
        <v>10</v>
      </c>
      <c r="D518">
        <v>1948744</v>
      </c>
      <c r="E518" t="s">
        <v>8</v>
      </c>
    </row>
    <row r="519" spans="1:5" x14ac:dyDescent="0.55000000000000004">
      <c r="A519" t="s">
        <v>2359</v>
      </c>
      <c r="B519" t="s">
        <v>2358</v>
      </c>
      <c r="C519" t="s">
        <v>10</v>
      </c>
      <c r="D519">
        <v>1360250</v>
      </c>
      <c r="E519" t="s">
        <v>8</v>
      </c>
    </row>
    <row r="520" spans="1:5" x14ac:dyDescent="0.55000000000000004">
      <c r="A520" t="s">
        <v>2896</v>
      </c>
      <c r="B520" t="s">
        <v>2897</v>
      </c>
      <c r="C520" t="s">
        <v>13</v>
      </c>
      <c r="D520">
        <v>1440289</v>
      </c>
      <c r="E520" t="s">
        <v>8</v>
      </c>
    </row>
    <row r="521" spans="1:5" x14ac:dyDescent="0.55000000000000004">
      <c r="A521" t="s">
        <v>2898</v>
      </c>
      <c r="B521" t="s">
        <v>2899</v>
      </c>
      <c r="C521" t="s">
        <v>10</v>
      </c>
      <c r="D521">
        <v>3521739</v>
      </c>
      <c r="E521" t="s">
        <v>8</v>
      </c>
    </row>
    <row r="522" spans="1:5" x14ac:dyDescent="0.55000000000000004">
      <c r="A522" t="s">
        <v>701</v>
      </c>
      <c r="B522" t="s">
        <v>700</v>
      </c>
      <c r="C522" t="s">
        <v>10</v>
      </c>
      <c r="D522">
        <v>261089</v>
      </c>
      <c r="E522" t="s">
        <v>8</v>
      </c>
    </row>
    <row r="523" spans="1:5" x14ac:dyDescent="0.55000000000000004">
      <c r="A523" t="s">
        <v>725</v>
      </c>
      <c r="B523" t="s">
        <v>724</v>
      </c>
      <c r="C523" t="s">
        <v>141</v>
      </c>
      <c r="D523">
        <v>1506392</v>
      </c>
      <c r="E523" t="s">
        <v>8</v>
      </c>
    </row>
    <row r="524" spans="1:5" x14ac:dyDescent="0.55000000000000004">
      <c r="A524" t="s">
        <v>2900</v>
      </c>
      <c r="B524" t="s">
        <v>2901</v>
      </c>
      <c r="C524" t="s">
        <v>41</v>
      </c>
      <c r="D524">
        <v>948491</v>
      </c>
      <c r="E524" t="s">
        <v>8</v>
      </c>
    </row>
    <row r="525" spans="1:5" x14ac:dyDescent="0.55000000000000004">
      <c r="A525" t="s">
        <v>2902</v>
      </c>
      <c r="B525" t="s">
        <v>2903</v>
      </c>
      <c r="C525" t="s">
        <v>10</v>
      </c>
      <c r="D525">
        <v>1467445</v>
      </c>
      <c r="E525" t="s">
        <v>8</v>
      </c>
    </row>
    <row r="526" spans="1:5" x14ac:dyDescent="0.55000000000000004">
      <c r="A526" t="s">
        <v>2025</v>
      </c>
      <c r="B526" t="s">
        <v>2024</v>
      </c>
      <c r="C526" t="s">
        <v>10</v>
      </c>
      <c r="D526">
        <v>2121329</v>
      </c>
      <c r="E526" t="s">
        <v>8</v>
      </c>
    </row>
    <row r="527" spans="1:5" x14ac:dyDescent="0.55000000000000004">
      <c r="A527" t="s">
        <v>417</v>
      </c>
      <c r="B527" t="s">
        <v>416</v>
      </c>
      <c r="C527" t="s">
        <v>10</v>
      </c>
      <c r="D527">
        <v>838212</v>
      </c>
      <c r="E527" t="s">
        <v>8</v>
      </c>
    </row>
    <row r="528" spans="1:5" x14ac:dyDescent="0.55000000000000004">
      <c r="A528" t="s">
        <v>2365</v>
      </c>
      <c r="B528" t="s">
        <v>2364</v>
      </c>
      <c r="C528" t="s">
        <v>10</v>
      </c>
      <c r="D528">
        <v>1775272</v>
      </c>
      <c r="E528" t="s">
        <v>8</v>
      </c>
    </row>
    <row r="529" spans="1:5" x14ac:dyDescent="0.55000000000000004">
      <c r="A529" t="s">
        <v>2029</v>
      </c>
      <c r="B529" t="s">
        <v>2028</v>
      </c>
      <c r="C529" t="s">
        <v>10</v>
      </c>
      <c r="D529">
        <v>898624</v>
      </c>
      <c r="E529" t="s">
        <v>8</v>
      </c>
    </row>
    <row r="530" spans="1:5" x14ac:dyDescent="0.55000000000000004">
      <c r="A530" t="s">
        <v>2904</v>
      </c>
      <c r="B530" t="s">
        <v>2905</v>
      </c>
      <c r="C530" t="s">
        <v>10</v>
      </c>
      <c r="D530">
        <v>645135</v>
      </c>
      <c r="E530" t="s">
        <v>8</v>
      </c>
    </row>
    <row r="531" spans="1:5" x14ac:dyDescent="0.55000000000000004">
      <c r="A531" t="s">
        <v>2031</v>
      </c>
      <c r="B531" t="s">
        <v>2030</v>
      </c>
      <c r="C531" t="s">
        <v>10</v>
      </c>
      <c r="D531">
        <v>215707</v>
      </c>
      <c r="E531" t="s">
        <v>8</v>
      </c>
    </row>
    <row r="532" spans="1:5" x14ac:dyDescent="0.55000000000000004">
      <c r="A532" t="s">
        <v>3190</v>
      </c>
      <c r="B532" t="s">
        <v>3189</v>
      </c>
      <c r="C532" t="s">
        <v>10</v>
      </c>
      <c r="D532">
        <v>1859276</v>
      </c>
      <c r="E532" t="s">
        <v>8</v>
      </c>
    </row>
    <row r="533" spans="1:5" x14ac:dyDescent="0.55000000000000004">
      <c r="A533" t="s">
        <v>429</v>
      </c>
      <c r="B533" t="s">
        <v>428</v>
      </c>
      <c r="C533" t="s">
        <v>10</v>
      </c>
      <c r="D533">
        <v>1266704</v>
      </c>
      <c r="E533" t="s">
        <v>8</v>
      </c>
    </row>
    <row r="534" spans="1:5" x14ac:dyDescent="0.55000000000000004">
      <c r="A534" t="s">
        <v>2906</v>
      </c>
      <c r="B534" t="s">
        <v>2907</v>
      </c>
      <c r="C534" t="s">
        <v>10</v>
      </c>
      <c r="D534">
        <v>3458443</v>
      </c>
      <c r="E534" t="s">
        <v>8</v>
      </c>
    </row>
    <row r="535" spans="1:5" x14ac:dyDescent="0.55000000000000004">
      <c r="A535" t="s">
        <v>1802</v>
      </c>
      <c r="B535" t="s">
        <v>1801</v>
      </c>
      <c r="C535" t="s">
        <v>10</v>
      </c>
      <c r="D535">
        <v>1027199</v>
      </c>
      <c r="E535" t="s">
        <v>8</v>
      </c>
    </row>
    <row r="536" spans="1:5" x14ac:dyDescent="0.55000000000000004">
      <c r="A536" t="s">
        <v>2615</v>
      </c>
      <c r="B536" t="s">
        <v>2614</v>
      </c>
      <c r="C536" t="s">
        <v>10</v>
      </c>
      <c r="D536">
        <v>311584</v>
      </c>
      <c r="E536" t="s">
        <v>8</v>
      </c>
    </row>
    <row r="537" spans="1:5" x14ac:dyDescent="0.55000000000000004">
      <c r="A537" t="s">
        <v>2908</v>
      </c>
      <c r="B537" t="s">
        <v>2909</v>
      </c>
      <c r="C537" t="s">
        <v>10</v>
      </c>
      <c r="D537">
        <v>8804161</v>
      </c>
      <c r="E537" t="s">
        <v>8</v>
      </c>
    </row>
    <row r="538" spans="1:5" x14ac:dyDescent="0.55000000000000004">
      <c r="A538" t="s">
        <v>2910</v>
      </c>
      <c r="B538" t="s">
        <v>2911</v>
      </c>
      <c r="C538" t="s">
        <v>10</v>
      </c>
      <c r="D538">
        <v>354795</v>
      </c>
      <c r="E538" t="s">
        <v>8</v>
      </c>
    </row>
    <row r="539" spans="1:5" x14ac:dyDescent="0.55000000000000004">
      <c r="A539" t="s">
        <v>2042</v>
      </c>
      <c r="B539" t="s">
        <v>2041</v>
      </c>
      <c r="C539" t="s">
        <v>1317</v>
      </c>
      <c r="D539">
        <v>328778</v>
      </c>
      <c r="E539" t="s">
        <v>8</v>
      </c>
    </row>
    <row r="540" spans="1:5" x14ac:dyDescent="0.55000000000000004">
      <c r="A540" t="s">
        <v>451</v>
      </c>
      <c r="B540" t="s">
        <v>450</v>
      </c>
      <c r="C540" t="s">
        <v>10</v>
      </c>
      <c r="D540">
        <v>272763</v>
      </c>
      <c r="E540" t="s">
        <v>8</v>
      </c>
    </row>
    <row r="541" spans="1:5" x14ac:dyDescent="0.55000000000000004">
      <c r="A541" t="s">
        <v>455</v>
      </c>
      <c r="B541" t="s">
        <v>454</v>
      </c>
      <c r="C541" t="s">
        <v>10</v>
      </c>
      <c r="D541">
        <v>592903</v>
      </c>
      <c r="E541" t="s">
        <v>8</v>
      </c>
    </row>
    <row r="542" spans="1:5" x14ac:dyDescent="0.55000000000000004">
      <c r="A542" t="s">
        <v>2625</v>
      </c>
      <c r="B542" t="s">
        <v>2624</v>
      </c>
      <c r="C542" t="s">
        <v>1483</v>
      </c>
      <c r="D542">
        <v>218917</v>
      </c>
      <c r="E542" t="s">
        <v>8</v>
      </c>
    </row>
    <row r="543" spans="1:5" x14ac:dyDescent="0.55000000000000004">
      <c r="A543" t="s">
        <v>464</v>
      </c>
      <c r="B543" t="s">
        <v>463</v>
      </c>
      <c r="C543" t="s">
        <v>6</v>
      </c>
      <c r="D543">
        <v>202188</v>
      </c>
      <c r="E543" t="s">
        <v>8</v>
      </c>
    </row>
    <row r="544" spans="1:5" x14ac:dyDescent="0.55000000000000004">
      <c r="A544" t="s">
        <v>2379</v>
      </c>
      <c r="B544" t="s">
        <v>2378</v>
      </c>
      <c r="C544" t="s">
        <v>10</v>
      </c>
      <c r="D544">
        <v>763216</v>
      </c>
      <c r="E544" t="s">
        <v>8</v>
      </c>
    </row>
    <row r="545" spans="1:5" x14ac:dyDescent="0.55000000000000004">
      <c r="A545" t="s">
        <v>470</v>
      </c>
      <c r="B545" t="s">
        <v>469</v>
      </c>
      <c r="C545" t="s">
        <v>10</v>
      </c>
      <c r="D545">
        <v>2991354</v>
      </c>
      <c r="E545" t="s">
        <v>8</v>
      </c>
    </row>
    <row r="546" spans="1:5" x14ac:dyDescent="0.55000000000000004">
      <c r="A546" t="s">
        <v>2912</v>
      </c>
      <c r="B546" t="s">
        <v>2913</v>
      </c>
      <c r="C546" t="s">
        <v>10</v>
      </c>
      <c r="D546">
        <v>557645</v>
      </c>
      <c r="E546" t="s">
        <v>8</v>
      </c>
    </row>
    <row r="547" spans="1:5" x14ac:dyDescent="0.55000000000000004">
      <c r="A547" t="s">
        <v>2914</v>
      </c>
      <c r="B547" t="s">
        <v>2915</v>
      </c>
      <c r="C547" t="s">
        <v>10</v>
      </c>
      <c r="D547">
        <v>1134802</v>
      </c>
      <c r="E547" t="s">
        <v>8</v>
      </c>
    </row>
    <row r="548" spans="1:5" x14ac:dyDescent="0.55000000000000004">
      <c r="A548" t="s">
        <v>1465</v>
      </c>
      <c r="B548" t="s">
        <v>1464</v>
      </c>
      <c r="C548" t="s">
        <v>13</v>
      </c>
      <c r="D548">
        <v>2411748</v>
      </c>
      <c r="E548" t="s">
        <v>8</v>
      </c>
    </row>
    <row r="549" spans="1:5" x14ac:dyDescent="0.55000000000000004">
      <c r="A549" t="s">
        <v>1474</v>
      </c>
      <c r="B549" t="s">
        <v>1473</v>
      </c>
      <c r="C549" t="s">
        <v>10</v>
      </c>
      <c r="D549">
        <v>945725</v>
      </c>
      <c r="E549" t="s">
        <v>8</v>
      </c>
    </row>
    <row r="550" spans="1:5" x14ac:dyDescent="0.55000000000000004">
      <c r="A550" t="s">
        <v>2916</v>
      </c>
      <c r="B550" t="s">
        <v>2917</v>
      </c>
      <c r="C550" t="s">
        <v>10</v>
      </c>
      <c r="D550">
        <v>937972</v>
      </c>
      <c r="E550" t="s">
        <v>8</v>
      </c>
    </row>
    <row r="551" spans="1:5" x14ac:dyDescent="0.55000000000000004">
      <c r="A551" t="s">
        <v>2058</v>
      </c>
      <c r="B551" t="s">
        <v>2057</v>
      </c>
      <c r="C551" t="s">
        <v>13</v>
      </c>
      <c r="D551">
        <v>271267</v>
      </c>
      <c r="E551" t="s">
        <v>8</v>
      </c>
    </row>
    <row r="552" spans="1:5" x14ac:dyDescent="0.55000000000000004">
      <c r="A552" t="s">
        <v>2393</v>
      </c>
      <c r="B552" t="s">
        <v>2392</v>
      </c>
      <c r="C552" t="s">
        <v>10</v>
      </c>
      <c r="D552">
        <v>3407529</v>
      </c>
      <c r="E552" t="s">
        <v>8</v>
      </c>
    </row>
    <row r="553" spans="1:5" x14ac:dyDescent="0.55000000000000004">
      <c r="A553" t="s">
        <v>719</v>
      </c>
      <c r="B553" t="s">
        <v>718</v>
      </c>
      <c r="C553" t="s">
        <v>10</v>
      </c>
      <c r="D553">
        <v>439308</v>
      </c>
      <c r="E553" t="s">
        <v>8</v>
      </c>
    </row>
    <row r="554" spans="1:5" x14ac:dyDescent="0.55000000000000004">
      <c r="A554" t="s">
        <v>2920</v>
      </c>
      <c r="B554" t="s">
        <v>2921</v>
      </c>
      <c r="C554" t="s">
        <v>208</v>
      </c>
      <c r="D554">
        <v>446620</v>
      </c>
      <c r="E554" t="s">
        <v>8</v>
      </c>
    </row>
    <row r="555" spans="1:5" x14ac:dyDescent="0.55000000000000004">
      <c r="A555" t="s">
        <v>3209</v>
      </c>
      <c r="B555" t="s">
        <v>3208</v>
      </c>
      <c r="C555" t="s">
        <v>10</v>
      </c>
      <c r="D555">
        <v>250223</v>
      </c>
      <c r="E555" t="s">
        <v>8</v>
      </c>
    </row>
    <row r="556" spans="1:5" x14ac:dyDescent="0.55000000000000004">
      <c r="A556" t="s">
        <v>3211</v>
      </c>
      <c r="B556" t="s">
        <v>3210</v>
      </c>
      <c r="C556" t="s">
        <v>10</v>
      </c>
      <c r="D556">
        <v>509127</v>
      </c>
      <c r="E556" t="s">
        <v>8</v>
      </c>
    </row>
    <row r="557" spans="1:5" x14ac:dyDescent="0.55000000000000004">
      <c r="A557" t="s">
        <v>2060</v>
      </c>
      <c r="B557" t="s">
        <v>2059</v>
      </c>
      <c r="C557" t="s">
        <v>13</v>
      </c>
      <c r="D557">
        <v>2768543</v>
      </c>
      <c r="E557" t="s">
        <v>8</v>
      </c>
    </row>
    <row r="558" spans="1:5" x14ac:dyDescent="0.55000000000000004">
      <c r="A558" t="s">
        <v>3213</v>
      </c>
      <c r="B558" t="s">
        <v>3212</v>
      </c>
      <c r="C558" t="s">
        <v>13</v>
      </c>
      <c r="D558">
        <v>604484</v>
      </c>
      <c r="E558" t="s">
        <v>8</v>
      </c>
    </row>
    <row r="559" spans="1:5" x14ac:dyDescent="0.55000000000000004">
      <c r="A559" t="s">
        <v>488</v>
      </c>
      <c r="B559" t="s">
        <v>487</v>
      </c>
      <c r="C559" t="s">
        <v>10</v>
      </c>
      <c r="D559">
        <v>547230</v>
      </c>
      <c r="E559" t="s">
        <v>8</v>
      </c>
    </row>
    <row r="560" spans="1:5" x14ac:dyDescent="0.55000000000000004">
      <c r="A560" t="s">
        <v>3188</v>
      </c>
      <c r="B560" t="s">
        <v>3187</v>
      </c>
      <c r="C560" t="s">
        <v>230</v>
      </c>
      <c r="D560">
        <v>453249</v>
      </c>
      <c r="E560" t="s">
        <v>8</v>
      </c>
    </row>
    <row r="561" spans="1:5" x14ac:dyDescent="0.55000000000000004">
      <c r="A561" t="s">
        <v>1863</v>
      </c>
      <c r="B561" t="s">
        <v>1862</v>
      </c>
      <c r="C561" t="s">
        <v>1269</v>
      </c>
      <c r="D561">
        <v>777148</v>
      </c>
      <c r="E561" t="s">
        <v>8</v>
      </c>
    </row>
    <row r="562" spans="1:5" x14ac:dyDescent="0.55000000000000004">
      <c r="A562" t="s">
        <v>2966</v>
      </c>
      <c r="B562" t="s">
        <v>2965</v>
      </c>
      <c r="C562" t="s">
        <v>18</v>
      </c>
      <c r="D562">
        <v>4407037</v>
      </c>
      <c r="E562" t="s">
        <v>8</v>
      </c>
    </row>
    <row r="563" spans="1:5" x14ac:dyDescent="0.55000000000000004">
      <c r="A563" t="s">
        <v>1825</v>
      </c>
      <c r="B563" t="s">
        <v>1824</v>
      </c>
      <c r="C563" t="s">
        <v>1483</v>
      </c>
      <c r="D563">
        <v>293496</v>
      </c>
      <c r="E563" t="s">
        <v>8</v>
      </c>
    </row>
    <row r="564" spans="1:5" x14ac:dyDescent="0.55000000000000004">
      <c r="A564" t="s">
        <v>2922</v>
      </c>
      <c r="B564" t="s">
        <v>2923</v>
      </c>
      <c r="C564" t="s">
        <v>2260</v>
      </c>
      <c r="D564">
        <v>3155864</v>
      </c>
      <c r="E564" t="s">
        <v>8</v>
      </c>
    </row>
    <row r="565" spans="1:5" x14ac:dyDescent="0.55000000000000004">
      <c r="A565" t="s">
        <v>66</v>
      </c>
      <c r="B565" t="s">
        <v>65</v>
      </c>
      <c r="C565" t="s">
        <v>18</v>
      </c>
      <c r="D565">
        <v>2860267</v>
      </c>
      <c r="E565" t="s">
        <v>8</v>
      </c>
    </row>
    <row r="566" spans="1:5" x14ac:dyDescent="0.55000000000000004">
      <c r="A566" t="s">
        <v>533</v>
      </c>
      <c r="B566" t="s">
        <v>532</v>
      </c>
      <c r="C566" t="s">
        <v>18</v>
      </c>
      <c r="D566">
        <v>229569</v>
      </c>
      <c r="E566" t="s">
        <v>8</v>
      </c>
    </row>
    <row r="567" spans="1:5" x14ac:dyDescent="0.55000000000000004">
      <c r="A567" t="s">
        <v>3043</v>
      </c>
      <c r="B567" t="s">
        <v>3042</v>
      </c>
      <c r="C567" t="s">
        <v>18</v>
      </c>
      <c r="D567">
        <v>1002669</v>
      </c>
      <c r="E567" t="s">
        <v>8</v>
      </c>
    </row>
    <row r="568" spans="1:5" x14ac:dyDescent="0.55000000000000004">
      <c r="A568" t="s">
        <v>1886</v>
      </c>
      <c r="B568" t="s">
        <v>1885</v>
      </c>
      <c r="C568" t="s">
        <v>10</v>
      </c>
      <c r="D568">
        <v>322722</v>
      </c>
      <c r="E568" t="s">
        <v>8</v>
      </c>
    </row>
    <row r="569" spans="1:5" x14ac:dyDescent="0.55000000000000004">
      <c r="A569" t="s">
        <v>2211</v>
      </c>
      <c r="B569" t="s">
        <v>2209</v>
      </c>
      <c r="C569" t="s">
        <v>2210</v>
      </c>
      <c r="D569">
        <v>678887</v>
      </c>
      <c r="E569" t="s">
        <v>8</v>
      </c>
    </row>
    <row r="570" spans="1:5" x14ac:dyDescent="0.55000000000000004">
      <c r="A570" t="s">
        <v>1274</v>
      </c>
      <c r="B570" t="s">
        <v>1273</v>
      </c>
      <c r="C570" t="s">
        <v>138</v>
      </c>
      <c r="D570">
        <v>1303529</v>
      </c>
      <c r="E570" t="s">
        <v>8</v>
      </c>
    </row>
    <row r="571" spans="1:5" x14ac:dyDescent="0.55000000000000004">
      <c r="A571" t="s">
        <v>1283</v>
      </c>
      <c r="B571" t="s">
        <v>1281</v>
      </c>
      <c r="C571" t="s">
        <v>1282</v>
      </c>
      <c r="D571">
        <v>363197</v>
      </c>
      <c r="E571" t="s">
        <v>8</v>
      </c>
    </row>
    <row r="572" spans="1:5" x14ac:dyDescent="0.55000000000000004">
      <c r="A572" t="s">
        <v>3076</v>
      </c>
      <c r="B572" t="s">
        <v>3075</v>
      </c>
      <c r="C572" t="s">
        <v>926</v>
      </c>
      <c r="D572">
        <v>460615</v>
      </c>
      <c r="E572" t="s">
        <v>8</v>
      </c>
    </row>
    <row r="573" spans="1:5" x14ac:dyDescent="0.55000000000000004">
      <c r="A573" t="s">
        <v>2233</v>
      </c>
      <c r="B573" t="s">
        <v>2232</v>
      </c>
      <c r="C573" t="s">
        <v>926</v>
      </c>
      <c r="D573">
        <v>927114</v>
      </c>
      <c r="E573" t="s">
        <v>8</v>
      </c>
    </row>
    <row r="574" spans="1:5" x14ac:dyDescent="0.55000000000000004">
      <c r="A574" t="s">
        <v>2926</v>
      </c>
      <c r="B574" t="s">
        <v>2927</v>
      </c>
      <c r="C574" t="s">
        <v>18</v>
      </c>
      <c r="D574">
        <v>667664</v>
      </c>
      <c r="E574" t="s">
        <v>8</v>
      </c>
    </row>
    <row r="575" spans="1:5" x14ac:dyDescent="0.55000000000000004">
      <c r="A575" t="s">
        <v>19</v>
      </c>
      <c r="B575" t="s">
        <v>17</v>
      </c>
      <c r="C575" t="s">
        <v>18</v>
      </c>
      <c r="D575">
        <v>2380271</v>
      </c>
      <c r="E575" t="s">
        <v>8</v>
      </c>
    </row>
    <row r="576" spans="1:5" x14ac:dyDescent="0.55000000000000004">
      <c r="A576" t="s">
        <v>639</v>
      </c>
      <c r="B576" t="s">
        <v>638</v>
      </c>
      <c r="C576" t="s">
        <v>18</v>
      </c>
      <c r="D576">
        <v>1136553</v>
      </c>
      <c r="E576" t="s">
        <v>8</v>
      </c>
    </row>
    <row r="577" spans="1:5" x14ac:dyDescent="0.55000000000000004">
      <c r="A577" t="s">
        <v>3120</v>
      </c>
      <c r="B577" t="s">
        <v>3119</v>
      </c>
      <c r="C577" t="s">
        <v>926</v>
      </c>
      <c r="D577">
        <v>662249</v>
      </c>
      <c r="E577" t="s">
        <v>8</v>
      </c>
    </row>
    <row r="578" spans="1:5" x14ac:dyDescent="0.55000000000000004">
      <c r="A578" t="s">
        <v>888</v>
      </c>
      <c r="B578" t="s">
        <v>886</v>
      </c>
      <c r="C578" t="s">
        <v>887</v>
      </c>
      <c r="D578">
        <v>739590</v>
      </c>
      <c r="E578" t="s">
        <v>8</v>
      </c>
    </row>
    <row r="579" spans="1:5" x14ac:dyDescent="0.55000000000000004">
      <c r="A579" t="s">
        <v>3122</v>
      </c>
      <c r="B579" t="s">
        <v>3121</v>
      </c>
      <c r="C579" t="s">
        <v>18</v>
      </c>
      <c r="D579">
        <v>324978</v>
      </c>
      <c r="E579" t="s">
        <v>8</v>
      </c>
    </row>
    <row r="580" spans="1:5" x14ac:dyDescent="0.55000000000000004">
      <c r="A580" t="s">
        <v>3132</v>
      </c>
      <c r="B580" t="s">
        <v>3131</v>
      </c>
      <c r="C580" t="s">
        <v>18</v>
      </c>
      <c r="D580">
        <v>750773</v>
      </c>
      <c r="E580" t="s">
        <v>8</v>
      </c>
    </row>
    <row r="581" spans="1:5" x14ac:dyDescent="0.55000000000000004">
      <c r="A581" t="s">
        <v>3156</v>
      </c>
      <c r="B581" t="s">
        <v>3155</v>
      </c>
      <c r="C581" t="s">
        <v>10</v>
      </c>
      <c r="D581">
        <v>631485</v>
      </c>
      <c r="E581" t="s">
        <v>8</v>
      </c>
    </row>
    <row r="582" spans="1:5" x14ac:dyDescent="0.55000000000000004">
      <c r="A582" t="s">
        <v>2930</v>
      </c>
      <c r="B582" t="s">
        <v>2931</v>
      </c>
      <c r="C582" t="s">
        <v>10</v>
      </c>
      <c r="D582">
        <v>670735</v>
      </c>
      <c r="E582" t="s">
        <v>8</v>
      </c>
    </row>
    <row r="583" spans="1:5" x14ac:dyDescent="0.55000000000000004">
      <c r="A583" t="s">
        <v>2932</v>
      </c>
      <c r="B583" t="s">
        <v>2933</v>
      </c>
      <c r="C583" t="s">
        <v>926</v>
      </c>
      <c r="D583">
        <v>3631413</v>
      </c>
      <c r="E583" t="s">
        <v>8</v>
      </c>
    </row>
    <row r="584" spans="1:5" x14ac:dyDescent="0.55000000000000004">
      <c r="A584" t="s">
        <v>1463</v>
      </c>
      <c r="B584" t="s">
        <v>1462</v>
      </c>
      <c r="C584" t="s">
        <v>801</v>
      </c>
      <c r="D584">
        <v>478953</v>
      </c>
      <c r="E584" t="s">
        <v>8</v>
      </c>
    </row>
    <row r="585" spans="1:5" x14ac:dyDescent="0.55000000000000004">
      <c r="A585" t="s">
        <v>2934</v>
      </c>
      <c r="B585" t="s">
        <v>2935</v>
      </c>
      <c r="C585" t="s">
        <v>926</v>
      </c>
      <c r="D585">
        <v>1124146</v>
      </c>
      <c r="E585" t="s">
        <v>8</v>
      </c>
    </row>
    <row r="586" spans="1:5" x14ac:dyDescent="0.55000000000000004">
      <c r="A586" t="s">
        <v>2936</v>
      </c>
      <c r="B586" t="s">
        <v>2937</v>
      </c>
      <c r="C586" t="s">
        <v>18</v>
      </c>
      <c r="D586">
        <v>1245234</v>
      </c>
      <c r="E586" t="s">
        <v>8</v>
      </c>
    </row>
    <row r="587" spans="1:5" x14ac:dyDescent="0.55000000000000004">
      <c r="A587" t="s">
        <v>2339</v>
      </c>
      <c r="B587" t="s">
        <v>2338</v>
      </c>
      <c r="C587" t="s">
        <v>1701</v>
      </c>
      <c r="D587">
        <v>309509</v>
      </c>
      <c r="E587" t="s">
        <v>8</v>
      </c>
    </row>
    <row r="588" spans="1:5" x14ac:dyDescent="0.55000000000000004">
      <c r="A588" t="s">
        <v>2938</v>
      </c>
      <c r="B588" t="s">
        <v>2939</v>
      </c>
      <c r="C588" t="s">
        <v>2940</v>
      </c>
      <c r="D588">
        <v>743863</v>
      </c>
      <c r="E588" t="s">
        <v>8</v>
      </c>
    </row>
    <row r="589" spans="1:5" x14ac:dyDescent="0.55000000000000004">
      <c r="A589" t="s">
        <v>2489</v>
      </c>
      <c r="B589" t="s">
        <v>2488</v>
      </c>
      <c r="C589" t="s">
        <v>10</v>
      </c>
      <c r="D589">
        <v>324170</v>
      </c>
      <c r="E589" t="s">
        <v>8</v>
      </c>
    </row>
    <row r="590" spans="1:5" x14ac:dyDescent="0.55000000000000004">
      <c r="A590" t="s">
        <v>3110</v>
      </c>
      <c r="B590" t="s">
        <v>3109</v>
      </c>
      <c r="C590" t="s">
        <v>514</v>
      </c>
      <c r="D590">
        <v>429549</v>
      </c>
      <c r="E590" t="s">
        <v>8</v>
      </c>
    </row>
    <row r="591" spans="1:5" x14ac:dyDescent="0.55000000000000004">
      <c r="A591" t="s">
        <v>795</v>
      </c>
      <c r="B591" t="s">
        <v>794</v>
      </c>
      <c r="C591" t="s">
        <v>18</v>
      </c>
      <c r="D591">
        <v>804864</v>
      </c>
      <c r="E591" t="s">
        <v>8</v>
      </c>
    </row>
    <row r="592" spans="1:5" x14ac:dyDescent="0.55000000000000004">
      <c r="A592" t="s">
        <v>2941</v>
      </c>
      <c r="B592" t="s">
        <v>2942</v>
      </c>
      <c r="C592" t="s">
        <v>2260</v>
      </c>
      <c r="D592">
        <v>1356444</v>
      </c>
      <c r="E592" t="s">
        <v>8</v>
      </c>
    </row>
    <row r="593" spans="1:5" x14ac:dyDescent="0.55000000000000004">
      <c r="A593" t="s">
        <v>3045</v>
      </c>
      <c r="B593" t="s">
        <v>3044</v>
      </c>
      <c r="C593" t="s">
        <v>2260</v>
      </c>
      <c r="D593">
        <v>424617</v>
      </c>
      <c r="E593" t="s">
        <v>8</v>
      </c>
    </row>
    <row r="594" spans="1:5" x14ac:dyDescent="0.55000000000000004">
      <c r="A594" t="s">
        <v>577</v>
      </c>
      <c r="B594" t="s">
        <v>576</v>
      </c>
      <c r="C594" t="s">
        <v>10</v>
      </c>
      <c r="D594">
        <v>1798121</v>
      </c>
      <c r="E594" t="s">
        <v>8</v>
      </c>
    </row>
    <row r="595" spans="1:5" x14ac:dyDescent="0.55000000000000004">
      <c r="A595" t="s">
        <v>2477</v>
      </c>
      <c r="B595" t="s">
        <v>2476</v>
      </c>
      <c r="C595" t="s">
        <v>926</v>
      </c>
      <c r="D595">
        <v>2320456</v>
      </c>
      <c r="E595" t="s">
        <v>8</v>
      </c>
    </row>
    <row r="596" spans="1:5" x14ac:dyDescent="0.55000000000000004">
      <c r="A596" t="s">
        <v>2943</v>
      </c>
      <c r="B596" t="s">
        <v>2944</v>
      </c>
      <c r="C596" t="s">
        <v>215</v>
      </c>
      <c r="D596">
        <v>751154</v>
      </c>
      <c r="E596" t="s">
        <v>8</v>
      </c>
    </row>
    <row r="597" spans="1:5" x14ac:dyDescent="0.55000000000000004">
      <c r="A597" t="s">
        <v>2947</v>
      </c>
      <c r="B597" t="s">
        <v>2948</v>
      </c>
      <c r="C597" t="s">
        <v>926</v>
      </c>
      <c r="D597">
        <v>1493793</v>
      </c>
      <c r="E597" t="s">
        <v>8</v>
      </c>
    </row>
    <row r="598" spans="1:5" x14ac:dyDescent="0.55000000000000004">
      <c r="A598" t="s">
        <v>2554</v>
      </c>
      <c r="B598" t="s">
        <v>2553</v>
      </c>
      <c r="C598" t="s">
        <v>26</v>
      </c>
      <c r="D598">
        <v>394529</v>
      </c>
      <c r="E598" t="s">
        <v>8</v>
      </c>
    </row>
    <row r="599" spans="1:5" x14ac:dyDescent="0.55000000000000004">
      <c r="A599" t="s">
        <v>1771</v>
      </c>
      <c r="B599" t="s">
        <v>1770</v>
      </c>
      <c r="C599" t="s">
        <v>18</v>
      </c>
      <c r="D599">
        <v>883438</v>
      </c>
      <c r="E599" t="s">
        <v>8</v>
      </c>
    </row>
    <row r="600" spans="1:5" x14ac:dyDescent="0.55000000000000004">
      <c r="A600" t="s">
        <v>3184</v>
      </c>
      <c r="B600" t="s">
        <v>3183</v>
      </c>
      <c r="C600" t="s">
        <v>926</v>
      </c>
      <c r="D600">
        <v>346437</v>
      </c>
      <c r="E600" t="s">
        <v>8</v>
      </c>
    </row>
    <row r="601" spans="1:5" x14ac:dyDescent="0.55000000000000004">
      <c r="A601" t="s">
        <v>2054</v>
      </c>
      <c r="B601" t="s">
        <v>2053</v>
      </c>
      <c r="C601" t="s">
        <v>18</v>
      </c>
      <c r="D601">
        <v>1285119</v>
      </c>
      <c r="E601" t="s">
        <v>8</v>
      </c>
    </row>
    <row r="602" spans="1:5" x14ac:dyDescent="0.55000000000000004">
      <c r="A602" t="s">
        <v>2399</v>
      </c>
      <c r="B602" t="s">
        <v>2398</v>
      </c>
      <c r="C602" t="s">
        <v>18</v>
      </c>
      <c r="D602">
        <v>2816977</v>
      </c>
      <c r="E602" t="s">
        <v>8</v>
      </c>
    </row>
    <row r="603" spans="1:5" x14ac:dyDescent="0.55000000000000004">
      <c r="A603" t="s">
        <v>2951</v>
      </c>
      <c r="B603" t="s">
        <v>2952</v>
      </c>
      <c r="C603" t="s">
        <v>138</v>
      </c>
      <c r="D603">
        <v>366973</v>
      </c>
      <c r="E603" t="s">
        <v>8</v>
      </c>
    </row>
    <row r="604" spans="1:5" x14ac:dyDescent="0.55000000000000004">
      <c r="A604" t="s">
        <v>681</v>
      </c>
      <c r="B604" t="s">
        <v>680</v>
      </c>
      <c r="C604" t="s">
        <v>10</v>
      </c>
      <c r="D604">
        <v>938008</v>
      </c>
      <c r="E604" t="s">
        <v>8</v>
      </c>
    </row>
    <row r="605" spans="1:5" x14ac:dyDescent="0.55000000000000004">
      <c r="A605" t="s">
        <v>2126</v>
      </c>
      <c r="B605" t="s">
        <v>2125</v>
      </c>
      <c r="C605" t="s">
        <v>10</v>
      </c>
      <c r="D605">
        <v>1270726</v>
      </c>
      <c r="E605" t="s">
        <v>8</v>
      </c>
    </row>
    <row r="606" spans="1:5" x14ac:dyDescent="0.55000000000000004">
      <c r="A606" t="s">
        <v>1272</v>
      </c>
      <c r="B606" t="s">
        <v>1271</v>
      </c>
      <c r="C606" t="s">
        <v>6</v>
      </c>
      <c r="D606">
        <v>890752</v>
      </c>
      <c r="E606" t="s">
        <v>8</v>
      </c>
    </row>
    <row r="607" spans="1:5" x14ac:dyDescent="0.55000000000000004">
      <c r="A607" t="s">
        <v>1913</v>
      </c>
      <c r="B607" t="s">
        <v>1290</v>
      </c>
      <c r="C607" t="s">
        <v>18</v>
      </c>
      <c r="D607">
        <v>205136</v>
      </c>
      <c r="E607" t="s">
        <v>8</v>
      </c>
    </row>
    <row r="608" spans="1:5" x14ac:dyDescent="0.55000000000000004">
      <c r="A608" t="s">
        <v>1360</v>
      </c>
      <c r="B608" t="s">
        <v>1359</v>
      </c>
      <c r="C608" t="s">
        <v>18</v>
      </c>
      <c r="D608">
        <v>425206</v>
      </c>
      <c r="E608" t="s">
        <v>8</v>
      </c>
    </row>
    <row r="609" spans="1:5" x14ac:dyDescent="0.55000000000000004">
      <c r="A609" t="s">
        <v>3126</v>
      </c>
      <c r="B609" t="s">
        <v>3125</v>
      </c>
      <c r="C609" t="s">
        <v>18</v>
      </c>
      <c r="D609">
        <v>713246</v>
      </c>
      <c r="E609" t="s">
        <v>8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84700-ED37-4074-9AC9-2F0A558759DB}">
  <dimension ref="A1:E547"/>
  <sheetViews>
    <sheetView topLeftCell="A486" workbookViewId="0">
      <selection activeCell="A547" sqref="A547"/>
    </sheetView>
  </sheetViews>
  <sheetFormatPr defaultRowHeight="18" x14ac:dyDescent="0.55000000000000004"/>
  <cols>
    <col min="1" max="1" width="11.75" bestFit="1" customWidth="1"/>
    <col min="2" max="2" width="38.5" bestFit="1" customWidth="1"/>
    <col min="3" max="3" width="20.58203125" bestFit="1" customWidth="1"/>
    <col min="5" max="5" width="9.5" bestFit="1" customWidth="1"/>
    <col min="6" max="6" width="24.75" bestFit="1" customWidth="1"/>
  </cols>
  <sheetData>
    <row r="1" spans="1:5" x14ac:dyDescent="0.55000000000000004">
      <c r="A1" t="s">
        <v>2</v>
      </c>
      <c r="B1" t="s">
        <v>0</v>
      </c>
      <c r="C1" t="s">
        <v>1</v>
      </c>
      <c r="D1" t="s">
        <v>3</v>
      </c>
      <c r="E1" t="s">
        <v>4</v>
      </c>
    </row>
    <row r="2" spans="1:5" x14ac:dyDescent="0.55000000000000004">
      <c r="A2" t="s">
        <v>933</v>
      </c>
      <c r="B2" t="s">
        <v>932</v>
      </c>
      <c r="C2" t="s">
        <v>10</v>
      </c>
      <c r="D2">
        <v>1266686</v>
      </c>
      <c r="E2" t="s">
        <v>8</v>
      </c>
    </row>
    <row r="3" spans="1:5" x14ac:dyDescent="0.55000000000000004">
      <c r="A3" t="s">
        <v>2403</v>
      </c>
      <c r="B3" t="s">
        <v>2402</v>
      </c>
      <c r="C3" t="s">
        <v>10</v>
      </c>
      <c r="D3">
        <v>301590</v>
      </c>
      <c r="E3" t="s">
        <v>8</v>
      </c>
    </row>
    <row r="4" spans="1:5" x14ac:dyDescent="0.55000000000000004">
      <c r="A4" t="s">
        <v>2413</v>
      </c>
      <c r="B4" t="s">
        <v>2412</v>
      </c>
      <c r="C4" t="s">
        <v>10</v>
      </c>
      <c r="D4">
        <v>343330</v>
      </c>
      <c r="E4" t="s">
        <v>8</v>
      </c>
    </row>
    <row r="5" spans="1:5" x14ac:dyDescent="0.55000000000000004">
      <c r="A5" t="s">
        <v>816</v>
      </c>
      <c r="B5" t="s">
        <v>815</v>
      </c>
      <c r="C5" t="s">
        <v>6</v>
      </c>
      <c r="D5">
        <v>814121</v>
      </c>
      <c r="E5" t="s">
        <v>8</v>
      </c>
    </row>
    <row r="6" spans="1:5" x14ac:dyDescent="0.55000000000000004">
      <c r="A6" t="s">
        <v>14</v>
      </c>
      <c r="B6" t="s">
        <v>12</v>
      </c>
      <c r="C6" t="s">
        <v>13</v>
      </c>
      <c r="D6">
        <v>2658284</v>
      </c>
      <c r="E6" t="s">
        <v>8</v>
      </c>
    </row>
    <row r="7" spans="1:5" x14ac:dyDescent="0.55000000000000004">
      <c r="A7" t="s">
        <v>2071</v>
      </c>
      <c r="B7" t="s">
        <v>2070</v>
      </c>
      <c r="C7" t="s">
        <v>76</v>
      </c>
      <c r="D7">
        <v>208246</v>
      </c>
      <c r="E7" t="s">
        <v>8</v>
      </c>
    </row>
    <row r="8" spans="1:5" x14ac:dyDescent="0.55000000000000004">
      <c r="A8" t="s">
        <v>1479</v>
      </c>
      <c r="B8" t="s">
        <v>1478</v>
      </c>
      <c r="C8" t="s">
        <v>10</v>
      </c>
      <c r="D8">
        <v>2899093</v>
      </c>
      <c r="E8" t="s">
        <v>8</v>
      </c>
    </row>
    <row r="9" spans="1:5" x14ac:dyDescent="0.55000000000000004">
      <c r="A9" t="s">
        <v>2641</v>
      </c>
      <c r="B9" t="s">
        <v>2642</v>
      </c>
      <c r="C9" t="s">
        <v>10</v>
      </c>
      <c r="D9">
        <v>337827</v>
      </c>
      <c r="E9" t="s">
        <v>8</v>
      </c>
    </row>
    <row r="10" spans="1:5" x14ac:dyDescent="0.55000000000000004">
      <c r="A10" t="s">
        <v>2407</v>
      </c>
      <c r="B10" t="s">
        <v>2406</v>
      </c>
      <c r="C10" t="s">
        <v>13</v>
      </c>
      <c r="D10">
        <v>971150</v>
      </c>
      <c r="E10" t="s">
        <v>8</v>
      </c>
    </row>
    <row r="11" spans="1:5" x14ac:dyDescent="0.55000000000000004">
      <c r="A11" t="s">
        <v>1150</v>
      </c>
      <c r="B11" t="s">
        <v>1149</v>
      </c>
      <c r="C11" t="s">
        <v>10</v>
      </c>
      <c r="D11">
        <v>1417831</v>
      </c>
      <c r="E11" t="s">
        <v>8</v>
      </c>
    </row>
    <row r="12" spans="1:5" x14ac:dyDescent="0.55000000000000004">
      <c r="A12" t="s">
        <v>1603</v>
      </c>
      <c r="B12" t="s">
        <v>1602</v>
      </c>
      <c r="C12" t="s">
        <v>10</v>
      </c>
      <c r="D12">
        <v>879892</v>
      </c>
      <c r="E12" t="s">
        <v>8</v>
      </c>
    </row>
    <row r="13" spans="1:5" x14ac:dyDescent="0.55000000000000004">
      <c r="A13" t="s">
        <v>2411</v>
      </c>
      <c r="B13" t="s">
        <v>2410</v>
      </c>
      <c r="C13" t="s">
        <v>10</v>
      </c>
      <c r="D13">
        <v>371440</v>
      </c>
      <c r="E13" t="s">
        <v>8</v>
      </c>
    </row>
    <row r="14" spans="1:5" x14ac:dyDescent="0.55000000000000004">
      <c r="A14" t="s">
        <v>37</v>
      </c>
      <c r="B14" t="s">
        <v>36</v>
      </c>
      <c r="C14" t="s">
        <v>10</v>
      </c>
      <c r="D14">
        <v>3802488</v>
      </c>
      <c r="E14" t="s">
        <v>8</v>
      </c>
    </row>
    <row r="15" spans="1:5" x14ac:dyDescent="0.55000000000000004">
      <c r="A15" t="s">
        <v>1884</v>
      </c>
      <c r="B15" t="s">
        <v>2643</v>
      </c>
      <c r="C15" t="s">
        <v>10</v>
      </c>
      <c r="D15">
        <v>734129</v>
      </c>
      <c r="E15" t="s">
        <v>8</v>
      </c>
    </row>
    <row r="16" spans="1:5" x14ac:dyDescent="0.55000000000000004">
      <c r="A16" t="s">
        <v>1826</v>
      </c>
      <c r="B16" t="s">
        <v>47</v>
      </c>
      <c r="C16" t="s">
        <v>1483</v>
      </c>
      <c r="D16">
        <v>2075348</v>
      </c>
      <c r="E16" t="s">
        <v>8</v>
      </c>
    </row>
    <row r="17" spans="1:5" x14ac:dyDescent="0.55000000000000004">
      <c r="A17" t="s">
        <v>2644</v>
      </c>
      <c r="B17" t="s">
        <v>2645</v>
      </c>
      <c r="C17" t="s">
        <v>10</v>
      </c>
      <c r="D17">
        <v>75231</v>
      </c>
      <c r="E17" t="s">
        <v>8</v>
      </c>
    </row>
    <row r="18" spans="1:5" x14ac:dyDescent="0.55000000000000004">
      <c r="A18" t="s">
        <v>2098</v>
      </c>
      <c r="B18" t="s">
        <v>2097</v>
      </c>
      <c r="C18" t="s">
        <v>10</v>
      </c>
      <c r="D18">
        <v>2342943</v>
      </c>
      <c r="E18" t="s">
        <v>8</v>
      </c>
    </row>
    <row r="19" spans="1:5" x14ac:dyDescent="0.55000000000000004">
      <c r="A19" t="s">
        <v>1172</v>
      </c>
      <c r="B19" t="s">
        <v>1171</v>
      </c>
      <c r="C19" t="s">
        <v>10</v>
      </c>
      <c r="D19">
        <v>483557</v>
      </c>
      <c r="E19" t="s">
        <v>8</v>
      </c>
    </row>
    <row r="20" spans="1:5" x14ac:dyDescent="0.55000000000000004">
      <c r="A20" t="s">
        <v>58</v>
      </c>
      <c r="B20" t="s">
        <v>57</v>
      </c>
      <c r="C20" t="s">
        <v>10</v>
      </c>
      <c r="D20">
        <v>7525081</v>
      </c>
      <c r="E20" t="s">
        <v>8</v>
      </c>
    </row>
    <row r="21" spans="1:5" x14ac:dyDescent="0.55000000000000004">
      <c r="A21" t="s">
        <v>1613</v>
      </c>
      <c r="B21" t="s">
        <v>1612</v>
      </c>
      <c r="C21" t="s">
        <v>10</v>
      </c>
      <c r="D21">
        <v>2706916</v>
      </c>
      <c r="E21" t="s">
        <v>8</v>
      </c>
    </row>
    <row r="22" spans="1:5" x14ac:dyDescent="0.55000000000000004">
      <c r="A22" t="s">
        <v>2102</v>
      </c>
      <c r="B22" t="s">
        <v>2101</v>
      </c>
      <c r="C22" t="s">
        <v>10</v>
      </c>
      <c r="D22">
        <v>4544117</v>
      </c>
      <c r="E22" t="s">
        <v>8</v>
      </c>
    </row>
    <row r="23" spans="1:5" x14ac:dyDescent="0.55000000000000004">
      <c r="A23" t="s">
        <v>2646</v>
      </c>
      <c r="B23" t="s">
        <v>2647</v>
      </c>
      <c r="C23" t="s">
        <v>10</v>
      </c>
      <c r="D23">
        <v>374543</v>
      </c>
      <c r="E23" t="s">
        <v>8</v>
      </c>
    </row>
    <row r="24" spans="1:5" x14ac:dyDescent="0.55000000000000004">
      <c r="A24" t="s">
        <v>2648</v>
      </c>
      <c r="B24" t="s">
        <v>2649</v>
      </c>
      <c r="C24" t="s">
        <v>10</v>
      </c>
      <c r="D24">
        <v>5892700</v>
      </c>
      <c r="E24" t="s">
        <v>8</v>
      </c>
    </row>
    <row r="25" spans="1:5" x14ac:dyDescent="0.55000000000000004">
      <c r="A25" t="s">
        <v>2423</v>
      </c>
      <c r="B25" t="s">
        <v>2422</v>
      </c>
      <c r="C25" t="s">
        <v>10</v>
      </c>
      <c r="D25">
        <v>565530</v>
      </c>
      <c r="E25" t="s">
        <v>8</v>
      </c>
    </row>
    <row r="26" spans="1:5" x14ac:dyDescent="0.55000000000000004">
      <c r="A26" t="s">
        <v>2425</v>
      </c>
      <c r="B26" t="s">
        <v>2424</v>
      </c>
      <c r="C26" t="s">
        <v>880</v>
      </c>
      <c r="D26">
        <v>552234</v>
      </c>
      <c r="E26" t="s">
        <v>8</v>
      </c>
    </row>
    <row r="27" spans="1:5" x14ac:dyDescent="0.55000000000000004">
      <c r="A27" t="s">
        <v>2114</v>
      </c>
      <c r="B27" t="s">
        <v>2113</v>
      </c>
      <c r="C27" t="s">
        <v>6</v>
      </c>
      <c r="D27">
        <v>1129432</v>
      </c>
      <c r="E27" t="s">
        <v>8</v>
      </c>
    </row>
    <row r="28" spans="1:5" x14ac:dyDescent="0.55000000000000004">
      <c r="A28" t="s">
        <v>2120</v>
      </c>
      <c r="B28" t="s">
        <v>2119</v>
      </c>
      <c r="C28" t="s">
        <v>13</v>
      </c>
      <c r="D28">
        <v>870465</v>
      </c>
      <c r="E28" t="s">
        <v>8</v>
      </c>
    </row>
    <row r="29" spans="1:5" x14ac:dyDescent="0.55000000000000004">
      <c r="A29" t="s">
        <v>2429</v>
      </c>
      <c r="B29" t="s">
        <v>2428</v>
      </c>
      <c r="C29" t="s">
        <v>13</v>
      </c>
      <c r="D29">
        <v>318821</v>
      </c>
      <c r="E29" t="s">
        <v>8</v>
      </c>
    </row>
    <row r="30" spans="1:5" x14ac:dyDescent="0.55000000000000004">
      <c r="A30" t="s">
        <v>2650</v>
      </c>
      <c r="B30" t="s">
        <v>2651</v>
      </c>
      <c r="C30" t="s">
        <v>10</v>
      </c>
      <c r="D30">
        <v>1367992</v>
      </c>
      <c r="E30" t="s">
        <v>8</v>
      </c>
    </row>
    <row r="31" spans="1:5" x14ac:dyDescent="0.55000000000000004">
      <c r="A31" t="s">
        <v>539</v>
      </c>
      <c r="B31" t="s">
        <v>538</v>
      </c>
      <c r="C31" t="s">
        <v>10</v>
      </c>
      <c r="D31">
        <v>2012358</v>
      </c>
      <c r="E31" t="s">
        <v>8</v>
      </c>
    </row>
    <row r="32" spans="1:5" x14ac:dyDescent="0.55000000000000004">
      <c r="A32" t="s">
        <v>1194</v>
      </c>
      <c r="B32" t="s">
        <v>1193</v>
      </c>
      <c r="C32" t="s">
        <v>880</v>
      </c>
      <c r="D32">
        <v>1899689</v>
      </c>
      <c r="E32" t="s">
        <v>8</v>
      </c>
    </row>
    <row r="33" spans="1:5" x14ac:dyDescent="0.55000000000000004">
      <c r="A33" t="s">
        <v>2433</v>
      </c>
      <c r="B33" t="s">
        <v>2432</v>
      </c>
      <c r="C33" t="s">
        <v>10</v>
      </c>
      <c r="D33">
        <v>1786901</v>
      </c>
      <c r="E33" t="s">
        <v>8</v>
      </c>
    </row>
    <row r="34" spans="1:5" x14ac:dyDescent="0.55000000000000004">
      <c r="A34" t="s">
        <v>2652</v>
      </c>
      <c r="B34" t="s">
        <v>2653</v>
      </c>
      <c r="C34" t="s">
        <v>10</v>
      </c>
      <c r="D34">
        <v>288808</v>
      </c>
      <c r="E34" t="s">
        <v>8</v>
      </c>
    </row>
    <row r="35" spans="1:5" x14ac:dyDescent="0.55000000000000004">
      <c r="A35" t="s">
        <v>970</v>
      </c>
      <c r="B35" t="s">
        <v>969</v>
      </c>
      <c r="C35" t="s">
        <v>10</v>
      </c>
      <c r="D35">
        <v>741919</v>
      </c>
      <c r="E35" t="s">
        <v>8</v>
      </c>
    </row>
    <row r="36" spans="1:5" x14ac:dyDescent="0.55000000000000004">
      <c r="A36" t="s">
        <v>1874</v>
      </c>
      <c r="B36" t="s">
        <v>1873</v>
      </c>
      <c r="C36" t="s">
        <v>10</v>
      </c>
      <c r="D36">
        <v>3133660</v>
      </c>
      <c r="E36" t="s">
        <v>8</v>
      </c>
    </row>
    <row r="37" spans="1:5" x14ac:dyDescent="0.55000000000000004">
      <c r="A37" t="s">
        <v>739</v>
      </c>
      <c r="B37" t="s">
        <v>738</v>
      </c>
      <c r="C37" t="s">
        <v>10</v>
      </c>
      <c r="D37">
        <v>307987</v>
      </c>
      <c r="E37" t="s">
        <v>8</v>
      </c>
    </row>
    <row r="38" spans="1:5" x14ac:dyDescent="0.55000000000000004">
      <c r="A38" t="s">
        <v>2654</v>
      </c>
      <c r="B38" t="s">
        <v>2655</v>
      </c>
      <c r="C38" t="s">
        <v>13</v>
      </c>
      <c r="D38">
        <v>585568</v>
      </c>
      <c r="E38" t="s">
        <v>8</v>
      </c>
    </row>
    <row r="39" spans="1:5" x14ac:dyDescent="0.55000000000000004">
      <c r="A39" t="s">
        <v>2656</v>
      </c>
      <c r="B39" t="s">
        <v>2657</v>
      </c>
      <c r="C39" t="s">
        <v>10</v>
      </c>
      <c r="D39">
        <v>130160</v>
      </c>
      <c r="E39" t="s">
        <v>8</v>
      </c>
    </row>
    <row r="40" spans="1:5" x14ac:dyDescent="0.55000000000000004">
      <c r="A40" t="s">
        <v>826</v>
      </c>
      <c r="B40" t="s">
        <v>825</v>
      </c>
      <c r="C40" t="s">
        <v>10</v>
      </c>
      <c r="D40">
        <v>1624695</v>
      </c>
      <c r="E40" t="s">
        <v>8</v>
      </c>
    </row>
    <row r="41" spans="1:5" x14ac:dyDescent="0.55000000000000004">
      <c r="A41" t="s">
        <v>972</v>
      </c>
      <c r="B41" t="s">
        <v>971</v>
      </c>
      <c r="C41" t="s">
        <v>10</v>
      </c>
      <c r="D41">
        <v>2466161</v>
      </c>
      <c r="E41" t="s">
        <v>8</v>
      </c>
    </row>
    <row r="42" spans="1:5" x14ac:dyDescent="0.55000000000000004">
      <c r="A42" t="s">
        <v>974</v>
      </c>
      <c r="B42" t="s">
        <v>973</v>
      </c>
      <c r="C42" t="s">
        <v>10</v>
      </c>
      <c r="D42">
        <v>1852374</v>
      </c>
      <c r="E42" t="s">
        <v>8</v>
      </c>
    </row>
    <row r="43" spans="1:5" x14ac:dyDescent="0.55000000000000004">
      <c r="A43" t="s">
        <v>95</v>
      </c>
      <c r="B43" t="s">
        <v>94</v>
      </c>
      <c r="C43" t="s">
        <v>10</v>
      </c>
      <c r="D43">
        <v>2073084</v>
      </c>
      <c r="E43" t="s">
        <v>8</v>
      </c>
    </row>
    <row r="44" spans="1:5" x14ac:dyDescent="0.55000000000000004">
      <c r="A44" t="s">
        <v>98</v>
      </c>
      <c r="B44" t="s">
        <v>96</v>
      </c>
      <c r="C44" t="s">
        <v>97</v>
      </c>
      <c r="D44">
        <v>1669119</v>
      </c>
      <c r="E44" t="s">
        <v>8</v>
      </c>
    </row>
    <row r="45" spans="1:5" x14ac:dyDescent="0.55000000000000004">
      <c r="A45" t="s">
        <v>1198</v>
      </c>
      <c r="B45" t="s">
        <v>1197</v>
      </c>
      <c r="C45" t="s">
        <v>13</v>
      </c>
      <c r="D45">
        <v>1908834</v>
      </c>
      <c r="E45" t="s">
        <v>8</v>
      </c>
    </row>
    <row r="46" spans="1:5" x14ac:dyDescent="0.55000000000000004">
      <c r="A46" t="s">
        <v>735</v>
      </c>
      <c r="B46" t="s">
        <v>734</v>
      </c>
      <c r="C46" t="s">
        <v>13</v>
      </c>
      <c r="D46">
        <v>404948</v>
      </c>
      <c r="E46" t="s">
        <v>8</v>
      </c>
    </row>
    <row r="47" spans="1:5" x14ac:dyDescent="0.55000000000000004">
      <c r="A47" t="s">
        <v>106</v>
      </c>
      <c r="B47" t="s">
        <v>105</v>
      </c>
      <c r="C47" t="s">
        <v>10</v>
      </c>
      <c r="D47">
        <v>108105</v>
      </c>
      <c r="E47" t="s">
        <v>8</v>
      </c>
    </row>
    <row r="48" spans="1:5" x14ac:dyDescent="0.55000000000000004">
      <c r="A48" t="s">
        <v>2136</v>
      </c>
      <c r="B48" t="s">
        <v>2135</v>
      </c>
      <c r="C48" t="s">
        <v>1483</v>
      </c>
      <c r="D48">
        <v>398927</v>
      </c>
      <c r="E48" t="s">
        <v>8</v>
      </c>
    </row>
    <row r="49" spans="1:5" x14ac:dyDescent="0.55000000000000004">
      <c r="A49" t="s">
        <v>980</v>
      </c>
      <c r="B49" t="s">
        <v>979</v>
      </c>
      <c r="C49" t="s">
        <v>10</v>
      </c>
      <c r="D49">
        <v>998152</v>
      </c>
      <c r="E49" t="s">
        <v>8</v>
      </c>
    </row>
    <row r="50" spans="1:5" x14ac:dyDescent="0.55000000000000004">
      <c r="A50" t="s">
        <v>2444</v>
      </c>
      <c r="B50" t="s">
        <v>2443</v>
      </c>
      <c r="C50" t="s">
        <v>10</v>
      </c>
      <c r="D50">
        <v>395999</v>
      </c>
      <c r="E50" t="s">
        <v>8</v>
      </c>
    </row>
    <row r="51" spans="1:5" x14ac:dyDescent="0.55000000000000004">
      <c r="A51" t="s">
        <v>2658</v>
      </c>
      <c r="B51" t="s">
        <v>2659</v>
      </c>
      <c r="C51" t="s">
        <v>10</v>
      </c>
      <c r="D51">
        <v>203534</v>
      </c>
      <c r="E51" t="s">
        <v>8</v>
      </c>
    </row>
    <row r="52" spans="1:5" x14ac:dyDescent="0.55000000000000004">
      <c r="A52" t="s">
        <v>1630</v>
      </c>
      <c r="B52" t="s">
        <v>1629</v>
      </c>
      <c r="C52" t="s">
        <v>10</v>
      </c>
      <c r="D52">
        <v>590708</v>
      </c>
      <c r="E52" t="s">
        <v>8</v>
      </c>
    </row>
    <row r="53" spans="1:5" x14ac:dyDescent="0.55000000000000004">
      <c r="A53" t="s">
        <v>2176</v>
      </c>
      <c r="B53" t="s">
        <v>2175</v>
      </c>
      <c r="C53" t="s">
        <v>10</v>
      </c>
      <c r="D53">
        <v>515901</v>
      </c>
      <c r="E53" t="s">
        <v>8</v>
      </c>
    </row>
    <row r="54" spans="1:5" x14ac:dyDescent="0.55000000000000004">
      <c r="A54" t="s">
        <v>1859</v>
      </c>
      <c r="B54" t="s">
        <v>1858</v>
      </c>
      <c r="C54" t="s">
        <v>10</v>
      </c>
      <c r="D54">
        <v>2588416</v>
      </c>
      <c r="E54" t="s">
        <v>8</v>
      </c>
    </row>
    <row r="55" spans="1:5" x14ac:dyDescent="0.55000000000000004">
      <c r="A55" t="s">
        <v>2453</v>
      </c>
      <c r="B55" t="s">
        <v>2451</v>
      </c>
      <c r="C55" t="s">
        <v>2452</v>
      </c>
      <c r="D55">
        <v>699508</v>
      </c>
      <c r="E55" t="s">
        <v>8</v>
      </c>
    </row>
    <row r="56" spans="1:5" x14ac:dyDescent="0.55000000000000004">
      <c r="A56" t="s">
        <v>2144</v>
      </c>
      <c r="B56" t="s">
        <v>2143</v>
      </c>
      <c r="C56" t="s">
        <v>10</v>
      </c>
      <c r="D56">
        <v>198924</v>
      </c>
      <c r="E56" t="s">
        <v>8</v>
      </c>
    </row>
    <row r="57" spans="1:5" x14ac:dyDescent="0.55000000000000004">
      <c r="A57" t="s">
        <v>1210</v>
      </c>
      <c r="B57" t="s">
        <v>1209</v>
      </c>
      <c r="C57" t="s">
        <v>10</v>
      </c>
      <c r="D57">
        <v>6683797</v>
      </c>
      <c r="E57" t="s">
        <v>8</v>
      </c>
    </row>
    <row r="58" spans="1:5" x14ac:dyDescent="0.55000000000000004">
      <c r="A58" t="s">
        <v>124</v>
      </c>
      <c r="B58" t="s">
        <v>1211</v>
      </c>
      <c r="C58" t="s">
        <v>10</v>
      </c>
      <c r="D58">
        <v>4116880</v>
      </c>
      <c r="E58" t="s">
        <v>8</v>
      </c>
    </row>
    <row r="59" spans="1:5" x14ac:dyDescent="0.55000000000000004">
      <c r="A59" t="s">
        <v>128</v>
      </c>
      <c r="B59" t="s">
        <v>127</v>
      </c>
      <c r="C59" t="s">
        <v>10</v>
      </c>
      <c r="D59">
        <v>617248</v>
      </c>
      <c r="E59" t="s">
        <v>8</v>
      </c>
    </row>
    <row r="60" spans="1:5" x14ac:dyDescent="0.55000000000000004">
      <c r="A60" t="s">
        <v>2660</v>
      </c>
      <c r="B60" t="s">
        <v>2661</v>
      </c>
      <c r="C60" t="s">
        <v>10</v>
      </c>
      <c r="D60">
        <v>229705</v>
      </c>
      <c r="E60" t="s">
        <v>8</v>
      </c>
    </row>
    <row r="61" spans="1:5" x14ac:dyDescent="0.55000000000000004">
      <c r="A61" t="s">
        <v>1870</v>
      </c>
      <c r="B61" t="s">
        <v>1868</v>
      </c>
      <c r="C61" t="s">
        <v>1869</v>
      </c>
      <c r="D61">
        <v>220938</v>
      </c>
      <c r="E61" t="s">
        <v>8</v>
      </c>
    </row>
    <row r="62" spans="1:5" x14ac:dyDescent="0.55000000000000004">
      <c r="A62" t="s">
        <v>1872</v>
      </c>
      <c r="B62" t="s">
        <v>1871</v>
      </c>
      <c r="C62" t="s">
        <v>10</v>
      </c>
      <c r="D62">
        <v>1663473</v>
      </c>
      <c r="E62" t="s">
        <v>8</v>
      </c>
    </row>
    <row r="63" spans="1:5" x14ac:dyDescent="0.55000000000000004">
      <c r="A63" t="s">
        <v>2662</v>
      </c>
      <c r="B63" t="s">
        <v>2663</v>
      </c>
      <c r="C63" t="s">
        <v>10</v>
      </c>
      <c r="D63">
        <v>499277</v>
      </c>
      <c r="E63" t="s">
        <v>8</v>
      </c>
    </row>
    <row r="64" spans="1:5" x14ac:dyDescent="0.55000000000000004">
      <c r="A64" t="s">
        <v>1876</v>
      </c>
      <c r="B64" t="s">
        <v>1875</v>
      </c>
      <c r="C64" t="s">
        <v>10</v>
      </c>
      <c r="D64">
        <v>1807140</v>
      </c>
      <c r="E64" t="s">
        <v>8</v>
      </c>
    </row>
    <row r="65" spans="1:5" x14ac:dyDescent="0.55000000000000004">
      <c r="A65" t="s">
        <v>1225</v>
      </c>
      <c r="B65" t="s">
        <v>1224</v>
      </c>
      <c r="C65" t="s">
        <v>10</v>
      </c>
      <c r="D65">
        <v>295088</v>
      </c>
      <c r="E65" t="s">
        <v>8</v>
      </c>
    </row>
    <row r="66" spans="1:5" x14ac:dyDescent="0.55000000000000004">
      <c r="A66" t="s">
        <v>156</v>
      </c>
      <c r="B66" t="s">
        <v>155</v>
      </c>
      <c r="C66" t="s">
        <v>10</v>
      </c>
      <c r="D66">
        <v>930067</v>
      </c>
      <c r="E66" t="s">
        <v>8</v>
      </c>
    </row>
    <row r="67" spans="1:5" x14ac:dyDescent="0.55000000000000004">
      <c r="A67" t="s">
        <v>160</v>
      </c>
      <c r="B67" t="s">
        <v>159</v>
      </c>
      <c r="C67" t="s">
        <v>10</v>
      </c>
      <c r="D67">
        <v>417996</v>
      </c>
      <c r="E67" t="s">
        <v>8</v>
      </c>
    </row>
    <row r="68" spans="1:5" x14ac:dyDescent="0.55000000000000004">
      <c r="A68" t="s">
        <v>2664</v>
      </c>
      <c r="B68" t="s">
        <v>2665</v>
      </c>
      <c r="C68" t="s">
        <v>10</v>
      </c>
      <c r="D68">
        <v>548230</v>
      </c>
      <c r="E68" t="s">
        <v>8</v>
      </c>
    </row>
    <row r="69" spans="1:5" x14ac:dyDescent="0.55000000000000004">
      <c r="A69" t="s">
        <v>2666</v>
      </c>
      <c r="B69" t="s">
        <v>2667</v>
      </c>
      <c r="C69" t="s">
        <v>10</v>
      </c>
      <c r="D69">
        <v>7292306</v>
      </c>
      <c r="E69" t="s">
        <v>8</v>
      </c>
    </row>
    <row r="70" spans="1:5" x14ac:dyDescent="0.55000000000000004">
      <c r="A70" t="s">
        <v>2668</v>
      </c>
      <c r="B70" t="s">
        <v>2669</v>
      </c>
      <c r="C70" t="s">
        <v>10</v>
      </c>
      <c r="D70">
        <v>1295414</v>
      </c>
      <c r="E70" t="s">
        <v>8</v>
      </c>
    </row>
    <row r="71" spans="1:5" x14ac:dyDescent="0.55000000000000004">
      <c r="A71" t="s">
        <v>745</v>
      </c>
      <c r="B71" t="s">
        <v>744</v>
      </c>
      <c r="C71" t="s">
        <v>10</v>
      </c>
      <c r="D71">
        <v>2525680</v>
      </c>
      <c r="E71" t="s">
        <v>8</v>
      </c>
    </row>
    <row r="72" spans="1:5" x14ac:dyDescent="0.55000000000000004">
      <c r="A72" t="s">
        <v>2463</v>
      </c>
      <c r="B72" t="s">
        <v>2462</v>
      </c>
      <c r="C72" t="s">
        <v>10</v>
      </c>
      <c r="D72">
        <v>2367591</v>
      </c>
      <c r="E72" t="s">
        <v>8</v>
      </c>
    </row>
    <row r="73" spans="1:5" x14ac:dyDescent="0.55000000000000004">
      <c r="A73" t="s">
        <v>2670</v>
      </c>
      <c r="B73" t="s">
        <v>2671</v>
      </c>
      <c r="C73" t="s">
        <v>10</v>
      </c>
      <c r="D73">
        <v>453274</v>
      </c>
      <c r="E73" t="s">
        <v>8</v>
      </c>
    </row>
    <row r="74" spans="1:5" x14ac:dyDescent="0.55000000000000004">
      <c r="A74" t="s">
        <v>1673</v>
      </c>
      <c r="B74" t="s">
        <v>1672</v>
      </c>
      <c r="C74" t="s">
        <v>10</v>
      </c>
      <c r="D74">
        <v>509952</v>
      </c>
      <c r="E74" t="s">
        <v>8</v>
      </c>
    </row>
    <row r="75" spans="1:5" x14ac:dyDescent="0.55000000000000004">
      <c r="A75" t="s">
        <v>2473</v>
      </c>
      <c r="B75" t="s">
        <v>2472</v>
      </c>
      <c r="C75" t="s">
        <v>10</v>
      </c>
      <c r="D75">
        <v>766973</v>
      </c>
      <c r="E75" t="s">
        <v>8</v>
      </c>
    </row>
    <row r="76" spans="1:5" x14ac:dyDescent="0.55000000000000004">
      <c r="A76" t="s">
        <v>2672</v>
      </c>
      <c r="B76" t="s">
        <v>2673</v>
      </c>
      <c r="C76" t="s">
        <v>10</v>
      </c>
      <c r="D76">
        <v>899341</v>
      </c>
      <c r="E76" t="s">
        <v>8</v>
      </c>
    </row>
    <row r="77" spans="1:5" x14ac:dyDescent="0.55000000000000004">
      <c r="A77" t="s">
        <v>2184</v>
      </c>
      <c r="B77" t="s">
        <v>2183</v>
      </c>
      <c r="C77" t="s">
        <v>41</v>
      </c>
      <c r="D77">
        <v>2060528</v>
      </c>
      <c r="E77" t="s">
        <v>8</v>
      </c>
    </row>
    <row r="78" spans="1:5" x14ac:dyDescent="0.55000000000000004">
      <c r="A78" t="s">
        <v>2674</v>
      </c>
      <c r="B78" t="s">
        <v>2675</v>
      </c>
      <c r="C78" t="s">
        <v>10</v>
      </c>
      <c r="D78">
        <v>264847</v>
      </c>
      <c r="E78" t="s">
        <v>8</v>
      </c>
    </row>
    <row r="79" spans="1:5" x14ac:dyDescent="0.55000000000000004">
      <c r="A79" t="s">
        <v>2063</v>
      </c>
      <c r="B79" t="s">
        <v>2062</v>
      </c>
      <c r="C79" t="s">
        <v>10</v>
      </c>
      <c r="D79">
        <v>675559</v>
      </c>
      <c r="E79" t="s">
        <v>8</v>
      </c>
    </row>
    <row r="80" spans="1:5" x14ac:dyDescent="0.55000000000000004">
      <c r="A80" t="s">
        <v>2676</v>
      </c>
      <c r="B80" t="s">
        <v>2677</v>
      </c>
      <c r="C80" t="s">
        <v>10</v>
      </c>
      <c r="D80">
        <v>3450038</v>
      </c>
      <c r="E80" t="s">
        <v>8</v>
      </c>
    </row>
    <row r="81" spans="1:5" x14ac:dyDescent="0.55000000000000004">
      <c r="A81" t="s">
        <v>2193</v>
      </c>
      <c r="B81" t="s">
        <v>2192</v>
      </c>
      <c r="C81" t="s">
        <v>10</v>
      </c>
      <c r="D81">
        <v>591137</v>
      </c>
      <c r="E81" t="s">
        <v>8</v>
      </c>
    </row>
    <row r="82" spans="1:5" x14ac:dyDescent="0.55000000000000004">
      <c r="A82" t="s">
        <v>2678</v>
      </c>
      <c r="B82" t="s">
        <v>2679</v>
      </c>
      <c r="C82" t="s">
        <v>10</v>
      </c>
      <c r="D82">
        <v>238879</v>
      </c>
      <c r="E82" t="s">
        <v>8</v>
      </c>
    </row>
    <row r="83" spans="1:5" x14ac:dyDescent="0.55000000000000004">
      <c r="A83" t="s">
        <v>1254</v>
      </c>
      <c r="B83" t="s">
        <v>1253</v>
      </c>
      <c r="C83" t="s">
        <v>41</v>
      </c>
      <c r="D83">
        <v>692572</v>
      </c>
      <c r="E83" t="s">
        <v>8</v>
      </c>
    </row>
    <row r="84" spans="1:5" x14ac:dyDescent="0.55000000000000004">
      <c r="A84" t="s">
        <v>2483</v>
      </c>
      <c r="B84" t="s">
        <v>2482</v>
      </c>
      <c r="C84" t="s">
        <v>10</v>
      </c>
      <c r="D84">
        <v>304795</v>
      </c>
      <c r="E84" t="s">
        <v>8</v>
      </c>
    </row>
    <row r="85" spans="1:5" x14ac:dyDescent="0.55000000000000004">
      <c r="A85" t="s">
        <v>209</v>
      </c>
      <c r="B85" t="s">
        <v>207</v>
      </c>
      <c r="C85" t="s">
        <v>208</v>
      </c>
      <c r="D85">
        <v>134578</v>
      </c>
      <c r="E85" t="s">
        <v>8</v>
      </c>
    </row>
    <row r="86" spans="1:5" x14ac:dyDescent="0.55000000000000004">
      <c r="A86" t="s">
        <v>2202</v>
      </c>
      <c r="B86" t="s">
        <v>2201</v>
      </c>
      <c r="C86" t="s">
        <v>10</v>
      </c>
      <c r="D86">
        <v>1634526</v>
      </c>
      <c r="E86" t="s">
        <v>8</v>
      </c>
    </row>
    <row r="87" spans="1:5" x14ac:dyDescent="0.55000000000000004">
      <c r="A87" t="s">
        <v>1900</v>
      </c>
      <c r="B87" t="s">
        <v>1899</v>
      </c>
      <c r="C87" t="s">
        <v>10</v>
      </c>
      <c r="D87">
        <v>295452</v>
      </c>
      <c r="E87" t="s">
        <v>8</v>
      </c>
    </row>
    <row r="88" spans="1:5" x14ac:dyDescent="0.55000000000000004">
      <c r="A88" t="s">
        <v>2680</v>
      </c>
      <c r="B88" t="s">
        <v>2681</v>
      </c>
      <c r="C88" t="s">
        <v>13</v>
      </c>
      <c r="D88">
        <v>328959</v>
      </c>
      <c r="E88" t="s">
        <v>8</v>
      </c>
    </row>
    <row r="89" spans="1:5" x14ac:dyDescent="0.55000000000000004">
      <c r="A89" t="s">
        <v>1278</v>
      </c>
      <c r="B89" t="s">
        <v>1277</v>
      </c>
      <c r="C89" t="s">
        <v>13</v>
      </c>
      <c r="D89">
        <v>1962005</v>
      </c>
      <c r="E89" t="s">
        <v>8</v>
      </c>
    </row>
    <row r="90" spans="1:5" x14ac:dyDescent="0.55000000000000004">
      <c r="A90" t="s">
        <v>2682</v>
      </c>
      <c r="B90" t="s">
        <v>2683</v>
      </c>
      <c r="C90" t="s">
        <v>10</v>
      </c>
      <c r="D90">
        <v>6075405</v>
      </c>
      <c r="E90" t="s">
        <v>8</v>
      </c>
    </row>
    <row r="91" spans="1:5" x14ac:dyDescent="0.55000000000000004">
      <c r="A91" t="s">
        <v>222</v>
      </c>
      <c r="B91" t="s">
        <v>221</v>
      </c>
      <c r="C91" t="s">
        <v>10</v>
      </c>
      <c r="D91">
        <v>630617</v>
      </c>
      <c r="E91" t="s">
        <v>8</v>
      </c>
    </row>
    <row r="92" spans="1:5" x14ac:dyDescent="0.55000000000000004">
      <c r="A92" t="s">
        <v>224</v>
      </c>
      <c r="B92" t="s">
        <v>223</v>
      </c>
      <c r="C92" t="s">
        <v>10</v>
      </c>
      <c r="D92">
        <v>330254</v>
      </c>
      <c r="E92" t="s">
        <v>8</v>
      </c>
    </row>
    <row r="93" spans="1:5" x14ac:dyDescent="0.55000000000000004">
      <c r="A93" t="s">
        <v>231</v>
      </c>
      <c r="B93" t="s">
        <v>229</v>
      </c>
      <c r="C93" t="s">
        <v>230</v>
      </c>
      <c r="D93">
        <v>801741</v>
      </c>
      <c r="E93" t="s">
        <v>8</v>
      </c>
    </row>
    <row r="94" spans="1:5" x14ac:dyDescent="0.55000000000000004">
      <c r="A94" t="s">
        <v>2684</v>
      </c>
      <c r="B94" t="s">
        <v>2685</v>
      </c>
      <c r="C94" t="s">
        <v>10</v>
      </c>
      <c r="D94">
        <v>8006150</v>
      </c>
      <c r="E94" t="s">
        <v>8</v>
      </c>
    </row>
    <row r="95" spans="1:5" x14ac:dyDescent="0.55000000000000004">
      <c r="A95" t="s">
        <v>589</v>
      </c>
      <c r="B95" t="s">
        <v>588</v>
      </c>
      <c r="C95" t="s">
        <v>10</v>
      </c>
      <c r="D95">
        <v>1058735</v>
      </c>
      <c r="E95" t="s">
        <v>8</v>
      </c>
    </row>
    <row r="96" spans="1:5" x14ac:dyDescent="0.55000000000000004">
      <c r="A96" t="s">
        <v>247</v>
      </c>
      <c r="B96" t="s">
        <v>246</v>
      </c>
      <c r="C96" t="s">
        <v>10</v>
      </c>
      <c r="D96">
        <v>8005613</v>
      </c>
      <c r="E96" t="s">
        <v>8</v>
      </c>
    </row>
    <row r="97" spans="1:5" x14ac:dyDescent="0.55000000000000004">
      <c r="A97" t="s">
        <v>595</v>
      </c>
      <c r="B97" t="s">
        <v>594</v>
      </c>
      <c r="C97" t="s">
        <v>10</v>
      </c>
      <c r="D97">
        <v>473448</v>
      </c>
      <c r="E97" t="s">
        <v>8</v>
      </c>
    </row>
    <row r="98" spans="1:5" x14ac:dyDescent="0.55000000000000004">
      <c r="A98" t="s">
        <v>2686</v>
      </c>
      <c r="B98" t="s">
        <v>2687</v>
      </c>
      <c r="C98" t="s">
        <v>10</v>
      </c>
      <c r="D98">
        <v>544984</v>
      </c>
      <c r="E98" t="s">
        <v>8</v>
      </c>
    </row>
    <row r="99" spans="1:5" x14ac:dyDescent="0.55000000000000004">
      <c r="A99" t="s">
        <v>2495</v>
      </c>
      <c r="B99" t="s">
        <v>2494</v>
      </c>
      <c r="C99" t="s">
        <v>13</v>
      </c>
      <c r="D99">
        <v>1032349</v>
      </c>
      <c r="E99" t="s">
        <v>8</v>
      </c>
    </row>
    <row r="100" spans="1:5" x14ac:dyDescent="0.55000000000000004">
      <c r="A100" t="s">
        <v>1687</v>
      </c>
      <c r="B100" t="s">
        <v>1686</v>
      </c>
      <c r="C100" t="s">
        <v>10</v>
      </c>
      <c r="D100">
        <v>1928219</v>
      </c>
      <c r="E100" t="s">
        <v>8</v>
      </c>
    </row>
    <row r="101" spans="1:5" x14ac:dyDescent="0.55000000000000004">
      <c r="A101" t="s">
        <v>1029</v>
      </c>
      <c r="B101" t="s">
        <v>1028</v>
      </c>
      <c r="C101" t="s">
        <v>10</v>
      </c>
      <c r="D101">
        <v>536967</v>
      </c>
      <c r="E101" t="s">
        <v>8</v>
      </c>
    </row>
    <row r="102" spans="1:5" x14ac:dyDescent="0.55000000000000004">
      <c r="A102" t="s">
        <v>1301</v>
      </c>
      <c r="B102" t="s">
        <v>1300</v>
      </c>
      <c r="C102" t="s">
        <v>10</v>
      </c>
      <c r="D102">
        <v>240701</v>
      </c>
      <c r="E102" t="s">
        <v>8</v>
      </c>
    </row>
    <row r="103" spans="1:5" x14ac:dyDescent="0.55000000000000004">
      <c r="A103" t="s">
        <v>1303</v>
      </c>
      <c r="B103" t="s">
        <v>1302</v>
      </c>
      <c r="C103" t="s">
        <v>10</v>
      </c>
      <c r="D103">
        <v>2084756</v>
      </c>
      <c r="E103" t="s">
        <v>8</v>
      </c>
    </row>
    <row r="104" spans="1:5" x14ac:dyDescent="0.55000000000000004">
      <c r="A104" t="s">
        <v>2227</v>
      </c>
      <c r="B104" t="s">
        <v>2226</v>
      </c>
      <c r="C104" t="s">
        <v>13</v>
      </c>
      <c r="D104">
        <v>296649</v>
      </c>
      <c r="E104" t="s">
        <v>8</v>
      </c>
    </row>
    <row r="105" spans="1:5" x14ac:dyDescent="0.55000000000000004">
      <c r="A105" t="s">
        <v>2503</v>
      </c>
      <c r="B105" t="s">
        <v>2502</v>
      </c>
      <c r="C105" t="s">
        <v>10</v>
      </c>
      <c r="D105">
        <v>1586608</v>
      </c>
      <c r="E105" t="s">
        <v>8</v>
      </c>
    </row>
    <row r="106" spans="1:5" x14ac:dyDescent="0.55000000000000004">
      <c r="A106" t="s">
        <v>2688</v>
      </c>
      <c r="B106" t="s">
        <v>2689</v>
      </c>
      <c r="C106" t="s">
        <v>2690</v>
      </c>
      <c r="D106">
        <v>415271</v>
      </c>
      <c r="E106" t="s">
        <v>8</v>
      </c>
    </row>
    <row r="107" spans="1:5" x14ac:dyDescent="0.55000000000000004">
      <c r="A107" t="s">
        <v>2497</v>
      </c>
      <c r="B107" t="s">
        <v>2496</v>
      </c>
      <c r="C107" t="s">
        <v>10</v>
      </c>
      <c r="D107">
        <v>1387693</v>
      </c>
      <c r="E107" t="s">
        <v>8</v>
      </c>
    </row>
    <row r="108" spans="1:5" x14ac:dyDescent="0.55000000000000004">
      <c r="A108" t="s">
        <v>2499</v>
      </c>
      <c r="B108" t="s">
        <v>2498</v>
      </c>
      <c r="C108" t="s">
        <v>41</v>
      </c>
      <c r="D108">
        <v>1040233</v>
      </c>
      <c r="E108" t="s">
        <v>8</v>
      </c>
    </row>
    <row r="109" spans="1:5" x14ac:dyDescent="0.55000000000000004">
      <c r="A109" t="s">
        <v>1691</v>
      </c>
      <c r="B109" t="s">
        <v>1690</v>
      </c>
      <c r="C109" t="s">
        <v>10</v>
      </c>
      <c r="D109">
        <v>281919</v>
      </c>
      <c r="E109" t="s">
        <v>8</v>
      </c>
    </row>
    <row r="110" spans="1:5" x14ac:dyDescent="0.55000000000000004">
      <c r="A110" t="s">
        <v>2691</v>
      </c>
      <c r="B110" t="s">
        <v>2692</v>
      </c>
      <c r="C110" t="s">
        <v>10</v>
      </c>
      <c r="D110">
        <v>411291</v>
      </c>
      <c r="E110" t="s">
        <v>8</v>
      </c>
    </row>
    <row r="111" spans="1:5" x14ac:dyDescent="0.55000000000000004">
      <c r="A111" t="s">
        <v>1693</v>
      </c>
      <c r="B111" t="s">
        <v>1692</v>
      </c>
      <c r="C111" t="s">
        <v>10</v>
      </c>
      <c r="D111">
        <v>284705</v>
      </c>
      <c r="E111" t="s">
        <v>8</v>
      </c>
    </row>
    <row r="112" spans="1:5" x14ac:dyDescent="0.55000000000000004">
      <c r="A112" t="s">
        <v>2693</v>
      </c>
      <c r="B112" t="s">
        <v>2694</v>
      </c>
      <c r="C112" t="s">
        <v>10</v>
      </c>
      <c r="D112">
        <v>634758</v>
      </c>
      <c r="E112" t="s">
        <v>8</v>
      </c>
    </row>
    <row r="113" spans="1:5" x14ac:dyDescent="0.55000000000000004">
      <c r="A113" t="s">
        <v>1311</v>
      </c>
      <c r="B113" t="s">
        <v>1310</v>
      </c>
      <c r="C113" t="s">
        <v>10</v>
      </c>
      <c r="D113">
        <v>1984065</v>
      </c>
      <c r="E113" t="s">
        <v>8</v>
      </c>
    </row>
    <row r="114" spans="1:5" x14ac:dyDescent="0.55000000000000004">
      <c r="A114" t="s">
        <v>1520</v>
      </c>
      <c r="B114" t="s">
        <v>1519</v>
      </c>
      <c r="C114" t="s">
        <v>10</v>
      </c>
      <c r="D114">
        <v>61593</v>
      </c>
      <c r="E114" t="s">
        <v>8</v>
      </c>
    </row>
    <row r="115" spans="1:5" x14ac:dyDescent="0.55000000000000004">
      <c r="A115" t="s">
        <v>2246</v>
      </c>
      <c r="B115" t="s">
        <v>2245</v>
      </c>
      <c r="C115" t="s">
        <v>13</v>
      </c>
      <c r="D115">
        <v>178065</v>
      </c>
      <c r="E115" t="s">
        <v>8</v>
      </c>
    </row>
    <row r="116" spans="1:5" x14ac:dyDescent="0.55000000000000004">
      <c r="A116" t="s">
        <v>1695</v>
      </c>
      <c r="B116" t="s">
        <v>1694</v>
      </c>
      <c r="C116" t="s">
        <v>10</v>
      </c>
      <c r="D116">
        <v>5491690</v>
      </c>
      <c r="E116" t="s">
        <v>8</v>
      </c>
    </row>
    <row r="117" spans="1:5" x14ac:dyDescent="0.55000000000000004">
      <c r="A117" t="s">
        <v>2695</v>
      </c>
      <c r="B117" t="s">
        <v>2696</v>
      </c>
      <c r="C117" t="s">
        <v>141</v>
      </c>
      <c r="D117">
        <v>720762</v>
      </c>
      <c r="E117" t="s">
        <v>8</v>
      </c>
    </row>
    <row r="118" spans="1:5" x14ac:dyDescent="0.55000000000000004">
      <c r="A118" t="s">
        <v>2697</v>
      </c>
      <c r="B118" t="s">
        <v>2698</v>
      </c>
      <c r="C118" t="s">
        <v>10</v>
      </c>
      <c r="D118">
        <v>798134</v>
      </c>
      <c r="E118" t="s">
        <v>8</v>
      </c>
    </row>
    <row r="119" spans="1:5" x14ac:dyDescent="0.55000000000000004">
      <c r="A119" t="s">
        <v>2699</v>
      </c>
      <c r="B119" t="s">
        <v>2700</v>
      </c>
      <c r="C119" t="s">
        <v>41</v>
      </c>
      <c r="D119">
        <v>561844</v>
      </c>
      <c r="E119" t="s">
        <v>8</v>
      </c>
    </row>
    <row r="120" spans="1:5" x14ac:dyDescent="0.55000000000000004">
      <c r="A120" t="s">
        <v>2701</v>
      </c>
      <c r="B120" t="s">
        <v>2702</v>
      </c>
      <c r="C120" t="s">
        <v>10</v>
      </c>
      <c r="D120">
        <v>886010</v>
      </c>
      <c r="E120" t="s">
        <v>8</v>
      </c>
    </row>
    <row r="121" spans="1:5" x14ac:dyDescent="0.55000000000000004">
      <c r="A121" t="s">
        <v>2703</v>
      </c>
      <c r="B121" t="s">
        <v>2704</v>
      </c>
      <c r="C121" t="s">
        <v>10</v>
      </c>
      <c r="D121">
        <v>271716</v>
      </c>
      <c r="E121" t="s">
        <v>8</v>
      </c>
    </row>
    <row r="122" spans="1:5" x14ac:dyDescent="0.55000000000000004">
      <c r="A122" t="s">
        <v>2705</v>
      </c>
      <c r="B122" t="s">
        <v>2706</v>
      </c>
      <c r="C122" t="s">
        <v>10</v>
      </c>
      <c r="D122">
        <v>659641</v>
      </c>
      <c r="E122" t="s">
        <v>8</v>
      </c>
    </row>
    <row r="123" spans="1:5" x14ac:dyDescent="0.55000000000000004">
      <c r="A123" t="s">
        <v>1045</v>
      </c>
      <c r="B123" t="s">
        <v>1044</v>
      </c>
      <c r="C123" t="s">
        <v>10</v>
      </c>
      <c r="D123">
        <v>368831</v>
      </c>
      <c r="E123" t="s">
        <v>8</v>
      </c>
    </row>
    <row r="124" spans="1:5" x14ac:dyDescent="0.55000000000000004">
      <c r="A124" t="s">
        <v>1943</v>
      </c>
      <c r="B124" t="s">
        <v>1941</v>
      </c>
      <c r="C124" t="s">
        <v>1942</v>
      </c>
      <c r="D124">
        <v>524996</v>
      </c>
      <c r="E124" t="s">
        <v>8</v>
      </c>
    </row>
    <row r="125" spans="1:5" x14ac:dyDescent="0.55000000000000004">
      <c r="A125" t="s">
        <v>2707</v>
      </c>
      <c r="B125" t="s">
        <v>2708</v>
      </c>
      <c r="C125" t="s">
        <v>10</v>
      </c>
      <c r="D125">
        <v>232372</v>
      </c>
      <c r="E125" t="s">
        <v>8</v>
      </c>
    </row>
    <row r="126" spans="1:5" x14ac:dyDescent="0.55000000000000004">
      <c r="A126" t="s">
        <v>1527</v>
      </c>
      <c r="B126" t="s">
        <v>1526</v>
      </c>
      <c r="C126" t="s">
        <v>10</v>
      </c>
      <c r="D126">
        <v>247181</v>
      </c>
      <c r="E126" t="s">
        <v>8</v>
      </c>
    </row>
    <row r="127" spans="1:5" x14ac:dyDescent="0.55000000000000004">
      <c r="A127" t="s">
        <v>1049</v>
      </c>
      <c r="B127" t="s">
        <v>1048</v>
      </c>
      <c r="C127" t="s">
        <v>10</v>
      </c>
      <c r="D127">
        <v>1712269</v>
      </c>
      <c r="E127" t="s">
        <v>8</v>
      </c>
    </row>
    <row r="128" spans="1:5" x14ac:dyDescent="0.55000000000000004">
      <c r="A128" t="s">
        <v>1051</v>
      </c>
      <c r="B128" t="s">
        <v>1050</v>
      </c>
      <c r="C128" t="s">
        <v>10</v>
      </c>
      <c r="D128">
        <v>1029371</v>
      </c>
      <c r="E128" t="s">
        <v>8</v>
      </c>
    </row>
    <row r="129" spans="1:5" x14ac:dyDescent="0.55000000000000004">
      <c r="A129" t="s">
        <v>294</v>
      </c>
      <c r="B129" t="s">
        <v>293</v>
      </c>
      <c r="C129" t="s">
        <v>10</v>
      </c>
      <c r="D129">
        <v>653047</v>
      </c>
      <c r="E129" t="s">
        <v>8</v>
      </c>
    </row>
    <row r="130" spans="1:5" x14ac:dyDescent="0.55000000000000004">
      <c r="A130" t="s">
        <v>2530</v>
      </c>
      <c r="B130" t="s">
        <v>2529</v>
      </c>
      <c r="C130" t="s">
        <v>6</v>
      </c>
      <c r="D130">
        <v>476398</v>
      </c>
      <c r="E130" t="s">
        <v>8</v>
      </c>
    </row>
    <row r="131" spans="1:5" x14ac:dyDescent="0.55000000000000004">
      <c r="A131" t="s">
        <v>1338</v>
      </c>
      <c r="B131" t="s">
        <v>1337</v>
      </c>
      <c r="C131" t="s">
        <v>10</v>
      </c>
      <c r="D131">
        <v>1945139</v>
      </c>
      <c r="E131" t="s">
        <v>8</v>
      </c>
    </row>
    <row r="132" spans="1:5" x14ac:dyDescent="0.55000000000000004">
      <c r="A132" t="s">
        <v>299</v>
      </c>
      <c r="B132" t="s">
        <v>298</v>
      </c>
      <c r="C132" t="s">
        <v>41</v>
      </c>
      <c r="D132">
        <v>182422</v>
      </c>
      <c r="E132" t="s">
        <v>8</v>
      </c>
    </row>
    <row r="133" spans="1:5" x14ac:dyDescent="0.55000000000000004">
      <c r="A133" t="s">
        <v>2526</v>
      </c>
      <c r="B133" t="s">
        <v>2525</v>
      </c>
      <c r="C133" t="s">
        <v>10</v>
      </c>
      <c r="D133">
        <v>7500947</v>
      </c>
      <c r="E133" t="s">
        <v>8</v>
      </c>
    </row>
    <row r="134" spans="1:5" x14ac:dyDescent="0.55000000000000004">
      <c r="A134" t="s">
        <v>2265</v>
      </c>
      <c r="B134" t="s">
        <v>2264</v>
      </c>
      <c r="C134" t="s">
        <v>13</v>
      </c>
      <c r="D134">
        <v>529995</v>
      </c>
      <c r="E134" t="s">
        <v>8</v>
      </c>
    </row>
    <row r="135" spans="1:5" x14ac:dyDescent="0.55000000000000004">
      <c r="A135" t="s">
        <v>2709</v>
      </c>
      <c r="B135" t="s">
        <v>2710</v>
      </c>
      <c r="C135" t="s">
        <v>10</v>
      </c>
      <c r="D135">
        <v>1412226</v>
      </c>
      <c r="E135" t="s">
        <v>8</v>
      </c>
    </row>
    <row r="136" spans="1:5" x14ac:dyDescent="0.55000000000000004">
      <c r="A136" t="s">
        <v>1708</v>
      </c>
      <c r="B136" t="s">
        <v>1707</v>
      </c>
      <c r="C136" t="s">
        <v>10</v>
      </c>
      <c r="D136">
        <v>2390022</v>
      </c>
      <c r="E136" t="s">
        <v>8</v>
      </c>
    </row>
    <row r="137" spans="1:5" x14ac:dyDescent="0.55000000000000004">
      <c r="A137" t="s">
        <v>2711</v>
      </c>
      <c r="B137" t="s">
        <v>2712</v>
      </c>
      <c r="C137" t="s">
        <v>2713</v>
      </c>
      <c r="D137">
        <v>1422841</v>
      </c>
      <c r="E137" t="s">
        <v>8</v>
      </c>
    </row>
    <row r="138" spans="1:5" x14ac:dyDescent="0.55000000000000004">
      <c r="A138" t="s">
        <v>2270</v>
      </c>
      <c r="B138" t="s">
        <v>2268</v>
      </c>
      <c r="C138" t="s">
        <v>2269</v>
      </c>
      <c r="D138">
        <v>390935</v>
      </c>
      <c r="E138" t="s">
        <v>8</v>
      </c>
    </row>
    <row r="139" spans="1:5" x14ac:dyDescent="0.55000000000000004">
      <c r="A139" t="s">
        <v>309</v>
      </c>
      <c r="B139" t="s">
        <v>308</v>
      </c>
      <c r="C139" t="s">
        <v>10</v>
      </c>
      <c r="D139">
        <v>206893</v>
      </c>
      <c r="E139" t="s">
        <v>8</v>
      </c>
    </row>
    <row r="140" spans="1:5" x14ac:dyDescent="0.55000000000000004">
      <c r="A140" t="s">
        <v>1952</v>
      </c>
      <c r="B140" t="s">
        <v>1951</v>
      </c>
      <c r="C140" t="s">
        <v>10</v>
      </c>
      <c r="D140">
        <v>203286</v>
      </c>
      <c r="E140" t="s">
        <v>8</v>
      </c>
    </row>
    <row r="141" spans="1:5" x14ac:dyDescent="0.55000000000000004">
      <c r="A141" t="s">
        <v>1954</v>
      </c>
      <c r="B141" t="s">
        <v>1953</v>
      </c>
      <c r="C141" t="s">
        <v>10</v>
      </c>
      <c r="D141">
        <v>3015505</v>
      </c>
      <c r="E141" t="s">
        <v>8</v>
      </c>
    </row>
    <row r="142" spans="1:5" x14ac:dyDescent="0.55000000000000004">
      <c r="A142" t="s">
        <v>2714</v>
      </c>
      <c r="B142" t="s">
        <v>2715</v>
      </c>
      <c r="C142" t="s">
        <v>10</v>
      </c>
      <c r="D142">
        <v>813773</v>
      </c>
      <c r="E142" t="s">
        <v>8</v>
      </c>
    </row>
    <row r="143" spans="1:5" x14ac:dyDescent="0.55000000000000004">
      <c r="A143" t="s">
        <v>1956</v>
      </c>
      <c r="B143" t="s">
        <v>1955</v>
      </c>
      <c r="C143" t="s">
        <v>10</v>
      </c>
      <c r="D143">
        <v>1075897</v>
      </c>
      <c r="E143" t="s">
        <v>8</v>
      </c>
    </row>
    <row r="144" spans="1:5" x14ac:dyDescent="0.55000000000000004">
      <c r="A144" t="s">
        <v>1714</v>
      </c>
      <c r="B144" t="s">
        <v>1713</v>
      </c>
      <c r="C144" t="s">
        <v>41</v>
      </c>
      <c r="D144">
        <v>1501239</v>
      </c>
      <c r="E144" t="s">
        <v>8</v>
      </c>
    </row>
    <row r="145" spans="1:5" x14ac:dyDescent="0.55000000000000004">
      <c r="A145" t="s">
        <v>2716</v>
      </c>
      <c r="B145" t="s">
        <v>2717</v>
      </c>
      <c r="C145" t="s">
        <v>10</v>
      </c>
      <c r="D145">
        <v>799738</v>
      </c>
      <c r="E145" t="s">
        <v>8</v>
      </c>
    </row>
    <row r="146" spans="1:5" x14ac:dyDescent="0.55000000000000004">
      <c r="A146" t="s">
        <v>2274</v>
      </c>
      <c r="B146" t="s">
        <v>2273</v>
      </c>
      <c r="C146" t="s">
        <v>41</v>
      </c>
      <c r="D146">
        <v>2438728</v>
      </c>
      <c r="E146" t="s">
        <v>8</v>
      </c>
    </row>
    <row r="147" spans="1:5" x14ac:dyDescent="0.55000000000000004">
      <c r="A147" t="s">
        <v>1960</v>
      </c>
      <c r="B147" t="s">
        <v>1959</v>
      </c>
      <c r="C147" t="s">
        <v>10</v>
      </c>
      <c r="D147">
        <v>1200668</v>
      </c>
      <c r="E147" t="s">
        <v>8</v>
      </c>
    </row>
    <row r="148" spans="1:5" x14ac:dyDescent="0.55000000000000004">
      <c r="A148" t="s">
        <v>315</v>
      </c>
      <c r="B148" t="s">
        <v>314</v>
      </c>
      <c r="C148" t="s">
        <v>10</v>
      </c>
      <c r="D148">
        <v>3203533</v>
      </c>
      <c r="E148" t="s">
        <v>8</v>
      </c>
    </row>
    <row r="149" spans="1:5" x14ac:dyDescent="0.55000000000000004">
      <c r="A149" t="s">
        <v>2718</v>
      </c>
      <c r="B149" t="s">
        <v>2719</v>
      </c>
      <c r="C149" t="s">
        <v>10</v>
      </c>
      <c r="D149">
        <v>1486280</v>
      </c>
      <c r="E149" t="s">
        <v>8</v>
      </c>
    </row>
    <row r="150" spans="1:5" x14ac:dyDescent="0.55000000000000004">
      <c r="A150" t="s">
        <v>643</v>
      </c>
      <c r="B150" t="s">
        <v>642</v>
      </c>
      <c r="C150" t="s">
        <v>10</v>
      </c>
      <c r="D150">
        <v>561399</v>
      </c>
      <c r="E150" t="s">
        <v>8</v>
      </c>
    </row>
    <row r="151" spans="1:5" x14ac:dyDescent="0.55000000000000004">
      <c r="A151" t="s">
        <v>317</v>
      </c>
      <c r="B151" t="s">
        <v>316</v>
      </c>
      <c r="C151" t="s">
        <v>10</v>
      </c>
      <c r="D151">
        <v>495674</v>
      </c>
      <c r="E151" t="s">
        <v>8</v>
      </c>
    </row>
    <row r="152" spans="1:5" x14ac:dyDescent="0.55000000000000004">
      <c r="A152" t="s">
        <v>2276</v>
      </c>
      <c r="B152" t="s">
        <v>2275</v>
      </c>
      <c r="C152" t="s">
        <v>13</v>
      </c>
      <c r="D152">
        <v>3727717</v>
      </c>
      <c r="E152" t="s">
        <v>8</v>
      </c>
    </row>
    <row r="153" spans="1:5" x14ac:dyDescent="0.55000000000000004">
      <c r="A153" t="s">
        <v>1358</v>
      </c>
      <c r="B153" t="s">
        <v>1357</v>
      </c>
      <c r="C153" t="s">
        <v>10</v>
      </c>
      <c r="D153">
        <v>1788456</v>
      </c>
      <c r="E153" t="s">
        <v>8</v>
      </c>
    </row>
    <row r="154" spans="1:5" x14ac:dyDescent="0.55000000000000004">
      <c r="A154" t="s">
        <v>2534</v>
      </c>
      <c r="B154" t="s">
        <v>2533</v>
      </c>
      <c r="C154" t="s">
        <v>10</v>
      </c>
      <c r="D154">
        <v>277112</v>
      </c>
      <c r="E154" t="s">
        <v>8</v>
      </c>
    </row>
    <row r="155" spans="1:5" x14ac:dyDescent="0.55000000000000004">
      <c r="A155" t="s">
        <v>1065</v>
      </c>
      <c r="B155" t="s">
        <v>1064</v>
      </c>
      <c r="C155" t="s">
        <v>10</v>
      </c>
      <c r="D155">
        <v>722114</v>
      </c>
      <c r="E155" t="s">
        <v>8</v>
      </c>
    </row>
    <row r="156" spans="1:5" x14ac:dyDescent="0.55000000000000004">
      <c r="A156" t="s">
        <v>2720</v>
      </c>
      <c r="B156" t="s">
        <v>2721</v>
      </c>
      <c r="C156" t="s">
        <v>10</v>
      </c>
      <c r="D156">
        <v>1457646</v>
      </c>
      <c r="E156" t="s">
        <v>8</v>
      </c>
    </row>
    <row r="157" spans="1:5" x14ac:dyDescent="0.55000000000000004">
      <c r="A157" t="s">
        <v>2722</v>
      </c>
      <c r="B157" t="s">
        <v>2723</v>
      </c>
      <c r="C157" t="s">
        <v>10</v>
      </c>
      <c r="D157">
        <v>3444497</v>
      </c>
      <c r="E157" t="s">
        <v>8</v>
      </c>
    </row>
    <row r="158" spans="1:5" x14ac:dyDescent="0.55000000000000004">
      <c r="A158" t="s">
        <v>114</v>
      </c>
      <c r="B158" t="s">
        <v>113</v>
      </c>
      <c r="C158" t="s">
        <v>41</v>
      </c>
      <c r="D158">
        <v>1625793</v>
      </c>
      <c r="E158" t="s">
        <v>8</v>
      </c>
    </row>
    <row r="159" spans="1:5" x14ac:dyDescent="0.55000000000000004">
      <c r="A159" t="s">
        <v>2546</v>
      </c>
      <c r="B159" t="s">
        <v>2545</v>
      </c>
      <c r="C159" t="s">
        <v>10</v>
      </c>
      <c r="D159">
        <v>4589710</v>
      </c>
      <c r="E159" t="s">
        <v>8</v>
      </c>
    </row>
    <row r="160" spans="1:5" x14ac:dyDescent="0.55000000000000004">
      <c r="A160" t="s">
        <v>2292</v>
      </c>
      <c r="B160" t="s">
        <v>2291</v>
      </c>
      <c r="C160" t="s">
        <v>10</v>
      </c>
      <c r="D160">
        <v>1724930</v>
      </c>
      <c r="E160" t="s">
        <v>8</v>
      </c>
    </row>
    <row r="161" spans="1:5" x14ac:dyDescent="0.55000000000000004">
      <c r="A161" t="s">
        <v>2724</v>
      </c>
      <c r="B161" t="s">
        <v>2725</v>
      </c>
      <c r="C161" t="s">
        <v>10</v>
      </c>
      <c r="D161">
        <v>452998</v>
      </c>
      <c r="E161" t="s">
        <v>8</v>
      </c>
    </row>
    <row r="162" spans="1:5" x14ac:dyDescent="0.55000000000000004">
      <c r="A162" t="s">
        <v>2548</v>
      </c>
      <c r="B162" t="s">
        <v>2547</v>
      </c>
      <c r="C162" t="s">
        <v>10</v>
      </c>
      <c r="D162">
        <v>1111680</v>
      </c>
      <c r="E162" t="s">
        <v>8</v>
      </c>
    </row>
    <row r="163" spans="1:5" x14ac:dyDescent="0.55000000000000004">
      <c r="A163" t="s">
        <v>777</v>
      </c>
      <c r="B163" t="s">
        <v>776</v>
      </c>
      <c r="C163" t="s">
        <v>10</v>
      </c>
      <c r="D163">
        <v>3657281</v>
      </c>
      <c r="E163" t="s">
        <v>8</v>
      </c>
    </row>
    <row r="164" spans="1:5" x14ac:dyDescent="0.55000000000000004">
      <c r="A164" t="s">
        <v>339</v>
      </c>
      <c r="B164" t="s">
        <v>338</v>
      </c>
      <c r="C164" t="s">
        <v>10</v>
      </c>
      <c r="D164">
        <v>488886</v>
      </c>
      <c r="E164" t="s">
        <v>8</v>
      </c>
    </row>
    <row r="165" spans="1:5" x14ac:dyDescent="0.55000000000000004">
      <c r="A165" t="s">
        <v>2726</v>
      </c>
      <c r="B165" t="s">
        <v>2727</v>
      </c>
      <c r="C165" t="s">
        <v>10</v>
      </c>
      <c r="D165">
        <v>386861</v>
      </c>
      <c r="E165" t="s">
        <v>8</v>
      </c>
    </row>
    <row r="166" spans="1:5" x14ac:dyDescent="0.55000000000000004">
      <c r="A166" t="s">
        <v>1729</v>
      </c>
      <c r="B166" t="s">
        <v>1728</v>
      </c>
      <c r="C166" t="s">
        <v>10</v>
      </c>
      <c r="D166">
        <v>2642547</v>
      </c>
      <c r="E166" t="s">
        <v>8</v>
      </c>
    </row>
    <row r="167" spans="1:5" x14ac:dyDescent="0.55000000000000004">
      <c r="A167" t="s">
        <v>1979</v>
      </c>
      <c r="B167" t="s">
        <v>1978</v>
      </c>
      <c r="C167" t="s">
        <v>10</v>
      </c>
      <c r="D167">
        <v>489095</v>
      </c>
      <c r="E167" t="s">
        <v>8</v>
      </c>
    </row>
    <row r="168" spans="1:5" x14ac:dyDescent="0.55000000000000004">
      <c r="A168" t="s">
        <v>892</v>
      </c>
      <c r="B168" t="s">
        <v>891</v>
      </c>
      <c r="C168" t="s">
        <v>10</v>
      </c>
      <c r="D168">
        <v>1364277</v>
      </c>
      <c r="E168" t="s">
        <v>8</v>
      </c>
    </row>
    <row r="169" spans="1:5" x14ac:dyDescent="0.55000000000000004">
      <c r="A169" t="s">
        <v>2728</v>
      </c>
      <c r="B169" t="s">
        <v>2729</v>
      </c>
      <c r="C169" t="s">
        <v>10</v>
      </c>
      <c r="D169">
        <v>582084</v>
      </c>
      <c r="E169" t="s">
        <v>8</v>
      </c>
    </row>
    <row r="170" spans="1:5" x14ac:dyDescent="0.55000000000000004">
      <c r="A170" t="s">
        <v>2560</v>
      </c>
      <c r="B170" t="s">
        <v>2559</v>
      </c>
      <c r="C170" t="s">
        <v>10</v>
      </c>
      <c r="D170">
        <v>1279993</v>
      </c>
      <c r="E170" t="s">
        <v>8</v>
      </c>
    </row>
    <row r="171" spans="1:5" x14ac:dyDescent="0.55000000000000004">
      <c r="A171" t="s">
        <v>2730</v>
      </c>
      <c r="B171" t="s">
        <v>2301</v>
      </c>
      <c r="C171" t="s">
        <v>10</v>
      </c>
      <c r="D171">
        <v>2124239</v>
      </c>
      <c r="E171" t="s">
        <v>8</v>
      </c>
    </row>
    <row r="172" spans="1:5" x14ac:dyDescent="0.55000000000000004">
      <c r="A172" t="s">
        <v>2731</v>
      </c>
      <c r="B172" t="s">
        <v>2732</v>
      </c>
      <c r="C172" t="s">
        <v>10</v>
      </c>
      <c r="D172">
        <v>610476</v>
      </c>
      <c r="E172" t="s">
        <v>8</v>
      </c>
    </row>
    <row r="173" spans="1:5" x14ac:dyDescent="0.55000000000000004">
      <c r="A173" t="s">
        <v>360</v>
      </c>
      <c r="B173" t="s">
        <v>359</v>
      </c>
      <c r="C173" t="s">
        <v>10</v>
      </c>
      <c r="D173">
        <v>265600</v>
      </c>
      <c r="E173" t="s">
        <v>8</v>
      </c>
    </row>
    <row r="174" spans="1:5" x14ac:dyDescent="0.55000000000000004">
      <c r="A174" t="s">
        <v>671</v>
      </c>
      <c r="B174" t="s">
        <v>670</v>
      </c>
      <c r="C174" t="s">
        <v>41</v>
      </c>
      <c r="D174">
        <v>657023</v>
      </c>
      <c r="E174" t="s">
        <v>8</v>
      </c>
    </row>
    <row r="175" spans="1:5" x14ac:dyDescent="0.55000000000000004">
      <c r="A175" t="s">
        <v>1387</v>
      </c>
      <c r="B175" t="s">
        <v>1386</v>
      </c>
      <c r="C175" t="s">
        <v>10</v>
      </c>
      <c r="D175">
        <v>1000706</v>
      </c>
      <c r="E175" t="s">
        <v>8</v>
      </c>
    </row>
    <row r="176" spans="1:5" x14ac:dyDescent="0.55000000000000004">
      <c r="A176" t="s">
        <v>1089</v>
      </c>
      <c r="B176" t="s">
        <v>1088</v>
      </c>
      <c r="C176" t="s">
        <v>41</v>
      </c>
      <c r="D176">
        <v>2114764</v>
      </c>
      <c r="E176" t="s">
        <v>8</v>
      </c>
    </row>
    <row r="177" spans="1:5" x14ac:dyDescent="0.55000000000000004">
      <c r="A177" t="s">
        <v>2733</v>
      </c>
      <c r="B177" t="s">
        <v>2734</v>
      </c>
      <c r="C177" t="s">
        <v>10</v>
      </c>
      <c r="D177">
        <v>399812</v>
      </c>
      <c r="E177" t="s">
        <v>8</v>
      </c>
    </row>
    <row r="178" spans="1:5" x14ac:dyDescent="0.55000000000000004">
      <c r="A178" t="s">
        <v>2735</v>
      </c>
      <c r="B178" t="s">
        <v>2736</v>
      </c>
      <c r="C178" t="s">
        <v>10</v>
      </c>
      <c r="D178">
        <v>7216956</v>
      </c>
      <c r="E178" t="s">
        <v>8</v>
      </c>
    </row>
    <row r="179" spans="1:5" x14ac:dyDescent="0.55000000000000004">
      <c r="A179" t="s">
        <v>2567</v>
      </c>
      <c r="B179" t="s">
        <v>2566</v>
      </c>
      <c r="C179" t="s">
        <v>10</v>
      </c>
      <c r="D179">
        <v>334562</v>
      </c>
      <c r="E179" t="s">
        <v>8</v>
      </c>
    </row>
    <row r="180" spans="1:5" x14ac:dyDescent="0.55000000000000004">
      <c r="A180" t="s">
        <v>2737</v>
      </c>
      <c r="B180" t="s">
        <v>2738</v>
      </c>
      <c r="C180" t="s">
        <v>10</v>
      </c>
      <c r="D180">
        <v>836458</v>
      </c>
      <c r="E180" t="s">
        <v>8</v>
      </c>
    </row>
    <row r="181" spans="1:5" x14ac:dyDescent="0.55000000000000004">
      <c r="A181" t="s">
        <v>2573</v>
      </c>
      <c r="B181" t="s">
        <v>2572</v>
      </c>
      <c r="C181" t="s">
        <v>10</v>
      </c>
      <c r="D181">
        <v>1266718</v>
      </c>
      <c r="E181" t="s">
        <v>8</v>
      </c>
    </row>
    <row r="182" spans="1:5" x14ac:dyDescent="0.55000000000000004">
      <c r="A182" t="s">
        <v>2310</v>
      </c>
      <c r="B182" t="s">
        <v>2309</v>
      </c>
      <c r="C182" t="s">
        <v>10</v>
      </c>
      <c r="D182">
        <v>1577309</v>
      </c>
      <c r="E182" t="s">
        <v>8</v>
      </c>
    </row>
    <row r="183" spans="1:5" x14ac:dyDescent="0.55000000000000004">
      <c r="A183" t="s">
        <v>2575</v>
      </c>
      <c r="B183" t="s">
        <v>2574</v>
      </c>
      <c r="C183" t="s">
        <v>10</v>
      </c>
      <c r="D183">
        <v>207543</v>
      </c>
      <c r="E183" t="s">
        <v>8</v>
      </c>
    </row>
    <row r="184" spans="1:5" x14ac:dyDescent="0.55000000000000004">
      <c r="A184" t="s">
        <v>2739</v>
      </c>
      <c r="B184" t="s">
        <v>2740</v>
      </c>
      <c r="C184" t="s">
        <v>41</v>
      </c>
      <c r="D184">
        <v>246503</v>
      </c>
      <c r="E184" t="s">
        <v>8</v>
      </c>
    </row>
    <row r="185" spans="1:5" x14ac:dyDescent="0.55000000000000004">
      <c r="A185" t="s">
        <v>1753</v>
      </c>
      <c r="B185" t="s">
        <v>1752</v>
      </c>
      <c r="C185" t="s">
        <v>10</v>
      </c>
      <c r="D185">
        <v>598168</v>
      </c>
      <c r="E185" t="s">
        <v>8</v>
      </c>
    </row>
    <row r="186" spans="1:5" x14ac:dyDescent="0.55000000000000004">
      <c r="A186" t="s">
        <v>2741</v>
      </c>
      <c r="B186" t="s">
        <v>2742</v>
      </c>
      <c r="C186" t="s">
        <v>10</v>
      </c>
      <c r="D186">
        <v>7934500</v>
      </c>
      <c r="E186" t="s">
        <v>8</v>
      </c>
    </row>
    <row r="187" spans="1:5" x14ac:dyDescent="0.55000000000000004">
      <c r="A187" t="s">
        <v>1393</v>
      </c>
      <c r="B187" t="s">
        <v>1392</v>
      </c>
      <c r="C187" t="s">
        <v>6</v>
      </c>
      <c r="D187">
        <v>777324</v>
      </c>
      <c r="E187" t="s">
        <v>8</v>
      </c>
    </row>
    <row r="188" spans="1:5" x14ac:dyDescent="0.55000000000000004">
      <c r="A188" t="s">
        <v>386</v>
      </c>
      <c r="B188" t="s">
        <v>385</v>
      </c>
      <c r="C188" t="s">
        <v>13</v>
      </c>
      <c r="D188">
        <v>4085370</v>
      </c>
      <c r="E188" t="s">
        <v>8</v>
      </c>
    </row>
    <row r="189" spans="1:5" x14ac:dyDescent="0.55000000000000004">
      <c r="A189" t="s">
        <v>2743</v>
      </c>
      <c r="B189" t="s">
        <v>2744</v>
      </c>
      <c r="C189" t="s">
        <v>10</v>
      </c>
      <c r="D189">
        <v>422087</v>
      </c>
      <c r="E189" t="s">
        <v>8</v>
      </c>
    </row>
    <row r="190" spans="1:5" x14ac:dyDescent="0.55000000000000004">
      <c r="A190" t="s">
        <v>1395</v>
      </c>
      <c r="B190" t="s">
        <v>1394</v>
      </c>
      <c r="C190" t="s">
        <v>10</v>
      </c>
      <c r="D190">
        <v>331704</v>
      </c>
      <c r="E190" t="s">
        <v>8</v>
      </c>
    </row>
    <row r="191" spans="1:5" x14ac:dyDescent="0.55000000000000004">
      <c r="A191" t="s">
        <v>679</v>
      </c>
      <c r="B191" t="s">
        <v>678</v>
      </c>
      <c r="C191" t="s">
        <v>10</v>
      </c>
      <c r="D191">
        <v>2881902</v>
      </c>
      <c r="E191" t="s">
        <v>8</v>
      </c>
    </row>
    <row r="192" spans="1:5" x14ac:dyDescent="0.55000000000000004">
      <c r="A192" t="s">
        <v>1397</v>
      </c>
      <c r="B192" t="s">
        <v>1396</v>
      </c>
      <c r="C192" t="s">
        <v>10</v>
      </c>
      <c r="D192">
        <v>839364</v>
      </c>
      <c r="E192" t="s">
        <v>8</v>
      </c>
    </row>
    <row r="193" spans="1:5" x14ac:dyDescent="0.55000000000000004">
      <c r="A193" t="s">
        <v>2745</v>
      </c>
      <c r="B193" t="s">
        <v>2746</v>
      </c>
      <c r="C193" t="s">
        <v>13</v>
      </c>
      <c r="D193">
        <v>1660216</v>
      </c>
      <c r="E193" t="s">
        <v>8</v>
      </c>
    </row>
    <row r="194" spans="1:5" x14ac:dyDescent="0.55000000000000004">
      <c r="A194" t="s">
        <v>1401</v>
      </c>
      <c r="B194" t="s">
        <v>1400</v>
      </c>
      <c r="C194" t="s">
        <v>10</v>
      </c>
      <c r="D194">
        <v>299274</v>
      </c>
      <c r="E194" t="s">
        <v>8</v>
      </c>
    </row>
    <row r="195" spans="1:5" x14ac:dyDescent="0.55000000000000004">
      <c r="A195" t="s">
        <v>1111</v>
      </c>
      <c r="B195" t="s">
        <v>1110</v>
      </c>
      <c r="C195" t="s">
        <v>10</v>
      </c>
      <c r="D195">
        <v>207155</v>
      </c>
      <c r="E195" t="s">
        <v>8</v>
      </c>
    </row>
    <row r="196" spans="1:5" x14ac:dyDescent="0.55000000000000004">
      <c r="A196" t="s">
        <v>2583</v>
      </c>
      <c r="B196" t="s">
        <v>2582</v>
      </c>
      <c r="C196" t="s">
        <v>10</v>
      </c>
      <c r="D196">
        <v>1546641</v>
      </c>
      <c r="E196" t="s">
        <v>8</v>
      </c>
    </row>
    <row r="197" spans="1:5" x14ac:dyDescent="0.55000000000000004">
      <c r="A197" t="s">
        <v>2585</v>
      </c>
      <c r="B197" t="s">
        <v>2584</v>
      </c>
      <c r="C197" t="s">
        <v>10</v>
      </c>
      <c r="D197">
        <v>227472</v>
      </c>
      <c r="E197" t="s">
        <v>8</v>
      </c>
    </row>
    <row r="198" spans="1:5" x14ac:dyDescent="0.55000000000000004">
      <c r="A198" t="s">
        <v>2587</v>
      </c>
      <c r="B198" t="s">
        <v>2586</v>
      </c>
      <c r="C198" t="s">
        <v>10</v>
      </c>
      <c r="D198">
        <v>208855</v>
      </c>
      <c r="E198" t="s">
        <v>8</v>
      </c>
    </row>
    <row r="199" spans="1:5" x14ac:dyDescent="0.55000000000000004">
      <c r="A199" t="s">
        <v>2326</v>
      </c>
      <c r="B199" t="s">
        <v>2325</v>
      </c>
      <c r="C199" t="s">
        <v>10</v>
      </c>
      <c r="D199">
        <v>795046</v>
      </c>
      <c r="E199" t="s">
        <v>8</v>
      </c>
    </row>
    <row r="200" spans="1:5" x14ac:dyDescent="0.55000000000000004">
      <c r="A200" t="s">
        <v>2591</v>
      </c>
      <c r="B200" t="s">
        <v>2590</v>
      </c>
      <c r="C200" t="s">
        <v>10</v>
      </c>
      <c r="D200">
        <v>889734</v>
      </c>
      <c r="E200" t="s">
        <v>8</v>
      </c>
    </row>
    <row r="201" spans="1:5" x14ac:dyDescent="0.55000000000000004">
      <c r="A201" t="s">
        <v>2595</v>
      </c>
      <c r="B201" t="s">
        <v>2594</v>
      </c>
      <c r="C201" t="s">
        <v>10</v>
      </c>
      <c r="D201">
        <v>2029236</v>
      </c>
      <c r="E201" t="s">
        <v>8</v>
      </c>
    </row>
    <row r="202" spans="1:5" x14ac:dyDescent="0.55000000000000004">
      <c r="A202" t="s">
        <v>2330</v>
      </c>
      <c r="B202" t="s">
        <v>2329</v>
      </c>
      <c r="C202" t="s">
        <v>10</v>
      </c>
      <c r="D202">
        <v>895428</v>
      </c>
      <c r="E202" t="s">
        <v>8</v>
      </c>
    </row>
    <row r="203" spans="1:5" x14ac:dyDescent="0.55000000000000004">
      <c r="A203" t="s">
        <v>2597</v>
      </c>
      <c r="B203" t="s">
        <v>2596</v>
      </c>
      <c r="C203" t="s">
        <v>10</v>
      </c>
      <c r="D203">
        <v>758814</v>
      </c>
      <c r="E203" t="s">
        <v>8</v>
      </c>
    </row>
    <row r="204" spans="1:5" x14ac:dyDescent="0.55000000000000004">
      <c r="A204" t="s">
        <v>2747</v>
      </c>
      <c r="B204" t="s">
        <v>2748</v>
      </c>
      <c r="C204" t="s">
        <v>2749</v>
      </c>
      <c r="D204">
        <v>4930121</v>
      </c>
      <c r="E204" t="s">
        <v>8</v>
      </c>
    </row>
    <row r="205" spans="1:5" x14ac:dyDescent="0.55000000000000004">
      <c r="A205" t="s">
        <v>2001</v>
      </c>
      <c r="B205" t="s">
        <v>2000</v>
      </c>
      <c r="C205" t="s">
        <v>10</v>
      </c>
      <c r="D205">
        <v>1068060</v>
      </c>
      <c r="E205" t="s">
        <v>8</v>
      </c>
    </row>
    <row r="206" spans="1:5" x14ac:dyDescent="0.55000000000000004">
      <c r="A206" t="s">
        <v>2750</v>
      </c>
      <c r="B206" t="s">
        <v>2751</v>
      </c>
      <c r="C206" t="s">
        <v>10</v>
      </c>
      <c r="D206">
        <v>833537</v>
      </c>
      <c r="E206" t="s">
        <v>8</v>
      </c>
    </row>
    <row r="207" spans="1:5" x14ac:dyDescent="0.55000000000000004">
      <c r="A207" t="s">
        <v>2332</v>
      </c>
      <c r="B207" t="s">
        <v>2331</v>
      </c>
      <c r="C207" t="s">
        <v>76</v>
      </c>
      <c r="D207">
        <v>1730170</v>
      </c>
      <c r="E207" t="s">
        <v>8</v>
      </c>
    </row>
    <row r="208" spans="1:5" x14ac:dyDescent="0.55000000000000004">
      <c r="A208" t="s">
        <v>2005</v>
      </c>
      <c r="B208" t="s">
        <v>2004</v>
      </c>
      <c r="C208" t="s">
        <v>10</v>
      </c>
      <c r="D208">
        <v>2885747</v>
      </c>
      <c r="E208" t="s">
        <v>8</v>
      </c>
    </row>
    <row r="209" spans="1:5" x14ac:dyDescent="0.55000000000000004">
      <c r="A209" t="s">
        <v>1412</v>
      </c>
      <c r="B209" t="s">
        <v>1411</v>
      </c>
      <c r="C209" t="s">
        <v>10</v>
      </c>
      <c r="D209">
        <v>4200637</v>
      </c>
      <c r="E209" t="s">
        <v>8</v>
      </c>
    </row>
    <row r="210" spans="1:5" x14ac:dyDescent="0.55000000000000004">
      <c r="A210" t="s">
        <v>1414</v>
      </c>
      <c r="B210" t="s">
        <v>1413</v>
      </c>
      <c r="C210" t="s">
        <v>1483</v>
      </c>
      <c r="D210">
        <v>1331422</v>
      </c>
      <c r="E210" t="s">
        <v>8</v>
      </c>
    </row>
    <row r="211" spans="1:5" x14ac:dyDescent="0.55000000000000004">
      <c r="A211" t="s">
        <v>2752</v>
      </c>
      <c r="B211" t="s">
        <v>2753</v>
      </c>
      <c r="C211" t="s">
        <v>10</v>
      </c>
      <c r="D211">
        <v>387137</v>
      </c>
      <c r="E211" t="s">
        <v>8</v>
      </c>
    </row>
    <row r="212" spans="1:5" x14ac:dyDescent="0.55000000000000004">
      <c r="A212" t="s">
        <v>1779</v>
      </c>
      <c r="B212" t="s">
        <v>1778</v>
      </c>
      <c r="C212" t="s">
        <v>10</v>
      </c>
      <c r="D212">
        <v>557302</v>
      </c>
      <c r="E212" t="s">
        <v>8</v>
      </c>
    </row>
    <row r="213" spans="1:5" x14ac:dyDescent="0.55000000000000004">
      <c r="A213" t="s">
        <v>2010</v>
      </c>
      <c r="B213" t="s">
        <v>2009</v>
      </c>
      <c r="C213" t="s">
        <v>10</v>
      </c>
      <c r="D213">
        <v>3087192</v>
      </c>
      <c r="E213" t="s">
        <v>8</v>
      </c>
    </row>
    <row r="214" spans="1:5" x14ac:dyDescent="0.55000000000000004">
      <c r="A214" t="s">
        <v>2754</v>
      </c>
      <c r="B214" t="s">
        <v>2755</v>
      </c>
      <c r="C214" t="s">
        <v>10</v>
      </c>
      <c r="D214">
        <v>207202</v>
      </c>
      <c r="E214" t="s">
        <v>8</v>
      </c>
    </row>
    <row r="215" spans="1:5" x14ac:dyDescent="0.55000000000000004">
      <c r="A215" t="s">
        <v>2756</v>
      </c>
      <c r="B215" t="s">
        <v>2757</v>
      </c>
      <c r="C215" t="s">
        <v>10</v>
      </c>
      <c r="D215">
        <v>2018858</v>
      </c>
      <c r="E215" t="s">
        <v>8</v>
      </c>
    </row>
    <row r="216" spans="1:5" x14ac:dyDescent="0.55000000000000004">
      <c r="A216" t="s">
        <v>2355</v>
      </c>
      <c r="B216" t="s">
        <v>2354</v>
      </c>
      <c r="C216" t="s">
        <v>10</v>
      </c>
      <c r="D216">
        <v>201079</v>
      </c>
      <c r="E216" t="s">
        <v>8</v>
      </c>
    </row>
    <row r="217" spans="1:5" x14ac:dyDescent="0.55000000000000004">
      <c r="A217" t="s">
        <v>2605</v>
      </c>
      <c r="B217" t="s">
        <v>2604</v>
      </c>
      <c r="C217" t="s">
        <v>10</v>
      </c>
      <c r="D217">
        <v>708304</v>
      </c>
      <c r="E217" t="s">
        <v>8</v>
      </c>
    </row>
    <row r="218" spans="1:5" x14ac:dyDescent="0.55000000000000004">
      <c r="A218" t="s">
        <v>1786</v>
      </c>
      <c r="B218" t="s">
        <v>1785</v>
      </c>
      <c r="C218" t="s">
        <v>1317</v>
      </c>
      <c r="D218">
        <v>461770</v>
      </c>
      <c r="E218" t="s">
        <v>8</v>
      </c>
    </row>
    <row r="219" spans="1:5" x14ac:dyDescent="0.55000000000000004">
      <c r="A219" t="s">
        <v>2027</v>
      </c>
      <c r="B219" t="s">
        <v>2026</v>
      </c>
      <c r="C219" t="s">
        <v>10</v>
      </c>
      <c r="D219">
        <v>3808471</v>
      </c>
      <c r="E219" t="s">
        <v>8</v>
      </c>
    </row>
    <row r="220" spans="1:5" x14ac:dyDescent="0.55000000000000004">
      <c r="A220" t="s">
        <v>2033</v>
      </c>
      <c r="B220" t="s">
        <v>2032</v>
      </c>
      <c r="C220" t="s">
        <v>10</v>
      </c>
      <c r="D220">
        <v>2648221</v>
      </c>
      <c r="E220" t="s">
        <v>8</v>
      </c>
    </row>
    <row r="221" spans="1:5" x14ac:dyDescent="0.55000000000000004">
      <c r="A221" t="s">
        <v>705</v>
      </c>
      <c r="B221" t="s">
        <v>704</v>
      </c>
      <c r="C221" t="s">
        <v>10</v>
      </c>
      <c r="D221">
        <v>3075411</v>
      </c>
      <c r="E221" t="s">
        <v>8</v>
      </c>
    </row>
    <row r="222" spans="1:5" x14ac:dyDescent="0.55000000000000004">
      <c r="A222" t="s">
        <v>2369</v>
      </c>
      <c r="B222" t="s">
        <v>2368</v>
      </c>
      <c r="C222" t="s">
        <v>10</v>
      </c>
      <c r="D222">
        <v>402014</v>
      </c>
      <c r="E222" t="s">
        <v>8</v>
      </c>
    </row>
    <row r="223" spans="1:5" x14ac:dyDescent="0.55000000000000004">
      <c r="A223" t="s">
        <v>2758</v>
      </c>
      <c r="B223" t="s">
        <v>2759</v>
      </c>
      <c r="C223" t="s">
        <v>13</v>
      </c>
      <c r="D223">
        <v>248817</v>
      </c>
      <c r="E223" t="s">
        <v>8</v>
      </c>
    </row>
    <row r="224" spans="1:5" x14ac:dyDescent="0.55000000000000004">
      <c r="A224" t="s">
        <v>2371</v>
      </c>
      <c r="B224" t="s">
        <v>2370</v>
      </c>
      <c r="C224" t="s">
        <v>10</v>
      </c>
      <c r="D224">
        <v>701915</v>
      </c>
      <c r="E224" t="s">
        <v>8</v>
      </c>
    </row>
    <row r="225" spans="1:5" x14ac:dyDescent="0.55000000000000004">
      <c r="A225" t="s">
        <v>1792</v>
      </c>
      <c r="B225" t="s">
        <v>1791</v>
      </c>
      <c r="C225" t="s">
        <v>10</v>
      </c>
      <c r="D225">
        <v>674826</v>
      </c>
      <c r="E225" t="s">
        <v>8</v>
      </c>
    </row>
    <row r="226" spans="1:5" x14ac:dyDescent="0.55000000000000004">
      <c r="A226" t="s">
        <v>2613</v>
      </c>
      <c r="B226" t="s">
        <v>2612</v>
      </c>
      <c r="C226" t="s">
        <v>10</v>
      </c>
      <c r="D226">
        <v>2097997</v>
      </c>
      <c r="E226" t="s">
        <v>8</v>
      </c>
    </row>
    <row r="227" spans="1:5" x14ac:dyDescent="0.55000000000000004">
      <c r="A227" t="s">
        <v>1439</v>
      </c>
      <c r="B227" t="s">
        <v>1438</v>
      </c>
      <c r="C227" t="s">
        <v>10</v>
      </c>
      <c r="D227">
        <v>476037</v>
      </c>
      <c r="E227" t="s">
        <v>8</v>
      </c>
    </row>
    <row r="228" spans="1:5" x14ac:dyDescent="0.55000000000000004">
      <c r="A228" t="s">
        <v>806</v>
      </c>
      <c r="B228" t="s">
        <v>805</v>
      </c>
      <c r="C228" t="s">
        <v>41</v>
      </c>
      <c r="D228">
        <v>229761</v>
      </c>
      <c r="E228" t="s">
        <v>8</v>
      </c>
    </row>
    <row r="229" spans="1:5" x14ac:dyDescent="0.55000000000000004">
      <c r="A229" t="s">
        <v>1447</v>
      </c>
      <c r="B229" t="s">
        <v>1446</v>
      </c>
      <c r="C229" t="s">
        <v>10</v>
      </c>
      <c r="D229">
        <v>1938568</v>
      </c>
      <c r="E229" t="s">
        <v>8</v>
      </c>
    </row>
    <row r="230" spans="1:5" x14ac:dyDescent="0.55000000000000004">
      <c r="A230" t="s">
        <v>2619</v>
      </c>
      <c r="B230" t="s">
        <v>2618</v>
      </c>
      <c r="C230" t="s">
        <v>10</v>
      </c>
      <c r="D230">
        <v>1541132</v>
      </c>
      <c r="E230" t="s">
        <v>8</v>
      </c>
    </row>
    <row r="231" spans="1:5" x14ac:dyDescent="0.55000000000000004">
      <c r="A231" t="s">
        <v>2760</v>
      </c>
      <c r="B231" t="s">
        <v>2761</v>
      </c>
      <c r="C231" t="s">
        <v>10</v>
      </c>
      <c r="D231">
        <v>130733</v>
      </c>
      <c r="E231" t="s">
        <v>8</v>
      </c>
    </row>
    <row r="232" spans="1:5" x14ac:dyDescent="0.55000000000000004">
      <c r="A232" t="s">
        <v>2044</v>
      </c>
      <c r="B232" t="s">
        <v>2043</v>
      </c>
      <c r="C232" t="s">
        <v>10</v>
      </c>
      <c r="D232">
        <v>266148</v>
      </c>
      <c r="E232" t="s">
        <v>8</v>
      </c>
    </row>
    <row r="233" spans="1:5" x14ac:dyDescent="0.55000000000000004">
      <c r="A233" t="s">
        <v>2629</v>
      </c>
      <c r="B233" t="s">
        <v>2628</v>
      </c>
      <c r="C233" t="s">
        <v>10</v>
      </c>
      <c r="D233">
        <v>233401</v>
      </c>
      <c r="E233" t="s">
        <v>8</v>
      </c>
    </row>
    <row r="234" spans="1:5" x14ac:dyDescent="0.55000000000000004">
      <c r="A234" t="s">
        <v>2623</v>
      </c>
      <c r="B234" t="s">
        <v>2622</v>
      </c>
      <c r="C234" t="s">
        <v>141</v>
      </c>
      <c r="D234">
        <v>3424773</v>
      </c>
      <c r="E234" t="s">
        <v>8</v>
      </c>
    </row>
    <row r="235" spans="1:5" x14ac:dyDescent="0.55000000000000004">
      <c r="A235" t="s">
        <v>709</v>
      </c>
      <c r="B235" t="s">
        <v>708</v>
      </c>
      <c r="C235" t="s">
        <v>10</v>
      </c>
      <c r="D235">
        <v>2302075</v>
      </c>
      <c r="E235" t="s">
        <v>8</v>
      </c>
    </row>
    <row r="236" spans="1:5" x14ac:dyDescent="0.55000000000000004">
      <c r="A236" t="s">
        <v>2762</v>
      </c>
      <c r="B236" t="s">
        <v>2763</v>
      </c>
      <c r="C236" t="s">
        <v>10</v>
      </c>
      <c r="D236">
        <v>889277</v>
      </c>
      <c r="E236" t="s">
        <v>8</v>
      </c>
    </row>
    <row r="237" spans="1:5" x14ac:dyDescent="0.55000000000000004">
      <c r="A237" t="s">
        <v>1121</v>
      </c>
      <c r="B237" t="s">
        <v>1120</v>
      </c>
      <c r="C237" t="s">
        <v>10</v>
      </c>
      <c r="D237">
        <v>292077</v>
      </c>
      <c r="E237" t="s">
        <v>8</v>
      </c>
    </row>
    <row r="238" spans="1:5" x14ac:dyDescent="0.55000000000000004">
      <c r="A238" t="s">
        <v>2627</v>
      </c>
      <c r="B238" t="s">
        <v>2626</v>
      </c>
      <c r="C238" t="s">
        <v>10</v>
      </c>
      <c r="D238">
        <v>8261291</v>
      </c>
      <c r="E238" t="s">
        <v>8</v>
      </c>
    </row>
    <row r="239" spans="1:5" x14ac:dyDescent="0.55000000000000004">
      <c r="A239" t="s">
        <v>2048</v>
      </c>
      <c r="B239" t="s">
        <v>2047</v>
      </c>
      <c r="C239" t="s">
        <v>10</v>
      </c>
      <c r="D239">
        <v>4116878</v>
      </c>
      <c r="E239" t="s">
        <v>8</v>
      </c>
    </row>
    <row r="240" spans="1:5" x14ac:dyDescent="0.55000000000000004">
      <c r="A240" t="s">
        <v>2764</v>
      </c>
      <c r="B240" t="s">
        <v>2765</v>
      </c>
      <c r="C240" t="s">
        <v>10</v>
      </c>
      <c r="D240">
        <v>5713398</v>
      </c>
      <c r="E240" t="s">
        <v>8</v>
      </c>
    </row>
    <row r="241" spans="1:5" x14ac:dyDescent="0.55000000000000004">
      <c r="A241" t="s">
        <v>924</v>
      </c>
      <c r="B241" t="s">
        <v>923</v>
      </c>
      <c r="C241" t="s">
        <v>10</v>
      </c>
      <c r="D241">
        <v>3929412</v>
      </c>
      <c r="E241" t="s">
        <v>8</v>
      </c>
    </row>
    <row r="242" spans="1:5" x14ac:dyDescent="0.55000000000000004">
      <c r="A242" t="s">
        <v>2389</v>
      </c>
      <c r="B242" t="s">
        <v>2388</v>
      </c>
      <c r="C242" t="s">
        <v>10</v>
      </c>
      <c r="D242">
        <v>283567</v>
      </c>
      <c r="E242" t="s">
        <v>8</v>
      </c>
    </row>
    <row r="243" spans="1:5" x14ac:dyDescent="0.55000000000000004">
      <c r="A243" t="s">
        <v>2766</v>
      </c>
      <c r="B243" t="s">
        <v>2767</v>
      </c>
      <c r="C243" t="s">
        <v>10</v>
      </c>
      <c r="D243">
        <v>1126086</v>
      </c>
      <c r="E243" t="s">
        <v>8</v>
      </c>
    </row>
    <row r="244" spans="1:5" x14ac:dyDescent="0.55000000000000004">
      <c r="A244" t="s">
        <v>1125</v>
      </c>
      <c r="B244" t="s">
        <v>1124</v>
      </c>
      <c r="C244" t="s">
        <v>10</v>
      </c>
      <c r="D244">
        <v>998217</v>
      </c>
      <c r="E244" t="s">
        <v>8</v>
      </c>
    </row>
    <row r="245" spans="1:5" x14ac:dyDescent="0.55000000000000004">
      <c r="A245" t="s">
        <v>2768</v>
      </c>
      <c r="B245" t="s">
        <v>2769</v>
      </c>
      <c r="C245" t="s">
        <v>10</v>
      </c>
      <c r="D245">
        <v>207864</v>
      </c>
      <c r="E245" t="s">
        <v>8</v>
      </c>
    </row>
    <row r="246" spans="1:5" x14ac:dyDescent="0.55000000000000004">
      <c r="A246" t="s">
        <v>1127</v>
      </c>
      <c r="B246" t="s">
        <v>1126</v>
      </c>
      <c r="C246" t="s">
        <v>10</v>
      </c>
      <c r="D246">
        <v>1483353</v>
      </c>
      <c r="E246" t="s">
        <v>8</v>
      </c>
    </row>
    <row r="247" spans="1:5" x14ac:dyDescent="0.55000000000000004">
      <c r="A247" t="s">
        <v>1472</v>
      </c>
      <c r="B247" t="s">
        <v>1471</v>
      </c>
      <c r="C247" t="s">
        <v>10</v>
      </c>
      <c r="D247">
        <v>216976</v>
      </c>
      <c r="E247" t="s">
        <v>8</v>
      </c>
    </row>
    <row r="248" spans="1:5" x14ac:dyDescent="0.55000000000000004">
      <c r="A248" t="s">
        <v>2770</v>
      </c>
      <c r="B248" t="s">
        <v>2771</v>
      </c>
      <c r="C248" t="s">
        <v>10</v>
      </c>
      <c r="D248">
        <v>1082271</v>
      </c>
      <c r="E248" t="s">
        <v>8</v>
      </c>
    </row>
    <row r="249" spans="1:5" x14ac:dyDescent="0.55000000000000004">
      <c r="A249" t="s">
        <v>2772</v>
      </c>
      <c r="B249" t="s">
        <v>2773</v>
      </c>
      <c r="C249" t="s">
        <v>10</v>
      </c>
      <c r="D249">
        <v>241336</v>
      </c>
      <c r="E249" t="s">
        <v>8</v>
      </c>
    </row>
    <row r="250" spans="1:5" x14ac:dyDescent="0.55000000000000004">
      <c r="A250" t="s">
        <v>2056</v>
      </c>
      <c r="B250" t="s">
        <v>2055</v>
      </c>
      <c r="C250" t="s">
        <v>10</v>
      </c>
      <c r="D250">
        <v>5130013</v>
      </c>
      <c r="E250" t="s">
        <v>8</v>
      </c>
    </row>
    <row r="251" spans="1:5" x14ac:dyDescent="0.55000000000000004">
      <c r="A251" t="s">
        <v>2774</v>
      </c>
      <c r="B251" t="s">
        <v>2775</v>
      </c>
      <c r="C251" t="s">
        <v>10</v>
      </c>
      <c r="D251">
        <v>2556931</v>
      </c>
      <c r="E251" t="s">
        <v>8</v>
      </c>
    </row>
    <row r="252" spans="1:5" x14ac:dyDescent="0.55000000000000004">
      <c r="A252" t="s">
        <v>2635</v>
      </c>
      <c r="B252" t="s">
        <v>2634</v>
      </c>
      <c r="C252" t="s">
        <v>10</v>
      </c>
      <c r="D252">
        <v>476798</v>
      </c>
      <c r="E252" t="s">
        <v>8</v>
      </c>
    </row>
    <row r="253" spans="1:5" x14ac:dyDescent="0.55000000000000004">
      <c r="A253" t="s">
        <v>2170</v>
      </c>
      <c r="B253" t="s">
        <v>2169</v>
      </c>
      <c r="C253" t="s">
        <v>10</v>
      </c>
      <c r="D253">
        <v>672886</v>
      </c>
      <c r="E253" t="s">
        <v>8</v>
      </c>
    </row>
    <row r="254" spans="1:5" x14ac:dyDescent="0.55000000000000004">
      <c r="A254" t="s">
        <v>1071</v>
      </c>
      <c r="B254" t="s">
        <v>1070</v>
      </c>
      <c r="C254" t="s">
        <v>208</v>
      </c>
      <c r="D254">
        <v>325778</v>
      </c>
      <c r="E254" t="s">
        <v>8</v>
      </c>
    </row>
    <row r="255" spans="1:5" x14ac:dyDescent="0.55000000000000004">
      <c r="A255" t="s">
        <v>1906</v>
      </c>
      <c r="B255" t="s">
        <v>1905</v>
      </c>
      <c r="C255" t="s">
        <v>10</v>
      </c>
      <c r="D255">
        <v>669117</v>
      </c>
      <c r="E255" t="s">
        <v>8</v>
      </c>
    </row>
    <row r="256" spans="1:5" x14ac:dyDescent="0.55000000000000004">
      <c r="A256" t="s">
        <v>2776</v>
      </c>
      <c r="B256" t="s">
        <v>2777</v>
      </c>
      <c r="C256" t="s">
        <v>10</v>
      </c>
      <c r="D256">
        <v>150647</v>
      </c>
      <c r="E256" t="s">
        <v>8</v>
      </c>
    </row>
    <row r="257" spans="1:5" x14ac:dyDescent="0.55000000000000004">
      <c r="A257" t="s">
        <v>2204</v>
      </c>
      <c r="B257" t="s">
        <v>2203</v>
      </c>
      <c r="C257" t="s">
        <v>6</v>
      </c>
      <c r="D257">
        <v>169415</v>
      </c>
      <c r="E257" t="s">
        <v>8</v>
      </c>
    </row>
    <row r="258" spans="1:5" x14ac:dyDescent="0.55000000000000004">
      <c r="A258" t="s">
        <v>1250</v>
      </c>
      <c r="B258" t="s">
        <v>1249</v>
      </c>
      <c r="C258" t="s">
        <v>10</v>
      </c>
      <c r="D258">
        <v>1394577</v>
      </c>
      <c r="E258" t="s">
        <v>8</v>
      </c>
    </row>
    <row r="259" spans="1:5" x14ac:dyDescent="0.55000000000000004">
      <c r="A259" t="s">
        <v>2373</v>
      </c>
      <c r="B259" t="s">
        <v>2372</v>
      </c>
      <c r="C259" t="s">
        <v>10</v>
      </c>
      <c r="D259">
        <v>3715470</v>
      </c>
      <c r="E259" t="s">
        <v>8</v>
      </c>
    </row>
    <row r="260" spans="1:5" x14ac:dyDescent="0.55000000000000004">
      <c r="A260" t="s">
        <v>2778</v>
      </c>
      <c r="B260" t="s">
        <v>2779</v>
      </c>
      <c r="C260" t="s">
        <v>6</v>
      </c>
      <c r="D260">
        <v>239241</v>
      </c>
      <c r="E260" t="s">
        <v>8</v>
      </c>
    </row>
    <row r="261" spans="1:5" x14ac:dyDescent="0.55000000000000004">
      <c r="A261" t="s">
        <v>1823</v>
      </c>
      <c r="B261" t="s">
        <v>1822</v>
      </c>
      <c r="C261" t="s">
        <v>13</v>
      </c>
      <c r="D261">
        <v>192503</v>
      </c>
      <c r="E261" t="s">
        <v>8</v>
      </c>
    </row>
    <row r="262" spans="1:5" x14ac:dyDescent="0.55000000000000004">
      <c r="A262" t="s">
        <v>2780</v>
      </c>
      <c r="B262" t="s">
        <v>2781</v>
      </c>
      <c r="C262" t="s">
        <v>10</v>
      </c>
      <c r="D262">
        <v>550150</v>
      </c>
      <c r="E262" t="s">
        <v>8</v>
      </c>
    </row>
    <row r="263" spans="1:5" x14ac:dyDescent="0.55000000000000004">
      <c r="A263" t="s">
        <v>935</v>
      </c>
      <c r="B263" t="s">
        <v>934</v>
      </c>
      <c r="C263" t="s">
        <v>10</v>
      </c>
      <c r="D263">
        <v>132155</v>
      </c>
      <c r="E263" t="s">
        <v>8</v>
      </c>
    </row>
    <row r="264" spans="1:5" x14ac:dyDescent="0.55000000000000004">
      <c r="A264" t="s">
        <v>1819</v>
      </c>
      <c r="B264" t="s">
        <v>1818</v>
      </c>
      <c r="C264" t="s">
        <v>10</v>
      </c>
      <c r="D264">
        <v>1374667</v>
      </c>
      <c r="E264" t="s">
        <v>8</v>
      </c>
    </row>
    <row r="265" spans="1:5" x14ac:dyDescent="0.55000000000000004">
      <c r="A265" t="s">
        <v>498</v>
      </c>
      <c r="B265" t="s">
        <v>497</v>
      </c>
      <c r="C265" t="s">
        <v>10</v>
      </c>
      <c r="D265">
        <v>446931</v>
      </c>
      <c r="E265" t="s">
        <v>8</v>
      </c>
    </row>
    <row r="266" spans="1:5" x14ac:dyDescent="0.55000000000000004">
      <c r="A266" t="s">
        <v>2782</v>
      </c>
      <c r="B266" t="s">
        <v>2783</v>
      </c>
      <c r="C266" t="s">
        <v>10</v>
      </c>
      <c r="D266">
        <v>189761</v>
      </c>
      <c r="E266" t="s">
        <v>8</v>
      </c>
    </row>
    <row r="267" spans="1:5" x14ac:dyDescent="0.55000000000000004">
      <c r="A267" t="s">
        <v>937</v>
      </c>
      <c r="B267" t="s">
        <v>936</v>
      </c>
      <c r="C267" t="s">
        <v>10</v>
      </c>
      <c r="D267">
        <v>327027</v>
      </c>
      <c r="E267" t="s">
        <v>8</v>
      </c>
    </row>
    <row r="268" spans="1:5" x14ac:dyDescent="0.55000000000000004">
      <c r="A268" t="s">
        <v>2401</v>
      </c>
      <c r="B268" t="s">
        <v>2400</v>
      </c>
      <c r="C268" t="s">
        <v>41</v>
      </c>
      <c r="D268">
        <v>154556</v>
      </c>
      <c r="E268" t="s">
        <v>8</v>
      </c>
    </row>
    <row r="269" spans="1:5" x14ac:dyDescent="0.55000000000000004">
      <c r="A269" t="s">
        <v>2405</v>
      </c>
      <c r="B269" t="s">
        <v>2404</v>
      </c>
      <c r="C269" t="s">
        <v>10</v>
      </c>
      <c r="D269">
        <v>684619</v>
      </c>
      <c r="E269" t="s">
        <v>8</v>
      </c>
    </row>
    <row r="270" spans="1:5" x14ac:dyDescent="0.55000000000000004">
      <c r="A270" t="s">
        <v>1821</v>
      </c>
      <c r="B270" t="s">
        <v>1820</v>
      </c>
      <c r="C270" t="s">
        <v>10</v>
      </c>
      <c r="D270">
        <v>411587</v>
      </c>
      <c r="E270" t="s">
        <v>8</v>
      </c>
    </row>
    <row r="271" spans="1:5" x14ac:dyDescent="0.55000000000000004">
      <c r="A271" t="s">
        <v>2073</v>
      </c>
      <c r="B271" t="s">
        <v>2072</v>
      </c>
      <c r="C271" t="s">
        <v>10</v>
      </c>
      <c r="D271">
        <v>204773</v>
      </c>
      <c r="E271" t="s">
        <v>8</v>
      </c>
    </row>
    <row r="272" spans="1:5" x14ac:dyDescent="0.55000000000000004">
      <c r="A272" t="s">
        <v>2075</v>
      </c>
      <c r="B272" t="s">
        <v>2074</v>
      </c>
      <c r="C272" t="s">
        <v>10</v>
      </c>
      <c r="D272">
        <v>753730</v>
      </c>
      <c r="E272" t="s">
        <v>8</v>
      </c>
    </row>
    <row r="273" spans="1:5" x14ac:dyDescent="0.55000000000000004">
      <c r="A273" t="s">
        <v>2086</v>
      </c>
      <c r="B273" t="s">
        <v>2084</v>
      </c>
      <c r="C273" t="s">
        <v>2085</v>
      </c>
      <c r="D273">
        <v>1160219</v>
      </c>
      <c r="E273" t="s">
        <v>8</v>
      </c>
    </row>
    <row r="274" spans="1:5" x14ac:dyDescent="0.55000000000000004">
      <c r="A274" t="s">
        <v>2784</v>
      </c>
      <c r="B274" t="s">
        <v>2785</v>
      </c>
      <c r="C274" t="s">
        <v>76</v>
      </c>
      <c r="D274">
        <v>783856</v>
      </c>
      <c r="E274" t="s">
        <v>8</v>
      </c>
    </row>
    <row r="275" spans="1:5" x14ac:dyDescent="0.55000000000000004">
      <c r="A275" t="s">
        <v>2786</v>
      </c>
      <c r="B275" t="s">
        <v>2787</v>
      </c>
      <c r="C275" t="s">
        <v>10</v>
      </c>
      <c r="D275">
        <v>912609</v>
      </c>
      <c r="E275" t="s">
        <v>8</v>
      </c>
    </row>
    <row r="276" spans="1:5" x14ac:dyDescent="0.55000000000000004">
      <c r="A276" t="s">
        <v>2788</v>
      </c>
      <c r="B276" t="s">
        <v>2789</v>
      </c>
      <c r="C276" t="s">
        <v>10</v>
      </c>
      <c r="D276">
        <v>221264</v>
      </c>
      <c r="E276" t="s">
        <v>8</v>
      </c>
    </row>
    <row r="277" spans="1:5" x14ac:dyDescent="0.55000000000000004">
      <c r="A277" t="s">
        <v>2415</v>
      </c>
      <c r="B277" t="s">
        <v>2414</v>
      </c>
      <c r="C277" t="s">
        <v>10</v>
      </c>
      <c r="D277">
        <v>2824822</v>
      </c>
      <c r="E277" t="s">
        <v>8</v>
      </c>
    </row>
    <row r="278" spans="1:5" x14ac:dyDescent="0.55000000000000004">
      <c r="A278" t="s">
        <v>1162</v>
      </c>
      <c r="B278" t="s">
        <v>1161</v>
      </c>
      <c r="C278" t="s">
        <v>10</v>
      </c>
      <c r="D278">
        <v>384075</v>
      </c>
      <c r="E278" t="s">
        <v>8</v>
      </c>
    </row>
    <row r="279" spans="1:5" x14ac:dyDescent="0.55000000000000004">
      <c r="A279" t="s">
        <v>2790</v>
      </c>
      <c r="B279" t="s">
        <v>2791</v>
      </c>
      <c r="C279" t="s">
        <v>10</v>
      </c>
      <c r="D279">
        <v>1774004</v>
      </c>
      <c r="E279" t="s">
        <v>8</v>
      </c>
    </row>
    <row r="280" spans="1:5" x14ac:dyDescent="0.55000000000000004">
      <c r="A280" t="s">
        <v>50</v>
      </c>
      <c r="B280" t="s">
        <v>49</v>
      </c>
      <c r="C280" t="s">
        <v>10</v>
      </c>
      <c r="D280">
        <v>244228</v>
      </c>
      <c r="E280" t="s">
        <v>8</v>
      </c>
    </row>
    <row r="281" spans="1:5" x14ac:dyDescent="0.55000000000000004">
      <c r="A281" t="s">
        <v>1484</v>
      </c>
      <c r="B281" t="s">
        <v>1482</v>
      </c>
      <c r="C281" t="s">
        <v>1483</v>
      </c>
      <c r="D281">
        <v>109577</v>
      </c>
      <c r="E281" t="s">
        <v>8</v>
      </c>
    </row>
    <row r="282" spans="1:5" x14ac:dyDescent="0.55000000000000004">
      <c r="A282" t="s">
        <v>517</v>
      </c>
      <c r="B282" t="s">
        <v>516</v>
      </c>
      <c r="C282" t="s">
        <v>10</v>
      </c>
      <c r="D282">
        <v>578670</v>
      </c>
      <c r="E282" t="s">
        <v>8</v>
      </c>
    </row>
    <row r="283" spans="1:5" x14ac:dyDescent="0.55000000000000004">
      <c r="A283" t="s">
        <v>1168</v>
      </c>
      <c r="B283" t="s">
        <v>1167</v>
      </c>
      <c r="C283" t="s">
        <v>10</v>
      </c>
      <c r="D283">
        <v>127229</v>
      </c>
      <c r="E283" t="s">
        <v>8</v>
      </c>
    </row>
    <row r="284" spans="1:5" x14ac:dyDescent="0.55000000000000004">
      <c r="A284" t="s">
        <v>1830</v>
      </c>
      <c r="B284" t="s">
        <v>1829</v>
      </c>
      <c r="C284" t="s">
        <v>10</v>
      </c>
      <c r="D284">
        <v>2586910</v>
      </c>
      <c r="E284" t="s">
        <v>8</v>
      </c>
    </row>
    <row r="285" spans="1:5" x14ac:dyDescent="0.55000000000000004">
      <c r="A285" t="s">
        <v>1609</v>
      </c>
      <c r="B285" t="s">
        <v>1608</v>
      </c>
      <c r="C285" t="s">
        <v>1317</v>
      </c>
      <c r="D285">
        <v>1341474</v>
      </c>
      <c r="E285" t="s">
        <v>8</v>
      </c>
    </row>
    <row r="286" spans="1:5" x14ac:dyDescent="0.55000000000000004">
      <c r="A286" t="s">
        <v>955</v>
      </c>
      <c r="B286" t="s">
        <v>954</v>
      </c>
      <c r="C286" t="s">
        <v>10</v>
      </c>
      <c r="D286">
        <v>1374311</v>
      </c>
      <c r="E286" t="s">
        <v>8</v>
      </c>
    </row>
    <row r="287" spans="1:5" x14ac:dyDescent="0.55000000000000004">
      <c r="A287" t="s">
        <v>2792</v>
      </c>
      <c r="B287" t="s">
        <v>2793</v>
      </c>
      <c r="C287" t="s">
        <v>10</v>
      </c>
      <c r="D287">
        <v>243136</v>
      </c>
      <c r="E287" t="s">
        <v>8</v>
      </c>
    </row>
    <row r="288" spans="1:5" x14ac:dyDescent="0.55000000000000004">
      <c r="A288" t="s">
        <v>68</v>
      </c>
      <c r="B288" t="s">
        <v>67</v>
      </c>
      <c r="C288" t="s">
        <v>10</v>
      </c>
      <c r="D288">
        <v>481536</v>
      </c>
      <c r="E288" t="s">
        <v>8</v>
      </c>
    </row>
    <row r="289" spans="1:5" x14ac:dyDescent="0.55000000000000004">
      <c r="A289" t="s">
        <v>2794</v>
      </c>
      <c r="B289" t="s">
        <v>2795</v>
      </c>
      <c r="C289" t="s">
        <v>10</v>
      </c>
      <c r="D289">
        <v>59211</v>
      </c>
      <c r="E289" t="s">
        <v>8</v>
      </c>
    </row>
    <row r="290" spans="1:5" x14ac:dyDescent="0.55000000000000004">
      <c r="A290" t="s">
        <v>2796</v>
      </c>
      <c r="B290" t="s">
        <v>2797</v>
      </c>
      <c r="C290" t="s">
        <v>41</v>
      </c>
      <c r="D290">
        <v>1949086</v>
      </c>
      <c r="E290" t="s">
        <v>8</v>
      </c>
    </row>
    <row r="291" spans="1:5" x14ac:dyDescent="0.55000000000000004">
      <c r="A291" t="s">
        <v>2798</v>
      </c>
      <c r="B291" t="s">
        <v>2799</v>
      </c>
      <c r="C291" t="s">
        <v>6</v>
      </c>
      <c r="D291">
        <v>409553</v>
      </c>
      <c r="E291" t="s">
        <v>8</v>
      </c>
    </row>
    <row r="292" spans="1:5" x14ac:dyDescent="0.55000000000000004">
      <c r="A292" t="s">
        <v>2419</v>
      </c>
      <c r="B292" t="s">
        <v>2418</v>
      </c>
      <c r="C292" t="s">
        <v>6</v>
      </c>
      <c r="D292">
        <v>356417</v>
      </c>
      <c r="E292" t="s">
        <v>8</v>
      </c>
    </row>
    <row r="293" spans="1:5" x14ac:dyDescent="0.55000000000000004">
      <c r="A293" t="s">
        <v>2421</v>
      </c>
      <c r="B293" t="s">
        <v>2420</v>
      </c>
      <c r="C293" t="s">
        <v>6</v>
      </c>
      <c r="D293">
        <v>340568</v>
      </c>
      <c r="E293" t="s">
        <v>8</v>
      </c>
    </row>
    <row r="294" spans="1:5" x14ac:dyDescent="0.55000000000000004">
      <c r="A294" t="s">
        <v>1183</v>
      </c>
      <c r="B294" t="s">
        <v>1182</v>
      </c>
      <c r="C294" t="s">
        <v>10</v>
      </c>
      <c r="D294">
        <v>1806118</v>
      </c>
      <c r="E294" t="s">
        <v>8</v>
      </c>
    </row>
    <row r="295" spans="1:5" x14ac:dyDescent="0.55000000000000004">
      <c r="A295" t="s">
        <v>2800</v>
      </c>
      <c r="B295" t="s">
        <v>2801</v>
      </c>
      <c r="C295" t="s">
        <v>10</v>
      </c>
      <c r="D295">
        <v>2013302</v>
      </c>
      <c r="E295" t="s">
        <v>8</v>
      </c>
    </row>
    <row r="296" spans="1:5" x14ac:dyDescent="0.55000000000000004">
      <c r="A296" t="s">
        <v>1834</v>
      </c>
      <c r="B296" t="s">
        <v>1833</v>
      </c>
      <c r="C296" t="s">
        <v>10</v>
      </c>
      <c r="D296">
        <v>1314018</v>
      </c>
      <c r="E296" t="s">
        <v>8</v>
      </c>
    </row>
    <row r="297" spans="1:5" x14ac:dyDescent="0.55000000000000004">
      <c r="A297" t="s">
        <v>2802</v>
      </c>
      <c r="B297" t="s">
        <v>2803</v>
      </c>
      <c r="C297" t="s">
        <v>10</v>
      </c>
      <c r="D297">
        <v>239434</v>
      </c>
      <c r="E297" t="s">
        <v>8</v>
      </c>
    </row>
    <row r="298" spans="1:5" x14ac:dyDescent="0.55000000000000004">
      <c r="A298" t="s">
        <v>1842</v>
      </c>
      <c r="B298" t="s">
        <v>1841</v>
      </c>
      <c r="C298" t="s">
        <v>10</v>
      </c>
      <c r="D298">
        <v>533603</v>
      </c>
      <c r="E298" t="s">
        <v>8</v>
      </c>
    </row>
    <row r="299" spans="1:5" x14ac:dyDescent="0.55000000000000004">
      <c r="A299" t="s">
        <v>2427</v>
      </c>
      <c r="B299" t="s">
        <v>2426</v>
      </c>
      <c r="C299" t="s">
        <v>26</v>
      </c>
      <c r="D299">
        <v>486945</v>
      </c>
      <c r="E299" t="s">
        <v>8</v>
      </c>
    </row>
    <row r="300" spans="1:5" x14ac:dyDescent="0.55000000000000004">
      <c r="A300" t="s">
        <v>2116</v>
      </c>
      <c r="B300" t="s">
        <v>2115</v>
      </c>
      <c r="C300" t="s">
        <v>10</v>
      </c>
      <c r="D300">
        <v>3226022</v>
      </c>
      <c r="E300" t="s">
        <v>8</v>
      </c>
    </row>
    <row r="301" spans="1:5" x14ac:dyDescent="0.55000000000000004">
      <c r="A301" t="s">
        <v>1621</v>
      </c>
      <c r="B301" t="s">
        <v>1620</v>
      </c>
      <c r="C301" t="s">
        <v>13</v>
      </c>
      <c r="D301">
        <v>594833</v>
      </c>
      <c r="E301" t="s">
        <v>8</v>
      </c>
    </row>
    <row r="302" spans="1:5" x14ac:dyDescent="0.55000000000000004">
      <c r="A302" t="s">
        <v>85</v>
      </c>
      <c r="B302" t="s">
        <v>84</v>
      </c>
      <c r="C302" t="s">
        <v>10</v>
      </c>
      <c r="D302">
        <v>773482</v>
      </c>
      <c r="E302" t="s">
        <v>8</v>
      </c>
    </row>
    <row r="303" spans="1:5" x14ac:dyDescent="0.55000000000000004">
      <c r="A303" t="s">
        <v>1846</v>
      </c>
      <c r="B303" t="s">
        <v>1845</v>
      </c>
      <c r="C303" t="s">
        <v>10</v>
      </c>
      <c r="D303">
        <v>226755</v>
      </c>
      <c r="E303" t="s">
        <v>8</v>
      </c>
    </row>
    <row r="304" spans="1:5" x14ac:dyDescent="0.55000000000000004">
      <c r="A304" t="s">
        <v>2431</v>
      </c>
      <c r="B304" t="s">
        <v>2430</v>
      </c>
      <c r="C304" t="s">
        <v>10</v>
      </c>
      <c r="D304">
        <v>5302617</v>
      </c>
      <c r="E304" t="s">
        <v>8</v>
      </c>
    </row>
    <row r="305" spans="1:5" x14ac:dyDescent="0.55000000000000004">
      <c r="A305" t="s">
        <v>1181</v>
      </c>
      <c r="B305" t="s">
        <v>1180</v>
      </c>
      <c r="C305" t="s">
        <v>10</v>
      </c>
      <c r="D305">
        <v>741381</v>
      </c>
      <c r="E305" t="s">
        <v>8</v>
      </c>
    </row>
    <row r="306" spans="1:5" x14ac:dyDescent="0.55000000000000004">
      <c r="A306" t="s">
        <v>541</v>
      </c>
      <c r="B306" t="s">
        <v>540</v>
      </c>
      <c r="C306" t="s">
        <v>6</v>
      </c>
      <c r="D306">
        <v>78025</v>
      </c>
      <c r="E306" t="s">
        <v>8</v>
      </c>
    </row>
    <row r="307" spans="1:5" x14ac:dyDescent="0.55000000000000004">
      <c r="A307" t="s">
        <v>2804</v>
      </c>
      <c r="B307" t="s">
        <v>2805</v>
      </c>
      <c r="C307" t="s">
        <v>13</v>
      </c>
      <c r="D307">
        <v>1203986</v>
      </c>
      <c r="E307" t="s">
        <v>8</v>
      </c>
    </row>
    <row r="308" spans="1:5" x14ac:dyDescent="0.55000000000000004">
      <c r="A308" t="s">
        <v>1850</v>
      </c>
      <c r="B308" t="s">
        <v>1849</v>
      </c>
      <c r="C308" t="s">
        <v>10</v>
      </c>
      <c r="D308">
        <v>302154</v>
      </c>
      <c r="E308" t="s">
        <v>8</v>
      </c>
    </row>
    <row r="309" spans="1:5" x14ac:dyDescent="0.55000000000000004">
      <c r="A309" t="s">
        <v>1628</v>
      </c>
      <c r="B309" t="s">
        <v>1626</v>
      </c>
      <c r="C309" t="s">
        <v>1627</v>
      </c>
      <c r="D309">
        <v>3522150</v>
      </c>
      <c r="E309" t="s">
        <v>8</v>
      </c>
    </row>
    <row r="310" spans="1:5" x14ac:dyDescent="0.55000000000000004">
      <c r="A310" t="s">
        <v>1206</v>
      </c>
      <c r="B310" t="s">
        <v>1205</v>
      </c>
      <c r="C310" t="s">
        <v>10</v>
      </c>
      <c r="D310">
        <v>3895329</v>
      </c>
      <c r="E310" t="s">
        <v>8</v>
      </c>
    </row>
    <row r="311" spans="1:5" x14ac:dyDescent="0.55000000000000004">
      <c r="A311" t="s">
        <v>2806</v>
      </c>
      <c r="B311" t="s">
        <v>2807</v>
      </c>
      <c r="C311" t="s">
        <v>10</v>
      </c>
      <c r="D311">
        <v>885627</v>
      </c>
      <c r="E311" t="s">
        <v>8</v>
      </c>
    </row>
    <row r="312" spans="1:5" x14ac:dyDescent="0.55000000000000004">
      <c r="A312" t="s">
        <v>2438</v>
      </c>
      <c r="B312" t="s">
        <v>2436</v>
      </c>
      <c r="C312" t="s">
        <v>2437</v>
      </c>
      <c r="D312">
        <v>291426</v>
      </c>
      <c r="E312" t="s">
        <v>8</v>
      </c>
    </row>
    <row r="313" spans="1:5" x14ac:dyDescent="0.55000000000000004">
      <c r="A313" t="s">
        <v>2130</v>
      </c>
      <c r="B313" t="s">
        <v>2129</v>
      </c>
      <c r="C313" t="s">
        <v>10</v>
      </c>
      <c r="D313">
        <v>253844</v>
      </c>
      <c r="E313" t="s">
        <v>8</v>
      </c>
    </row>
    <row r="314" spans="1:5" x14ac:dyDescent="0.55000000000000004">
      <c r="A314" t="s">
        <v>2808</v>
      </c>
      <c r="B314" t="s">
        <v>2809</v>
      </c>
      <c r="C314" t="s">
        <v>10</v>
      </c>
      <c r="D314">
        <v>4136210</v>
      </c>
      <c r="E314" t="s">
        <v>8</v>
      </c>
    </row>
    <row r="315" spans="1:5" x14ac:dyDescent="0.55000000000000004">
      <c r="A315" t="s">
        <v>976</v>
      </c>
      <c r="B315" t="s">
        <v>975</v>
      </c>
      <c r="C315" t="s">
        <v>10</v>
      </c>
      <c r="D315">
        <v>1686883</v>
      </c>
      <c r="E315" t="s">
        <v>8</v>
      </c>
    </row>
    <row r="316" spans="1:5" x14ac:dyDescent="0.55000000000000004">
      <c r="A316" t="s">
        <v>102</v>
      </c>
      <c r="B316" t="s">
        <v>101</v>
      </c>
      <c r="C316" t="s">
        <v>41</v>
      </c>
      <c r="D316">
        <v>2608264</v>
      </c>
      <c r="E316" t="s">
        <v>8</v>
      </c>
    </row>
    <row r="317" spans="1:5" x14ac:dyDescent="0.55000000000000004">
      <c r="A317" t="s">
        <v>104</v>
      </c>
      <c r="B317" t="s">
        <v>103</v>
      </c>
      <c r="C317" t="s">
        <v>10</v>
      </c>
      <c r="D317">
        <v>2300896</v>
      </c>
      <c r="E317" t="s">
        <v>8</v>
      </c>
    </row>
    <row r="318" spans="1:5" x14ac:dyDescent="0.55000000000000004">
      <c r="A318" t="s">
        <v>2810</v>
      </c>
      <c r="B318" t="s">
        <v>2811</v>
      </c>
      <c r="C318" t="s">
        <v>13</v>
      </c>
      <c r="D318">
        <v>493975</v>
      </c>
      <c r="E318" t="s">
        <v>8</v>
      </c>
    </row>
    <row r="319" spans="1:5" x14ac:dyDescent="0.55000000000000004">
      <c r="A319" t="s">
        <v>116</v>
      </c>
      <c r="B319" t="s">
        <v>115</v>
      </c>
      <c r="C319" t="s">
        <v>10</v>
      </c>
      <c r="D319">
        <v>1113907</v>
      </c>
      <c r="E319" t="s">
        <v>8</v>
      </c>
    </row>
    <row r="320" spans="1:5" x14ac:dyDescent="0.55000000000000004">
      <c r="A320" t="s">
        <v>2448</v>
      </c>
      <c r="B320" t="s">
        <v>2447</v>
      </c>
      <c r="C320" t="s">
        <v>10</v>
      </c>
      <c r="D320">
        <v>316100</v>
      </c>
      <c r="E320" t="s">
        <v>8</v>
      </c>
    </row>
    <row r="321" spans="1:5" x14ac:dyDescent="0.55000000000000004">
      <c r="A321" t="s">
        <v>1204</v>
      </c>
      <c r="B321" t="s">
        <v>1203</v>
      </c>
      <c r="C321" t="s">
        <v>10</v>
      </c>
      <c r="D321">
        <v>1219920</v>
      </c>
      <c r="E321" t="s">
        <v>8</v>
      </c>
    </row>
    <row r="322" spans="1:5" x14ac:dyDescent="0.55000000000000004">
      <c r="A322" t="s">
        <v>833</v>
      </c>
      <c r="B322" t="s">
        <v>832</v>
      </c>
      <c r="C322" t="s">
        <v>141</v>
      </c>
      <c r="D322">
        <v>2036459</v>
      </c>
      <c r="E322" t="s">
        <v>8</v>
      </c>
    </row>
    <row r="323" spans="1:5" x14ac:dyDescent="0.55000000000000004">
      <c r="A323" t="s">
        <v>2450</v>
      </c>
      <c r="B323" t="s">
        <v>2449</v>
      </c>
      <c r="C323" t="s">
        <v>10</v>
      </c>
      <c r="D323">
        <v>986250</v>
      </c>
      <c r="E323" t="s">
        <v>8</v>
      </c>
    </row>
    <row r="324" spans="1:5" x14ac:dyDescent="0.55000000000000004">
      <c r="A324" t="s">
        <v>552</v>
      </c>
      <c r="B324" t="s">
        <v>551</v>
      </c>
      <c r="C324" t="s">
        <v>10</v>
      </c>
      <c r="D324">
        <v>823525</v>
      </c>
      <c r="E324" t="s">
        <v>8</v>
      </c>
    </row>
    <row r="325" spans="1:5" x14ac:dyDescent="0.55000000000000004">
      <c r="A325" t="s">
        <v>2146</v>
      </c>
      <c r="B325" t="s">
        <v>2145</v>
      </c>
      <c r="C325" t="s">
        <v>13</v>
      </c>
      <c r="D325">
        <v>714491</v>
      </c>
      <c r="E325" t="s">
        <v>8</v>
      </c>
    </row>
    <row r="326" spans="1:5" x14ac:dyDescent="0.55000000000000004">
      <c r="A326" t="s">
        <v>2150</v>
      </c>
      <c r="B326" t="s">
        <v>2149</v>
      </c>
      <c r="C326" t="s">
        <v>10</v>
      </c>
      <c r="D326">
        <v>1193760</v>
      </c>
      <c r="E326" t="s">
        <v>8</v>
      </c>
    </row>
    <row r="327" spans="1:5" x14ac:dyDescent="0.55000000000000004">
      <c r="A327" t="s">
        <v>2455</v>
      </c>
      <c r="B327" t="s">
        <v>2454</v>
      </c>
      <c r="C327" t="s">
        <v>545</v>
      </c>
      <c r="D327">
        <v>713153</v>
      </c>
      <c r="E327" t="s">
        <v>8</v>
      </c>
    </row>
    <row r="328" spans="1:5" x14ac:dyDescent="0.55000000000000004">
      <c r="A328" t="s">
        <v>1650</v>
      </c>
      <c r="B328" t="s">
        <v>1649</v>
      </c>
      <c r="C328" t="s">
        <v>6</v>
      </c>
      <c r="D328">
        <v>278551</v>
      </c>
      <c r="E328" t="s">
        <v>8</v>
      </c>
    </row>
    <row r="329" spans="1:5" x14ac:dyDescent="0.55000000000000004">
      <c r="A329" t="s">
        <v>130</v>
      </c>
      <c r="B329" t="s">
        <v>129</v>
      </c>
      <c r="C329" t="s">
        <v>6</v>
      </c>
      <c r="D329">
        <v>2194306</v>
      </c>
      <c r="E329" t="s">
        <v>8</v>
      </c>
    </row>
    <row r="330" spans="1:5" x14ac:dyDescent="0.55000000000000004">
      <c r="A330" t="s">
        <v>1652</v>
      </c>
      <c r="B330" t="s">
        <v>1651</v>
      </c>
      <c r="C330" t="s">
        <v>10</v>
      </c>
      <c r="D330">
        <v>440603</v>
      </c>
      <c r="E330" t="s">
        <v>8</v>
      </c>
    </row>
    <row r="331" spans="1:5" x14ac:dyDescent="0.55000000000000004">
      <c r="A331" t="s">
        <v>134</v>
      </c>
      <c r="B331" t="s">
        <v>133</v>
      </c>
      <c r="C331" t="s">
        <v>10</v>
      </c>
      <c r="D331">
        <v>11773088</v>
      </c>
      <c r="E331" t="s">
        <v>8</v>
      </c>
    </row>
    <row r="332" spans="1:5" x14ac:dyDescent="0.55000000000000004">
      <c r="A332" t="s">
        <v>1217</v>
      </c>
      <c r="B332" t="s">
        <v>1216</v>
      </c>
      <c r="C332" t="s">
        <v>13</v>
      </c>
      <c r="D332">
        <v>1096024</v>
      </c>
      <c r="E332" t="s">
        <v>8</v>
      </c>
    </row>
    <row r="333" spans="1:5" x14ac:dyDescent="0.55000000000000004">
      <c r="A333" t="s">
        <v>146</v>
      </c>
      <c r="B333" t="s">
        <v>145</v>
      </c>
      <c r="C333" t="s">
        <v>13</v>
      </c>
      <c r="D333">
        <v>626215</v>
      </c>
      <c r="E333" t="s">
        <v>8</v>
      </c>
    </row>
    <row r="334" spans="1:5" x14ac:dyDescent="0.55000000000000004">
      <c r="A334" t="s">
        <v>148</v>
      </c>
      <c r="B334" t="s">
        <v>147</v>
      </c>
      <c r="C334" t="s">
        <v>10</v>
      </c>
      <c r="D334">
        <v>408693</v>
      </c>
      <c r="E334" t="s">
        <v>8</v>
      </c>
    </row>
    <row r="335" spans="1:5" x14ac:dyDescent="0.55000000000000004">
      <c r="A335" t="s">
        <v>2457</v>
      </c>
      <c r="B335" t="s">
        <v>2456</v>
      </c>
      <c r="C335" t="s">
        <v>10</v>
      </c>
      <c r="D335">
        <v>369538</v>
      </c>
      <c r="E335" t="s">
        <v>8</v>
      </c>
    </row>
    <row r="336" spans="1:5" x14ac:dyDescent="0.55000000000000004">
      <c r="A336" t="s">
        <v>152</v>
      </c>
      <c r="B336" t="s">
        <v>151</v>
      </c>
      <c r="C336" t="s">
        <v>10</v>
      </c>
      <c r="D336">
        <v>1333559</v>
      </c>
      <c r="E336" t="s">
        <v>8</v>
      </c>
    </row>
    <row r="337" spans="1:5" x14ac:dyDescent="0.55000000000000004">
      <c r="A337" t="s">
        <v>2812</v>
      </c>
      <c r="B337" t="s">
        <v>2813</v>
      </c>
      <c r="C337" t="s">
        <v>76</v>
      </c>
      <c r="D337">
        <v>1666844</v>
      </c>
      <c r="E337" t="s">
        <v>8</v>
      </c>
    </row>
    <row r="338" spans="1:5" x14ac:dyDescent="0.55000000000000004">
      <c r="A338" t="s">
        <v>2814</v>
      </c>
      <c r="B338" t="s">
        <v>2815</v>
      </c>
      <c r="C338" t="s">
        <v>2816</v>
      </c>
      <c r="D338">
        <v>388932</v>
      </c>
      <c r="E338" t="s">
        <v>8</v>
      </c>
    </row>
    <row r="339" spans="1:5" x14ac:dyDescent="0.55000000000000004">
      <c r="A339" t="s">
        <v>2154</v>
      </c>
      <c r="B339" t="s">
        <v>2153</v>
      </c>
      <c r="C339" t="s">
        <v>10</v>
      </c>
      <c r="D339">
        <v>624223</v>
      </c>
      <c r="E339" t="s">
        <v>8</v>
      </c>
    </row>
    <row r="340" spans="1:5" x14ac:dyDescent="0.55000000000000004">
      <c r="A340" t="s">
        <v>1227</v>
      </c>
      <c r="B340" t="s">
        <v>1226</v>
      </c>
      <c r="C340" t="s">
        <v>10</v>
      </c>
      <c r="D340">
        <v>381270</v>
      </c>
      <c r="E340" t="s">
        <v>8</v>
      </c>
    </row>
    <row r="341" spans="1:5" x14ac:dyDescent="0.55000000000000004">
      <c r="A341" t="s">
        <v>2158</v>
      </c>
      <c r="B341" t="s">
        <v>2157</v>
      </c>
      <c r="C341" t="s">
        <v>10</v>
      </c>
      <c r="D341">
        <v>615257</v>
      </c>
      <c r="E341" t="s">
        <v>8</v>
      </c>
    </row>
    <row r="342" spans="1:5" x14ac:dyDescent="0.55000000000000004">
      <c r="A342" t="s">
        <v>162</v>
      </c>
      <c r="B342" t="s">
        <v>161</v>
      </c>
      <c r="C342" t="s">
        <v>13</v>
      </c>
      <c r="D342">
        <v>2352714</v>
      </c>
      <c r="E342" t="s">
        <v>8</v>
      </c>
    </row>
    <row r="343" spans="1:5" x14ac:dyDescent="0.55000000000000004">
      <c r="A343" t="s">
        <v>2817</v>
      </c>
      <c r="B343" t="s">
        <v>2818</v>
      </c>
      <c r="C343" t="s">
        <v>10</v>
      </c>
      <c r="D343">
        <v>231594</v>
      </c>
      <c r="E343" t="s">
        <v>8</v>
      </c>
    </row>
    <row r="344" spans="1:5" x14ac:dyDescent="0.55000000000000004">
      <c r="A344" t="s">
        <v>2819</v>
      </c>
      <c r="B344" t="s">
        <v>2820</v>
      </c>
      <c r="C344" t="s">
        <v>10</v>
      </c>
      <c r="D344">
        <v>270577</v>
      </c>
      <c r="E344" t="s">
        <v>8</v>
      </c>
    </row>
    <row r="345" spans="1:5" x14ac:dyDescent="0.55000000000000004">
      <c r="A345" t="s">
        <v>2467</v>
      </c>
      <c r="B345" t="s">
        <v>2466</v>
      </c>
      <c r="C345" t="s">
        <v>10</v>
      </c>
      <c r="D345">
        <v>1046468</v>
      </c>
      <c r="E345" t="s">
        <v>8</v>
      </c>
    </row>
    <row r="346" spans="1:5" x14ac:dyDescent="0.55000000000000004">
      <c r="A346" t="s">
        <v>2821</v>
      </c>
      <c r="B346" t="s">
        <v>2822</v>
      </c>
      <c r="C346" t="s">
        <v>6</v>
      </c>
      <c r="D346">
        <v>316915</v>
      </c>
      <c r="E346" t="s">
        <v>8</v>
      </c>
    </row>
    <row r="347" spans="1:5" x14ac:dyDescent="0.55000000000000004">
      <c r="A347" t="s">
        <v>1671</v>
      </c>
      <c r="B347" t="s">
        <v>1670</v>
      </c>
      <c r="C347" t="s">
        <v>10</v>
      </c>
      <c r="D347">
        <v>798274</v>
      </c>
      <c r="E347" t="s">
        <v>8</v>
      </c>
    </row>
    <row r="348" spans="1:5" x14ac:dyDescent="0.55000000000000004">
      <c r="A348" t="s">
        <v>2823</v>
      </c>
      <c r="B348" t="s">
        <v>2824</v>
      </c>
      <c r="C348" t="s">
        <v>10</v>
      </c>
      <c r="D348">
        <v>263919</v>
      </c>
      <c r="E348" t="s">
        <v>8</v>
      </c>
    </row>
    <row r="349" spans="1:5" x14ac:dyDescent="0.55000000000000004">
      <c r="A349" t="s">
        <v>188</v>
      </c>
      <c r="B349" t="s">
        <v>187</v>
      </c>
      <c r="C349" t="s">
        <v>6</v>
      </c>
      <c r="D349">
        <v>1189404</v>
      </c>
      <c r="E349" t="s">
        <v>8</v>
      </c>
    </row>
    <row r="350" spans="1:5" x14ac:dyDescent="0.55000000000000004">
      <c r="A350" t="s">
        <v>1246</v>
      </c>
      <c r="B350" t="s">
        <v>1245</v>
      </c>
      <c r="C350" t="s">
        <v>41</v>
      </c>
      <c r="D350">
        <v>4701645</v>
      </c>
      <c r="E350" t="s">
        <v>8</v>
      </c>
    </row>
    <row r="351" spans="1:5" x14ac:dyDescent="0.55000000000000004">
      <c r="A351" t="s">
        <v>1244</v>
      </c>
      <c r="B351" t="s">
        <v>1243</v>
      </c>
      <c r="C351" t="s">
        <v>10</v>
      </c>
      <c r="D351">
        <v>272992</v>
      </c>
      <c r="E351" t="s">
        <v>8</v>
      </c>
    </row>
    <row r="352" spans="1:5" x14ac:dyDescent="0.55000000000000004">
      <c r="A352" t="s">
        <v>2178</v>
      </c>
      <c r="B352" t="s">
        <v>2177</v>
      </c>
      <c r="C352" t="s">
        <v>10</v>
      </c>
      <c r="D352">
        <v>1629375</v>
      </c>
      <c r="E352" t="s">
        <v>8</v>
      </c>
    </row>
    <row r="353" spans="1:5" x14ac:dyDescent="0.55000000000000004">
      <c r="A353" t="s">
        <v>569</v>
      </c>
      <c r="B353" t="s">
        <v>568</v>
      </c>
      <c r="C353" t="s">
        <v>13</v>
      </c>
      <c r="D353">
        <v>209808</v>
      </c>
      <c r="E353" t="s">
        <v>8</v>
      </c>
    </row>
    <row r="354" spans="1:5" x14ac:dyDescent="0.55000000000000004">
      <c r="A354" t="s">
        <v>2180</v>
      </c>
      <c r="B354" t="s">
        <v>2179</v>
      </c>
      <c r="C354" t="s">
        <v>10</v>
      </c>
      <c r="D354">
        <v>3410048</v>
      </c>
      <c r="E354" t="s">
        <v>8</v>
      </c>
    </row>
    <row r="355" spans="1:5" x14ac:dyDescent="0.55000000000000004">
      <c r="A355" t="s">
        <v>2825</v>
      </c>
      <c r="B355" t="s">
        <v>2826</v>
      </c>
      <c r="C355" t="s">
        <v>13</v>
      </c>
      <c r="D355">
        <v>538537</v>
      </c>
      <c r="E355" t="s">
        <v>8</v>
      </c>
    </row>
    <row r="356" spans="1:5" x14ac:dyDescent="0.55000000000000004">
      <c r="A356" t="s">
        <v>194</v>
      </c>
      <c r="B356" t="s">
        <v>193</v>
      </c>
      <c r="C356" t="s">
        <v>10</v>
      </c>
      <c r="D356">
        <v>1888707</v>
      </c>
      <c r="E356" t="s">
        <v>8</v>
      </c>
    </row>
    <row r="357" spans="1:5" x14ac:dyDescent="0.55000000000000004">
      <c r="A357" t="s">
        <v>1892</v>
      </c>
      <c r="B357" t="s">
        <v>1891</v>
      </c>
      <c r="C357" t="s">
        <v>10</v>
      </c>
      <c r="D357">
        <v>351807</v>
      </c>
      <c r="E357" t="s">
        <v>8</v>
      </c>
    </row>
    <row r="358" spans="1:5" x14ac:dyDescent="0.55000000000000004">
      <c r="A358" t="s">
        <v>2827</v>
      </c>
      <c r="B358" t="s">
        <v>2828</v>
      </c>
      <c r="C358" t="s">
        <v>10</v>
      </c>
      <c r="D358">
        <v>897714</v>
      </c>
      <c r="E358" t="s">
        <v>8</v>
      </c>
    </row>
    <row r="359" spans="1:5" x14ac:dyDescent="0.55000000000000004">
      <c r="A359" t="s">
        <v>571</v>
      </c>
      <c r="B359" t="s">
        <v>570</v>
      </c>
      <c r="C359" t="s">
        <v>10</v>
      </c>
      <c r="D359">
        <v>820677</v>
      </c>
      <c r="E359" t="s">
        <v>8</v>
      </c>
    </row>
    <row r="360" spans="1:5" x14ac:dyDescent="0.55000000000000004">
      <c r="A360" t="s">
        <v>1017</v>
      </c>
      <c r="B360" t="s">
        <v>1016</v>
      </c>
      <c r="C360" t="s">
        <v>10</v>
      </c>
      <c r="D360">
        <v>229551</v>
      </c>
      <c r="E360" t="s">
        <v>8</v>
      </c>
    </row>
    <row r="361" spans="1:5" x14ac:dyDescent="0.55000000000000004">
      <c r="A361" t="s">
        <v>1252</v>
      </c>
      <c r="B361" t="s">
        <v>1251</v>
      </c>
      <c r="C361" t="s">
        <v>10</v>
      </c>
      <c r="D361">
        <v>2252462</v>
      </c>
      <c r="E361" t="s">
        <v>8</v>
      </c>
    </row>
    <row r="362" spans="1:5" x14ac:dyDescent="0.55000000000000004">
      <c r="A362" t="s">
        <v>2829</v>
      </c>
      <c r="B362" t="s">
        <v>2830</v>
      </c>
      <c r="C362" t="s">
        <v>141</v>
      </c>
      <c r="D362">
        <v>262014</v>
      </c>
      <c r="E362" t="s">
        <v>8</v>
      </c>
    </row>
    <row r="363" spans="1:5" x14ac:dyDescent="0.55000000000000004">
      <c r="A363" t="s">
        <v>2831</v>
      </c>
      <c r="B363" t="s">
        <v>2832</v>
      </c>
      <c r="C363" t="s">
        <v>10</v>
      </c>
      <c r="D363">
        <v>362650</v>
      </c>
      <c r="E363" t="s">
        <v>8</v>
      </c>
    </row>
    <row r="364" spans="1:5" x14ac:dyDescent="0.55000000000000004">
      <c r="A364" t="s">
        <v>2195</v>
      </c>
      <c r="B364" t="s">
        <v>2194</v>
      </c>
      <c r="C364" t="s">
        <v>10</v>
      </c>
      <c r="D364">
        <v>60596</v>
      </c>
      <c r="E364" t="s">
        <v>8</v>
      </c>
    </row>
    <row r="365" spans="1:5" x14ac:dyDescent="0.55000000000000004">
      <c r="A365" t="s">
        <v>2200</v>
      </c>
      <c r="B365" t="s">
        <v>2198</v>
      </c>
      <c r="C365" t="s">
        <v>2199</v>
      </c>
      <c r="D365">
        <v>694423</v>
      </c>
      <c r="E365" t="s">
        <v>8</v>
      </c>
    </row>
    <row r="366" spans="1:5" x14ac:dyDescent="0.55000000000000004">
      <c r="A366" t="s">
        <v>2485</v>
      </c>
      <c r="B366" t="s">
        <v>2484</v>
      </c>
      <c r="C366" t="s">
        <v>1317</v>
      </c>
      <c r="D366">
        <v>140897</v>
      </c>
      <c r="E366" t="s">
        <v>8</v>
      </c>
    </row>
    <row r="367" spans="1:5" x14ac:dyDescent="0.55000000000000004">
      <c r="A367" t="s">
        <v>2206</v>
      </c>
      <c r="B367" t="s">
        <v>2205</v>
      </c>
      <c r="C367" t="s">
        <v>10</v>
      </c>
      <c r="D367">
        <v>2530928</v>
      </c>
      <c r="E367" t="s">
        <v>8</v>
      </c>
    </row>
    <row r="368" spans="1:5" x14ac:dyDescent="0.55000000000000004">
      <c r="A368" t="s">
        <v>1902</v>
      </c>
      <c r="B368" t="s">
        <v>1901</v>
      </c>
      <c r="C368" t="s">
        <v>1483</v>
      </c>
      <c r="D368">
        <v>169322</v>
      </c>
      <c r="E368" t="s">
        <v>8</v>
      </c>
    </row>
    <row r="369" spans="1:5" x14ac:dyDescent="0.55000000000000004">
      <c r="A369" t="s">
        <v>2833</v>
      </c>
      <c r="B369" t="s">
        <v>1268</v>
      </c>
      <c r="C369" t="s">
        <v>26</v>
      </c>
      <c r="D369">
        <v>192514</v>
      </c>
      <c r="E369" t="s">
        <v>8</v>
      </c>
    </row>
    <row r="370" spans="1:5" x14ac:dyDescent="0.55000000000000004">
      <c r="A370" t="s">
        <v>1280</v>
      </c>
      <c r="B370" t="s">
        <v>1279</v>
      </c>
      <c r="C370" t="s">
        <v>10</v>
      </c>
      <c r="D370">
        <v>243028</v>
      </c>
      <c r="E370" t="s">
        <v>8</v>
      </c>
    </row>
    <row r="371" spans="1:5" x14ac:dyDescent="0.55000000000000004">
      <c r="A371" t="s">
        <v>2834</v>
      </c>
      <c r="B371" t="s">
        <v>2835</v>
      </c>
      <c r="C371" t="s">
        <v>10</v>
      </c>
      <c r="D371">
        <v>905740</v>
      </c>
      <c r="E371" t="s">
        <v>8</v>
      </c>
    </row>
    <row r="372" spans="1:5" x14ac:dyDescent="0.55000000000000004">
      <c r="A372" t="s">
        <v>2836</v>
      </c>
      <c r="B372" t="s">
        <v>2837</v>
      </c>
      <c r="C372" t="s">
        <v>13</v>
      </c>
      <c r="D372">
        <v>1506179</v>
      </c>
      <c r="E372" t="s">
        <v>8</v>
      </c>
    </row>
    <row r="373" spans="1:5" x14ac:dyDescent="0.55000000000000004">
      <c r="A373" t="s">
        <v>2838</v>
      </c>
      <c r="B373" t="s">
        <v>2839</v>
      </c>
      <c r="C373" t="s">
        <v>10</v>
      </c>
      <c r="D373">
        <v>234917</v>
      </c>
      <c r="E373" t="s">
        <v>8</v>
      </c>
    </row>
    <row r="374" spans="1:5" x14ac:dyDescent="0.55000000000000004">
      <c r="A374" t="s">
        <v>1915</v>
      </c>
      <c r="B374" t="s">
        <v>1914</v>
      </c>
      <c r="C374" t="s">
        <v>10</v>
      </c>
      <c r="D374">
        <v>711754</v>
      </c>
      <c r="E374" t="s">
        <v>8</v>
      </c>
    </row>
    <row r="375" spans="1:5" x14ac:dyDescent="0.55000000000000004">
      <c r="A375" t="s">
        <v>2840</v>
      </c>
      <c r="B375" t="s">
        <v>2841</v>
      </c>
      <c r="C375" t="s">
        <v>10</v>
      </c>
      <c r="D375">
        <v>1911481</v>
      </c>
      <c r="E375" t="s">
        <v>8</v>
      </c>
    </row>
    <row r="376" spans="1:5" x14ac:dyDescent="0.55000000000000004">
      <c r="A376" t="s">
        <v>593</v>
      </c>
      <c r="B376" t="s">
        <v>592</v>
      </c>
      <c r="C376" t="s">
        <v>10</v>
      </c>
      <c r="D376">
        <v>351237</v>
      </c>
      <c r="E376" t="s">
        <v>8</v>
      </c>
    </row>
    <row r="377" spans="1:5" x14ac:dyDescent="0.55000000000000004">
      <c r="A377" t="s">
        <v>2842</v>
      </c>
      <c r="B377" t="s">
        <v>2843</v>
      </c>
      <c r="C377" t="s">
        <v>10</v>
      </c>
      <c r="D377">
        <v>173847</v>
      </c>
      <c r="E377" t="s">
        <v>8</v>
      </c>
    </row>
    <row r="378" spans="1:5" x14ac:dyDescent="0.55000000000000004">
      <c r="A378" t="s">
        <v>2844</v>
      </c>
      <c r="B378" t="s">
        <v>2845</v>
      </c>
      <c r="C378" t="s">
        <v>1467</v>
      </c>
      <c r="D378">
        <v>342101</v>
      </c>
      <c r="E378" t="s">
        <v>8</v>
      </c>
    </row>
    <row r="379" spans="1:5" x14ac:dyDescent="0.55000000000000004">
      <c r="A379" t="s">
        <v>2225</v>
      </c>
      <c r="B379" t="s">
        <v>2224</v>
      </c>
      <c r="C379" t="s">
        <v>10</v>
      </c>
      <c r="D379">
        <v>5618952</v>
      </c>
      <c r="E379" t="s">
        <v>8</v>
      </c>
    </row>
    <row r="380" spans="1:5" x14ac:dyDescent="0.55000000000000004">
      <c r="A380" t="s">
        <v>2493</v>
      </c>
      <c r="B380" t="s">
        <v>2492</v>
      </c>
      <c r="C380" t="s">
        <v>10</v>
      </c>
      <c r="D380">
        <v>1286617</v>
      </c>
      <c r="E380" t="s">
        <v>8</v>
      </c>
    </row>
    <row r="381" spans="1:5" x14ac:dyDescent="0.55000000000000004">
      <c r="A381" t="s">
        <v>601</v>
      </c>
      <c r="B381" t="s">
        <v>600</v>
      </c>
      <c r="C381" t="s">
        <v>41</v>
      </c>
      <c r="D381">
        <v>226668</v>
      </c>
      <c r="E381" t="s">
        <v>8</v>
      </c>
    </row>
    <row r="382" spans="1:5" x14ac:dyDescent="0.55000000000000004">
      <c r="A382" t="s">
        <v>2846</v>
      </c>
      <c r="B382" t="s">
        <v>2847</v>
      </c>
      <c r="C382" t="s">
        <v>10</v>
      </c>
      <c r="D382">
        <v>731278</v>
      </c>
      <c r="E382" t="s">
        <v>8</v>
      </c>
    </row>
    <row r="383" spans="1:5" x14ac:dyDescent="0.55000000000000004">
      <c r="A383" t="s">
        <v>142</v>
      </c>
      <c r="B383" t="s">
        <v>140</v>
      </c>
      <c r="C383" t="s">
        <v>141</v>
      </c>
      <c r="D383">
        <v>902097</v>
      </c>
      <c r="E383" t="s">
        <v>8</v>
      </c>
    </row>
    <row r="384" spans="1:5" x14ac:dyDescent="0.55000000000000004">
      <c r="A384" t="s">
        <v>2241</v>
      </c>
      <c r="B384" t="s">
        <v>2240</v>
      </c>
      <c r="C384" t="s">
        <v>10</v>
      </c>
      <c r="D384">
        <v>882896</v>
      </c>
      <c r="E384" t="s">
        <v>8</v>
      </c>
    </row>
    <row r="385" spans="1:5" x14ac:dyDescent="0.55000000000000004">
      <c r="A385" t="s">
        <v>263</v>
      </c>
      <c r="B385" t="s">
        <v>262</v>
      </c>
      <c r="C385" t="s">
        <v>10</v>
      </c>
      <c r="D385">
        <v>10142064</v>
      </c>
      <c r="E385" t="s">
        <v>8</v>
      </c>
    </row>
    <row r="386" spans="1:5" x14ac:dyDescent="0.55000000000000004">
      <c r="A386" t="s">
        <v>267</v>
      </c>
      <c r="B386" t="s">
        <v>266</v>
      </c>
      <c r="C386" t="s">
        <v>10</v>
      </c>
      <c r="D386">
        <v>777241</v>
      </c>
      <c r="E386" t="s">
        <v>8</v>
      </c>
    </row>
    <row r="387" spans="1:5" x14ac:dyDescent="0.55000000000000004">
      <c r="A387" t="s">
        <v>2848</v>
      </c>
      <c r="B387" t="s">
        <v>2849</v>
      </c>
      <c r="C387" t="s">
        <v>10</v>
      </c>
      <c r="D387">
        <v>620693</v>
      </c>
      <c r="E387" t="s">
        <v>8</v>
      </c>
    </row>
    <row r="388" spans="1:5" x14ac:dyDescent="0.55000000000000004">
      <c r="A388" t="s">
        <v>2501</v>
      </c>
      <c r="B388" t="s">
        <v>2500</v>
      </c>
      <c r="C388" t="s">
        <v>10</v>
      </c>
      <c r="D388">
        <v>6291704</v>
      </c>
      <c r="E388" t="s">
        <v>8</v>
      </c>
    </row>
    <row r="389" spans="1:5" x14ac:dyDescent="0.55000000000000004">
      <c r="A389" t="s">
        <v>2850</v>
      </c>
      <c r="B389" t="s">
        <v>2851</v>
      </c>
      <c r="C389" t="s">
        <v>10</v>
      </c>
      <c r="D389">
        <v>585382</v>
      </c>
      <c r="E389" t="s">
        <v>8</v>
      </c>
    </row>
    <row r="390" spans="1:5" x14ac:dyDescent="0.55000000000000004">
      <c r="A390" t="s">
        <v>759</v>
      </c>
      <c r="B390" t="s">
        <v>758</v>
      </c>
      <c r="C390" t="s">
        <v>10</v>
      </c>
      <c r="D390">
        <v>1334640</v>
      </c>
      <c r="E390" t="s">
        <v>8</v>
      </c>
    </row>
    <row r="391" spans="1:5" x14ac:dyDescent="0.55000000000000004">
      <c r="A391" t="s">
        <v>2239</v>
      </c>
      <c r="B391" t="s">
        <v>2238</v>
      </c>
      <c r="C391" t="s">
        <v>41</v>
      </c>
      <c r="D391">
        <v>1566647</v>
      </c>
      <c r="E391" t="s">
        <v>8</v>
      </c>
    </row>
    <row r="392" spans="1:5" x14ac:dyDescent="0.55000000000000004">
      <c r="A392" t="s">
        <v>1039</v>
      </c>
      <c r="B392" t="s">
        <v>1038</v>
      </c>
      <c r="C392" t="s">
        <v>10</v>
      </c>
      <c r="D392">
        <v>1246956</v>
      </c>
      <c r="E392" t="s">
        <v>8</v>
      </c>
    </row>
    <row r="393" spans="1:5" x14ac:dyDescent="0.55000000000000004">
      <c r="A393" t="s">
        <v>273</v>
      </c>
      <c r="B393" t="s">
        <v>272</v>
      </c>
      <c r="C393" t="s">
        <v>10</v>
      </c>
      <c r="D393">
        <v>598215</v>
      </c>
      <c r="E393" t="s">
        <v>8</v>
      </c>
    </row>
    <row r="394" spans="1:5" x14ac:dyDescent="0.55000000000000004">
      <c r="A394" t="s">
        <v>2508</v>
      </c>
      <c r="B394" t="s">
        <v>2506</v>
      </c>
      <c r="C394" t="s">
        <v>2507</v>
      </c>
      <c r="D394">
        <v>704023</v>
      </c>
      <c r="E394" t="s">
        <v>8</v>
      </c>
    </row>
    <row r="395" spans="1:5" x14ac:dyDescent="0.55000000000000004">
      <c r="A395" t="s">
        <v>1516</v>
      </c>
      <c r="B395" t="s">
        <v>1515</v>
      </c>
      <c r="C395" t="s">
        <v>6</v>
      </c>
      <c r="D395">
        <v>1103812</v>
      </c>
      <c r="E395" t="s">
        <v>8</v>
      </c>
    </row>
    <row r="396" spans="1:5" x14ac:dyDescent="0.55000000000000004">
      <c r="A396" t="s">
        <v>2505</v>
      </c>
      <c r="B396" t="s">
        <v>2504</v>
      </c>
      <c r="C396" t="s">
        <v>1467</v>
      </c>
      <c r="D396">
        <v>375084</v>
      </c>
      <c r="E396" t="s">
        <v>8</v>
      </c>
    </row>
    <row r="397" spans="1:5" x14ac:dyDescent="0.55000000000000004">
      <c r="A397" t="s">
        <v>2852</v>
      </c>
      <c r="B397" t="s">
        <v>2853</v>
      </c>
      <c r="C397" t="s">
        <v>10</v>
      </c>
      <c r="D397">
        <v>2101510</v>
      </c>
      <c r="E397" t="s">
        <v>8</v>
      </c>
    </row>
    <row r="398" spans="1:5" x14ac:dyDescent="0.55000000000000004">
      <c r="A398" t="s">
        <v>621</v>
      </c>
      <c r="B398" t="s">
        <v>620</v>
      </c>
      <c r="C398" t="s">
        <v>10</v>
      </c>
      <c r="D398">
        <v>888980</v>
      </c>
      <c r="E398" t="s">
        <v>8</v>
      </c>
    </row>
    <row r="399" spans="1:5" x14ac:dyDescent="0.55000000000000004">
      <c r="A399" t="s">
        <v>2854</v>
      </c>
      <c r="B399" t="s">
        <v>2855</v>
      </c>
      <c r="C399" t="s">
        <v>10</v>
      </c>
      <c r="D399">
        <v>1399307</v>
      </c>
      <c r="E399" t="s">
        <v>8</v>
      </c>
    </row>
    <row r="400" spans="1:5" x14ac:dyDescent="0.55000000000000004">
      <c r="A400" t="s">
        <v>1322</v>
      </c>
      <c r="B400" t="s">
        <v>1321</v>
      </c>
      <c r="C400" t="s">
        <v>10</v>
      </c>
      <c r="D400">
        <v>1148584</v>
      </c>
      <c r="E400" t="s">
        <v>8</v>
      </c>
    </row>
    <row r="401" spans="1:5" x14ac:dyDescent="0.55000000000000004">
      <c r="A401" t="s">
        <v>2522</v>
      </c>
      <c r="B401" t="s">
        <v>2521</v>
      </c>
      <c r="C401" t="s">
        <v>10</v>
      </c>
      <c r="D401">
        <v>315996</v>
      </c>
      <c r="E401" t="s">
        <v>8</v>
      </c>
    </row>
    <row r="402" spans="1:5" x14ac:dyDescent="0.55000000000000004">
      <c r="A402" t="s">
        <v>627</v>
      </c>
      <c r="B402" t="s">
        <v>626</v>
      </c>
      <c r="C402" t="s">
        <v>41</v>
      </c>
      <c r="D402">
        <v>223384</v>
      </c>
      <c r="E402" t="s">
        <v>8</v>
      </c>
    </row>
    <row r="403" spans="1:5" x14ac:dyDescent="0.55000000000000004">
      <c r="A403" t="s">
        <v>2512</v>
      </c>
      <c r="B403" t="s">
        <v>2511</v>
      </c>
      <c r="C403" t="s">
        <v>2452</v>
      </c>
      <c r="D403">
        <v>1838864</v>
      </c>
      <c r="E403" t="s">
        <v>8</v>
      </c>
    </row>
    <row r="404" spans="1:5" x14ac:dyDescent="0.55000000000000004">
      <c r="A404" t="s">
        <v>2856</v>
      </c>
      <c r="B404" t="s">
        <v>2857</v>
      </c>
      <c r="C404" t="s">
        <v>41</v>
      </c>
      <c r="D404">
        <v>287570</v>
      </c>
      <c r="E404" t="s">
        <v>8</v>
      </c>
    </row>
    <row r="405" spans="1:5" x14ac:dyDescent="0.55000000000000004">
      <c r="A405" t="s">
        <v>2250</v>
      </c>
      <c r="B405" t="s">
        <v>2249</v>
      </c>
      <c r="C405" t="s">
        <v>10</v>
      </c>
      <c r="D405">
        <v>2382703</v>
      </c>
      <c r="E405" t="s">
        <v>8</v>
      </c>
    </row>
    <row r="406" spans="1:5" x14ac:dyDescent="0.55000000000000004">
      <c r="A406" t="s">
        <v>2518</v>
      </c>
      <c r="B406" t="s">
        <v>2517</v>
      </c>
      <c r="C406" t="s">
        <v>10</v>
      </c>
      <c r="D406">
        <v>199859</v>
      </c>
      <c r="E406" t="s">
        <v>8</v>
      </c>
    </row>
    <row r="407" spans="1:5" x14ac:dyDescent="0.55000000000000004">
      <c r="A407" t="s">
        <v>2252</v>
      </c>
      <c r="B407" t="s">
        <v>2251</v>
      </c>
      <c r="C407" t="s">
        <v>10</v>
      </c>
      <c r="D407">
        <v>439968</v>
      </c>
      <c r="E407" t="s">
        <v>8</v>
      </c>
    </row>
    <row r="408" spans="1:5" x14ac:dyDescent="0.55000000000000004">
      <c r="A408" t="s">
        <v>1053</v>
      </c>
      <c r="B408" t="s">
        <v>1052</v>
      </c>
      <c r="C408" t="s">
        <v>10</v>
      </c>
      <c r="D408">
        <v>343859</v>
      </c>
      <c r="E408" t="s">
        <v>8</v>
      </c>
    </row>
    <row r="409" spans="1:5" x14ac:dyDescent="0.55000000000000004">
      <c r="A409" t="s">
        <v>2254</v>
      </c>
      <c r="B409" t="s">
        <v>2253</v>
      </c>
      <c r="C409" t="s">
        <v>10</v>
      </c>
      <c r="D409">
        <v>4231081</v>
      </c>
      <c r="E409" t="s">
        <v>8</v>
      </c>
    </row>
    <row r="410" spans="1:5" x14ac:dyDescent="0.55000000000000004">
      <c r="A410" t="s">
        <v>1356</v>
      </c>
      <c r="B410" t="s">
        <v>1355</v>
      </c>
      <c r="C410" t="s">
        <v>10</v>
      </c>
      <c r="D410">
        <v>432934</v>
      </c>
      <c r="E410" t="s">
        <v>8</v>
      </c>
    </row>
    <row r="411" spans="1:5" x14ac:dyDescent="0.55000000000000004">
      <c r="A411" t="s">
        <v>637</v>
      </c>
      <c r="B411" t="s">
        <v>636</v>
      </c>
      <c r="C411" t="s">
        <v>10</v>
      </c>
      <c r="D411">
        <v>522155</v>
      </c>
      <c r="E411" t="s">
        <v>8</v>
      </c>
    </row>
    <row r="412" spans="1:5" x14ac:dyDescent="0.55000000000000004">
      <c r="A412" t="s">
        <v>1055</v>
      </c>
      <c r="B412" t="s">
        <v>1054</v>
      </c>
      <c r="C412" t="s">
        <v>10</v>
      </c>
      <c r="D412">
        <v>355602</v>
      </c>
      <c r="E412" t="s">
        <v>8</v>
      </c>
    </row>
    <row r="413" spans="1:5" x14ac:dyDescent="0.55000000000000004">
      <c r="A413" t="s">
        <v>2524</v>
      </c>
      <c r="B413" t="s">
        <v>2523</v>
      </c>
      <c r="C413" t="s">
        <v>10</v>
      </c>
      <c r="D413">
        <v>10167796</v>
      </c>
      <c r="E413" t="s">
        <v>8</v>
      </c>
    </row>
    <row r="414" spans="1:5" x14ac:dyDescent="0.55000000000000004">
      <c r="A414" t="s">
        <v>2858</v>
      </c>
      <c r="B414" t="s">
        <v>2859</v>
      </c>
      <c r="C414" t="s">
        <v>10</v>
      </c>
      <c r="D414">
        <v>262151</v>
      </c>
      <c r="E414" t="s">
        <v>8</v>
      </c>
    </row>
    <row r="415" spans="1:5" x14ac:dyDescent="0.55000000000000004">
      <c r="A415" t="s">
        <v>303</v>
      </c>
      <c r="B415" t="s">
        <v>302</v>
      </c>
      <c r="C415" t="s">
        <v>10</v>
      </c>
      <c r="D415">
        <v>310553</v>
      </c>
      <c r="E415" t="s">
        <v>8</v>
      </c>
    </row>
    <row r="416" spans="1:5" x14ac:dyDescent="0.55000000000000004">
      <c r="A416" t="s">
        <v>1059</v>
      </c>
      <c r="B416" t="s">
        <v>1058</v>
      </c>
      <c r="C416" t="s">
        <v>10</v>
      </c>
      <c r="D416">
        <v>1413426</v>
      </c>
      <c r="E416" t="s">
        <v>8</v>
      </c>
    </row>
    <row r="417" spans="1:5" x14ac:dyDescent="0.55000000000000004">
      <c r="A417" t="s">
        <v>305</v>
      </c>
      <c r="B417" t="s">
        <v>304</v>
      </c>
      <c r="C417" t="s">
        <v>10</v>
      </c>
      <c r="D417">
        <v>267267</v>
      </c>
      <c r="E417" t="s">
        <v>8</v>
      </c>
    </row>
    <row r="418" spans="1:5" x14ac:dyDescent="0.55000000000000004">
      <c r="A418" t="s">
        <v>2860</v>
      </c>
      <c r="B418" t="s">
        <v>2861</v>
      </c>
      <c r="C418" t="s">
        <v>10</v>
      </c>
      <c r="D418">
        <v>241906</v>
      </c>
      <c r="E418" t="s">
        <v>8</v>
      </c>
    </row>
    <row r="419" spans="1:5" x14ac:dyDescent="0.55000000000000004">
      <c r="A419" t="s">
        <v>2862</v>
      </c>
      <c r="B419" t="s">
        <v>2863</v>
      </c>
      <c r="C419" t="s">
        <v>10</v>
      </c>
      <c r="D419">
        <v>222368</v>
      </c>
      <c r="E419" t="s">
        <v>8</v>
      </c>
    </row>
    <row r="420" spans="1:5" x14ac:dyDescent="0.55000000000000004">
      <c r="A420" t="s">
        <v>1958</v>
      </c>
      <c r="B420" t="s">
        <v>1957</v>
      </c>
      <c r="C420" t="s">
        <v>10</v>
      </c>
      <c r="D420">
        <v>933454</v>
      </c>
      <c r="E420" t="s">
        <v>8</v>
      </c>
    </row>
    <row r="421" spans="1:5" x14ac:dyDescent="0.55000000000000004">
      <c r="A421" t="s">
        <v>2864</v>
      </c>
      <c r="B421" t="s">
        <v>2865</v>
      </c>
      <c r="C421" t="s">
        <v>880</v>
      </c>
      <c r="D421">
        <v>503587</v>
      </c>
      <c r="E421" t="s">
        <v>8</v>
      </c>
    </row>
    <row r="422" spans="1:5" x14ac:dyDescent="0.55000000000000004">
      <c r="A422" t="s">
        <v>2866</v>
      </c>
      <c r="B422" t="s">
        <v>2867</v>
      </c>
      <c r="C422" t="s">
        <v>10</v>
      </c>
      <c r="D422">
        <v>492238</v>
      </c>
      <c r="E422" t="s">
        <v>8</v>
      </c>
    </row>
    <row r="423" spans="1:5" x14ac:dyDescent="0.55000000000000004">
      <c r="A423" t="s">
        <v>2284</v>
      </c>
      <c r="B423" t="s">
        <v>2283</v>
      </c>
      <c r="C423" t="s">
        <v>10</v>
      </c>
      <c r="D423">
        <v>155807</v>
      </c>
      <c r="E423" t="s">
        <v>8</v>
      </c>
    </row>
    <row r="424" spans="1:5" x14ac:dyDescent="0.55000000000000004">
      <c r="A424" t="s">
        <v>1362</v>
      </c>
      <c r="B424" t="s">
        <v>1361</v>
      </c>
      <c r="C424" t="s">
        <v>10</v>
      </c>
      <c r="D424">
        <v>1671294</v>
      </c>
      <c r="E424" t="s">
        <v>8</v>
      </c>
    </row>
    <row r="425" spans="1:5" x14ac:dyDescent="0.55000000000000004">
      <c r="A425" t="s">
        <v>2868</v>
      </c>
      <c r="B425" t="s">
        <v>2869</v>
      </c>
      <c r="C425" t="s">
        <v>13</v>
      </c>
      <c r="D425">
        <v>552967</v>
      </c>
      <c r="E425" t="s">
        <v>8</v>
      </c>
    </row>
    <row r="426" spans="1:5" x14ac:dyDescent="0.55000000000000004">
      <c r="A426" t="s">
        <v>2538</v>
      </c>
      <c r="B426" t="s">
        <v>2537</v>
      </c>
      <c r="C426" t="s">
        <v>13</v>
      </c>
      <c r="D426">
        <v>510637</v>
      </c>
      <c r="E426" t="s">
        <v>8</v>
      </c>
    </row>
    <row r="427" spans="1:5" x14ac:dyDescent="0.55000000000000004">
      <c r="A427" t="s">
        <v>1964</v>
      </c>
      <c r="B427" t="s">
        <v>1963</v>
      </c>
      <c r="C427" t="s">
        <v>76</v>
      </c>
      <c r="D427">
        <v>237623</v>
      </c>
      <c r="E427" t="s">
        <v>8</v>
      </c>
    </row>
    <row r="428" spans="1:5" x14ac:dyDescent="0.55000000000000004">
      <c r="A428" t="s">
        <v>2280</v>
      </c>
      <c r="B428" t="s">
        <v>2279</v>
      </c>
      <c r="C428" t="s">
        <v>10</v>
      </c>
      <c r="D428">
        <v>746054</v>
      </c>
      <c r="E428" t="s">
        <v>8</v>
      </c>
    </row>
    <row r="429" spans="1:5" x14ac:dyDescent="0.55000000000000004">
      <c r="A429" t="s">
        <v>773</v>
      </c>
      <c r="B429" t="s">
        <v>772</v>
      </c>
      <c r="C429" t="s">
        <v>10</v>
      </c>
      <c r="D429">
        <v>1075634</v>
      </c>
      <c r="E429" t="s">
        <v>8</v>
      </c>
    </row>
    <row r="430" spans="1:5" x14ac:dyDescent="0.55000000000000004">
      <c r="A430" t="s">
        <v>2294</v>
      </c>
      <c r="B430" t="s">
        <v>2293</v>
      </c>
      <c r="C430" t="s">
        <v>10</v>
      </c>
      <c r="D430">
        <v>532581</v>
      </c>
      <c r="E430" t="s">
        <v>8</v>
      </c>
    </row>
    <row r="431" spans="1:5" x14ac:dyDescent="0.55000000000000004">
      <c r="A431" t="s">
        <v>1727</v>
      </c>
      <c r="B431" t="s">
        <v>1726</v>
      </c>
      <c r="C431" t="s">
        <v>10</v>
      </c>
      <c r="D431">
        <v>1112821</v>
      </c>
      <c r="E431" t="s">
        <v>8</v>
      </c>
    </row>
    <row r="432" spans="1:5" x14ac:dyDescent="0.55000000000000004">
      <c r="A432" t="s">
        <v>2870</v>
      </c>
      <c r="B432" t="s">
        <v>2871</v>
      </c>
      <c r="C432" t="s">
        <v>10</v>
      </c>
      <c r="D432">
        <v>6379345</v>
      </c>
      <c r="E432" t="s">
        <v>8</v>
      </c>
    </row>
    <row r="433" spans="1:5" x14ac:dyDescent="0.55000000000000004">
      <c r="A433" t="s">
        <v>663</v>
      </c>
      <c r="B433" t="s">
        <v>662</v>
      </c>
      <c r="C433" t="s">
        <v>41</v>
      </c>
      <c r="D433">
        <v>269050</v>
      </c>
      <c r="E433" t="s">
        <v>8</v>
      </c>
    </row>
    <row r="434" spans="1:5" x14ac:dyDescent="0.55000000000000004">
      <c r="A434" t="s">
        <v>2558</v>
      </c>
      <c r="B434" t="s">
        <v>2557</v>
      </c>
      <c r="C434" t="s">
        <v>10</v>
      </c>
      <c r="D434">
        <v>723300</v>
      </c>
      <c r="E434" t="s">
        <v>8</v>
      </c>
    </row>
    <row r="435" spans="1:5" x14ac:dyDescent="0.55000000000000004">
      <c r="A435" t="s">
        <v>2556</v>
      </c>
      <c r="B435" t="s">
        <v>2555</v>
      </c>
      <c r="C435" t="s">
        <v>10</v>
      </c>
      <c r="D435">
        <v>110582</v>
      </c>
      <c r="E435" t="s">
        <v>8</v>
      </c>
    </row>
    <row r="436" spans="1:5" x14ac:dyDescent="0.55000000000000004">
      <c r="A436" t="s">
        <v>894</v>
      </c>
      <c r="B436" t="s">
        <v>893</v>
      </c>
      <c r="C436" t="s">
        <v>141</v>
      </c>
      <c r="D436">
        <v>230310</v>
      </c>
      <c r="E436" t="s">
        <v>8</v>
      </c>
    </row>
    <row r="437" spans="1:5" x14ac:dyDescent="0.55000000000000004">
      <c r="A437" t="s">
        <v>1737</v>
      </c>
      <c r="B437" t="s">
        <v>1736</v>
      </c>
      <c r="C437" t="s">
        <v>10</v>
      </c>
      <c r="D437">
        <v>1108026</v>
      </c>
      <c r="E437" t="s">
        <v>8</v>
      </c>
    </row>
    <row r="438" spans="1:5" x14ac:dyDescent="0.55000000000000004">
      <c r="A438" t="s">
        <v>2565</v>
      </c>
      <c r="B438" t="s">
        <v>2563</v>
      </c>
      <c r="C438" t="s">
        <v>2564</v>
      </c>
      <c r="D438">
        <v>372755</v>
      </c>
      <c r="E438" t="s">
        <v>8</v>
      </c>
    </row>
    <row r="439" spans="1:5" x14ac:dyDescent="0.55000000000000004">
      <c r="A439" t="s">
        <v>2872</v>
      </c>
      <c r="B439" t="s">
        <v>2873</v>
      </c>
      <c r="C439" t="s">
        <v>10</v>
      </c>
      <c r="D439">
        <v>505372</v>
      </c>
      <c r="E439" t="s">
        <v>8</v>
      </c>
    </row>
    <row r="440" spans="1:5" x14ac:dyDescent="0.55000000000000004">
      <c r="A440" t="s">
        <v>2874</v>
      </c>
      <c r="B440" t="s">
        <v>2875</v>
      </c>
      <c r="C440" t="s">
        <v>6</v>
      </c>
      <c r="D440">
        <v>287473</v>
      </c>
      <c r="E440" t="s">
        <v>8</v>
      </c>
    </row>
    <row r="441" spans="1:5" x14ac:dyDescent="0.55000000000000004">
      <c r="A441" t="s">
        <v>2876</v>
      </c>
      <c r="B441" t="s">
        <v>2877</v>
      </c>
      <c r="C441" t="s">
        <v>10</v>
      </c>
      <c r="D441">
        <v>777003</v>
      </c>
      <c r="E441" t="s">
        <v>8</v>
      </c>
    </row>
    <row r="442" spans="1:5" x14ac:dyDescent="0.55000000000000004">
      <c r="A442" t="s">
        <v>1546</v>
      </c>
      <c r="B442" t="s">
        <v>1545</v>
      </c>
      <c r="C442" t="s">
        <v>10</v>
      </c>
      <c r="D442">
        <v>478188</v>
      </c>
      <c r="E442" t="s">
        <v>8</v>
      </c>
    </row>
    <row r="443" spans="1:5" x14ac:dyDescent="0.55000000000000004">
      <c r="A443" t="s">
        <v>2322</v>
      </c>
      <c r="B443" t="s">
        <v>2321</v>
      </c>
      <c r="C443" t="s">
        <v>13</v>
      </c>
      <c r="D443">
        <v>1799481</v>
      </c>
      <c r="E443" t="s">
        <v>8</v>
      </c>
    </row>
    <row r="444" spans="1:5" x14ac:dyDescent="0.55000000000000004">
      <c r="A444" t="s">
        <v>2878</v>
      </c>
      <c r="B444" t="s">
        <v>2879</v>
      </c>
      <c r="C444" t="s">
        <v>1317</v>
      </c>
      <c r="D444">
        <v>185302</v>
      </c>
      <c r="E444" t="s">
        <v>8</v>
      </c>
    </row>
    <row r="445" spans="1:5" x14ac:dyDescent="0.55000000000000004">
      <c r="A445" t="s">
        <v>2880</v>
      </c>
      <c r="B445" t="s">
        <v>2881</v>
      </c>
      <c r="C445" t="s">
        <v>10</v>
      </c>
      <c r="D445">
        <v>466787</v>
      </c>
      <c r="E445" t="s">
        <v>8</v>
      </c>
    </row>
    <row r="446" spans="1:5" x14ac:dyDescent="0.55000000000000004">
      <c r="A446" t="s">
        <v>2882</v>
      </c>
      <c r="B446" t="s">
        <v>2883</v>
      </c>
      <c r="C446" t="s">
        <v>13</v>
      </c>
      <c r="D446">
        <v>211451</v>
      </c>
      <c r="E446" t="s">
        <v>8</v>
      </c>
    </row>
    <row r="447" spans="1:5" x14ac:dyDescent="0.55000000000000004">
      <c r="A447" t="s">
        <v>2884</v>
      </c>
      <c r="B447" t="s">
        <v>2885</v>
      </c>
      <c r="C447" t="s">
        <v>13</v>
      </c>
      <c r="D447">
        <v>3546676</v>
      </c>
      <c r="E447" t="s">
        <v>8</v>
      </c>
    </row>
    <row r="448" spans="1:5" x14ac:dyDescent="0.55000000000000004">
      <c r="A448" t="s">
        <v>388</v>
      </c>
      <c r="B448" t="s">
        <v>387</v>
      </c>
      <c r="C448" t="s">
        <v>6</v>
      </c>
      <c r="D448">
        <v>224692</v>
      </c>
      <c r="E448" t="s">
        <v>8</v>
      </c>
    </row>
    <row r="449" spans="1:5" x14ac:dyDescent="0.55000000000000004">
      <c r="A449" t="s">
        <v>2886</v>
      </c>
      <c r="B449" t="s">
        <v>2887</v>
      </c>
      <c r="C449" t="s">
        <v>6</v>
      </c>
      <c r="D449">
        <v>602484</v>
      </c>
      <c r="E449" t="s">
        <v>8</v>
      </c>
    </row>
    <row r="450" spans="1:5" x14ac:dyDescent="0.55000000000000004">
      <c r="A450" t="s">
        <v>2888</v>
      </c>
      <c r="B450" t="s">
        <v>2889</v>
      </c>
      <c r="C450" t="s">
        <v>10</v>
      </c>
      <c r="D450">
        <v>106262</v>
      </c>
      <c r="E450" t="s">
        <v>8</v>
      </c>
    </row>
    <row r="451" spans="1:5" x14ac:dyDescent="0.55000000000000004">
      <c r="A451" t="s">
        <v>1416</v>
      </c>
      <c r="B451" t="s">
        <v>1415</v>
      </c>
      <c r="C451" t="s">
        <v>10</v>
      </c>
      <c r="D451">
        <v>6169670</v>
      </c>
      <c r="E451" t="s">
        <v>8</v>
      </c>
    </row>
    <row r="452" spans="1:5" x14ac:dyDescent="0.55000000000000004">
      <c r="A452" t="s">
        <v>2581</v>
      </c>
      <c r="B452" t="s">
        <v>2580</v>
      </c>
      <c r="C452" t="s">
        <v>10</v>
      </c>
      <c r="D452">
        <v>5687289</v>
      </c>
      <c r="E452" t="s">
        <v>8</v>
      </c>
    </row>
    <row r="453" spans="1:5" x14ac:dyDescent="0.55000000000000004">
      <c r="A453" t="s">
        <v>1404</v>
      </c>
      <c r="B453" t="s">
        <v>1402</v>
      </c>
      <c r="C453" t="s">
        <v>1403</v>
      </c>
      <c r="D453">
        <v>2246279</v>
      </c>
      <c r="E453" t="s">
        <v>8</v>
      </c>
    </row>
    <row r="454" spans="1:5" x14ac:dyDescent="0.55000000000000004">
      <c r="A454" t="s">
        <v>1099</v>
      </c>
      <c r="B454" t="s">
        <v>1098</v>
      </c>
      <c r="C454" t="s">
        <v>141</v>
      </c>
      <c r="D454">
        <v>374150</v>
      </c>
      <c r="E454" t="s">
        <v>8</v>
      </c>
    </row>
    <row r="455" spans="1:5" x14ac:dyDescent="0.55000000000000004">
      <c r="A455" t="s">
        <v>2593</v>
      </c>
      <c r="B455" t="s">
        <v>2592</v>
      </c>
      <c r="C455" t="s">
        <v>141</v>
      </c>
      <c r="D455">
        <v>2614297</v>
      </c>
      <c r="E455" t="s">
        <v>8</v>
      </c>
    </row>
    <row r="456" spans="1:5" x14ac:dyDescent="0.55000000000000004">
      <c r="A456" t="s">
        <v>787</v>
      </c>
      <c r="B456" t="s">
        <v>786</v>
      </c>
      <c r="C456" t="s">
        <v>10</v>
      </c>
      <c r="D456">
        <v>213082</v>
      </c>
      <c r="E456" t="s">
        <v>8</v>
      </c>
    </row>
    <row r="457" spans="1:5" x14ac:dyDescent="0.55000000000000004">
      <c r="A457" t="s">
        <v>1997</v>
      </c>
      <c r="B457" t="s">
        <v>1996</v>
      </c>
      <c r="C457" t="s">
        <v>10</v>
      </c>
      <c r="D457">
        <v>138374</v>
      </c>
      <c r="E457" t="s">
        <v>8</v>
      </c>
    </row>
    <row r="458" spans="1:5" x14ac:dyDescent="0.55000000000000004">
      <c r="A458" t="s">
        <v>910</v>
      </c>
      <c r="B458" t="s">
        <v>909</v>
      </c>
      <c r="C458" t="s">
        <v>10</v>
      </c>
      <c r="D458">
        <v>489026</v>
      </c>
      <c r="E458" t="s">
        <v>8</v>
      </c>
    </row>
    <row r="459" spans="1:5" x14ac:dyDescent="0.55000000000000004">
      <c r="A459" t="s">
        <v>2334</v>
      </c>
      <c r="B459" t="s">
        <v>2333</v>
      </c>
      <c r="C459" t="s">
        <v>10</v>
      </c>
      <c r="D459">
        <v>486514</v>
      </c>
      <c r="E459" t="s">
        <v>8</v>
      </c>
    </row>
    <row r="460" spans="1:5" x14ac:dyDescent="0.55000000000000004">
      <c r="A460" t="s">
        <v>2336</v>
      </c>
      <c r="B460" t="s">
        <v>2335</v>
      </c>
      <c r="C460" t="s">
        <v>10</v>
      </c>
      <c r="D460">
        <v>699549</v>
      </c>
      <c r="E460" t="s">
        <v>8</v>
      </c>
    </row>
    <row r="461" spans="1:5" x14ac:dyDescent="0.55000000000000004">
      <c r="A461" t="s">
        <v>2890</v>
      </c>
      <c r="B461" t="s">
        <v>2891</v>
      </c>
      <c r="C461" t="s">
        <v>1317</v>
      </c>
      <c r="D461">
        <v>175322</v>
      </c>
      <c r="E461" t="s">
        <v>8</v>
      </c>
    </row>
    <row r="462" spans="1:5" x14ac:dyDescent="0.55000000000000004">
      <c r="A462" t="s">
        <v>1107</v>
      </c>
      <c r="B462" t="s">
        <v>2337</v>
      </c>
      <c r="C462" t="s">
        <v>6</v>
      </c>
      <c r="D462">
        <v>995893</v>
      </c>
      <c r="E462" t="s">
        <v>8</v>
      </c>
    </row>
    <row r="463" spans="1:5" x14ac:dyDescent="0.55000000000000004">
      <c r="A463" t="s">
        <v>2892</v>
      </c>
      <c r="B463" t="s">
        <v>2893</v>
      </c>
      <c r="C463" t="s">
        <v>10</v>
      </c>
      <c r="D463">
        <v>589056</v>
      </c>
      <c r="E463" t="s">
        <v>8</v>
      </c>
    </row>
    <row r="464" spans="1:5" x14ac:dyDescent="0.55000000000000004">
      <c r="A464" t="s">
        <v>691</v>
      </c>
      <c r="B464" t="s">
        <v>690</v>
      </c>
      <c r="C464" t="s">
        <v>10</v>
      </c>
      <c r="D464">
        <v>216021</v>
      </c>
      <c r="E464" t="s">
        <v>8</v>
      </c>
    </row>
    <row r="465" spans="1:5" x14ac:dyDescent="0.55000000000000004">
      <c r="A465" t="s">
        <v>2599</v>
      </c>
      <c r="B465" t="s">
        <v>2598</v>
      </c>
      <c r="C465" t="s">
        <v>10</v>
      </c>
      <c r="D465">
        <v>383732</v>
      </c>
      <c r="E465" t="s">
        <v>8</v>
      </c>
    </row>
    <row r="466" spans="1:5" x14ac:dyDescent="0.55000000000000004">
      <c r="A466" t="s">
        <v>1775</v>
      </c>
      <c r="B466" t="s">
        <v>1774</v>
      </c>
      <c r="C466" t="s">
        <v>13</v>
      </c>
      <c r="D466">
        <v>938196</v>
      </c>
      <c r="E466" t="s">
        <v>8</v>
      </c>
    </row>
    <row r="467" spans="1:5" x14ac:dyDescent="0.55000000000000004">
      <c r="A467" t="s">
        <v>1777</v>
      </c>
      <c r="B467" t="s">
        <v>1776</v>
      </c>
      <c r="C467" t="s">
        <v>10</v>
      </c>
      <c r="D467">
        <v>1719194</v>
      </c>
      <c r="E467" t="s">
        <v>8</v>
      </c>
    </row>
    <row r="468" spans="1:5" x14ac:dyDescent="0.55000000000000004">
      <c r="A468" t="s">
        <v>2894</v>
      </c>
      <c r="B468" t="s">
        <v>2895</v>
      </c>
      <c r="C468" t="s">
        <v>10</v>
      </c>
      <c r="D468">
        <v>722742</v>
      </c>
      <c r="E468" t="s">
        <v>8</v>
      </c>
    </row>
    <row r="469" spans="1:5" x14ac:dyDescent="0.55000000000000004">
      <c r="A469" t="s">
        <v>2347</v>
      </c>
      <c r="B469" t="s">
        <v>2346</v>
      </c>
      <c r="C469" t="s">
        <v>10</v>
      </c>
      <c r="D469">
        <v>259007</v>
      </c>
      <c r="E469" t="s">
        <v>8</v>
      </c>
    </row>
    <row r="470" spans="1:5" x14ac:dyDescent="0.55000000000000004">
      <c r="A470" t="s">
        <v>2014</v>
      </c>
      <c r="B470" t="s">
        <v>2013</v>
      </c>
      <c r="C470" t="s">
        <v>10</v>
      </c>
      <c r="D470">
        <v>1115105</v>
      </c>
      <c r="E470" t="s">
        <v>8</v>
      </c>
    </row>
    <row r="471" spans="1:5" x14ac:dyDescent="0.55000000000000004">
      <c r="A471" t="s">
        <v>2351</v>
      </c>
      <c r="B471" t="s">
        <v>2350</v>
      </c>
      <c r="C471" t="s">
        <v>10</v>
      </c>
      <c r="D471">
        <v>3497934</v>
      </c>
      <c r="E471" t="s">
        <v>8</v>
      </c>
    </row>
    <row r="472" spans="1:5" x14ac:dyDescent="0.55000000000000004">
      <c r="A472" t="s">
        <v>1433</v>
      </c>
      <c r="B472" t="s">
        <v>1432</v>
      </c>
      <c r="C472" t="s">
        <v>10</v>
      </c>
      <c r="D472">
        <v>434400</v>
      </c>
      <c r="E472" t="s">
        <v>8</v>
      </c>
    </row>
    <row r="473" spans="1:5" x14ac:dyDescent="0.55000000000000004">
      <c r="A473" t="s">
        <v>695</v>
      </c>
      <c r="B473" t="s">
        <v>694</v>
      </c>
      <c r="C473" t="s">
        <v>10</v>
      </c>
      <c r="D473">
        <v>276385</v>
      </c>
      <c r="E473" t="s">
        <v>8</v>
      </c>
    </row>
    <row r="474" spans="1:5" x14ac:dyDescent="0.55000000000000004">
      <c r="A474" t="s">
        <v>2018</v>
      </c>
      <c r="B474" t="s">
        <v>2017</v>
      </c>
      <c r="C474" t="s">
        <v>10</v>
      </c>
      <c r="D474">
        <v>471195</v>
      </c>
      <c r="E474" t="s">
        <v>8</v>
      </c>
    </row>
    <row r="475" spans="1:5" x14ac:dyDescent="0.55000000000000004">
      <c r="A475" t="s">
        <v>2359</v>
      </c>
      <c r="B475" t="s">
        <v>2358</v>
      </c>
      <c r="C475" t="s">
        <v>10</v>
      </c>
      <c r="D475">
        <v>2059974</v>
      </c>
      <c r="E475" t="s">
        <v>8</v>
      </c>
    </row>
    <row r="476" spans="1:5" x14ac:dyDescent="0.55000000000000004">
      <c r="A476" t="s">
        <v>2896</v>
      </c>
      <c r="B476" t="s">
        <v>2897</v>
      </c>
      <c r="C476" t="s">
        <v>13</v>
      </c>
      <c r="D476">
        <v>1092491</v>
      </c>
      <c r="E476" t="s">
        <v>8</v>
      </c>
    </row>
    <row r="477" spans="1:5" x14ac:dyDescent="0.55000000000000004">
      <c r="A477" t="s">
        <v>2898</v>
      </c>
      <c r="B477" t="s">
        <v>2899</v>
      </c>
      <c r="C477" t="s">
        <v>10</v>
      </c>
      <c r="D477">
        <v>343054</v>
      </c>
      <c r="E477" t="s">
        <v>8</v>
      </c>
    </row>
    <row r="478" spans="1:5" x14ac:dyDescent="0.55000000000000004">
      <c r="A478" t="s">
        <v>725</v>
      </c>
      <c r="B478" t="s">
        <v>724</v>
      </c>
      <c r="C478" t="s">
        <v>141</v>
      </c>
      <c r="D478">
        <v>1809904</v>
      </c>
      <c r="E478" t="s">
        <v>8</v>
      </c>
    </row>
    <row r="479" spans="1:5" x14ac:dyDescent="0.55000000000000004">
      <c r="A479" t="s">
        <v>2900</v>
      </c>
      <c r="B479" t="s">
        <v>2901</v>
      </c>
      <c r="C479" t="s">
        <v>41</v>
      </c>
      <c r="D479">
        <v>777643</v>
      </c>
      <c r="E479" t="s">
        <v>8</v>
      </c>
    </row>
    <row r="480" spans="1:5" x14ac:dyDescent="0.55000000000000004">
      <c r="A480" t="s">
        <v>2902</v>
      </c>
      <c r="B480" t="s">
        <v>2903</v>
      </c>
      <c r="C480" t="s">
        <v>10</v>
      </c>
      <c r="D480">
        <v>410092</v>
      </c>
      <c r="E480" t="s">
        <v>8</v>
      </c>
    </row>
    <row r="481" spans="1:5" x14ac:dyDescent="0.55000000000000004">
      <c r="A481" t="s">
        <v>2029</v>
      </c>
      <c r="B481" t="s">
        <v>2028</v>
      </c>
      <c r="C481" t="s">
        <v>10</v>
      </c>
      <c r="D481">
        <v>128644</v>
      </c>
      <c r="E481" t="s">
        <v>8</v>
      </c>
    </row>
    <row r="482" spans="1:5" x14ac:dyDescent="0.55000000000000004">
      <c r="A482" t="s">
        <v>2904</v>
      </c>
      <c r="B482" t="s">
        <v>2905</v>
      </c>
      <c r="C482" t="s">
        <v>10</v>
      </c>
      <c r="D482">
        <v>563578</v>
      </c>
      <c r="E482" t="s">
        <v>8</v>
      </c>
    </row>
    <row r="483" spans="1:5" x14ac:dyDescent="0.55000000000000004">
      <c r="A483" t="s">
        <v>2031</v>
      </c>
      <c r="B483" t="s">
        <v>2030</v>
      </c>
      <c r="C483" t="s">
        <v>10</v>
      </c>
      <c r="D483">
        <v>742427</v>
      </c>
      <c r="E483" t="s">
        <v>8</v>
      </c>
    </row>
    <row r="484" spans="1:5" x14ac:dyDescent="0.55000000000000004">
      <c r="A484" t="s">
        <v>2906</v>
      </c>
      <c r="B484" t="s">
        <v>2907</v>
      </c>
      <c r="C484" t="s">
        <v>10</v>
      </c>
      <c r="D484">
        <v>3561782</v>
      </c>
      <c r="E484" t="s">
        <v>8</v>
      </c>
    </row>
    <row r="485" spans="1:5" x14ac:dyDescent="0.55000000000000004">
      <c r="A485" t="s">
        <v>2615</v>
      </c>
      <c r="B485" t="s">
        <v>2614</v>
      </c>
      <c r="C485" t="s">
        <v>10</v>
      </c>
      <c r="D485">
        <v>1350101</v>
      </c>
      <c r="E485" t="s">
        <v>8</v>
      </c>
    </row>
    <row r="486" spans="1:5" x14ac:dyDescent="0.55000000000000004">
      <c r="A486" t="s">
        <v>2908</v>
      </c>
      <c r="B486" t="s">
        <v>2909</v>
      </c>
      <c r="C486" t="s">
        <v>10</v>
      </c>
      <c r="D486">
        <v>593766</v>
      </c>
      <c r="E486" t="s">
        <v>8</v>
      </c>
    </row>
    <row r="487" spans="1:5" x14ac:dyDescent="0.55000000000000004">
      <c r="A487" t="s">
        <v>2910</v>
      </c>
      <c r="B487" t="s">
        <v>2911</v>
      </c>
      <c r="C487" t="s">
        <v>10</v>
      </c>
      <c r="D487">
        <v>409667</v>
      </c>
      <c r="E487" t="s">
        <v>8</v>
      </c>
    </row>
    <row r="488" spans="1:5" x14ac:dyDescent="0.55000000000000004">
      <c r="A488" t="s">
        <v>455</v>
      </c>
      <c r="B488" t="s">
        <v>454</v>
      </c>
      <c r="C488" t="s">
        <v>10</v>
      </c>
      <c r="D488">
        <v>1236454</v>
      </c>
      <c r="E488" t="s">
        <v>8</v>
      </c>
    </row>
    <row r="489" spans="1:5" x14ac:dyDescent="0.55000000000000004">
      <c r="A489" t="s">
        <v>2625</v>
      </c>
      <c r="B489" t="s">
        <v>2624</v>
      </c>
      <c r="C489" t="s">
        <v>1483</v>
      </c>
      <c r="D489">
        <v>334222</v>
      </c>
      <c r="E489" t="s">
        <v>8</v>
      </c>
    </row>
    <row r="490" spans="1:5" x14ac:dyDescent="0.55000000000000004">
      <c r="A490" t="s">
        <v>2379</v>
      </c>
      <c r="B490" t="s">
        <v>2378</v>
      </c>
      <c r="C490" t="s">
        <v>10</v>
      </c>
      <c r="D490">
        <v>914804</v>
      </c>
      <c r="E490" t="s">
        <v>8</v>
      </c>
    </row>
    <row r="491" spans="1:5" x14ac:dyDescent="0.55000000000000004">
      <c r="A491" t="s">
        <v>713</v>
      </c>
      <c r="B491" t="s">
        <v>712</v>
      </c>
      <c r="C491" t="s">
        <v>10</v>
      </c>
      <c r="D491">
        <v>1686409</v>
      </c>
      <c r="E491" t="s">
        <v>8</v>
      </c>
    </row>
    <row r="492" spans="1:5" x14ac:dyDescent="0.55000000000000004">
      <c r="A492" t="s">
        <v>2631</v>
      </c>
      <c r="B492" t="s">
        <v>2630</v>
      </c>
      <c r="C492" t="s">
        <v>10</v>
      </c>
      <c r="D492">
        <v>133173</v>
      </c>
      <c r="E492" t="s">
        <v>8</v>
      </c>
    </row>
    <row r="493" spans="1:5" x14ac:dyDescent="0.55000000000000004">
      <c r="A493" t="s">
        <v>2633</v>
      </c>
      <c r="B493" t="s">
        <v>2632</v>
      </c>
      <c r="C493" t="s">
        <v>10</v>
      </c>
      <c r="D493">
        <v>490180</v>
      </c>
      <c r="E493" t="s">
        <v>8</v>
      </c>
    </row>
    <row r="494" spans="1:5" x14ac:dyDescent="0.55000000000000004">
      <c r="A494" t="s">
        <v>2912</v>
      </c>
      <c r="B494" t="s">
        <v>2913</v>
      </c>
      <c r="C494" t="s">
        <v>10</v>
      </c>
      <c r="D494">
        <v>508062</v>
      </c>
      <c r="E494" t="s">
        <v>8</v>
      </c>
    </row>
    <row r="495" spans="1:5" x14ac:dyDescent="0.55000000000000004">
      <c r="A495" t="s">
        <v>2914</v>
      </c>
      <c r="B495" t="s">
        <v>2915</v>
      </c>
      <c r="C495" t="s">
        <v>10</v>
      </c>
      <c r="D495">
        <v>1141691</v>
      </c>
      <c r="E495" t="s">
        <v>8</v>
      </c>
    </row>
    <row r="496" spans="1:5" x14ac:dyDescent="0.55000000000000004">
      <c r="A496" t="s">
        <v>1465</v>
      </c>
      <c r="B496" t="s">
        <v>1464</v>
      </c>
      <c r="C496" t="s">
        <v>13</v>
      </c>
      <c r="D496">
        <v>653628</v>
      </c>
      <c r="E496" t="s">
        <v>8</v>
      </c>
    </row>
    <row r="497" spans="1:5" x14ac:dyDescent="0.55000000000000004">
      <c r="A497" t="s">
        <v>1474</v>
      </c>
      <c r="B497" t="s">
        <v>1473</v>
      </c>
      <c r="C497" t="s">
        <v>10</v>
      </c>
      <c r="D497">
        <v>364682</v>
      </c>
      <c r="E497" t="s">
        <v>8</v>
      </c>
    </row>
    <row r="498" spans="1:5" x14ac:dyDescent="0.55000000000000004">
      <c r="A498" t="s">
        <v>2916</v>
      </c>
      <c r="B498" t="s">
        <v>2917</v>
      </c>
      <c r="C498" t="s">
        <v>10</v>
      </c>
      <c r="D498">
        <v>518303</v>
      </c>
      <c r="E498" t="s">
        <v>8</v>
      </c>
    </row>
    <row r="499" spans="1:5" x14ac:dyDescent="0.55000000000000004">
      <c r="A499" t="s">
        <v>2393</v>
      </c>
      <c r="B499" t="s">
        <v>2392</v>
      </c>
      <c r="C499" t="s">
        <v>10</v>
      </c>
      <c r="D499">
        <v>6306427</v>
      </c>
      <c r="E499" t="s">
        <v>8</v>
      </c>
    </row>
    <row r="500" spans="1:5" x14ac:dyDescent="0.55000000000000004">
      <c r="A500" t="s">
        <v>719</v>
      </c>
      <c r="B500" t="s">
        <v>718</v>
      </c>
      <c r="C500" t="s">
        <v>10</v>
      </c>
      <c r="D500">
        <v>250704</v>
      </c>
      <c r="E500" t="s">
        <v>8</v>
      </c>
    </row>
    <row r="501" spans="1:5" x14ac:dyDescent="0.55000000000000004">
      <c r="A501" t="s">
        <v>2918</v>
      </c>
      <c r="B501" t="s">
        <v>2919</v>
      </c>
      <c r="C501" t="s">
        <v>41</v>
      </c>
      <c r="D501">
        <v>205717</v>
      </c>
      <c r="E501" t="s">
        <v>8</v>
      </c>
    </row>
    <row r="502" spans="1:5" x14ac:dyDescent="0.55000000000000004">
      <c r="A502" t="s">
        <v>2920</v>
      </c>
      <c r="B502" t="s">
        <v>2921</v>
      </c>
      <c r="C502" t="s">
        <v>208</v>
      </c>
      <c r="D502">
        <v>328073</v>
      </c>
      <c r="E502" t="s">
        <v>8</v>
      </c>
    </row>
    <row r="503" spans="1:5" x14ac:dyDescent="0.55000000000000004">
      <c r="A503" t="s">
        <v>488</v>
      </c>
      <c r="B503" t="s">
        <v>487</v>
      </c>
      <c r="C503" t="s">
        <v>10</v>
      </c>
      <c r="D503">
        <v>2091627</v>
      </c>
      <c r="E503" t="s">
        <v>8</v>
      </c>
    </row>
    <row r="504" spans="1:5" x14ac:dyDescent="0.55000000000000004">
      <c r="A504" t="s">
        <v>1863</v>
      </c>
      <c r="B504" t="s">
        <v>1862</v>
      </c>
      <c r="C504" t="s">
        <v>1269</v>
      </c>
      <c r="D504">
        <v>154187</v>
      </c>
      <c r="E504" t="s">
        <v>8</v>
      </c>
    </row>
    <row r="505" spans="1:5" x14ac:dyDescent="0.55000000000000004">
      <c r="A505" t="s">
        <v>1825</v>
      </c>
      <c r="B505" t="s">
        <v>1824</v>
      </c>
      <c r="C505" t="s">
        <v>1483</v>
      </c>
      <c r="D505">
        <v>1107795</v>
      </c>
      <c r="E505" t="s">
        <v>8</v>
      </c>
    </row>
    <row r="506" spans="1:5" x14ac:dyDescent="0.55000000000000004">
      <c r="A506" t="s">
        <v>2922</v>
      </c>
      <c r="B506" t="s">
        <v>2923</v>
      </c>
      <c r="C506" t="s">
        <v>2260</v>
      </c>
      <c r="D506">
        <v>200241</v>
      </c>
      <c r="E506" t="s">
        <v>8</v>
      </c>
    </row>
    <row r="507" spans="1:5" x14ac:dyDescent="0.55000000000000004">
      <c r="A507" t="s">
        <v>66</v>
      </c>
      <c r="B507" t="s">
        <v>65</v>
      </c>
      <c r="C507" t="s">
        <v>18</v>
      </c>
      <c r="D507">
        <v>3371298</v>
      </c>
      <c r="E507" t="s">
        <v>8</v>
      </c>
    </row>
    <row r="508" spans="1:5" x14ac:dyDescent="0.55000000000000004">
      <c r="A508" t="s">
        <v>1140</v>
      </c>
      <c r="B508" t="s">
        <v>1138</v>
      </c>
      <c r="C508" t="s">
        <v>1139</v>
      </c>
      <c r="D508">
        <v>1512398</v>
      </c>
      <c r="E508" t="s">
        <v>8</v>
      </c>
    </row>
    <row r="509" spans="1:5" x14ac:dyDescent="0.55000000000000004">
      <c r="A509" t="s">
        <v>139</v>
      </c>
      <c r="B509" t="s">
        <v>137</v>
      </c>
      <c r="C509" t="s">
        <v>138</v>
      </c>
      <c r="D509">
        <v>1137068</v>
      </c>
      <c r="E509" t="s">
        <v>8</v>
      </c>
    </row>
    <row r="510" spans="1:5" x14ac:dyDescent="0.55000000000000004">
      <c r="A510" t="s">
        <v>1880</v>
      </c>
      <c r="B510" t="s">
        <v>1879</v>
      </c>
      <c r="C510" t="s">
        <v>215</v>
      </c>
      <c r="D510">
        <v>1740224</v>
      </c>
      <c r="E510" t="s">
        <v>8</v>
      </c>
    </row>
    <row r="511" spans="1:5" x14ac:dyDescent="0.55000000000000004">
      <c r="A511" t="s">
        <v>2924</v>
      </c>
      <c r="B511" t="s">
        <v>2925</v>
      </c>
      <c r="C511" t="s">
        <v>1483</v>
      </c>
      <c r="D511">
        <v>532862</v>
      </c>
      <c r="E511" t="s">
        <v>8</v>
      </c>
    </row>
    <row r="512" spans="1:5" x14ac:dyDescent="0.55000000000000004">
      <c r="A512" t="s">
        <v>1886</v>
      </c>
      <c r="B512" t="s">
        <v>1885</v>
      </c>
      <c r="C512" t="s">
        <v>10</v>
      </c>
      <c r="D512">
        <v>1326671</v>
      </c>
      <c r="E512" t="s">
        <v>8</v>
      </c>
    </row>
    <row r="513" spans="1:5" x14ac:dyDescent="0.55000000000000004">
      <c r="A513" t="s">
        <v>2211</v>
      </c>
      <c r="B513" t="s">
        <v>2209</v>
      </c>
      <c r="C513" t="s">
        <v>2210</v>
      </c>
      <c r="D513">
        <v>579471</v>
      </c>
      <c r="E513" t="s">
        <v>8</v>
      </c>
    </row>
    <row r="514" spans="1:5" x14ac:dyDescent="0.55000000000000004">
      <c r="A514" t="s">
        <v>1274</v>
      </c>
      <c r="B514" t="s">
        <v>1273</v>
      </c>
      <c r="C514" t="s">
        <v>138</v>
      </c>
      <c r="D514">
        <v>246579</v>
      </c>
      <c r="E514" t="s">
        <v>8</v>
      </c>
    </row>
    <row r="515" spans="1:5" x14ac:dyDescent="0.55000000000000004">
      <c r="A515" t="s">
        <v>1283</v>
      </c>
      <c r="B515" t="s">
        <v>1281</v>
      </c>
      <c r="C515" t="s">
        <v>1282</v>
      </c>
      <c r="D515">
        <v>891857</v>
      </c>
      <c r="E515" t="s">
        <v>8</v>
      </c>
    </row>
    <row r="516" spans="1:5" x14ac:dyDescent="0.55000000000000004">
      <c r="A516" t="s">
        <v>2233</v>
      </c>
      <c r="B516" t="s">
        <v>2232</v>
      </c>
      <c r="C516" t="s">
        <v>926</v>
      </c>
      <c r="D516">
        <v>536645</v>
      </c>
      <c r="E516" t="s">
        <v>8</v>
      </c>
    </row>
    <row r="517" spans="1:5" x14ac:dyDescent="0.55000000000000004">
      <c r="A517" t="s">
        <v>2926</v>
      </c>
      <c r="B517" t="s">
        <v>2927</v>
      </c>
      <c r="C517" t="s">
        <v>18</v>
      </c>
      <c r="D517">
        <v>494204</v>
      </c>
      <c r="E517" t="s">
        <v>8</v>
      </c>
    </row>
    <row r="518" spans="1:5" x14ac:dyDescent="0.55000000000000004">
      <c r="A518" t="s">
        <v>2928</v>
      </c>
      <c r="B518" t="s">
        <v>2929</v>
      </c>
      <c r="C518" t="s">
        <v>2260</v>
      </c>
      <c r="D518">
        <v>799222</v>
      </c>
      <c r="E518" t="s">
        <v>8</v>
      </c>
    </row>
    <row r="519" spans="1:5" x14ac:dyDescent="0.55000000000000004">
      <c r="A519" t="s">
        <v>2261</v>
      </c>
      <c r="B519" t="s">
        <v>2259</v>
      </c>
      <c r="C519" t="s">
        <v>2260</v>
      </c>
      <c r="D519">
        <v>630711</v>
      </c>
      <c r="E519" t="s">
        <v>8</v>
      </c>
    </row>
    <row r="520" spans="1:5" x14ac:dyDescent="0.55000000000000004">
      <c r="A520" t="s">
        <v>19</v>
      </c>
      <c r="B520" t="s">
        <v>17</v>
      </c>
      <c r="C520" t="s">
        <v>18</v>
      </c>
      <c r="D520">
        <v>2507872</v>
      </c>
      <c r="E520" t="s">
        <v>8</v>
      </c>
    </row>
    <row r="521" spans="1:5" x14ac:dyDescent="0.55000000000000004">
      <c r="A521" t="s">
        <v>885</v>
      </c>
      <c r="B521" t="s">
        <v>884</v>
      </c>
      <c r="C521" t="s">
        <v>18</v>
      </c>
      <c r="D521">
        <v>546638</v>
      </c>
      <c r="E521" t="s">
        <v>8</v>
      </c>
    </row>
    <row r="522" spans="1:5" x14ac:dyDescent="0.55000000000000004">
      <c r="A522" t="s">
        <v>888</v>
      </c>
      <c r="B522" t="s">
        <v>886</v>
      </c>
      <c r="C522" t="s">
        <v>887</v>
      </c>
      <c r="D522">
        <v>164983</v>
      </c>
      <c r="E522" t="s">
        <v>8</v>
      </c>
    </row>
    <row r="523" spans="1:5" x14ac:dyDescent="0.55000000000000004">
      <c r="A523" t="s">
        <v>2016</v>
      </c>
      <c r="B523" t="s">
        <v>2015</v>
      </c>
      <c r="C523" t="s">
        <v>926</v>
      </c>
      <c r="D523">
        <v>224968</v>
      </c>
      <c r="E523" t="s">
        <v>8</v>
      </c>
    </row>
    <row r="524" spans="1:5" x14ac:dyDescent="0.55000000000000004">
      <c r="A524" t="s">
        <v>2930</v>
      </c>
      <c r="B524" t="s">
        <v>2931</v>
      </c>
      <c r="C524" t="s">
        <v>10</v>
      </c>
      <c r="D524">
        <v>412187</v>
      </c>
      <c r="E524" t="s">
        <v>8</v>
      </c>
    </row>
    <row r="525" spans="1:5" x14ac:dyDescent="0.55000000000000004">
      <c r="A525" t="s">
        <v>2932</v>
      </c>
      <c r="B525" t="s">
        <v>2933</v>
      </c>
      <c r="C525" t="s">
        <v>926</v>
      </c>
      <c r="D525">
        <v>7461811</v>
      </c>
      <c r="E525" t="s">
        <v>8</v>
      </c>
    </row>
    <row r="526" spans="1:5" x14ac:dyDescent="0.55000000000000004">
      <c r="A526" t="s">
        <v>1908</v>
      </c>
      <c r="B526" t="s">
        <v>1907</v>
      </c>
      <c r="C526" t="s">
        <v>18</v>
      </c>
      <c r="D526">
        <v>357750</v>
      </c>
      <c r="E526" t="s">
        <v>8</v>
      </c>
    </row>
    <row r="527" spans="1:5" x14ac:dyDescent="0.55000000000000004">
      <c r="A527" t="s">
        <v>1463</v>
      </c>
      <c r="B527" t="s">
        <v>1462</v>
      </c>
      <c r="C527" t="s">
        <v>801</v>
      </c>
      <c r="D527">
        <v>120310</v>
      </c>
      <c r="E527" t="s">
        <v>8</v>
      </c>
    </row>
    <row r="528" spans="1:5" x14ac:dyDescent="0.55000000000000004">
      <c r="A528" t="s">
        <v>2934</v>
      </c>
      <c r="B528" t="s">
        <v>2935</v>
      </c>
      <c r="C528" t="s">
        <v>926</v>
      </c>
      <c r="D528">
        <v>542358</v>
      </c>
      <c r="E528" t="s">
        <v>8</v>
      </c>
    </row>
    <row r="529" spans="1:5" x14ac:dyDescent="0.55000000000000004">
      <c r="A529" t="s">
        <v>2936</v>
      </c>
      <c r="B529" t="s">
        <v>2937</v>
      </c>
      <c r="C529" t="s">
        <v>18</v>
      </c>
      <c r="D529">
        <v>1040424</v>
      </c>
      <c r="E529" t="s">
        <v>8</v>
      </c>
    </row>
    <row r="530" spans="1:5" x14ac:dyDescent="0.55000000000000004">
      <c r="A530" t="s">
        <v>2339</v>
      </c>
      <c r="B530" t="s">
        <v>2338</v>
      </c>
      <c r="C530" t="s">
        <v>1701</v>
      </c>
      <c r="D530">
        <v>2075200</v>
      </c>
      <c r="E530" t="s">
        <v>8</v>
      </c>
    </row>
    <row r="531" spans="1:5" x14ac:dyDescent="0.55000000000000004">
      <c r="A531" t="s">
        <v>2938</v>
      </c>
      <c r="B531" t="s">
        <v>2939</v>
      </c>
      <c r="C531" t="s">
        <v>2940</v>
      </c>
      <c r="D531">
        <v>205561</v>
      </c>
      <c r="E531" t="s">
        <v>8</v>
      </c>
    </row>
    <row r="532" spans="1:5" x14ac:dyDescent="0.55000000000000004">
      <c r="A532" t="s">
        <v>2489</v>
      </c>
      <c r="B532" t="s">
        <v>2488</v>
      </c>
      <c r="C532" t="s">
        <v>10</v>
      </c>
      <c r="D532">
        <v>720119</v>
      </c>
      <c r="E532" t="s">
        <v>8</v>
      </c>
    </row>
    <row r="533" spans="1:5" x14ac:dyDescent="0.55000000000000004">
      <c r="A533" t="s">
        <v>795</v>
      </c>
      <c r="B533" t="s">
        <v>794</v>
      </c>
      <c r="C533" t="s">
        <v>18</v>
      </c>
      <c r="D533">
        <v>1546070</v>
      </c>
      <c r="E533" t="s">
        <v>8</v>
      </c>
    </row>
    <row r="534" spans="1:5" x14ac:dyDescent="0.55000000000000004">
      <c r="A534" t="s">
        <v>2941</v>
      </c>
      <c r="B534" t="s">
        <v>2942</v>
      </c>
      <c r="C534" t="s">
        <v>2260</v>
      </c>
      <c r="D534">
        <v>715702</v>
      </c>
      <c r="E534" t="s">
        <v>8</v>
      </c>
    </row>
    <row r="535" spans="1:5" x14ac:dyDescent="0.55000000000000004">
      <c r="A535" t="s">
        <v>2477</v>
      </c>
      <c r="B535" t="s">
        <v>2476</v>
      </c>
      <c r="C535" t="s">
        <v>926</v>
      </c>
      <c r="D535">
        <v>1145244</v>
      </c>
      <c r="E535" t="s">
        <v>8</v>
      </c>
    </row>
    <row r="536" spans="1:5" x14ac:dyDescent="0.55000000000000004">
      <c r="A536" t="s">
        <v>2943</v>
      </c>
      <c r="B536" t="s">
        <v>2944</v>
      </c>
      <c r="C536" t="s">
        <v>215</v>
      </c>
      <c r="D536">
        <v>233266</v>
      </c>
      <c r="E536" t="s">
        <v>8</v>
      </c>
    </row>
    <row r="537" spans="1:5" x14ac:dyDescent="0.55000000000000004">
      <c r="A537" t="s">
        <v>2945</v>
      </c>
      <c r="B537" t="s">
        <v>2946</v>
      </c>
      <c r="C537" t="s">
        <v>18</v>
      </c>
      <c r="D537">
        <v>66329</v>
      </c>
      <c r="E537" t="s">
        <v>8</v>
      </c>
    </row>
    <row r="538" spans="1:5" x14ac:dyDescent="0.55000000000000004">
      <c r="A538" t="s">
        <v>2947</v>
      </c>
      <c r="B538" t="s">
        <v>2948</v>
      </c>
      <c r="C538" t="s">
        <v>926</v>
      </c>
      <c r="D538">
        <v>651308</v>
      </c>
      <c r="E538" t="s">
        <v>8</v>
      </c>
    </row>
    <row r="539" spans="1:5" x14ac:dyDescent="0.55000000000000004">
      <c r="A539" t="s">
        <v>1326</v>
      </c>
      <c r="B539" t="s">
        <v>1325</v>
      </c>
      <c r="C539" t="s">
        <v>18</v>
      </c>
      <c r="D539">
        <v>633568</v>
      </c>
      <c r="E539" t="s">
        <v>8</v>
      </c>
    </row>
    <row r="540" spans="1:5" x14ac:dyDescent="0.55000000000000004">
      <c r="A540" t="s">
        <v>2288</v>
      </c>
      <c r="B540" t="s">
        <v>2287</v>
      </c>
      <c r="C540" t="s">
        <v>801</v>
      </c>
      <c r="D540">
        <v>381961</v>
      </c>
      <c r="E540" t="s">
        <v>8</v>
      </c>
    </row>
    <row r="541" spans="1:5" x14ac:dyDescent="0.55000000000000004">
      <c r="A541" t="s">
        <v>2554</v>
      </c>
      <c r="B541" t="s">
        <v>2553</v>
      </c>
      <c r="C541" t="s">
        <v>26</v>
      </c>
      <c r="D541">
        <v>1219250</v>
      </c>
      <c r="E541" t="s">
        <v>8</v>
      </c>
    </row>
    <row r="542" spans="1:5" x14ac:dyDescent="0.55000000000000004">
      <c r="A542" t="s">
        <v>2399</v>
      </c>
      <c r="B542" t="s">
        <v>2398</v>
      </c>
      <c r="C542" t="s">
        <v>18</v>
      </c>
      <c r="D542">
        <v>277937</v>
      </c>
      <c r="E542" t="s">
        <v>8</v>
      </c>
    </row>
    <row r="543" spans="1:5" x14ac:dyDescent="0.55000000000000004">
      <c r="A543" t="s">
        <v>2949</v>
      </c>
      <c r="B543" t="s">
        <v>2950</v>
      </c>
      <c r="C543" t="s">
        <v>18</v>
      </c>
      <c r="D543">
        <v>813602</v>
      </c>
      <c r="E543" t="s">
        <v>8</v>
      </c>
    </row>
    <row r="544" spans="1:5" x14ac:dyDescent="0.55000000000000004">
      <c r="A544" t="s">
        <v>2471</v>
      </c>
      <c r="B544" t="s">
        <v>2470</v>
      </c>
      <c r="C544" t="s">
        <v>926</v>
      </c>
      <c r="D544">
        <v>2660323</v>
      </c>
      <c r="E544" t="s">
        <v>8</v>
      </c>
    </row>
    <row r="545" spans="1:5" x14ac:dyDescent="0.55000000000000004">
      <c r="A545" t="s">
        <v>2951</v>
      </c>
      <c r="B545" t="s">
        <v>2952</v>
      </c>
      <c r="C545" t="s">
        <v>138</v>
      </c>
      <c r="D545">
        <v>961267</v>
      </c>
      <c r="E545" t="s">
        <v>8</v>
      </c>
    </row>
    <row r="546" spans="1:5" x14ac:dyDescent="0.55000000000000004">
      <c r="A546" t="s">
        <v>2126</v>
      </c>
      <c r="B546" t="s">
        <v>2125</v>
      </c>
      <c r="C546" t="s">
        <v>10</v>
      </c>
      <c r="D546">
        <v>413363</v>
      </c>
      <c r="E546" t="s">
        <v>8</v>
      </c>
    </row>
    <row r="547" spans="1:5" x14ac:dyDescent="0.55000000000000004">
      <c r="A547" t="s">
        <v>559</v>
      </c>
      <c r="B547" t="s">
        <v>557</v>
      </c>
      <c r="C547" t="s">
        <v>558</v>
      </c>
      <c r="D547">
        <v>229698</v>
      </c>
      <c r="E547" t="s">
        <v>8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22855-4278-4367-8523-F7255B97253B}">
  <dimension ref="A1:E439"/>
  <sheetViews>
    <sheetView workbookViewId="0">
      <selection sqref="A1:E9"/>
    </sheetView>
  </sheetViews>
  <sheetFormatPr defaultRowHeight="18" x14ac:dyDescent="0.55000000000000004"/>
  <cols>
    <col min="1" max="1" width="11.33203125" bestFit="1" customWidth="1"/>
    <col min="2" max="2" width="36.58203125" bestFit="1" customWidth="1"/>
    <col min="3" max="3" width="19.75" bestFit="1" customWidth="1"/>
    <col min="5" max="5" width="25.6640625" customWidth="1"/>
    <col min="6" max="6" width="23.33203125" bestFit="1" customWidth="1"/>
  </cols>
  <sheetData>
    <row r="1" spans="1:5" x14ac:dyDescent="0.55000000000000004">
      <c r="A1" t="s">
        <v>2</v>
      </c>
      <c r="B1" t="s">
        <v>0</v>
      </c>
      <c r="C1" t="s">
        <v>1</v>
      </c>
      <c r="D1" t="s">
        <v>3</v>
      </c>
      <c r="E1" t="s">
        <v>4</v>
      </c>
    </row>
    <row r="2" spans="1:5" x14ac:dyDescent="0.55000000000000004">
      <c r="A2" t="s">
        <v>2403</v>
      </c>
      <c r="B2" t="s">
        <v>2402</v>
      </c>
      <c r="C2" t="s">
        <v>10</v>
      </c>
      <c r="D2">
        <v>4853796</v>
      </c>
      <c r="E2" t="s">
        <v>8</v>
      </c>
    </row>
    <row r="3" spans="1:5" x14ac:dyDescent="0.55000000000000004">
      <c r="A3" t="s">
        <v>2413</v>
      </c>
      <c r="B3" t="s">
        <v>2412</v>
      </c>
      <c r="C3" t="s">
        <v>10</v>
      </c>
      <c r="D3">
        <v>1826670</v>
      </c>
      <c r="E3" t="s">
        <v>8</v>
      </c>
    </row>
    <row r="4" spans="1:5" x14ac:dyDescent="0.55000000000000004">
      <c r="A4" t="s">
        <v>812</v>
      </c>
      <c r="B4" t="s">
        <v>811</v>
      </c>
      <c r="C4" t="s">
        <v>13</v>
      </c>
      <c r="D4">
        <v>1637116</v>
      </c>
      <c r="E4" t="s">
        <v>8</v>
      </c>
    </row>
    <row r="5" spans="1:5" x14ac:dyDescent="0.55000000000000004">
      <c r="A5" t="s">
        <v>816</v>
      </c>
      <c r="B5" t="s">
        <v>815</v>
      </c>
      <c r="C5" t="s">
        <v>6</v>
      </c>
      <c r="D5">
        <v>758441</v>
      </c>
      <c r="E5" t="s">
        <v>8</v>
      </c>
    </row>
    <row r="6" spans="1:5" x14ac:dyDescent="0.55000000000000004">
      <c r="A6" t="s">
        <v>1144</v>
      </c>
      <c r="B6" t="s">
        <v>1143</v>
      </c>
      <c r="C6" t="s">
        <v>10</v>
      </c>
      <c r="D6">
        <v>1486076</v>
      </c>
      <c r="E6" t="s">
        <v>8</v>
      </c>
    </row>
    <row r="7" spans="1:5" x14ac:dyDescent="0.55000000000000004">
      <c r="A7" t="s">
        <v>2071</v>
      </c>
      <c r="B7" t="s">
        <v>2070</v>
      </c>
      <c r="C7" t="s">
        <v>76</v>
      </c>
      <c r="D7">
        <v>255818</v>
      </c>
      <c r="E7" t="s">
        <v>8</v>
      </c>
    </row>
    <row r="8" spans="1:5" x14ac:dyDescent="0.55000000000000004">
      <c r="A8" t="s">
        <v>2407</v>
      </c>
      <c r="B8" t="s">
        <v>2406</v>
      </c>
      <c r="C8" t="s">
        <v>13</v>
      </c>
      <c r="D8">
        <v>555450</v>
      </c>
      <c r="E8" t="s">
        <v>8</v>
      </c>
    </row>
    <row r="9" spans="1:5" x14ac:dyDescent="0.55000000000000004">
      <c r="A9" t="s">
        <v>2411</v>
      </c>
      <c r="B9" t="s">
        <v>2410</v>
      </c>
      <c r="C9" t="s">
        <v>10</v>
      </c>
      <c r="D9">
        <v>2413640</v>
      </c>
      <c r="E9" t="s">
        <v>8</v>
      </c>
    </row>
    <row r="10" spans="1:5" x14ac:dyDescent="0.55000000000000004">
      <c r="A10" t="s">
        <v>2081</v>
      </c>
      <c r="B10" t="s">
        <v>2080</v>
      </c>
      <c r="C10" t="s">
        <v>10</v>
      </c>
      <c r="D10">
        <v>3207110</v>
      </c>
      <c r="E10" t="s">
        <v>8</v>
      </c>
    </row>
    <row r="11" spans="1:5" x14ac:dyDescent="0.55000000000000004">
      <c r="A11" t="s">
        <v>37</v>
      </c>
      <c r="B11" t="s">
        <v>36</v>
      </c>
      <c r="C11" t="s">
        <v>10</v>
      </c>
      <c r="D11">
        <v>1471567</v>
      </c>
      <c r="E11" t="s">
        <v>8</v>
      </c>
    </row>
    <row r="12" spans="1:5" x14ac:dyDescent="0.55000000000000004">
      <c r="A12" t="s">
        <v>2083</v>
      </c>
      <c r="B12" t="s">
        <v>2082</v>
      </c>
      <c r="C12" t="s">
        <v>10</v>
      </c>
      <c r="D12">
        <v>261850</v>
      </c>
      <c r="E12" t="s">
        <v>8</v>
      </c>
    </row>
    <row r="13" spans="1:5" x14ac:dyDescent="0.55000000000000004">
      <c r="A13" t="s">
        <v>1158</v>
      </c>
      <c r="B13" t="s">
        <v>1157</v>
      </c>
      <c r="C13" t="s">
        <v>10</v>
      </c>
      <c r="D13">
        <v>7159079</v>
      </c>
      <c r="E13" t="s">
        <v>8</v>
      </c>
    </row>
    <row r="14" spans="1:5" x14ac:dyDescent="0.55000000000000004">
      <c r="A14" t="s">
        <v>1826</v>
      </c>
      <c r="B14" t="s">
        <v>47</v>
      </c>
      <c r="C14" t="s">
        <v>1483</v>
      </c>
      <c r="D14">
        <v>2732291</v>
      </c>
      <c r="E14" t="s">
        <v>8</v>
      </c>
    </row>
    <row r="15" spans="1:5" x14ac:dyDescent="0.55000000000000004">
      <c r="A15" t="s">
        <v>2098</v>
      </c>
      <c r="B15" t="s">
        <v>2097</v>
      </c>
      <c r="C15" t="s">
        <v>10</v>
      </c>
      <c r="D15">
        <v>4256051</v>
      </c>
      <c r="E15" t="s">
        <v>8</v>
      </c>
    </row>
    <row r="16" spans="1:5" x14ac:dyDescent="0.55000000000000004">
      <c r="A16" t="s">
        <v>1172</v>
      </c>
      <c r="B16" t="s">
        <v>1171</v>
      </c>
      <c r="C16" t="s">
        <v>10</v>
      </c>
      <c r="D16">
        <v>860670</v>
      </c>
      <c r="E16" t="s">
        <v>8</v>
      </c>
    </row>
    <row r="17" spans="1:5" x14ac:dyDescent="0.55000000000000004">
      <c r="A17" t="s">
        <v>2417</v>
      </c>
      <c r="B17" t="s">
        <v>2416</v>
      </c>
      <c r="C17" t="s">
        <v>13</v>
      </c>
      <c r="D17">
        <v>310118</v>
      </c>
      <c r="E17" t="s">
        <v>8</v>
      </c>
    </row>
    <row r="18" spans="1:5" x14ac:dyDescent="0.55000000000000004">
      <c r="A18" t="s">
        <v>2100</v>
      </c>
      <c r="B18" t="s">
        <v>2099</v>
      </c>
      <c r="C18" t="s">
        <v>10</v>
      </c>
      <c r="D18">
        <v>761852</v>
      </c>
      <c r="E18" t="s">
        <v>8</v>
      </c>
    </row>
    <row r="19" spans="1:5" x14ac:dyDescent="0.55000000000000004">
      <c r="A19" t="s">
        <v>58</v>
      </c>
      <c r="B19" t="s">
        <v>57</v>
      </c>
      <c r="C19" t="s">
        <v>10</v>
      </c>
      <c r="D19">
        <v>501151</v>
      </c>
      <c r="E19" t="s">
        <v>8</v>
      </c>
    </row>
    <row r="20" spans="1:5" x14ac:dyDescent="0.55000000000000004">
      <c r="A20" t="s">
        <v>62</v>
      </c>
      <c r="B20" t="s">
        <v>61</v>
      </c>
      <c r="C20" t="s">
        <v>6</v>
      </c>
      <c r="D20">
        <v>5162335</v>
      </c>
      <c r="E20" t="s">
        <v>8</v>
      </c>
    </row>
    <row r="21" spans="1:5" x14ac:dyDescent="0.55000000000000004">
      <c r="A21" t="s">
        <v>1832</v>
      </c>
      <c r="B21" t="s">
        <v>1831</v>
      </c>
      <c r="C21" t="s">
        <v>41</v>
      </c>
      <c r="D21">
        <v>731048</v>
      </c>
      <c r="E21" t="s">
        <v>8</v>
      </c>
    </row>
    <row r="22" spans="1:5" x14ac:dyDescent="0.55000000000000004">
      <c r="A22" t="s">
        <v>1613</v>
      </c>
      <c r="B22" t="s">
        <v>1612</v>
      </c>
      <c r="C22" t="s">
        <v>10</v>
      </c>
      <c r="D22">
        <v>979065</v>
      </c>
      <c r="E22" t="s">
        <v>8</v>
      </c>
    </row>
    <row r="23" spans="1:5" x14ac:dyDescent="0.55000000000000004">
      <c r="A23" t="s">
        <v>2102</v>
      </c>
      <c r="B23" t="s">
        <v>2101</v>
      </c>
      <c r="C23" t="s">
        <v>10</v>
      </c>
      <c r="D23">
        <v>2290410</v>
      </c>
      <c r="E23" t="s">
        <v>8</v>
      </c>
    </row>
    <row r="24" spans="1:5" x14ac:dyDescent="0.55000000000000004">
      <c r="A24" t="s">
        <v>2423</v>
      </c>
      <c r="B24" t="s">
        <v>2422</v>
      </c>
      <c r="C24" t="s">
        <v>10</v>
      </c>
      <c r="D24">
        <v>587650</v>
      </c>
      <c r="E24" t="s">
        <v>8</v>
      </c>
    </row>
    <row r="25" spans="1:5" x14ac:dyDescent="0.55000000000000004">
      <c r="A25" t="s">
        <v>1617</v>
      </c>
      <c r="B25" t="s">
        <v>1616</v>
      </c>
      <c r="C25" t="s">
        <v>10</v>
      </c>
      <c r="D25">
        <v>329354</v>
      </c>
      <c r="E25" t="s">
        <v>8</v>
      </c>
    </row>
    <row r="26" spans="1:5" x14ac:dyDescent="0.55000000000000004">
      <c r="A26" t="s">
        <v>1838</v>
      </c>
      <c r="B26" t="s">
        <v>1837</v>
      </c>
      <c r="C26" t="s">
        <v>10</v>
      </c>
      <c r="D26">
        <v>207389</v>
      </c>
      <c r="E26" t="s">
        <v>8</v>
      </c>
    </row>
    <row r="27" spans="1:5" x14ac:dyDescent="0.55000000000000004">
      <c r="A27" t="s">
        <v>2425</v>
      </c>
      <c r="B27" t="s">
        <v>2424</v>
      </c>
      <c r="C27" t="s">
        <v>880</v>
      </c>
      <c r="D27">
        <v>378842</v>
      </c>
      <c r="E27" t="s">
        <v>8</v>
      </c>
    </row>
    <row r="28" spans="1:5" x14ac:dyDescent="0.55000000000000004">
      <c r="A28" t="s">
        <v>2114</v>
      </c>
      <c r="B28" t="s">
        <v>2113</v>
      </c>
      <c r="C28" t="s">
        <v>6</v>
      </c>
      <c r="D28">
        <v>975266</v>
      </c>
      <c r="E28" t="s">
        <v>8</v>
      </c>
    </row>
    <row r="29" spans="1:5" x14ac:dyDescent="0.55000000000000004">
      <c r="A29" t="s">
        <v>2120</v>
      </c>
      <c r="B29" t="s">
        <v>2119</v>
      </c>
      <c r="C29" t="s">
        <v>13</v>
      </c>
      <c r="D29">
        <v>3053612</v>
      </c>
      <c r="E29" t="s">
        <v>8</v>
      </c>
    </row>
    <row r="30" spans="1:5" x14ac:dyDescent="0.55000000000000004">
      <c r="A30" t="s">
        <v>2429</v>
      </c>
      <c r="B30" t="s">
        <v>2428</v>
      </c>
      <c r="C30" t="s">
        <v>13</v>
      </c>
      <c r="D30">
        <v>605249</v>
      </c>
      <c r="E30" t="s">
        <v>8</v>
      </c>
    </row>
    <row r="31" spans="1:5" x14ac:dyDescent="0.55000000000000004">
      <c r="A31" t="s">
        <v>527</v>
      </c>
      <c r="B31" t="s">
        <v>526</v>
      </c>
      <c r="C31" t="s">
        <v>10</v>
      </c>
      <c r="D31">
        <v>989423</v>
      </c>
      <c r="E31" t="s">
        <v>8</v>
      </c>
    </row>
    <row r="32" spans="1:5" x14ac:dyDescent="0.55000000000000004">
      <c r="A32" t="s">
        <v>539</v>
      </c>
      <c r="B32" t="s">
        <v>538</v>
      </c>
      <c r="C32" t="s">
        <v>10</v>
      </c>
      <c r="D32">
        <v>3373885</v>
      </c>
      <c r="E32" t="s">
        <v>8</v>
      </c>
    </row>
    <row r="33" spans="1:5" x14ac:dyDescent="0.55000000000000004">
      <c r="A33" t="s">
        <v>1194</v>
      </c>
      <c r="B33" t="s">
        <v>1193</v>
      </c>
      <c r="C33" t="s">
        <v>880</v>
      </c>
      <c r="D33">
        <v>1240982</v>
      </c>
      <c r="E33" t="s">
        <v>8</v>
      </c>
    </row>
    <row r="34" spans="1:5" x14ac:dyDescent="0.55000000000000004">
      <c r="A34" t="s">
        <v>824</v>
      </c>
      <c r="B34" t="s">
        <v>823</v>
      </c>
      <c r="C34" t="s">
        <v>10</v>
      </c>
      <c r="D34">
        <v>555788</v>
      </c>
      <c r="E34" t="s">
        <v>8</v>
      </c>
    </row>
    <row r="35" spans="1:5" x14ac:dyDescent="0.55000000000000004">
      <c r="A35" t="s">
        <v>2433</v>
      </c>
      <c r="B35" t="s">
        <v>2432</v>
      </c>
      <c r="C35" t="s">
        <v>10</v>
      </c>
      <c r="D35">
        <v>7990987</v>
      </c>
      <c r="E35" t="s">
        <v>8</v>
      </c>
    </row>
    <row r="36" spans="1:5" x14ac:dyDescent="0.55000000000000004">
      <c r="A36" t="s">
        <v>2128</v>
      </c>
      <c r="B36" t="s">
        <v>2127</v>
      </c>
      <c r="C36" t="s">
        <v>10</v>
      </c>
      <c r="D36">
        <v>761747</v>
      </c>
      <c r="E36" t="s">
        <v>8</v>
      </c>
    </row>
    <row r="37" spans="1:5" x14ac:dyDescent="0.55000000000000004">
      <c r="A37" t="s">
        <v>826</v>
      </c>
      <c r="B37" t="s">
        <v>825</v>
      </c>
      <c r="C37" t="s">
        <v>10</v>
      </c>
      <c r="D37">
        <v>1268560</v>
      </c>
      <c r="E37" t="s">
        <v>8</v>
      </c>
    </row>
    <row r="38" spans="1:5" x14ac:dyDescent="0.55000000000000004">
      <c r="A38" t="s">
        <v>972</v>
      </c>
      <c r="B38" t="s">
        <v>971</v>
      </c>
      <c r="C38" t="s">
        <v>10</v>
      </c>
      <c r="D38">
        <v>1196811</v>
      </c>
      <c r="E38" t="s">
        <v>8</v>
      </c>
    </row>
    <row r="39" spans="1:5" x14ac:dyDescent="0.55000000000000004">
      <c r="A39" t="s">
        <v>95</v>
      </c>
      <c r="B39" t="s">
        <v>94</v>
      </c>
      <c r="C39" t="s">
        <v>10</v>
      </c>
      <c r="D39">
        <v>353189</v>
      </c>
      <c r="E39" t="s">
        <v>8</v>
      </c>
    </row>
    <row r="40" spans="1:5" x14ac:dyDescent="0.55000000000000004">
      <c r="A40" t="s">
        <v>98</v>
      </c>
      <c r="B40" t="s">
        <v>96</v>
      </c>
      <c r="C40" t="s">
        <v>97</v>
      </c>
      <c r="D40">
        <v>945282</v>
      </c>
      <c r="E40" t="s">
        <v>8</v>
      </c>
    </row>
    <row r="41" spans="1:5" x14ac:dyDescent="0.55000000000000004">
      <c r="A41" t="s">
        <v>1198</v>
      </c>
      <c r="B41" t="s">
        <v>1197</v>
      </c>
      <c r="C41" t="s">
        <v>13</v>
      </c>
      <c r="D41">
        <v>2766105</v>
      </c>
      <c r="E41" t="s">
        <v>8</v>
      </c>
    </row>
    <row r="42" spans="1:5" x14ac:dyDescent="0.55000000000000004">
      <c r="A42" t="s">
        <v>735</v>
      </c>
      <c r="B42" t="s">
        <v>734</v>
      </c>
      <c r="C42" t="s">
        <v>13</v>
      </c>
      <c r="D42">
        <v>765892</v>
      </c>
      <c r="E42" t="s">
        <v>8</v>
      </c>
    </row>
    <row r="43" spans="1:5" x14ac:dyDescent="0.55000000000000004">
      <c r="A43" t="s">
        <v>2136</v>
      </c>
      <c r="B43" t="s">
        <v>2135</v>
      </c>
      <c r="C43" t="s">
        <v>1483</v>
      </c>
      <c r="D43">
        <v>237572</v>
      </c>
      <c r="E43" t="s">
        <v>8</v>
      </c>
    </row>
    <row r="44" spans="1:5" x14ac:dyDescent="0.55000000000000004">
      <c r="A44" t="s">
        <v>980</v>
      </c>
      <c r="B44" t="s">
        <v>979</v>
      </c>
      <c r="C44" t="s">
        <v>10</v>
      </c>
      <c r="D44">
        <v>387880</v>
      </c>
      <c r="E44" t="s">
        <v>8</v>
      </c>
    </row>
    <row r="45" spans="1:5" x14ac:dyDescent="0.55000000000000004">
      <c r="A45" t="s">
        <v>2444</v>
      </c>
      <c r="B45" t="s">
        <v>2443</v>
      </c>
      <c r="C45" t="s">
        <v>10</v>
      </c>
      <c r="D45">
        <v>364165</v>
      </c>
      <c r="E45" t="s">
        <v>8</v>
      </c>
    </row>
    <row r="46" spans="1:5" x14ac:dyDescent="0.55000000000000004">
      <c r="A46" t="s">
        <v>1630</v>
      </c>
      <c r="B46" t="s">
        <v>1629</v>
      </c>
      <c r="C46" t="s">
        <v>10</v>
      </c>
      <c r="D46">
        <v>561719</v>
      </c>
      <c r="E46" t="s">
        <v>8</v>
      </c>
    </row>
    <row r="47" spans="1:5" x14ac:dyDescent="0.55000000000000004">
      <c r="A47" t="s">
        <v>2176</v>
      </c>
      <c r="B47" t="s">
        <v>2175</v>
      </c>
      <c r="C47" t="s">
        <v>10</v>
      </c>
      <c r="D47">
        <v>8887089</v>
      </c>
      <c r="E47" t="s">
        <v>8</v>
      </c>
    </row>
    <row r="48" spans="1:5" x14ac:dyDescent="0.55000000000000004">
      <c r="A48" t="s">
        <v>1859</v>
      </c>
      <c r="B48" t="s">
        <v>1858</v>
      </c>
      <c r="C48" t="s">
        <v>10</v>
      </c>
      <c r="D48">
        <v>6468108</v>
      </c>
      <c r="E48" t="s">
        <v>8</v>
      </c>
    </row>
    <row r="49" spans="1:5" x14ac:dyDescent="0.55000000000000004">
      <c r="A49" t="s">
        <v>120</v>
      </c>
      <c r="B49" t="s">
        <v>119</v>
      </c>
      <c r="C49" t="s">
        <v>10</v>
      </c>
      <c r="D49">
        <v>692574</v>
      </c>
      <c r="E49" t="s">
        <v>8</v>
      </c>
    </row>
    <row r="50" spans="1:5" x14ac:dyDescent="0.55000000000000004">
      <c r="A50" t="s">
        <v>1208</v>
      </c>
      <c r="B50" t="s">
        <v>1207</v>
      </c>
      <c r="C50" t="s">
        <v>10</v>
      </c>
      <c r="D50">
        <v>1207560</v>
      </c>
      <c r="E50" t="s">
        <v>8</v>
      </c>
    </row>
    <row r="51" spans="1:5" x14ac:dyDescent="0.55000000000000004">
      <c r="A51" t="s">
        <v>2453</v>
      </c>
      <c r="B51" t="s">
        <v>2451</v>
      </c>
      <c r="C51" t="s">
        <v>2452</v>
      </c>
      <c r="D51">
        <v>801646</v>
      </c>
      <c r="E51" t="s">
        <v>8</v>
      </c>
    </row>
    <row r="52" spans="1:5" x14ac:dyDescent="0.55000000000000004">
      <c r="A52" t="s">
        <v>2144</v>
      </c>
      <c r="B52" t="s">
        <v>2143</v>
      </c>
      <c r="C52" t="s">
        <v>10</v>
      </c>
      <c r="D52">
        <v>211825</v>
      </c>
      <c r="E52" t="s">
        <v>8</v>
      </c>
    </row>
    <row r="53" spans="1:5" x14ac:dyDescent="0.55000000000000004">
      <c r="A53" t="s">
        <v>128</v>
      </c>
      <c r="B53" t="s">
        <v>127</v>
      </c>
      <c r="C53" t="s">
        <v>10</v>
      </c>
      <c r="D53">
        <v>3707531</v>
      </c>
      <c r="E53" t="s">
        <v>8</v>
      </c>
    </row>
    <row r="54" spans="1:5" x14ac:dyDescent="0.55000000000000004">
      <c r="A54" t="s">
        <v>1865</v>
      </c>
      <c r="B54" t="s">
        <v>1864</v>
      </c>
      <c r="C54" t="s">
        <v>10</v>
      </c>
      <c r="D54">
        <v>3299908</v>
      </c>
      <c r="E54" t="s">
        <v>8</v>
      </c>
    </row>
    <row r="55" spans="1:5" x14ac:dyDescent="0.55000000000000004">
      <c r="A55" t="s">
        <v>1870</v>
      </c>
      <c r="B55" t="s">
        <v>1868</v>
      </c>
      <c r="C55" t="s">
        <v>1869</v>
      </c>
      <c r="D55">
        <v>293127</v>
      </c>
      <c r="E55" t="s">
        <v>8</v>
      </c>
    </row>
    <row r="56" spans="1:5" x14ac:dyDescent="0.55000000000000004">
      <c r="A56" t="s">
        <v>1872</v>
      </c>
      <c r="B56" t="s">
        <v>1871</v>
      </c>
      <c r="C56" t="s">
        <v>10</v>
      </c>
      <c r="D56">
        <v>1926756</v>
      </c>
      <c r="E56" t="s">
        <v>8</v>
      </c>
    </row>
    <row r="57" spans="1:5" x14ac:dyDescent="0.55000000000000004">
      <c r="A57" t="s">
        <v>1876</v>
      </c>
      <c r="B57" t="s">
        <v>1875</v>
      </c>
      <c r="C57" t="s">
        <v>10</v>
      </c>
      <c r="D57">
        <v>2063898</v>
      </c>
      <c r="E57" t="s">
        <v>8</v>
      </c>
    </row>
    <row r="58" spans="1:5" x14ac:dyDescent="0.55000000000000004">
      <c r="A58" t="s">
        <v>1225</v>
      </c>
      <c r="B58" t="s">
        <v>1224</v>
      </c>
      <c r="C58" t="s">
        <v>10</v>
      </c>
      <c r="D58">
        <v>864963</v>
      </c>
      <c r="E58" t="s">
        <v>8</v>
      </c>
    </row>
    <row r="59" spans="1:5" x14ac:dyDescent="0.55000000000000004">
      <c r="A59" t="s">
        <v>2459</v>
      </c>
      <c r="B59" t="s">
        <v>2458</v>
      </c>
      <c r="C59" t="s">
        <v>41</v>
      </c>
      <c r="D59">
        <v>444587</v>
      </c>
      <c r="E59" t="s">
        <v>8</v>
      </c>
    </row>
    <row r="60" spans="1:5" x14ac:dyDescent="0.55000000000000004">
      <c r="A60" t="s">
        <v>2461</v>
      </c>
      <c r="B60" t="s">
        <v>2460</v>
      </c>
      <c r="C60" t="s">
        <v>13</v>
      </c>
      <c r="D60">
        <v>1332460</v>
      </c>
      <c r="E60" t="s">
        <v>8</v>
      </c>
    </row>
    <row r="61" spans="1:5" x14ac:dyDescent="0.55000000000000004">
      <c r="A61" t="s">
        <v>996</v>
      </c>
      <c r="B61" t="s">
        <v>995</v>
      </c>
      <c r="C61" t="s">
        <v>10</v>
      </c>
      <c r="D61">
        <v>3697487</v>
      </c>
      <c r="E61" t="s">
        <v>8</v>
      </c>
    </row>
    <row r="62" spans="1:5" x14ac:dyDescent="0.55000000000000004">
      <c r="A62" t="s">
        <v>745</v>
      </c>
      <c r="B62" t="s">
        <v>744</v>
      </c>
      <c r="C62" t="s">
        <v>10</v>
      </c>
      <c r="D62">
        <v>3262121</v>
      </c>
      <c r="E62" t="s">
        <v>8</v>
      </c>
    </row>
    <row r="63" spans="1:5" x14ac:dyDescent="0.55000000000000004">
      <c r="A63" t="s">
        <v>2463</v>
      </c>
      <c r="B63" t="s">
        <v>2462</v>
      </c>
      <c r="C63" t="s">
        <v>10</v>
      </c>
      <c r="D63">
        <v>399804</v>
      </c>
      <c r="E63" t="s">
        <v>8</v>
      </c>
    </row>
    <row r="64" spans="1:5" x14ac:dyDescent="0.55000000000000004">
      <c r="A64" t="s">
        <v>2469</v>
      </c>
      <c r="B64" t="s">
        <v>2468</v>
      </c>
      <c r="C64" t="s">
        <v>10</v>
      </c>
      <c r="D64">
        <v>693293</v>
      </c>
      <c r="E64" t="s">
        <v>8</v>
      </c>
    </row>
    <row r="65" spans="1:5" x14ac:dyDescent="0.55000000000000004">
      <c r="A65" t="s">
        <v>1888</v>
      </c>
      <c r="B65" t="s">
        <v>1887</v>
      </c>
      <c r="C65" t="s">
        <v>10</v>
      </c>
      <c r="D65">
        <v>956958</v>
      </c>
      <c r="E65" t="s">
        <v>8</v>
      </c>
    </row>
    <row r="66" spans="1:5" x14ac:dyDescent="0.55000000000000004">
      <c r="A66" t="s">
        <v>2473</v>
      </c>
      <c r="B66" t="s">
        <v>2472</v>
      </c>
      <c r="C66" t="s">
        <v>10</v>
      </c>
      <c r="D66">
        <v>1977160</v>
      </c>
      <c r="E66" t="s">
        <v>8</v>
      </c>
    </row>
    <row r="67" spans="1:5" x14ac:dyDescent="0.55000000000000004">
      <c r="A67" t="s">
        <v>2184</v>
      </c>
      <c r="B67" t="s">
        <v>2183</v>
      </c>
      <c r="C67" t="s">
        <v>41</v>
      </c>
      <c r="D67">
        <v>978989</v>
      </c>
      <c r="E67" t="s">
        <v>8</v>
      </c>
    </row>
    <row r="68" spans="1:5" x14ac:dyDescent="0.55000000000000004">
      <c r="A68" t="s">
        <v>2186</v>
      </c>
      <c r="B68" t="s">
        <v>2185</v>
      </c>
      <c r="C68" t="s">
        <v>41</v>
      </c>
      <c r="D68">
        <v>1303987</v>
      </c>
      <c r="E68" t="s">
        <v>8</v>
      </c>
    </row>
    <row r="69" spans="1:5" x14ac:dyDescent="0.55000000000000004">
      <c r="A69" t="s">
        <v>2063</v>
      </c>
      <c r="B69" t="s">
        <v>2062</v>
      </c>
      <c r="C69" t="s">
        <v>10</v>
      </c>
      <c r="D69">
        <v>733047</v>
      </c>
      <c r="E69" t="s">
        <v>8</v>
      </c>
    </row>
    <row r="70" spans="1:5" x14ac:dyDescent="0.55000000000000004">
      <c r="A70" t="s">
        <v>2191</v>
      </c>
      <c r="B70" t="s">
        <v>2190</v>
      </c>
      <c r="C70" t="s">
        <v>13</v>
      </c>
      <c r="D70">
        <v>434187</v>
      </c>
      <c r="E70" t="s">
        <v>8</v>
      </c>
    </row>
    <row r="71" spans="1:5" x14ac:dyDescent="0.55000000000000004">
      <c r="A71" t="s">
        <v>2481</v>
      </c>
      <c r="B71" t="s">
        <v>2480</v>
      </c>
      <c r="C71" t="s">
        <v>10</v>
      </c>
      <c r="D71">
        <v>250598</v>
      </c>
      <c r="E71" t="s">
        <v>8</v>
      </c>
    </row>
    <row r="72" spans="1:5" x14ac:dyDescent="0.55000000000000004">
      <c r="A72" t="s">
        <v>2193</v>
      </c>
      <c r="B72" t="s">
        <v>2192</v>
      </c>
      <c r="C72" t="s">
        <v>10</v>
      </c>
      <c r="D72">
        <v>730418</v>
      </c>
      <c r="E72" t="s">
        <v>8</v>
      </c>
    </row>
    <row r="73" spans="1:5" x14ac:dyDescent="0.55000000000000004">
      <c r="A73" t="s">
        <v>196</v>
      </c>
      <c r="B73" t="s">
        <v>195</v>
      </c>
      <c r="C73" t="s">
        <v>10</v>
      </c>
      <c r="D73">
        <v>1273320</v>
      </c>
      <c r="E73" t="s">
        <v>8</v>
      </c>
    </row>
    <row r="74" spans="1:5" x14ac:dyDescent="0.55000000000000004">
      <c r="A74" t="s">
        <v>1254</v>
      </c>
      <c r="B74" t="s">
        <v>1253</v>
      </c>
      <c r="C74" t="s">
        <v>41</v>
      </c>
      <c r="D74">
        <v>88480</v>
      </c>
      <c r="E74" t="s">
        <v>8</v>
      </c>
    </row>
    <row r="75" spans="1:5" x14ac:dyDescent="0.55000000000000004">
      <c r="A75" t="s">
        <v>2483</v>
      </c>
      <c r="B75" t="s">
        <v>2482</v>
      </c>
      <c r="C75" t="s">
        <v>10</v>
      </c>
      <c r="D75">
        <v>309257</v>
      </c>
      <c r="E75" t="s">
        <v>8</v>
      </c>
    </row>
    <row r="76" spans="1:5" x14ac:dyDescent="0.55000000000000004">
      <c r="A76" t="s">
        <v>2202</v>
      </c>
      <c r="B76" t="s">
        <v>2201</v>
      </c>
      <c r="C76" t="s">
        <v>10</v>
      </c>
      <c r="D76">
        <v>6859209</v>
      </c>
      <c r="E76" t="s">
        <v>8</v>
      </c>
    </row>
    <row r="77" spans="1:5" x14ac:dyDescent="0.55000000000000004">
      <c r="A77" t="s">
        <v>2208</v>
      </c>
      <c r="B77" t="s">
        <v>2207</v>
      </c>
      <c r="C77" t="s">
        <v>10</v>
      </c>
      <c r="D77">
        <v>306469</v>
      </c>
      <c r="E77" t="s">
        <v>8</v>
      </c>
    </row>
    <row r="78" spans="1:5" x14ac:dyDescent="0.55000000000000004">
      <c r="A78" t="s">
        <v>1900</v>
      </c>
      <c r="B78" t="s">
        <v>1899</v>
      </c>
      <c r="C78" t="s">
        <v>10</v>
      </c>
      <c r="D78">
        <v>1349724</v>
      </c>
      <c r="E78" t="s">
        <v>8</v>
      </c>
    </row>
    <row r="79" spans="1:5" x14ac:dyDescent="0.55000000000000004">
      <c r="A79" t="s">
        <v>1904</v>
      </c>
      <c r="B79" t="s">
        <v>1903</v>
      </c>
      <c r="C79" t="s">
        <v>10</v>
      </c>
      <c r="D79">
        <v>544334</v>
      </c>
      <c r="E79" t="s">
        <v>8</v>
      </c>
    </row>
    <row r="80" spans="1:5" x14ac:dyDescent="0.55000000000000004">
      <c r="A80" t="s">
        <v>1278</v>
      </c>
      <c r="B80" t="s">
        <v>1277</v>
      </c>
      <c r="C80" t="s">
        <v>13</v>
      </c>
      <c r="D80">
        <v>539100</v>
      </c>
      <c r="E80" t="s">
        <v>8</v>
      </c>
    </row>
    <row r="81" spans="1:5" x14ac:dyDescent="0.55000000000000004">
      <c r="A81" t="s">
        <v>224</v>
      </c>
      <c r="B81" t="s">
        <v>223</v>
      </c>
      <c r="C81" t="s">
        <v>10</v>
      </c>
      <c r="D81">
        <v>484170</v>
      </c>
      <c r="E81" t="s">
        <v>8</v>
      </c>
    </row>
    <row r="82" spans="1:5" x14ac:dyDescent="0.55000000000000004">
      <c r="A82" t="s">
        <v>231</v>
      </c>
      <c r="B82" t="s">
        <v>229</v>
      </c>
      <c r="C82" t="s">
        <v>230</v>
      </c>
      <c r="D82">
        <v>1265963</v>
      </c>
      <c r="E82" t="s">
        <v>8</v>
      </c>
    </row>
    <row r="83" spans="1:5" x14ac:dyDescent="0.55000000000000004">
      <c r="A83" t="s">
        <v>1289</v>
      </c>
      <c r="B83" t="s">
        <v>1288</v>
      </c>
      <c r="C83" t="s">
        <v>10</v>
      </c>
      <c r="D83">
        <v>289711</v>
      </c>
      <c r="E83" t="s">
        <v>8</v>
      </c>
    </row>
    <row r="84" spans="1:5" x14ac:dyDescent="0.55000000000000004">
      <c r="A84" t="s">
        <v>1679</v>
      </c>
      <c r="B84" t="s">
        <v>1678</v>
      </c>
      <c r="C84" t="s">
        <v>10</v>
      </c>
      <c r="D84">
        <v>273989</v>
      </c>
      <c r="E84" t="s">
        <v>8</v>
      </c>
    </row>
    <row r="85" spans="1:5" x14ac:dyDescent="0.55000000000000004">
      <c r="A85" t="s">
        <v>589</v>
      </c>
      <c r="B85" t="s">
        <v>588</v>
      </c>
      <c r="C85" t="s">
        <v>10</v>
      </c>
      <c r="D85">
        <v>4530180</v>
      </c>
      <c r="E85" t="s">
        <v>8</v>
      </c>
    </row>
    <row r="86" spans="1:5" x14ac:dyDescent="0.55000000000000004">
      <c r="A86" t="s">
        <v>1297</v>
      </c>
      <c r="B86" t="s">
        <v>1296</v>
      </c>
      <c r="C86" t="s">
        <v>10</v>
      </c>
      <c r="D86">
        <v>1033428</v>
      </c>
      <c r="E86" t="s">
        <v>8</v>
      </c>
    </row>
    <row r="87" spans="1:5" x14ac:dyDescent="0.55000000000000004">
      <c r="A87" t="s">
        <v>1685</v>
      </c>
      <c r="B87" t="s">
        <v>1684</v>
      </c>
      <c r="C87" t="s">
        <v>10</v>
      </c>
      <c r="D87">
        <v>470601</v>
      </c>
      <c r="E87" t="s">
        <v>8</v>
      </c>
    </row>
    <row r="88" spans="1:5" x14ac:dyDescent="0.55000000000000004">
      <c r="A88" t="s">
        <v>597</v>
      </c>
      <c r="B88" t="s">
        <v>596</v>
      </c>
      <c r="C88" t="s">
        <v>6</v>
      </c>
      <c r="D88">
        <v>262012</v>
      </c>
      <c r="E88" t="s">
        <v>8</v>
      </c>
    </row>
    <row r="89" spans="1:5" x14ac:dyDescent="0.55000000000000004">
      <c r="A89" t="s">
        <v>2491</v>
      </c>
      <c r="B89" t="s">
        <v>2490</v>
      </c>
      <c r="C89" t="s">
        <v>10</v>
      </c>
      <c r="D89">
        <v>1207346</v>
      </c>
      <c r="E89" t="s">
        <v>8</v>
      </c>
    </row>
    <row r="90" spans="1:5" x14ac:dyDescent="0.55000000000000004">
      <c r="A90" t="s">
        <v>2495</v>
      </c>
      <c r="B90" t="s">
        <v>2494</v>
      </c>
      <c r="C90" t="s">
        <v>13</v>
      </c>
      <c r="D90">
        <v>913966</v>
      </c>
      <c r="E90" t="s">
        <v>8</v>
      </c>
    </row>
    <row r="91" spans="1:5" x14ac:dyDescent="0.55000000000000004">
      <c r="A91" t="s">
        <v>1687</v>
      </c>
      <c r="B91" t="s">
        <v>1686</v>
      </c>
      <c r="C91" t="s">
        <v>10</v>
      </c>
      <c r="D91">
        <v>4468005</v>
      </c>
      <c r="E91" t="s">
        <v>8</v>
      </c>
    </row>
    <row r="92" spans="1:5" x14ac:dyDescent="0.55000000000000004">
      <c r="A92" t="s">
        <v>1301</v>
      </c>
      <c r="B92" t="s">
        <v>1300</v>
      </c>
      <c r="C92" t="s">
        <v>10</v>
      </c>
      <c r="D92">
        <v>569805</v>
      </c>
      <c r="E92" t="s">
        <v>8</v>
      </c>
    </row>
    <row r="93" spans="1:5" x14ac:dyDescent="0.55000000000000004">
      <c r="A93" t="s">
        <v>2227</v>
      </c>
      <c r="B93" t="s">
        <v>2226</v>
      </c>
      <c r="C93" t="s">
        <v>13</v>
      </c>
      <c r="D93">
        <v>331725</v>
      </c>
      <c r="E93" t="s">
        <v>8</v>
      </c>
    </row>
    <row r="94" spans="1:5" x14ac:dyDescent="0.55000000000000004">
      <c r="A94" t="s">
        <v>2503</v>
      </c>
      <c r="B94" t="s">
        <v>2502</v>
      </c>
      <c r="C94" t="s">
        <v>10</v>
      </c>
      <c r="D94">
        <v>1502188</v>
      </c>
      <c r="E94" t="s">
        <v>8</v>
      </c>
    </row>
    <row r="95" spans="1:5" x14ac:dyDescent="0.55000000000000004">
      <c r="A95" t="s">
        <v>2497</v>
      </c>
      <c r="B95" t="s">
        <v>2496</v>
      </c>
      <c r="C95" t="s">
        <v>10</v>
      </c>
      <c r="D95">
        <v>163628</v>
      </c>
      <c r="E95" t="s">
        <v>8</v>
      </c>
    </row>
    <row r="96" spans="1:5" x14ac:dyDescent="0.55000000000000004">
      <c r="A96" t="s">
        <v>2499</v>
      </c>
      <c r="B96" t="s">
        <v>2498</v>
      </c>
      <c r="C96" t="s">
        <v>41</v>
      </c>
      <c r="D96">
        <v>320697</v>
      </c>
      <c r="E96" t="s">
        <v>8</v>
      </c>
    </row>
    <row r="97" spans="1:5" x14ac:dyDescent="0.55000000000000004">
      <c r="A97" t="s">
        <v>1693</v>
      </c>
      <c r="B97" t="s">
        <v>1692</v>
      </c>
      <c r="C97" t="s">
        <v>10</v>
      </c>
      <c r="D97">
        <v>583274</v>
      </c>
      <c r="E97" t="s">
        <v>8</v>
      </c>
    </row>
    <row r="98" spans="1:5" x14ac:dyDescent="0.55000000000000004">
      <c r="A98" t="s">
        <v>1311</v>
      </c>
      <c r="B98" t="s">
        <v>1310</v>
      </c>
      <c r="C98" t="s">
        <v>10</v>
      </c>
      <c r="D98">
        <v>3022648</v>
      </c>
      <c r="E98" t="s">
        <v>8</v>
      </c>
    </row>
    <row r="99" spans="1:5" x14ac:dyDescent="0.55000000000000004">
      <c r="A99" t="s">
        <v>1520</v>
      </c>
      <c r="B99" t="s">
        <v>1519</v>
      </c>
      <c r="C99" t="s">
        <v>10</v>
      </c>
      <c r="D99">
        <v>247129</v>
      </c>
      <c r="E99" t="s">
        <v>8</v>
      </c>
    </row>
    <row r="100" spans="1:5" x14ac:dyDescent="0.55000000000000004">
      <c r="A100" t="s">
        <v>2246</v>
      </c>
      <c r="B100" t="s">
        <v>2245</v>
      </c>
      <c r="C100" t="s">
        <v>13</v>
      </c>
      <c r="D100">
        <v>462053</v>
      </c>
      <c r="E100" t="s">
        <v>8</v>
      </c>
    </row>
    <row r="101" spans="1:5" x14ac:dyDescent="0.55000000000000004">
      <c r="A101" t="s">
        <v>761</v>
      </c>
      <c r="B101" t="s">
        <v>760</v>
      </c>
      <c r="C101" t="s">
        <v>10</v>
      </c>
      <c r="D101">
        <v>426389</v>
      </c>
      <c r="E101" t="s">
        <v>8</v>
      </c>
    </row>
    <row r="102" spans="1:5" x14ac:dyDescent="0.55000000000000004">
      <c r="A102" t="s">
        <v>2510</v>
      </c>
      <c r="B102" t="s">
        <v>2509</v>
      </c>
      <c r="C102" t="s">
        <v>10</v>
      </c>
      <c r="D102">
        <v>301853</v>
      </c>
      <c r="E102" t="s">
        <v>8</v>
      </c>
    </row>
    <row r="103" spans="1:5" x14ac:dyDescent="0.55000000000000004">
      <c r="A103" t="s">
        <v>1695</v>
      </c>
      <c r="B103" t="s">
        <v>1694</v>
      </c>
      <c r="C103" t="s">
        <v>10</v>
      </c>
      <c r="D103">
        <v>1666718</v>
      </c>
      <c r="E103" t="s">
        <v>8</v>
      </c>
    </row>
    <row r="104" spans="1:5" x14ac:dyDescent="0.55000000000000004">
      <c r="A104" t="s">
        <v>1804</v>
      </c>
      <c r="B104" t="s">
        <v>1803</v>
      </c>
      <c r="C104" t="s">
        <v>10</v>
      </c>
      <c r="D104">
        <v>326225</v>
      </c>
      <c r="E104" t="s">
        <v>8</v>
      </c>
    </row>
    <row r="105" spans="1:5" x14ac:dyDescent="0.55000000000000004">
      <c r="A105" t="s">
        <v>1045</v>
      </c>
      <c r="B105" t="s">
        <v>1044</v>
      </c>
      <c r="C105" t="s">
        <v>10</v>
      </c>
      <c r="D105">
        <v>667617</v>
      </c>
      <c r="E105" t="s">
        <v>8</v>
      </c>
    </row>
    <row r="106" spans="1:5" x14ac:dyDescent="0.55000000000000004">
      <c r="A106" t="s">
        <v>2248</v>
      </c>
      <c r="B106" t="s">
        <v>2247</v>
      </c>
      <c r="C106" t="s">
        <v>13</v>
      </c>
      <c r="D106">
        <v>291236</v>
      </c>
      <c r="E106" t="s">
        <v>8</v>
      </c>
    </row>
    <row r="107" spans="1:5" x14ac:dyDescent="0.55000000000000004">
      <c r="A107" t="s">
        <v>1943</v>
      </c>
      <c r="B107" t="s">
        <v>1941</v>
      </c>
      <c r="C107" t="s">
        <v>1942</v>
      </c>
      <c r="D107">
        <v>435099</v>
      </c>
      <c r="E107" t="s">
        <v>8</v>
      </c>
    </row>
    <row r="108" spans="1:5" x14ac:dyDescent="0.55000000000000004">
      <c r="A108" t="s">
        <v>2514</v>
      </c>
      <c r="B108" t="s">
        <v>2513</v>
      </c>
      <c r="C108" t="s">
        <v>10</v>
      </c>
      <c r="D108">
        <v>343998</v>
      </c>
      <c r="E108" t="s">
        <v>8</v>
      </c>
    </row>
    <row r="109" spans="1:5" x14ac:dyDescent="0.55000000000000004">
      <c r="A109" t="s">
        <v>1527</v>
      </c>
      <c r="B109" t="s">
        <v>1526</v>
      </c>
      <c r="C109" t="s">
        <v>10</v>
      </c>
      <c r="D109">
        <v>373417</v>
      </c>
      <c r="E109" t="s">
        <v>8</v>
      </c>
    </row>
    <row r="110" spans="1:5" x14ac:dyDescent="0.55000000000000004">
      <c r="A110" t="s">
        <v>1049</v>
      </c>
      <c r="B110" t="s">
        <v>1048</v>
      </c>
      <c r="C110" t="s">
        <v>10</v>
      </c>
      <c r="D110">
        <v>906167</v>
      </c>
      <c r="E110" t="s">
        <v>8</v>
      </c>
    </row>
    <row r="111" spans="1:5" x14ac:dyDescent="0.55000000000000004">
      <c r="A111" t="s">
        <v>1051</v>
      </c>
      <c r="B111" t="s">
        <v>1050</v>
      </c>
      <c r="C111" t="s">
        <v>10</v>
      </c>
      <c r="D111">
        <v>242222</v>
      </c>
      <c r="E111" t="s">
        <v>8</v>
      </c>
    </row>
    <row r="112" spans="1:5" x14ac:dyDescent="0.55000000000000004">
      <c r="A112" t="s">
        <v>2520</v>
      </c>
      <c r="B112" t="s">
        <v>2519</v>
      </c>
      <c r="C112" t="s">
        <v>10</v>
      </c>
      <c r="D112">
        <v>294421</v>
      </c>
      <c r="E112" t="s">
        <v>8</v>
      </c>
    </row>
    <row r="113" spans="1:5" x14ac:dyDescent="0.55000000000000004">
      <c r="A113" t="s">
        <v>2530</v>
      </c>
      <c r="B113" t="s">
        <v>2529</v>
      </c>
      <c r="C113" t="s">
        <v>6</v>
      </c>
      <c r="D113">
        <v>367334</v>
      </c>
      <c r="E113" t="s">
        <v>8</v>
      </c>
    </row>
    <row r="114" spans="1:5" x14ac:dyDescent="0.55000000000000004">
      <c r="A114" t="s">
        <v>1338</v>
      </c>
      <c r="B114" t="s">
        <v>1337</v>
      </c>
      <c r="C114" t="s">
        <v>10</v>
      </c>
      <c r="D114">
        <v>8450300</v>
      </c>
      <c r="E114" t="s">
        <v>8</v>
      </c>
    </row>
    <row r="115" spans="1:5" x14ac:dyDescent="0.55000000000000004">
      <c r="A115" t="s">
        <v>2263</v>
      </c>
      <c r="B115" t="s">
        <v>2262</v>
      </c>
      <c r="C115" t="s">
        <v>10</v>
      </c>
      <c r="D115">
        <v>311588</v>
      </c>
      <c r="E115" t="s">
        <v>8</v>
      </c>
    </row>
    <row r="116" spans="1:5" x14ac:dyDescent="0.55000000000000004">
      <c r="A116" t="s">
        <v>2526</v>
      </c>
      <c r="B116" t="s">
        <v>2525</v>
      </c>
      <c r="C116" t="s">
        <v>10</v>
      </c>
      <c r="D116">
        <v>763272</v>
      </c>
      <c r="E116" t="s">
        <v>8</v>
      </c>
    </row>
    <row r="117" spans="1:5" x14ac:dyDescent="0.55000000000000004">
      <c r="A117" t="s">
        <v>2265</v>
      </c>
      <c r="B117" t="s">
        <v>2264</v>
      </c>
      <c r="C117" t="s">
        <v>13</v>
      </c>
      <c r="D117">
        <v>2254802</v>
      </c>
      <c r="E117" t="s">
        <v>8</v>
      </c>
    </row>
    <row r="118" spans="1:5" x14ac:dyDescent="0.55000000000000004">
      <c r="A118" t="s">
        <v>1708</v>
      </c>
      <c r="B118" t="s">
        <v>1707</v>
      </c>
      <c r="C118" t="s">
        <v>10</v>
      </c>
      <c r="D118">
        <v>2784874</v>
      </c>
      <c r="E118" t="s">
        <v>8</v>
      </c>
    </row>
    <row r="119" spans="1:5" x14ac:dyDescent="0.55000000000000004">
      <c r="A119" t="s">
        <v>1952</v>
      </c>
      <c r="B119" t="s">
        <v>1951</v>
      </c>
      <c r="C119" t="s">
        <v>10</v>
      </c>
      <c r="D119">
        <v>201390</v>
      </c>
      <c r="E119" t="s">
        <v>8</v>
      </c>
    </row>
    <row r="120" spans="1:5" x14ac:dyDescent="0.55000000000000004">
      <c r="A120" t="s">
        <v>1956</v>
      </c>
      <c r="B120" t="s">
        <v>1955</v>
      </c>
      <c r="C120" t="s">
        <v>10</v>
      </c>
      <c r="D120">
        <v>640132</v>
      </c>
      <c r="E120" t="s">
        <v>8</v>
      </c>
    </row>
    <row r="121" spans="1:5" x14ac:dyDescent="0.55000000000000004">
      <c r="A121" t="s">
        <v>1714</v>
      </c>
      <c r="B121" t="s">
        <v>1713</v>
      </c>
      <c r="C121" t="s">
        <v>41</v>
      </c>
      <c r="D121">
        <v>1896664</v>
      </c>
      <c r="E121" t="s">
        <v>8</v>
      </c>
    </row>
    <row r="122" spans="1:5" x14ac:dyDescent="0.55000000000000004">
      <c r="A122" t="s">
        <v>2274</v>
      </c>
      <c r="B122" t="s">
        <v>2273</v>
      </c>
      <c r="C122" t="s">
        <v>41</v>
      </c>
      <c r="D122">
        <v>3568024</v>
      </c>
      <c r="E122" t="s">
        <v>8</v>
      </c>
    </row>
    <row r="123" spans="1:5" x14ac:dyDescent="0.55000000000000004">
      <c r="A123" t="s">
        <v>1960</v>
      </c>
      <c r="B123" t="s">
        <v>1959</v>
      </c>
      <c r="C123" t="s">
        <v>10</v>
      </c>
      <c r="D123">
        <v>2998120</v>
      </c>
      <c r="E123" t="s">
        <v>8</v>
      </c>
    </row>
    <row r="124" spans="1:5" x14ac:dyDescent="0.55000000000000004">
      <c r="A124" t="s">
        <v>315</v>
      </c>
      <c r="B124" t="s">
        <v>314</v>
      </c>
      <c r="C124" t="s">
        <v>10</v>
      </c>
      <c r="D124">
        <v>4209566</v>
      </c>
      <c r="E124" t="s">
        <v>8</v>
      </c>
    </row>
    <row r="125" spans="1:5" x14ac:dyDescent="0.55000000000000004">
      <c r="A125" t="s">
        <v>643</v>
      </c>
      <c r="B125" t="s">
        <v>642</v>
      </c>
      <c r="C125" t="s">
        <v>10</v>
      </c>
      <c r="D125">
        <v>1361316</v>
      </c>
      <c r="E125" t="s">
        <v>8</v>
      </c>
    </row>
    <row r="126" spans="1:5" x14ac:dyDescent="0.55000000000000004">
      <c r="A126" t="s">
        <v>317</v>
      </c>
      <c r="B126" t="s">
        <v>316</v>
      </c>
      <c r="C126" t="s">
        <v>10</v>
      </c>
      <c r="D126">
        <v>1488664</v>
      </c>
      <c r="E126" t="s">
        <v>8</v>
      </c>
    </row>
    <row r="127" spans="1:5" x14ac:dyDescent="0.55000000000000004">
      <c r="A127" t="s">
        <v>2276</v>
      </c>
      <c r="B127" t="s">
        <v>2275</v>
      </c>
      <c r="C127" t="s">
        <v>13</v>
      </c>
      <c r="D127">
        <v>4486986</v>
      </c>
      <c r="E127" t="s">
        <v>8</v>
      </c>
    </row>
    <row r="128" spans="1:5" x14ac:dyDescent="0.55000000000000004">
      <c r="A128" t="s">
        <v>1358</v>
      </c>
      <c r="B128" t="s">
        <v>1357</v>
      </c>
      <c r="C128" t="s">
        <v>10</v>
      </c>
      <c r="D128">
        <v>1827934</v>
      </c>
      <c r="E128" t="s">
        <v>8</v>
      </c>
    </row>
    <row r="129" spans="1:5" x14ac:dyDescent="0.55000000000000004">
      <c r="A129" t="s">
        <v>2534</v>
      </c>
      <c r="B129" t="s">
        <v>2533</v>
      </c>
      <c r="C129" t="s">
        <v>10</v>
      </c>
      <c r="D129">
        <v>233460</v>
      </c>
      <c r="E129" t="s">
        <v>8</v>
      </c>
    </row>
    <row r="130" spans="1:5" x14ac:dyDescent="0.55000000000000004">
      <c r="A130" t="s">
        <v>1065</v>
      </c>
      <c r="B130" t="s">
        <v>1064</v>
      </c>
      <c r="C130" t="s">
        <v>10</v>
      </c>
      <c r="D130">
        <v>583268</v>
      </c>
      <c r="E130" t="s">
        <v>8</v>
      </c>
    </row>
    <row r="131" spans="1:5" x14ac:dyDescent="0.55000000000000004">
      <c r="A131" t="s">
        <v>2479</v>
      </c>
      <c r="B131" t="s">
        <v>2478</v>
      </c>
      <c r="C131" t="s">
        <v>41</v>
      </c>
      <c r="D131">
        <v>173840</v>
      </c>
      <c r="E131" t="s">
        <v>8</v>
      </c>
    </row>
    <row r="132" spans="1:5" x14ac:dyDescent="0.55000000000000004">
      <c r="A132" t="s">
        <v>2544</v>
      </c>
      <c r="B132" t="s">
        <v>2543</v>
      </c>
      <c r="C132" t="s">
        <v>10</v>
      </c>
      <c r="D132">
        <v>4850806</v>
      </c>
      <c r="E132" t="s">
        <v>8</v>
      </c>
    </row>
    <row r="133" spans="1:5" x14ac:dyDescent="0.55000000000000004">
      <c r="A133" t="s">
        <v>114</v>
      </c>
      <c r="B133" t="s">
        <v>113</v>
      </c>
      <c r="C133" t="s">
        <v>41</v>
      </c>
      <c r="D133">
        <v>436116</v>
      </c>
      <c r="E133" t="s">
        <v>8</v>
      </c>
    </row>
    <row r="134" spans="1:5" x14ac:dyDescent="0.55000000000000004">
      <c r="A134" t="s">
        <v>2546</v>
      </c>
      <c r="B134" t="s">
        <v>2545</v>
      </c>
      <c r="C134" t="s">
        <v>10</v>
      </c>
      <c r="D134">
        <v>384002</v>
      </c>
      <c r="E134" t="s">
        <v>8</v>
      </c>
    </row>
    <row r="135" spans="1:5" x14ac:dyDescent="0.55000000000000004">
      <c r="A135" t="s">
        <v>2292</v>
      </c>
      <c r="B135" t="s">
        <v>2291</v>
      </c>
      <c r="C135" t="s">
        <v>10</v>
      </c>
      <c r="D135">
        <v>2258269</v>
      </c>
      <c r="E135" t="s">
        <v>8</v>
      </c>
    </row>
    <row r="136" spans="1:5" x14ac:dyDescent="0.55000000000000004">
      <c r="A136" t="s">
        <v>2548</v>
      </c>
      <c r="B136" t="s">
        <v>2547</v>
      </c>
      <c r="C136" t="s">
        <v>10</v>
      </c>
      <c r="D136">
        <v>5309826</v>
      </c>
      <c r="E136" t="s">
        <v>8</v>
      </c>
    </row>
    <row r="137" spans="1:5" x14ac:dyDescent="0.55000000000000004">
      <c r="A137" t="s">
        <v>2550</v>
      </c>
      <c r="B137" t="s">
        <v>2549</v>
      </c>
      <c r="C137" t="s">
        <v>10</v>
      </c>
      <c r="D137">
        <v>302544</v>
      </c>
      <c r="E137" t="s">
        <v>8</v>
      </c>
    </row>
    <row r="138" spans="1:5" x14ac:dyDescent="0.55000000000000004">
      <c r="A138" t="s">
        <v>777</v>
      </c>
      <c r="B138" t="s">
        <v>776</v>
      </c>
      <c r="C138" t="s">
        <v>10</v>
      </c>
      <c r="D138">
        <v>3905435</v>
      </c>
      <c r="E138" t="s">
        <v>8</v>
      </c>
    </row>
    <row r="139" spans="1:5" x14ac:dyDescent="0.55000000000000004">
      <c r="A139" t="s">
        <v>339</v>
      </c>
      <c r="B139" t="s">
        <v>338</v>
      </c>
      <c r="C139" t="s">
        <v>10</v>
      </c>
      <c r="D139">
        <v>5696904</v>
      </c>
      <c r="E139" t="s">
        <v>8</v>
      </c>
    </row>
    <row r="140" spans="1:5" x14ac:dyDescent="0.55000000000000004">
      <c r="A140" t="s">
        <v>2562</v>
      </c>
      <c r="B140" t="s">
        <v>2561</v>
      </c>
      <c r="C140" t="s">
        <v>10</v>
      </c>
      <c r="D140">
        <v>7804287</v>
      </c>
      <c r="E140" t="s">
        <v>8</v>
      </c>
    </row>
    <row r="141" spans="1:5" x14ac:dyDescent="0.55000000000000004">
      <c r="A141" t="s">
        <v>1729</v>
      </c>
      <c r="B141" t="s">
        <v>1728</v>
      </c>
      <c r="C141" t="s">
        <v>10</v>
      </c>
      <c r="D141">
        <v>1137773</v>
      </c>
      <c r="E141" t="s">
        <v>8</v>
      </c>
    </row>
    <row r="142" spans="1:5" x14ac:dyDescent="0.55000000000000004">
      <c r="A142" t="s">
        <v>1977</v>
      </c>
      <c r="B142" t="s">
        <v>1976</v>
      </c>
      <c r="C142" t="s">
        <v>10</v>
      </c>
      <c r="D142">
        <v>293803</v>
      </c>
      <c r="E142" t="s">
        <v>8</v>
      </c>
    </row>
    <row r="143" spans="1:5" x14ac:dyDescent="0.55000000000000004">
      <c r="A143" t="s">
        <v>2552</v>
      </c>
      <c r="B143" t="s">
        <v>2551</v>
      </c>
      <c r="C143" t="s">
        <v>10</v>
      </c>
      <c r="D143">
        <v>1358536</v>
      </c>
      <c r="E143" t="s">
        <v>8</v>
      </c>
    </row>
    <row r="144" spans="1:5" x14ac:dyDescent="0.55000000000000004">
      <c r="A144" t="s">
        <v>1979</v>
      </c>
      <c r="B144" t="s">
        <v>1978</v>
      </c>
      <c r="C144" t="s">
        <v>10</v>
      </c>
      <c r="D144">
        <v>1003759</v>
      </c>
      <c r="E144" t="s">
        <v>8</v>
      </c>
    </row>
    <row r="145" spans="1:5" x14ac:dyDescent="0.55000000000000004">
      <c r="A145" t="s">
        <v>350</v>
      </c>
      <c r="B145" t="s">
        <v>349</v>
      </c>
      <c r="C145" t="s">
        <v>10</v>
      </c>
      <c r="D145">
        <v>484261</v>
      </c>
      <c r="E145" t="s">
        <v>8</v>
      </c>
    </row>
    <row r="146" spans="1:5" x14ac:dyDescent="0.55000000000000004">
      <c r="A146" t="s">
        <v>2560</v>
      </c>
      <c r="B146" t="s">
        <v>2559</v>
      </c>
      <c r="C146" t="s">
        <v>10</v>
      </c>
      <c r="D146">
        <v>2699070</v>
      </c>
      <c r="E146" t="s">
        <v>8</v>
      </c>
    </row>
    <row r="147" spans="1:5" x14ac:dyDescent="0.55000000000000004">
      <c r="A147" t="s">
        <v>671</v>
      </c>
      <c r="B147" t="s">
        <v>670</v>
      </c>
      <c r="C147" t="s">
        <v>41</v>
      </c>
      <c r="D147">
        <v>1027267</v>
      </c>
      <c r="E147" t="s">
        <v>8</v>
      </c>
    </row>
    <row r="148" spans="1:5" x14ac:dyDescent="0.55000000000000004">
      <c r="A148" t="s">
        <v>1089</v>
      </c>
      <c r="B148" t="s">
        <v>1088</v>
      </c>
      <c r="C148" t="s">
        <v>41</v>
      </c>
      <c r="D148">
        <v>5014071</v>
      </c>
      <c r="E148" t="s">
        <v>8</v>
      </c>
    </row>
    <row r="149" spans="1:5" x14ac:dyDescent="0.55000000000000004">
      <c r="A149" t="s">
        <v>2567</v>
      </c>
      <c r="B149" t="s">
        <v>2566</v>
      </c>
      <c r="C149" t="s">
        <v>10</v>
      </c>
      <c r="D149">
        <v>279129</v>
      </c>
      <c r="E149" t="s">
        <v>8</v>
      </c>
    </row>
    <row r="150" spans="1:5" x14ac:dyDescent="0.55000000000000004">
      <c r="A150" t="s">
        <v>2573</v>
      </c>
      <c r="B150" t="s">
        <v>2572</v>
      </c>
      <c r="C150" t="s">
        <v>10</v>
      </c>
      <c r="D150">
        <v>294764</v>
      </c>
      <c r="E150" t="s">
        <v>8</v>
      </c>
    </row>
    <row r="151" spans="1:5" x14ac:dyDescent="0.55000000000000004">
      <c r="A151" t="s">
        <v>2577</v>
      </c>
      <c r="B151" t="s">
        <v>2576</v>
      </c>
      <c r="C151" t="s">
        <v>10</v>
      </c>
      <c r="D151">
        <v>7182657</v>
      </c>
      <c r="E151" t="s">
        <v>8</v>
      </c>
    </row>
    <row r="152" spans="1:5" x14ac:dyDescent="0.55000000000000004">
      <c r="A152" t="s">
        <v>2310</v>
      </c>
      <c r="B152" t="s">
        <v>2309</v>
      </c>
      <c r="C152" t="s">
        <v>10</v>
      </c>
      <c r="D152">
        <v>349358</v>
      </c>
      <c r="E152" t="s">
        <v>8</v>
      </c>
    </row>
    <row r="153" spans="1:5" x14ac:dyDescent="0.55000000000000004">
      <c r="A153" t="s">
        <v>2575</v>
      </c>
      <c r="B153" t="s">
        <v>2574</v>
      </c>
      <c r="C153" t="s">
        <v>10</v>
      </c>
      <c r="D153">
        <v>791454</v>
      </c>
      <c r="E153" t="s">
        <v>8</v>
      </c>
    </row>
    <row r="154" spans="1:5" x14ac:dyDescent="0.55000000000000004">
      <c r="A154" t="s">
        <v>1757</v>
      </c>
      <c r="B154" t="s">
        <v>1756</v>
      </c>
      <c r="C154" t="s">
        <v>10</v>
      </c>
      <c r="D154">
        <v>798217</v>
      </c>
      <c r="E154" t="s">
        <v>8</v>
      </c>
    </row>
    <row r="155" spans="1:5" x14ac:dyDescent="0.55000000000000004">
      <c r="A155" t="s">
        <v>1393</v>
      </c>
      <c r="B155" t="s">
        <v>1392</v>
      </c>
      <c r="C155" t="s">
        <v>6</v>
      </c>
      <c r="D155">
        <v>779095</v>
      </c>
      <c r="E155" t="s">
        <v>8</v>
      </c>
    </row>
    <row r="156" spans="1:5" x14ac:dyDescent="0.55000000000000004">
      <c r="A156" t="s">
        <v>386</v>
      </c>
      <c r="B156" t="s">
        <v>385</v>
      </c>
      <c r="C156" t="s">
        <v>13</v>
      </c>
      <c r="D156">
        <v>7367998</v>
      </c>
      <c r="E156" t="s">
        <v>8</v>
      </c>
    </row>
    <row r="157" spans="1:5" x14ac:dyDescent="0.55000000000000004">
      <c r="A157" t="s">
        <v>1397</v>
      </c>
      <c r="B157" t="s">
        <v>1396</v>
      </c>
      <c r="C157" t="s">
        <v>10</v>
      </c>
      <c r="D157">
        <v>862058</v>
      </c>
      <c r="E157" t="s">
        <v>8</v>
      </c>
    </row>
    <row r="158" spans="1:5" x14ac:dyDescent="0.55000000000000004">
      <c r="A158" t="s">
        <v>1111</v>
      </c>
      <c r="B158" t="s">
        <v>1110</v>
      </c>
      <c r="C158" t="s">
        <v>10</v>
      </c>
      <c r="D158">
        <v>151924</v>
      </c>
      <c r="E158" t="s">
        <v>8</v>
      </c>
    </row>
    <row r="159" spans="1:5" x14ac:dyDescent="0.55000000000000004">
      <c r="A159" t="s">
        <v>2583</v>
      </c>
      <c r="B159" t="s">
        <v>2582</v>
      </c>
      <c r="C159" t="s">
        <v>10</v>
      </c>
      <c r="D159">
        <v>1790577</v>
      </c>
      <c r="E159" t="s">
        <v>8</v>
      </c>
    </row>
    <row r="160" spans="1:5" x14ac:dyDescent="0.55000000000000004">
      <c r="A160" t="s">
        <v>2585</v>
      </c>
      <c r="B160" t="s">
        <v>2584</v>
      </c>
      <c r="C160" t="s">
        <v>10</v>
      </c>
      <c r="D160">
        <v>216200</v>
      </c>
      <c r="E160" t="s">
        <v>8</v>
      </c>
    </row>
    <row r="161" spans="1:5" x14ac:dyDescent="0.55000000000000004">
      <c r="A161" t="s">
        <v>2587</v>
      </c>
      <c r="B161" t="s">
        <v>2586</v>
      </c>
      <c r="C161" t="s">
        <v>10</v>
      </c>
      <c r="D161">
        <v>313378</v>
      </c>
      <c r="E161" t="s">
        <v>8</v>
      </c>
    </row>
    <row r="162" spans="1:5" x14ac:dyDescent="0.55000000000000004">
      <c r="A162" t="s">
        <v>2528</v>
      </c>
      <c r="B162" t="s">
        <v>2527</v>
      </c>
      <c r="C162" t="s">
        <v>10</v>
      </c>
      <c r="D162">
        <v>70703</v>
      </c>
      <c r="E162" t="s">
        <v>8</v>
      </c>
    </row>
    <row r="163" spans="1:5" x14ac:dyDescent="0.55000000000000004">
      <c r="A163" t="s">
        <v>2326</v>
      </c>
      <c r="B163" t="s">
        <v>2325</v>
      </c>
      <c r="C163" t="s">
        <v>10</v>
      </c>
      <c r="D163">
        <v>1536464</v>
      </c>
      <c r="E163" t="s">
        <v>8</v>
      </c>
    </row>
    <row r="164" spans="1:5" x14ac:dyDescent="0.55000000000000004">
      <c r="A164" t="s">
        <v>2591</v>
      </c>
      <c r="B164" t="s">
        <v>2590</v>
      </c>
      <c r="C164" t="s">
        <v>10</v>
      </c>
      <c r="D164">
        <v>967976</v>
      </c>
      <c r="E164" t="s">
        <v>8</v>
      </c>
    </row>
    <row r="165" spans="1:5" x14ac:dyDescent="0.55000000000000004">
      <c r="A165" t="s">
        <v>2595</v>
      </c>
      <c r="B165" t="s">
        <v>2594</v>
      </c>
      <c r="C165" t="s">
        <v>10</v>
      </c>
      <c r="D165">
        <v>1671142</v>
      </c>
      <c r="E165" t="s">
        <v>8</v>
      </c>
    </row>
    <row r="166" spans="1:5" x14ac:dyDescent="0.55000000000000004">
      <c r="A166" t="s">
        <v>2597</v>
      </c>
      <c r="B166" t="s">
        <v>2596</v>
      </c>
      <c r="C166" t="s">
        <v>10</v>
      </c>
      <c r="D166">
        <v>1875790</v>
      </c>
      <c r="E166" t="s">
        <v>8</v>
      </c>
    </row>
    <row r="167" spans="1:5" x14ac:dyDescent="0.55000000000000004">
      <c r="A167" t="s">
        <v>2001</v>
      </c>
      <c r="B167" t="s">
        <v>2000</v>
      </c>
      <c r="C167" t="s">
        <v>10</v>
      </c>
      <c r="D167">
        <v>2726001</v>
      </c>
      <c r="E167" t="s">
        <v>8</v>
      </c>
    </row>
    <row r="168" spans="1:5" x14ac:dyDescent="0.55000000000000004">
      <c r="A168" t="s">
        <v>2332</v>
      </c>
      <c r="B168" t="s">
        <v>2331</v>
      </c>
      <c r="C168" t="s">
        <v>76</v>
      </c>
      <c r="D168">
        <v>2536485</v>
      </c>
      <c r="E168" t="s">
        <v>8</v>
      </c>
    </row>
    <row r="169" spans="1:5" x14ac:dyDescent="0.55000000000000004">
      <c r="A169" t="s">
        <v>2005</v>
      </c>
      <c r="B169" t="s">
        <v>2004</v>
      </c>
      <c r="C169" t="s">
        <v>10</v>
      </c>
      <c r="D169">
        <v>265165</v>
      </c>
      <c r="E169" t="s">
        <v>8</v>
      </c>
    </row>
    <row r="170" spans="1:5" x14ac:dyDescent="0.55000000000000004">
      <c r="A170" t="s">
        <v>1412</v>
      </c>
      <c r="B170" t="s">
        <v>1411</v>
      </c>
      <c r="C170" t="s">
        <v>10</v>
      </c>
      <c r="D170">
        <v>5290060</v>
      </c>
      <c r="E170" t="s">
        <v>8</v>
      </c>
    </row>
    <row r="171" spans="1:5" x14ac:dyDescent="0.55000000000000004">
      <c r="A171" t="s">
        <v>1414</v>
      </c>
      <c r="B171" t="s">
        <v>1413</v>
      </c>
      <c r="C171" t="s">
        <v>13</v>
      </c>
      <c r="D171">
        <v>3981987</v>
      </c>
      <c r="E171" t="s">
        <v>8</v>
      </c>
    </row>
    <row r="172" spans="1:5" x14ac:dyDescent="0.55000000000000004">
      <c r="A172" t="s">
        <v>2601</v>
      </c>
      <c r="B172" t="s">
        <v>2600</v>
      </c>
      <c r="C172" t="s">
        <v>10</v>
      </c>
      <c r="D172">
        <v>374457</v>
      </c>
      <c r="E172" t="s">
        <v>8</v>
      </c>
    </row>
    <row r="173" spans="1:5" x14ac:dyDescent="0.55000000000000004">
      <c r="A173" t="s">
        <v>2010</v>
      </c>
      <c r="B173" t="s">
        <v>2009</v>
      </c>
      <c r="C173" t="s">
        <v>10</v>
      </c>
      <c r="D173">
        <v>2105969</v>
      </c>
      <c r="E173" t="s">
        <v>8</v>
      </c>
    </row>
    <row r="174" spans="1:5" x14ac:dyDescent="0.55000000000000004">
      <c r="A174" t="s">
        <v>2349</v>
      </c>
      <c r="B174" t="s">
        <v>2348</v>
      </c>
      <c r="C174" t="s">
        <v>10</v>
      </c>
      <c r="D174">
        <v>1812617</v>
      </c>
      <c r="E174" t="s">
        <v>8</v>
      </c>
    </row>
    <row r="175" spans="1:5" x14ac:dyDescent="0.55000000000000004">
      <c r="A175" t="s">
        <v>2367</v>
      </c>
      <c r="B175" t="s">
        <v>2366</v>
      </c>
      <c r="C175" t="s">
        <v>10</v>
      </c>
      <c r="D175">
        <v>1231689</v>
      </c>
      <c r="E175" t="s">
        <v>8</v>
      </c>
    </row>
    <row r="176" spans="1:5" x14ac:dyDescent="0.55000000000000004">
      <c r="A176" t="s">
        <v>2355</v>
      </c>
      <c r="B176" t="s">
        <v>2354</v>
      </c>
      <c r="C176" t="s">
        <v>10</v>
      </c>
      <c r="D176">
        <v>200138</v>
      </c>
      <c r="E176" t="s">
        <v>8</v>
      </c>
    </row>
    <row r="177" spans="1:5" x14ac:dyDescent="0.55000000000000004">
      <c r="A177" t="s">
        <v>2605</v>
      </c>
      <c r="B177" t="s">
        <v>2604</v>
      </c>
      <c r="C177" t="s">
        <v>10</v>
      </c>
      <c r="D177">
        <v>454944</v>
      </c>
      <c r="E177" t="s">
        <v>8</v>
      </c>
    </row>
    <row r="178" spans="1:5" x14ac:dyDescent="0.55000000000000004">
      <c r="A178" t="s">
        <v>2609</v>
      </c>
      <c r="B178" t="s">
        <v>2608</v>
      </c>
      <c r="C178" t="s">
        <v>880</v>
      </c>
      <c r="D178">
        <v>254434</v>
      </c>
      <c r="E178" t="s">
        <v>8</v>
      </c>
    </row>
    <row r="179" spans="1:5" x14ac:dyDescent="0.55000000000000004">
      <c r="A179" t="s">
        <v>2023</v>
      </c>
      <c r="B179" t="s">
        <v>2022</v>
      </c>
      <c r="C179" t="s">
        <v>10</v>
      </c>
      <c r="D179">
        <v>5813962</v>
      </c>
      <c r="E179" t="s">
        <v>8</v>
      </c>
    </row>
    <row r="180" spans="1:5" x14ac:dyDescent="0.55000000000000004">
      <c r="A180" t="s">
        <v>2363</v>
      </c>
      <c r="B180" t="s">
        <v>2362</v>
      </c>
      <c r="C180" t="s">
        <v>10</v>
      </c>
      <c r="D180">
        <v>473945</v>
      </c>
      <c r="E180" t="s">
        <v>8</v>
      </c>
    </row>
    <row r="181" spans="1:5" x14ac:dyDescent="0.55000000000000004">
      <c r="A181" t="s">
        <v>1786</v>
      </c>
      <c r="B181" t="s">
        <v>1785</v>
      </c>
      <c r="C181" t="s">
        <v>1317</v>
      </c>
      <c r="D181">
        <v>345277</v>
      </c>
      <c r="E181" t="s">
        <v>8</v>
      </c>
    </row>
    <row r="182" spans="1:5" x14ac:dyDescent="0.55000000000000004">
      <c r="A182" t="s">
        <v>1431</v>
      </c>
      <c r="B182" t="s">
        <v>1430</v>
      </c>
      <c r="C182" t="s">
        <v>10</v>
      </c>
      <c r="D182">
        <v>441725</v>
      </c>
      <c r="E182" t="s">
        <v>8</v>
      </c>
    </row>
    <row r="183" spans="1:5" x14ac:dyDescent="0.55000000000000004">
      <c r="A183" t="s">
        <v>2611</v>
      </c>
      <c r="B183" t="s">
        <v>2610</v>
      </c>
      <c r="C183" t="s">
        <v>10</v>
      </c>
      <c r="D183">
        <v>3087578</v>
      </c>
      <c r="E183" t="s">
        <v>8</v>
      </c>
    </row>
    <row r="184" spans="1:5" x14ac:dyDescent="0.55000000000000004">
      <c r="A184" t="s">
        <v>2033</v>
      </c>
      <c r="B184" t="s">
        <v>2032</v>
      </c>
      <c r="C184" t="s">
        <v>10</v>
      </c>
      <c r="D184">
        <v>684244</v>
      </c>
      <c r="E184" t="s">
        <v>8</v>
      </c>
    </row>
    <row r="185" spans="1:5" x14ac:dyDescent="0.55000000000000004">
      <c r="A185" t="s">
        <v>2035</v>
      </c>
      <c r="B185" t="s">
        <v>2034</v>
      </c>
      <c r="C185" t="s">
        <v>10</v>
      </c>
      <c r="D185">
        <v>458081</v>
      </c>
      <c r="E185" t="s">
        <v>8</v>
      </c>
    </row>
    <row r="186" spans="1:5" x14ac:dyDescent="0.55000000000000004">
      <c r="A186" t="s">
        <v>705</v>
      </c>
      <c r="B186" t="s">
        <v>704</v>
      </c>
      <c r="C186" t="s">
        <v>10</v>
      </c>
      <c r="D186">
        <v>4432124</v>
      </c>
      <c r="E186" t="s">
        <v>8</v>
      </c>
    </row>
    <row r="187" spans="1:5" x14ac:dyDescent="0.55000000000000004">
      <c r="A187" t="s">
        <v>2369</v>
      </c>
      <c r="B187" t="s">
        <v>2368</v>
      </c>
      <c r="C187" t="s">
        <v>10</v>
      </c>
      <c r="D187">
        <v>284061</v>
      </c>
      <c r="E187" t="s">
        <v>8</v>
      </c>
    </row>
    <row r="188" spans="1:5" x14ac:dyDescent="0.55000000000000004">
      <c r="A188" t="s">
        <v>2371</v>
      </c>
      <c r="B188" t="s">
        <v>2370</v>
      </c>
      <c r="C188" t="s">
        <v>10</v>
      </c>
      <c r="D188">
        <v>325960</v>
      </c>
      <c r="E188" t="s">
        <v>8</v>
      </c>
    </row>
    <row r="189" spans="1:5" x14ac:dyDescent="0.55000000000000004">
      <c r="A189" t="s">
        <v>1792</v>
      </c>
      <c r="B189" t="s">
        <v>1791</v>
      </c>
      <c r="C189" t="s">
        <v>10</v>
      </c>
      <c r="D189">
        <v>815063</v>
      </c>
      <c r="E189" t="s">
        <v>8</v>
      </c>
    </row>
    <row r="190" spans="1:5" x14ac:dyDescent="0.55000000000000004">
      <c r="A190" t="s">
        <v>2613</v>
      </c>
      <c r="B190" t="s">
        <v>2612</v>
      </c>
      <c r="C190" t="s">
        <v>10</v>
      </c>
      <c r="D190">
        <v>4360036</v>
      </c>
      <c r="E190" t="s">
        <v>8</v>
      </c>
    </row>
    <row r="191" spans="1:5" x14ac:dyDescent="0.55000000000000004">
      <c r="A191" t="s">
        <v>1439</v>
      </c>
      <c r="B191" t="s">
        <v>1438</v>
      </c>
      <c r="C191" t="s">
        <v>10</v>
      </c>
      <c r="D191">
        <v>841154</v>
      </c>
      <c r="E191" t="s">
        <v>8</v>
      </c>
    </row>
    <row r="192" spans="1:5" x14ac:dyDescent="0.55000000000000004">
      <c r="A192" t="s">
        <v>443</v>
      </c>
      <c r="B192" t="s">
        <v>442</v>
      </c>
      <c r="C192" t="s">
        <v>10</v>
      </c>
      <c r="D192">
        <v>224348</v>
      </c>
      <c r="E192" t="s">
        <v>8</v>
      </c>
    </row>
    <row r="193" spans="1:5" x14ac:dyDescent="0.55000000000000004">
      <c r="A193" t="s">
        <v>806</v>
      </c>
      <c r="B193" t="s">
        <v>805</v>
      </c>
      <c r="C193" t="s">
        <v>41</v>
      </c>
      <c r="D193">
        <v>1208673</v>
      </c>
      <c r="E193" t="s">
        <v>8</v>
      </c>
    </row>
    <row r="194" spans="1:5" x14ac:dyDescent="0.55000000000000004">
      <c r="A194" t="s">
        <v>2617</v>
      </c>
      <c r="B194" t="s">
        <v>2616</v>
      </c>
      <c r="C194" t="s">
        <v>13</v>
      </c>
      <c r="D194">
        <v>93086</v>
      </c>
      <c r="E194" t="s">
        <v>8</v>
      </c>
    </row>
    <row r="195" spans="1:5" x14ac:dyDescent="0.55000000000000004">
      <c r="A195" t="s">
        <v>2619</v>
      </c>
      <c r="B195" t="s">
        <v>2618</v>
      </c>
      <c r="C195" t="s">
        <v>10</v>
      </c>
      <c r="D195">
        <v>527343</v>
      </c>
      <c r="E195" t="s">
        <v>8</v>
      </c>
    </row>
    <row r="196" spans="1:5" x14ac:dyDescent="0.55000000000000004">
      <c r="A196" t="s">
        <v>1451</v>
      </c>
      <c r="B196" t="s">
        <v>1450</v>
      </c>
      <c r="C196" t="s">
        <v>880</v>
      </c>
      <c r="D196">
        <v>1120636</v>
      </c>
      <c r="E196" t="s">
        <v>8</v>
      </c>
    </row>
    <row r="197" spans="1:5" x14ac:dyDescent="0.55000000000000004">
      <c r="A197" t="s">
        <v>2044</v>
      </c>
      <c r="B197" t="s">
        <v>2043</v>
      </c>
      <c r="C197" t="s">
        <v>10</v>
      </c>
      <c r="D197">
        <v>432629</v>
      </c>
      <c r="E197" t="s">
        <v>8</v>
      </c>
    </row>
    <row r="198" spans="1:5" x14ac:dyDescent="0.55000000000000004">
      <c r="A198" t="s">
        <v>2629</v>
      </c>
      <c r="B198" t="s">
        <v>2628</v>
      </c>
      <c r="C198" t="s">
        <v>10</v>
      </c>
      <c r="D198">
        <v>1066701</v>
      </c>
      <c r="E198" t="s">
        <v>8</v>
      </c>
    </row>
    <row r="199" spans="1:5" x14ac:dyDescent="0.55000000000000004">
      <c r="A199" t="s">
        <v>2377</v>
      </c>
      <c r="B199" t="s">
        <v>2376</v>
      </c>
      <c r="C199" t="s">
        <v>10</v>
      </c>
      <c r="D199">
        <v>1701841</v>
      </c>
      <c r="E199" t="s">
        <v>8</v>
      </c>
    </row>
    <row r="200" spans="1:5" x14ac:dyDescent="0.55000000000000004">
      <c r="A200" t="s">
        <v>2623</v>
      </c>
      <c r="B200" t="s">
        <v>2622</v>
      </c>
      <c r="C200" t="s">
        <v>141</v>
      </c>
      <c r="D200">
        <v>2877208</v>
      </c>
      <c r="E200" t="s">
        <v>8</v>
      </c>
    </row>
    <row r="201" spans="1:5" x14ac:dyDescent="0.55000000000000004">
      <c r="A201" t="s">
        <v>459</v>
      </c>
      <c r="B201" t="s">
        <v>458</v>
      </c>
      <c r="C201" t="s">
        <v>10</v>
      </c>
      <c r="D201">
        <v>3304234</v>
      </c>
      <c r="E201" t="s">
        <v>8</v>
      </c>
    </row>
    <row r="202" spans="1:5" x14ac:dyDescent="0.55000000000000004">
      <c r="A202" t="s">
        <v>709</v>
      </c>
      <c r="B202" t="s">
        <v>708</v>
      </c>
      <c r="C202" t="s">
        <v>10</v>
      </c>
      <c r="D202">
        <v>1572116</v>
      </c>
      <c r="E202" t="s">
        <v>8</v>
      </c>
    </row>
    <row r="203" spans="1:5" x14ac:dyDescent="0.55000000000000004">
      <c r="A203" t="s">
        <v>1121</v>
      </c>
      <c r="B203" t="s">
        <v>1120</v>
      </c>
      <c r="C203" t="s">
        <v>10</v>
      </c>
      <c r="D203">
        <v>681744</v>
      </c>
      <c r="E203" t="s">
        <v>8</v>
      </c>
    </row>
    <row r="204" spans="1:5" x14ac:dyDescent="0.55000000000000004">
      <c r="A204" t="s">
        <v>2627</v>
      </c>
      <c r="B204" t="s">
        <v>2626</v>
      </c>
      <c r="C204" t="s">
        <v>10</v>
      </c>
      <c r="D204">
        <v>7353432</v>
      </c>
      <c r="E204" t="s">
        <v>8</v>
      </c>
    </row>
    <row r="205" spans="1:5" x14ac:dyDescent="0.55000000000000004">
      <c r="A205" t="s">
        <v>2048</v>
      </c>
      <c r="B205" t="s">
        <v>2047</v>
      </c>
      <c r="C205" t="s">
        <v>10</v>
      </c>
      <c r="D205">
        <v>2677056</v>
      </c>
      <c r="E205" t="s">
        <v>8</v>
      </c>
    </row>
    <row r="206" spans="1:5" x14ac:dyDescent="0.55000000000000004">
      <c r="A206" t="s">
        <v>2389</v>
      </c>
      <c r="B206" t="s">
        <v>2388</v>
      </c>
      <c r="C206" t="s">
        <v>10</v>
      </c>
      <c r="D206">
        <v>277483</v>
      </c>
      <c r="E206" t="s">
        <v>8</v>
      </c>
    </row>
    <row r="207" spans="1:5" x14ac:dyDescent="0.55000000000000004">
      <c r="A207" t="s">
        <v>1468</v>
      </c>
      <c r="B207" t="s">
        <v>1466</v>
      </c>
      <c r="C207" t="s">
        <v>1467</v>
      </c>
      <c r="D207">
        <v>525217</v>
      </c>
      <c r="E207" t="s">
        <v>8</v>
      </c>
    </row>
    <row r="208" spans="1:5" x14ac:dyDescent="0.55000000000000004">
      <c r="A208" t="s">
        <v>1564</v>
      </c>
      <c r="B208" t="s">
        <v>1563</v>
      </c>
      <c r="C208" t="s">
        <v>10</v>
      </c>
      <c r="D208">
        <v>268905</v>
      </c>
      <c r="E208" t="s">
        <v>8</v>
      </c>
    </row>
    <row r="209" spans="1:5" x14ac:dyDescent="0.55000000000000004">
      <c r="A209" t="s">
        <v>1127</v>
      </c>
      <c r="B209" t="s">
        <v>1126</v>
      </c>
      <c r="C209" t="s">
        <v>10</v>
      </c>
      <c r="D209">
        <v>781531</v>
      </c>
      <c r="E209" t="s">
        <v>8</v>
      </c>
    </row>
    <row r="210" spans="1:5" x14ac:dyDescent="0.55000000000000004">
      <c r="A210" t="s">
        <v>1472</v>
      </c>
      <c r="B210" t="s">
        <v>1471</v>
      </c>
      <c r="C210" t="s">
        <v>10</v>
      </c>
      <c r="D210">
        <v>167028</v>
      </c>
      <c r="E210" t="s">
        <v>8</v>
      </c>
    </row>
    <row r="211" spans="1:5" x14ac:dyDescent="0.55000000000000004">
      <c r="A211" t="s">
        <v>723</v>
      </c>
      <c r="B211" t="s">
        <v>722</v>
      </c>
      <c r="C211" t="s">
        <v>10</v>
      </c>
      <c r="D211">
        <v>1507922</v>
      </c>
      <c r="E211" t="s">
        <v>8</v>
      </c>
    </row>
    <row r="212" spans="1:5" x14ac:dyDescent="0.55000000000000004">
      <c r="A212" t="s">
        <v>2635</v>
      </c>
      <c r="B212" t="s">
        <v>2634</v>
      </c>
      <c r="C212" t="s">
        <v>10</v>
      </c>
      <c r="D212">
        <v>137321</v>
      </c>
      <c r="E212" t="s">
        <v>8</v>
      </c>
    </row>
    <row r="213" spans="1:5" x14ac:dyDescent="0.55000000000000004">
      <c r="A213" t="s">
        <v>2170</v>
      </c>
      <c r="B213" t="s">
        <v>2169</v>
      </c>
      <c r="C213" t="s">
        <v>10</v>
      </c>
      <c r="D213">
        <v>443246</v>
      </c>
      <c r="E213" t="s">
        <v>8</v>
      </c>
    </row>
    <row r="214" spans="1:5" x14ac:dyDescent="0.55000000000000004">
      <c r="A214" t="s">
        <v>1906</v>
      </c>
      <c r="B214" t="s">
        <v>1905</v>
      </c>
      <c r="C214" t="s">
        <v>10</v>
      </c>
      <c r="D214">
        <v>2276160</v>
      </c>
      <c r="E214" t="s">
        <v>8</v>
      </c>
    </row>
    <row r="215" spans="1:5" x14ac:dyDescent="0.55000000000000004">
      <c r="A215" t="s">
        <v>2357</v>
      </c>
      <c r="B215" t="s">
        <v>2356</v>
      </c>
      <c r="C215" t="s">
        <v>10</v>
      </c>
      <c r="D215">
        <v>3277844</v>
      </c>
      <c r="E215" t="s">
        <v>8</v>
      </c>
    </row>
    <row r="216" spans="1:5" x14ac:dyDescent="0.55000000000000004">
      <c r="A216" t="s">
        <v>2204</v>
      </c>
      <c r="B216" t="s">
        <v>2203</v>
      </c>
      <c r="C216" t="s">
        <v>6</v>
      </c>
      <c r="D216">
        <v>531413</v>
      </c>
      <c r="E216" t="s">
        <v>8</v>
      </c>
    </row>
    <row r="217" spans="1:5" x14ac:dyDescent="0.55000000000000004">
      <c r="A217" t="s">
        <v>1675</v>
      </c>
      <c r="B217" t="s">
        <v>1674</v>
      </c>
      <c r="C217" t="s">
        <v>10</v>
      </c>
      <c r="D217">
        <v>766259</v>
      </c>
      <c r="E217" t="s">
        <v>8</v>
      </c>
    </row>
    <row r="218" spans="1:5" x14ac:dyDescent="0.55000000000000004">
      <c r="A218" t="s">
        <v>1250</v>
      </c>
      <c r="B218" t="s">
        <v>1249</v>
      </c>
      <c r="C218" t="s">
        <v>10</v>
      </c>
      <c r="D218">
        <v>3256488</v>
      </c>
      <c r="E218" t="s">
        <v>8</v>
      </c>
    </row>
    <row r="219" spans="1:5" x14ac:dyDescent="0.55000000000000004">
      <c r="A219" t="s">
        <v>2373</v>
      </c>
      <c r="B219" t="s">
        <v>2372</v>
      </c>
      <c r="C219" t="s">
        <v>10</v>
      </c>
      <c r="D219">
        <v>4055600</v>
      </c>
      <c r="E219" t="s">
        <v>8</v>
      </c>
    </row>
    <row r="220" spans="1:5" x14ac:dyDescent="0.55000000000000004">
      <c r="A220" t="s">
        <v>521</v>
      </c>
      <c r="B220" t="s">
        <v>520</v>
      </c>
      <c r="C220" t="s">
        <v>10</v>
      </c>
      <c r="D220">
        <v>1953911</v>
      </c>
      <c r="E220" t="s">
        <v>8</v>
      </c>
    </row>
    <row r="221" spans="1:5" x14ac:dyDescent="0.55000000000000004">
      <c r="A221" t="s">
        <v>1170</v>
      </c>
      <c r="B221" t="s">
        <v>1169</v>
      </c>
      <c r="C221" t="s">
        <v>6</v>
      </c>
      <c r="D221">
        <v>603705</v>
      </c>
      <c r="E221" t="s">
        <v>8</v>
      </c>
    </row>
    <row r="222" spans="1:5" x14ac:dyDescent="0.55000000000000004">
      <c r="A222" t="s">
        <v>1819</v>
      </c>
      <c r="B222" t="s">
        <v>1818</v>
      </c>
      <c r="C222" t="s">
        <v>10</v>
      </c>
      <c r="D222">
        <v>1973475</v>
      </c>
      <c r="E222" t="s">
        <v>8</v>
      </c>
    </row>
    <row r="223" spans="1:5" x14ac:dyDescent="0.55000000000000004">
      <c r="A223" t="s">
        <v>498</v>
      </c>
      <c r="B223" t="s">
        <v>497</v>
      </c>
      <c r="C223" t="s">
        <v>10</v>
      </c>
      <c r="D223">
        <v>882473</v>
      </c>
      <c r="E223" t="s">
        <v>8</v>
      </c>
    </row>
    <row r="224" spans="1:5" x14ac:dyDescent="0.55000000000000004">
      <c r="A224" t="s">
        <v>2401</v>
      </c>
      <c r="B224" t="s">
        <v>2400</v>
      </c>
      <c r="C224" t="s">
        <v>41</v>
      </c>
      <c r="D224">
        <v>794686</v>
      </c>
      <c r="E224" t="s">
        <v>8</v>
      </c>
    </row>
    <row r="225" spans="1:5" x14ac:dyDescent="0.55000000000000004">
      <c r="A225" t="s">
        <v>2405</v>
      </c>
      <c r="B225" t="s">
        <v>2404</v>
      </c>
      <c r="C225" t="s">
        <v>10</v>
      </c>
      <c r="D225">
        <v>7242982</v>
      </c>
      <c r="E225" t="s">
        <v>8</v>
      </c>
    </row>
    <row r="226" spans="1:5" x14ac:dyDescent="0.55000000000000004">
      <c r="A226" t="s">
        <v>1605</v>
      </c>
      <c r="B226" t="s">
        <v>1604</v>
      </c>
      <c r="C226" t="s">
        <v>10</v>
      </c>
      <c r="D226">
        <v>656961</v>
      </c>
      <c r="E226" t="s">
        <v>8</v>
      </c>
    </row>
    <row r="227" spans="1:5" x14ac:dyDescent="0.55000000000000004">
      <c r="A227" t="s">
        <v>2075</v>
      </c>
      <c r="B227" t="s">
        <v>2074</v>
      </c>
      <c r="C227" t="s">
        <v>10</v>
      </c>
      <c r="D227">
        <v>1565471</v>
      </c>
      <c r="E227" t="s">
        <v>8</v>
      </c>
    </row>
    <row r="228" spans="1:5" x14ac:dyDescent="0.55000000000000004">
      <c r="A228" t="s">
        <v>504</v>
      </c>
      <c r="B228" t="s">
        <v>503</v>
      </c>
      <c r="C228" t="s">
        <v>41</v>
      </c>
      <c r="D228">
        <v>347941</v>
      </c>
      <c r="E228" t="s">
        <v>8</v>
      </c>
    </row>
    <row r="229" spans="1:5" x14ac:dyDescent="0.55000000000000004">
      <c r="A229" t="s">
        <v>1938</v>
      </c>
      <c r="B229" t="s">
        <v>1936</v>
      </c>
      <c r="C229" t="s">
        <v>1937</v>
      </c>
      <c r="D229">
        <v>482259</v>
      </c>
      <c r="E229" t="s">
        <v>8</v>
      </c>
    </row>
    <row r="230" spans="1:5" x14ac:dyDescent="0.55000000000000004">
      <c r="A230" t="s">
        <v>2409</v>
      </c>
      <c r="B230" t="s">
        <v>2408</v>
      </c>
      <c r="C230" t="s">
        <v>10</v>
      </c>
      <c r="D230">
        <v>416767</v>
      </c>
      <c r="E230" t="s">
        <v>8</v>
      </c>
    </row>
    <row r="231" spans="1:5" x14ac:dyDescent="0.55000000000000004">
      <c r="A231" t="s">
        <v>2086</v>
      </c>
      <c r="B231" t="s">
        <v>2084</v>
      </c>
      <c r="C231" t="s">
        <v>2085</v>
      </c>
      <c r="D231">
        <v>2644419</v>
      </c>
      <c r="E231" t="s">
        <v>8</v>
      </c>
    </row>
    <row r="232" spans="1:5" x14ac:dyDescent="0.55000000000000004">
      <c r="A232" t="s">
        <v>2415</v>
      </c>
      <c r="B232" t="s">
        <v>2414</v>
      </c>
      <c r="C232" t="s">
        <v>10</v>
      </c>
      <c r="D232">
        <v>4298000</v>
      </c>
      <c r="E232" t="s">
        <v>8</v>
      </c>
    </row>
    <row r="233" spans="1:5" x14ac:dyDescent="0.55000000000000004">
      <c r="A233" t="s">
        <v>1830</v>
      </c>
      <c r="B233" t="s">
        <v>1829</v>
      </c>
      <c r="C233" t="s">
        <v>10</v>
      </c>
      <c r="D233">
        <v>471992</v>
      </c>
      <c r="E233" t="s">
        <v>8</v>
      </c>
    </row>
    <row r="234" spans="1:5" x14ac:dyDescent="0.55000000000000004">
      <c r="A234" t="s">
        <v>1609</v>
      </c>
      <c r="B234" t="s">
        <v>1608</v>
      </c>
      <c r="C234" t="s">
        <v>1317</v>
      </c>
      <c r="D234">
        <v>1578913</v>
      </c>
      <c r="E234" t="s">
        <v>8</v>
      </c>
    </row>
    <row r="235" spans="1:5" x14ac:dyDescent="0.55000000000000004">
      <c r="A235" t="s">
        <v>68</v>
      </c>
      <c r="B235" t="s">
        <v>67</v>
      </c>
      <c r="C235" t="s">
        <v>10</v>
      </c>
      <c r="D235">
        <v>2149332</v>
      </c>
      <c r="E235" t="s">
        <v>8</v>
      </c>
    </row>
    <row r="236" spans="1:5" x14ac:dyDescent="0.55000000000000004">
      <c r="A236" t="s">
        <v>1611</v>
      </c>
      <c r="B236" t="s">
        <v>1610</v>
      </c>
      <c r="C236" t="s">
        <v>10</v>
      </c>
      <c r="D236">
        <v>388793</v>
      </c>
      <c r="E236" t="s">
        <v>8</v>
      </c>
    </row>
    <row r="237" spans="1:5" x14ac:dyDescent="0.55000000000000004">
      <c r="A237" t="s">
        <v>1486</v>
      </c>
      <c r="B237" t="s">
        <v>1485</v>
      </c>
      <c r="C237" t="s">
        <v>10</v>
      </c>
      <c r="D237">
        <v>325754</v>
      </c>
      <c r="E237" t="s">
        <v>8</v>
      </c>
    </row>
    <row r="238" spans="1:5" x14ac:dyDescent="0.55000000000000004">
      <c r="A238" t="s">
        <v>2419</v>
      </c>
      <c r="B238" t="s">
        <v>2418</v>
      </c>
      <c r="C238" t="s">
        <v>6</v>
      </c>
      <c r="D238">
        <v>201377</v>
      </c>
      <c r="E238" t="s">
        <v>8</v>
      </c>
    </row>
    <row r="239" spans="1:5" x14ac:dyDescent="0.55000000000000004">
      <c r="A239" t="s">
        <v>1187</v>
      </c>
      <c r="B239" t="s">
        <v>1186</v>
      </c>
      <c r="C239" t="s">
        <v>10</v>
      </c>
      <c r="D239">
        <v>366431</v>
      </c>
      <c r="E239" t="s">
        <v>8</v>
      </c>
    </row>
    <row r="240" spans="1:5" x14ac:dyDescent="0.55000000000000004">
      <c r="A240" t="s">
        <v>2421</v>
      </c>
      <c r="B240" t="s">
        <v>2420</v>
      </c>
      <c r="C240" t="s">
        <v>6</v>
      </c>
      <c r="D240">
        <v>200197</v>
      </c>
      <c r="E240" t="s">
        <v>8</v>
      </c>
    </row>
    <row r="241" spans="1:5" x14ac:dyDescent="0.55000000000000004">
      <c r="A241" t="s">
        <v>1183</v>
      </c>
      <c r="B241" t="s">
        <v>1182</v>
      </c>
      <c r="C241" t="s">
        <v>10</v>
      </c>
      <c r="D241">
        <v>1501257</v>
      </c>
      <c r="E241" t="s">
        <v>8</v>
      </c>
    </row>
    <row r="242" spans="1:5" x14ac:dyDescent="0.55000000000000004">
      <c r="A242" t="s">
        <v>1834</v>
      </c>
      <c r="B242" t="s">
        <v>1833</v>
      </c>
      <c r="C242" t="s">
        <v>10</v>
      </c>
      <c r="D242">
        <v>753153</v>
      </c>
      <c r="E242" t="s">
        <v>8</v>
      </c>
    </row>
    <row r="243" spans="1:5" x14ac:dyDescent="0.55000000000000004">
      <c r="A243" t="s">
        <v>2110</v>
      </c>
      <c r="B243" t="s">
        <v>2109</v>
      </c>
      <c r="C243" t="s">
        <v>10</v>
      </c>
      <c r="D243">
        <v>789829</v>
      </c>
      <c r="E243" t="s">
        <v>8</v>
      </c>
    </row>
    <row r="244" spans="1:5" x14ac:dyDescent="0.55000000000000004">
      <c r="A244" t="s">
        <v>1842</v>
      </c>
      <c r="B244" t="s">
        <v>1841</v>
      </c>
      <c r="C244" t="s">
        <v>10</v>
      </c>
      <c r="D244">
        <v>5732147</v>
      </c>
      <c r="E244" t="s">
        <v>8</v>
      </c>
    </row>
    <row r="245" spans="1:5" x14ac:dyDescent="0.55000000000000004">
      <c r="A245" t="s">
        <v>2427</v>
      </c>
      <c r="B245" t="s">
        <v>2426</v>
      </c>
      <c r="C245" t="s">
        <v>26</v>
      </c>
      <c r="D245">
        <v>429752</v>
      </c>
      <c r="E245" t="s">
        <v>8</v>
      </c>
    </row>
    <row r="246" spans="1:5" x14ac:dyDescent="0.55000000000000004">
      <c r="A246" t="s">
        <v>2116</v>
      </c>
      <c r="B246" t="s">
        <v>2115</v>
      </c>
      <c r="C246" t="s">
        <v>10</v>
      </c>
      <c r="D246">
        <v>3657900</v>
      </c>
      <c r="E246" t="s">
        <v>8</v>
      </c>
    </row>
    <row r="247" spans="1:5" x14ac:dyDescent="0.55000000000000004">
      <c r="A247" t="s">
        <v>1621</v>
      </c>
      <c r="B247" t="s">
        <v>1620</v>
      </c>
      <c r="C247" t="s">
        <v>13</v>
      </c>
      <c r="D247">
        <v>4623304</v>
      </c>
      <c r="E247" t="s">
        <v>8</v>
      </c>
    </row>
    <row r="248" spans="1:5" x14ac:dyDescent="0.55000000000000004">
      <c r="A248" t="s">
        <v>2431</v>
      </c>
      <c r="B248" t="s">
        <v>2430</v>
      </c>
      <c r="C248" t="s">
        <v>10</v>
      </c>
      <c r="D248">
        <v>7247155</v>
      </c>
      <c r="E248" t="s">
        <v>8</v>
      </c>
    </row>
    <row r="249" spans="1:5" x14ac:dyDescent="0.55000000000000004">
      <c r="A249" t="s">
        <v>1181</v>
      </c>
      <c r="B249" t="s">
        <v>1180</v>
      </c>
      <c r="C249" t="s">
        <v>10</v>
      </c>
      <c r="D249">
        <v>358484</v>
      </c>
      <c r="E249" t="s">
        <v>8</v>
      </c>
    </row>
    <row r="250" spans="1:5" x14ac:dyDescent="0.55000000000000004">
      <c r="A250" t="s">
        <v>1628</v>
      </c>
      <c r="B250" t="s">
        <v>1626</v>
      </c>
      <c r="C250" t="s">
        <v>1627</v>
      </c>
      <c r="D250">
        <v>7130327</v>
      </c>
      <c r="E250" t="s">
        <v>8</v>
      </c>
    </row>
    <row r="251" spans="1:5" x14ac:dyDescent="0.55000000000000004">
      <c r="A251" t="s">
        <v>2438</v>
      </c>
      <c r="B251" t="s">
        <v>2436</v>
      </c>
      <c r="C251" t="s">
        <v>2437</v>
      </c>
      <c r="D251">
        <v>1988654</v>
      </c>
      <c r="E251" t="s">
        <v>8</v>
      </c>
    </row>
    <row r="252" spans="1:5" x14ac:dyDescent="0.55000000000000004">
      <c r="A252" t="s">
        <v>2130</v>
      </c>
      <c r="B252" t="s">
        <v>2129</v>
      </c>
      <c r="C252" t="s">
        <v>10</v>
      </c>
      <c r="D252">
        <v>612472</v>
      </c>
      <c r="E252" t="s">
        <v>8</v>
      </c>
    </row>
    <row r="253" spans="1:5" x14ac:dyDescent="0.55000000000000004">
      <c r="A253" t="s">
        <v>2440</v>
      </c>
      <c r="B253" t="s">
        <v>2439</v>
      </c>
      <c r="C253" t="s">
        <v>10</v>
      </c>
      <c r="D253">
        <v>229871</v>
      </c>
      <c r="E253" t="s">
        <v>8</v>
      </c>
    </row>
    <row r="254" spans="1:5" x14ac:dyDescent="0.55000000000000004">
      <c r="A254" t="s">
        <v>104</v>
      </c>
      <c r="B254" t="s">
        <v>103</v>
      </c>
      <c r="C254" t="s">
        <v>10</v>
      </c>
      <c r="D254">
        <v>698149</v>
      </c>
      <c r="E254" t="s">
        <v>8</v>
      </c>
    </row>
    <row r="255" spans="1:5" x14ac:dyDescent="0.55000000000000004">
      <c r="A255" t="s">
        <v>2138</v>
      </c>
      <c r="B255" t="s">
        <v>2137</v>
      </c>
      <c r="C255" t="s">
        <v>13</v>
      </c>
      <c r="D255">
        <v>1183096</v>
      </c>
      <c r="E255" t="s">
        <v>8</v>
      </c>
    </row>
    <row r="256" spans="1:5" x14ac:dyDescent="0.55000000000000004">
      <c r="A256" t="s">
        <v>2446</v>
      </c>
      <c r="B256" t="s">
        <v>2445</v>
      </c>
      <c r="C256" t="s">
        <v>10</v>
      </c>
      <c r="D256">
        <v>588211</v>
      </c>
      <c r="E256" t="s">
        <v>8</v>
      </c>
    </row>
    <row r="257" spans="1:5" x14ac:dyDescent="0.55000000000000004">
      <c r="A257" t="s">
        <v>116</v>
      </c>
      <c r="B257" t="s">
        <v>115</v>
      </c>
      <c r="C257" t="s">
        <v>10</v>
      </c>
      <c r="D257">
        <v>3176656</v>
      </c>
      <c r="E257" t="s">
        <v>8</v>
      </c>
    </row>
    <row r="258" spans="1:5" x14ac:dyDescent="0.55000000000000004">
      <c r="A258" t="s">
        <v>2448</v>
      </c>
      <c r="B258" t="s">
        <v>2447</v>
      </c>
      <c r="C258" t="s">
        <v>10</v>
      </c>
      <c r="D258">
        <v>455410</v>
      </c>
      <c r="E258" t="s">
        <v>8</v>
      </c>
    </row>
    <row r="259" spans="1:5" x14ac:dyDescent="0.55000000000000004">
      <c r="A259" t="s">
        <v>1204</v>
      </c>
      <c r="B259" t="s">
        <v>1203</v>
      </c>
      <c r="C259" t="s">
        <v>10</v>
      </c>
      <c r="D259">
        <v>1090771</v>
      </c>
      <c r="E259" t="s">
        <v>8</v>
      </c>
    </row>
    <row r="260" spans="1:5" x14ac:dyDescent="0.55000000000000004">
      <c r="A260" t="s">
        <v>833</v>
      </c>
      <c r="B260" t="s">
        <v>832</v>
      </c>
      <c r="C260" t="s">
        <v>141</v>
      </c>
      <c r="D260">
        <v>3528857</v>
      </c>
      <c r="E260" t="s">
        <v>8</v>
      </c>
    </row>
    <row r="261" spans="1:5" x14ac:dyDescent="0.55000000000000004">
      <c r="A261" t="s">
        <v>2450</v>
      </c>
      <c r="B261" t="s">
        <v>2449</v>
      </c>
      <c r="C261" t="s">
        <v>10</v>
      </c>
      <c r="D261">
        <v>695028</v>
      </c>
      <c r="E261" t="s">
        <v>8</v>
      </c>
    </row>
    <row r="262" spans="1:5" x14ac:dyDescent="0.55000000000000004">
      <c r="A262" t="s">
        <v>2146</v>
      </c>
      <c r="B262" t="s">
        <v>2145</v>
      </c>
      <c r="C262" t="s">
        <v>13</v>
      </c>
      <c r="D262">
        <v>1732607</v>
      </c>
      <c r="E262" t="s">
        <v>8</v>
      </c>
    </row>
    <row r="263" spans="1:5" x14ac:dyDescent="0.55000000000000004">
      <c r="A263" t="s">
        <v>2150</v>
      </c>
      <c r="B263" t="s">
        <v>2149</v>
      </c>
      <c r="C263" t="s">
        <v>10</v>
      </c>
      <c r="D263">
        <v>1238227</v>
      </c>
      <c r="E263" t="s">
        <v>8</v>
      </c>
    </row>
    <row r="264" spans="1:5" x14ac:dyDescent="0.55000000000000004">
      <c r="A264" t="s">
        <v>2455</v>
      </c>
      <c r="B264" t="s">
        <v>2454</v>
      </c>
      <c r="C264" t="s">
        <v>545</v>
      </c>
      <c r="D264">
        <v>1017944</v>
      </c>
      <c r="E264" t="s">
        <v>8</v>
      </c>
    </row>
    <row r="265" spans="1:5" x14ac:dyDescent="0.55000000000000004">
      <c r="A265" t="s">
        <v>1650</v>
      </c>
      <c r="B265" t="s">
        <v>1649</v>
      </c>
      <c r="C265" t="s">
        <v>6</v>
      </c>
      <c r="D265">
        <v>596303</v>
      </c>
      <c r="E265" t="s">
        <v>8</v>
      </c>
    </row>
    <row r="266" spans="1:5" x14ac:dyDescent="0.55000000000000004">
      <c r="A266" t="s">
        <v>130</v>
      </c>
      <c r="B266" t="s">
        <v>129</v>
      </c>
      <c r="C266" t="s">
        <v>6</v>
      </c>
      <c r="D266">
        <v>2269822</v>
      </c>
      <c r="E266" t="s">
        <v>8</v>
      </c>
    </row>
    <row r="267" spans="1:5" x14ac:dyDescent="0.55000000000000004">
      <c r="A267" t="s">
        <v>1652</v>
      </c>
      <c r="B267" t="s">
        <v>1651</v>
      </c>
      <c r="C267" t="s">
        <v>10</v>
      </c>
      <c r="D267">
        <v>836498</v>
      </c>
      <c r="E267" t="s">
        <v>8</v>
      </c>
    </row>
    <row r="268" spans="1:5" x14ac:dyDescent="0.55000000000000004">
      <c r="A268" t="s">
        <v>134</v>
      </c>
      <c r="B268" t="s">
        <v>133</v>
      </c>
      <c r="C268" t="s">
        <v>10</v>
      </c>
      <c r="D268">
        <v>5996067</v>
      </c>
      <c r="E268" t="s">
        <v>8</v>
      </c>
    </row>
    <row r="269" spans="1:5" x14ac:dyDescent="0.55000000000000004">
      <c r="A269" t="s">
        <v>136</v>
      </c>
      <c r="B269" t="s">
        <v>135</v>
      </c>
      <c r="C269" t="s">
        <v>10</v>
      </c>
      <c r="D269">
        <v>101721</v>
      </c>
      <c r="E269" t="s">
        <v>8</v>
      </c>
    </row>
    <row r="270" spans="1:5" x14ac:dyDescent="0.55000000000000004">
      <c r="A270" t="s">
        <v>1217</v>
      </c>
      <c r="B270" t="s">
        <v>1216</v>
      </c>
      <c r="C270" t="s">
        <v>13</v>
      </c>
      <c r="D270">
        <v>1120144</v>
      </c>
      <c r="E270" t="s">
        <v>8</v>
      </c>
    </row>
    <row r="271" spans="1:5" x14ac:dyDescent="0.55000000000000004">
      <c r="A271" t="s">
        <v>146</v>
      </c>
      <c r="B271" t="s">
        <v>145</v>
      </c>
      <c r="C271" t="s">
        <v>13</v>
      </c>
      <c r="D271">
        <v>1245263</v>
      </c>
      <c r="E271" t="s">
        <v>8</v>
      </c>
    </row>
    <row r="272" spans="1:5" x14ac:dyDescent="0.55000000000000004">
      <c r="A272" t="s">
        <v>2457</v>
      </c>
      <c r="B272" t="s">
        <v>2456</v>
      </c>
      <c r="C272" t="s">
        <v>10</v>
      </c>
      <c r="D272">
        <v>1435881</v>
      </c>
      <c r="E272" t="s">
        <v>8</v>
      </c>
    </row>
    <row r="273" spans="1:5" x14ac:dyDescent="0.55000000000000004">
      <c r="A273" t="s">
        <v>152</v>
      </c>
      <c r="B273" t="s">
        <v>151</v>
      </c>
      <c r="C273" t="s">
        <v>10</v>
      </c>
      <c r="D273">
        <v>2313598</v>
      </c>
      <c r="E273" t="s">
        <v>8</v>
      </c>
    </row>
    <row r="274" spans="1:5" x14ac:dyDescent="0.55000000000000004">
      <c r="A274" t="s">
        <v>2154</v>
      </c>
      <c r="B274" t="s">
        <v>2153</v>
      </c>
      <c r="C274" t="s">
        <v>10</v>
      </c>
      <c r="D274">
        <v>699287</v>
      </c>
      <c r="E274" t="s">
        <v>8</v>
      </c>
    </row>
    <row r="275" spans="1:5" x14ac:dyDescent="0.55000000000000004">
      <c r="A275" t="s">
        <v>2158</v>
      </c>
      <c r="B275" t="s">
        <v>2157</v>
      </c>
      <c r="C275" t="s">
        <v>10</v>
      </c>
      <c r="D275">
        <v>347274</v>
      </c>
      <c r="E275" t="s">
        <v>8</v>
      </c>
    </row>
    <row r="276" spans="1:5" x14ac:dyDescent="0.55000000000000004">
      <c r="A276" t="s">
        <v>162</v>
      </c>
      <c r="B276" t="s">
        <v>161</v>
      </c>
      <c r="C276" t="s">
        <v>13</v>
      </c>
      <c r="D276">
        <v>1230085</v>
      </c>
      <c r="E276" t="s">
        <v>8</v>
      </c>
    </row>
    <row r="277" spans="1:5" x14ac:dyDescent="0.55000000000000004">
      <c r="A277" t="s">
        <v>172</v>
      </c>
      <c r="B277" t="s">
        <v>171</v>
      </c>
      <c r="C277" t="s">
        <v>141</v>
      </c>
      <c r="D277">
        <v>2210828</v>
      </c>
      <c r="E277" t="s">
        <v>8</v>
      </c>
    </row>
    <row r="278" spans="1:5" x14ac:dyDescent="0.55000000000000004">
      <c r="A278" t="s">
        <v>184</v>
      </c>
      <c r="B278" t="s">
        <v>183</v>
      </c>
      <c r="C278" t="s">
        <v>10</v>
      </c>
      <c r="D278">
        <v>358318</v>
      </c>
      <c r="E278" t="s">
        <v>8</v>
      </c>
    </row>
    <row r="279" spans="1:5" x14ac:dyDescent="0.55000000000000004">
      <c r="A279" t="s">
        <v>2465</v>
      </c>
      <c r="B279" t="s">
        <v>2464</v>
      </c>
      <c r="C279" t="s">
        <v>10</v>
      </c>
      <c r="D279">
        <v>293048</v>
      </c>
      <c r="E279" t="s">
        <v>8</v>
      </c>
    </row>
    <row r="280" spans="1:5" x14ac:dyDescent="0.55000000000000004">
      <c r="A280" t="s">
        <v>182</v>
      </c>
      <c r="B280" t="s">
        <v>181</v>
      </c>
      <c r="C280" t="s">
        <v>10</v>
      </c>
      <c r="D280">
        <v>1996378</v>
      </c>
      <c r="E280" t="s">
        <v>8</v>
      </c>
    </row>
    <row r="281" spans="1:5" x14ac:dyDescent="0.55000000000000004">
      <c r="A281" t="s">
        <v>2467</v>
      </c>
      <c r="B281" t="s">
        <v>2466</v>
      </c>
      <c r="C281" t="s">
        <v>10</v>
      </c>
      <c r="D281">
        <v>934353</v>
      </c>
      <c r="E281" t="s">
        <v>8</v>
      </c>
    </row>
    <row r="282" spans="1:5" x14ac:dyDescent="0.55000000000000004">
      <c r="A282" t="s">
        <v>1005</v>
      </c>
      <c r="B282" t="s">
        <v>1004</v>
      </c>
      <c r="C282" t="s">
        <v>10</v>
      </c>
      <c r="D282">
        <v>2056429</v>
      </c>
      <c r="E282" t="s">
        <v>8</v>
      </c>
    </row>
    <row r="283" spans="1:5" x14ac:dyDescent="0.55000000000000004">
      <c r="A283" t="s">
        <v>2172</v>
      </c>
      <c r="B283" t="s">
        <v>2171</v>
      </c>
      <c r="C283" t="s">
        <v>6</v>
      </c>
      <c r="D283">
        <v>496903</v>
      </c>
      <c r="E283" t="s">
        <v>8</v>
      </c>
    </row>
    <row r="284" spans="1:5" x14ac:dyDescent="0.55000000000000004">
      <c r="A284" t="s">
        <v>1671</v>
      </c>
      <c r="B284" t="s">
        <v>1670</v>
      </c>
      <c r="C284" t="s">
        <v>10</v>
      </c>
      <c r="D284">
        <v>826760</v>
      </c>
      <c r="E284" t="s">
        <v>8</v>
      </c>
    </row>
    <row r="285" spans="1:5" x14ac:dyDescent="0.55000000000000004">
      <c r="A285" t="s">
        <v>565</v>
      </c>
      <c r="B285" t="s">
        <v>564</v>
      </c>
      <c r="C285" t="s">
        <v>10</v>
      </c>
      <c r="D285">
        <v>1198322</v>
      </c>
      <c r="E285" t="s">
        <v>8</v>
      </c>
    </row>
    <row r="286" spans="1:5" x14ac:dyDescent="0.55000000000000004">
      <c r="A286" t="s">
        <v>1246</v>
      </c>
      <c r="B286" t="s">
        <v>1245</v>
      </c>
      <c r="C286" t="s">
        <v>41</v>
      </c>
      <c r="D286">
        <v>2529525</v>
      </c>
      <c r="E286" t="s">
        <v>8</v>
      </c>
    </row>
    <row r="287" spans="1:5" x14ac:dyDescent="0.55000000000000004">
      <c r="A287" t="s">
        <v>1244</v>
      </c>
      <c r="B287" t="s">
        <v>1243</v>
      </c>
      <c r="C287" t="s">
        <v>10</v>
      </c>
      <c r="D287">
        <v>735972</v>
      </c>
      <c r="E287" t="s">
        <v>8</v>
      </c>
    </row>
    <row r="288" spans="1:5" x14ac:dyDescent="0.55000000000000004">
      <c r="A288" t="s">
        <v>2178</v>
      </c>
      <c r="B288" t="s">
        <v>2177</v>
      </c>
      <c r="C288" t="s">
        <v>10</v>
      </c>
      <c r="D288">
        <v>603956</v>
      </c>
      <c r="E288" t="s">
        <v>8</v>
      </c>
    </row>
    <row r="289" spans="1:5" x14ac:dyDescent="0.55000000000000004">
      <c r="A289" t="s">
        <v>569</v>
      </c>
      <c r="B289" t="s">
        <v>568</v>
      </c>
      <c r="C289" t="s">
        <v>13</v>
      </c>
      <c r="D289">
        <v>341344</v>
      </c>
      <c r="E289" t="s">
        <v>8</v>
      </c>
    </row>
    <row r="290" spans="1:5" x14ac:dyDescent="0.55000000000000004">
      <c r="A290" t="s">
        <v>2180</v>
      </c>
      <c r="B290" t="s">
        <v>2179</v>
      </c>
      <c r="C290" t="s">
        <v>10</v>
      </c>
      <c r="D290">
        <v>5912788</v>
      </c>
      <c r="E290" t="s">
        <v>8</v>
      </c>
    </row>
    <row r="291" spans="1:5" x14ac:dyDescent="0.55000000000000004">
      <c r="A291" t="s">
        <v>2475</v>
      </c>
      <c r="B291" t="s">
        <v>2474</v>
      </c>
      <c r="C291" t="s">
        <v>1317</v>
      </c>
      <c r="D291">
        <v>102536</v>
      </c>
      <c r="E291" t="s">
        <v>8</v>
      </c>
    </row>
    <row r="292" spans="1:5" x14ac:dyDescent="0.55000000000000004">
      <c r="A292" t="s">
        <v>194</v>
      </c>
      <c r="B292" t="s">
        <v>193</v>
      </c>
      <c r="C292" t="s">
        <v>10</v>
      </c>
      <c r="D292">
        <v>599391</v>
      </c>
      <c r="E292" t="s">
        <v>8</v>
      </c>
    </row>
    <row r="293" spans="1:5" x14ac:dyDescent="0.55000000000000004">
      <c r="A293" t="s">
        <v>571</v>
      </c>
      <c r="B293" t="s">
        <v>570</v>
      </c>
      <c r="C293" t="s">
        <v>10</v>
      </c>
      <c r="D293">
        <v>787792</v>
      </c>
      <c r="E293" t="s">
        <v>8</v>
      </c>
    </row>
    <row r="294" spans="1:5" x14ac:dyDescent="0.55000000000000004">
      <c r="A294" t="s">
        <v>1252</v>
      </c>
      <c r="B294" t="s">
        <v>1251</v>
      </c>
      <c r="C294" t="s">
        <v>10</v>
      </c>
      <c r="D294">
        <v>2552910</v>
      </c>
      <c r="E294" t="s">
        <v>8</v>
      </c>
    </row>
    <row r="295" spans="1:5" x14ac:dyDescent="0.55000000000000004">
      <c r="A295" t="s">
        <v>2200</v>
      </c>
      <c r="B295" t="s">
        <v>2198</v>
      </c>
      <c r="C295" t="s">
        <v>2199</v>
      </c>
      <c r="D295">
        <v>893432</v>
      </c>
      <c r="E295" t="s">
        <v>8</v>
      </c>
    </row>
    <row r="296" spans="1:5" x14ac:dyDescent="0.55000000000000004">
      <c r="A296" t="s">
        <v>2485</v>
      </c>
      <c r="B296" t="s">
        <v>2484</v>
      </c>
      <c r="C296" t="s">
        <v>1317</v>
      </c>
      <c r="D296">
        <v>963462</v>
      </c>
      <c r="E296" t="s">
        <v>8</v>
      </c>
    </row>
    <row r="297" spans="1:5" x14ac:dyDescent="0.55000000000000004">
      <c r="A297" t="s">
        <v>2206</v>
      </c>
      <c r="B297" t="s">
        <v>2205</v>
      </c>
      <c r="C297" t="s">
        <v>10</v>
      </c>
      <c r="D297">
        <v>3401376</v>
      </c>
      <c r="E297" t="s">
        <v>8</v>
      </c>
    </row>
    <row r="298" spans="1:5" x14ac:dyDescent="0.55000000000000004">
      <c r="A298" t="s">
        <v>1902</v>
      </c>
      <c r="B298" t="s">
        <v>1901</v>
      </c>
      <c r="C298" t="s">
        <v>1483</v>
      </c>
      <c r="D298">
        <v>2472126</v>
      </c>
      <c r="E298" t="s">
        <v>8</v>
      </c>
    </row>
    <row r="299" spans="1:5" x14ac:dyDescent="0.55000000000000004">
      <c r="A299" t="s">
        <v>2487</v>
      </c>
      <c r="B299" t="s">
        <v>2486</v>
      </c>
      <c r="C299" t="s">
        <v>10</v>
      </c>
      <c r="D299">
        <v>381258</v>
      </c>
      <c r="E299" t="s">
        <v>8</v>
      </c>
    </row>
    <row r="300" spans="1:5" x14ac:dyDescent="0.55000000000000004">
      <c r="A300" t="s">
        <v>1280</v>
      </c>
      <c r="B300" t="s">
        <v>1279</v>
      </c>
      <c r="C300" t="s">
        <v>10</v>
      </c>
      <c r="D300">
        <v>1175310</v>
      </c>
      <c r="E300" t="s">
        <v>8</v>
      </c>
    </row>
    <row r="301" spans="1:5" x14ac:dyDescent="0.55000000000000004">
      <c r="A301" t="s">
        <v>1285</v>
      </c>
      <c r="B301" t="s">
        <v>1284</v>
      </c>
      <c r="C301" t="s">
        <v>10</v>
      </c>
      <c r="D301">
        <v>235966</v>
      </c>
      <c r="E301" t="s">
        <v>8</v>
      </c>
    </row>
    <row r="302" spans="1:5" x14ac:dyDescent="0.55000000000000004">
      <c r="A302" t="s">
        <v>587</v>
      </c>
      <c r="B302" t="s">
        <v>586</v>
      </c>
      <c r="C302" t="s">
        <v>10</v>
      </c>
      <c r="D302">
        <v>468023</v>
      </c>
      <c r="E302" t="s">
        <v>8</v>
      </c>
    </row>
    <row r="303" spans="1:5" x14ac:dyDescent="0.55000000000000004">
      <c r="A303" t="s">
        <v>1915</v>
      </c>
      <c r="B303" t="s">
        <v>1914</v>
      </c>
      <c r="C303" t="s">
        <v>10</v>
      </c>
      <c r="D303">
        <v>656250</v>
      </c>
      <c r="E303" t="s">
        <v>8</v>
      </c>
    </row>
    <row r="304" spans="1:5" x14ac:dyDescent="0.55000000000000004">
      <c r="A304" t="s">
        <v>2225</v>
      </c>
      <c r="B304" t="s">
        <v>2224</v>
      </c>
      <c r="C304" t="s">
        <v>10</v>
      </c>
      <c r="D304">
        <v>6786077</v>
      </c>
      <c r="E304" t="s">
        <v>8</v>
      </c>
    </row>
    <row r="305" spans="1:5" x14ac:dyDescent="0.55000000000000004">
      <c r="A305" t="s">
        <v>2493</v>
      </c>
      <c r="B305" t="s">
        <v>2492</v>
      </c>
      <c r="C305" t="s">
        <v>10</v>
      </c>
      <c r="D305">
        <v>1065178</v>
      </c>
      <c r="E305" t="s">
        <v>8</v>
      </c>
    </row>
    <row r="306" spans="1:5" x14ac:dyDescent="0.55000000000000004">
      <c r="A306" t="s">
        <v>2231</v>
      </c>
      <c r="B306" t="s">
        <v>2230</v>
      </c>
      <c r="C306" t="s">
        <v>10</v>
      </c>
      <c r="D306">
        <v>3393483</v>
      </c>
      <c r="E306" t="s">
        <v>8</v>
      </c>
    </row>
    <row r="307" spans="1:5" x14ac:dyDescent="0.55000000000000004">
      <c r="A307" t="s">
        <v>142</v>
      </c>
      <c r="B307" t="s">
        <v>140</v>
      </c>
      <c r="C307" t="s">
        <v>141</v>
      </c>
      <c r="D307">
        <v>529201</v>
      </c>
      <c r="E307" t="s">
        <v>8</v>
      </c>
    </row>
    <row r="308" spans="1:5" x14ac:dyDescent="0.55000000000000004">
      <c r="A308" t="s">
        <v>2241</v>
      </c>
      <c r="B308" t="s">
        <v>2240</v>
      </c>
      <c r="C308" t="s">
        <v>10</v>
      </c>
      <c r="D308">
        <v>1090596</v>
      </c>
      <c r="E308" t="s">
        <v>8</v>
      </c>
    </row>
    <row r="309" spans="1:5" x14ac:dyDescent="0.55000000000000004">
      <c r="A309" t="s">
        <v>263</v>
      </c>
      <c r="B309" t="s">
        <v>262</v>
      </c>
      <c r="C309" t="s">
        <v>10</v>
      </c>
      <c r="D309">
        <v>9164578</v>
      </c>
      <c r="E309" t="s">
        <v>8</v>
      </c>
    </row>
    <row r="310" spans="1:5" x14ac:dyDescent="0.55000000000000004">
      <c r="A310" t="s">
        <v>267</v>
      </c>
      <c r="B310" t="s">
        <v>266</v>
      </c>
      <c r="C310" t="s">
        <v>10</v>
      </c>
      <c r="D310">
        <v>419912</v>
      </c>
      <c r="E310" t="s">
        <v>8</v>
      </c>
    </row>
    <row r="311" spans="1:5" x14ac:dyDescent="0.55000000000000004">
      <c r="A311" t="s">
        <v>2501</v>
      </c>
      <c r="B311" t="s">
        <v>2500</v>
      </c>
      <c r="C311" t="s">
        <v>10</v>
      </c>
      <c r="D311">
        <v>5288588</v>
      </c>
      <c r="E311" t="s">
        <v>8</v>
      </c>
    </row>
    <row r="312" spans="1:5" x14ac:dyDescent="0.55000000000000004">
      <c r="A312" t="s">
        <v>759</v>
      </c>
      <c r="B312" t="s">
        <v>758</v>
      </c>
      <c r="C312" t="s">
        <v>10</v>
      </c>
      <c r="D312">
        <v>1119738</v>
      </c>
      <c r="E312" t="s">
        <v>8</v>
      </c>
    </row>
    <row r="313" spans="1:5" x14ac:dyDescent="0.55000000000000004">
      <c r="A313" t="s">
        <v>2239</v>
      </c>
      <c r="B313" t="s">
        <v>2238</v>
      </c>
      <c r="C313" t="s">
        <v>41</v>
      </c>
      <c r="D313">
        <v>2493708</v>
      </c>
      <c r="E313" t="s">
        <v>8</v>
      </c>
    </row>
    <row r="314" spans="1:5" x14ac:dyDescent="0.55000000000000004">
      <c r="A314" t="s">
        <v>1039</v>
      </c>
      <c r="B314" t="s">
        <v>1038</v>
      </c>
      <c r="C314" t="s">
        <v>10</v>
      </c>
      <c r="D314">
        <v>4556557</v>
      </c>
      <c r="E314" t="s">
        <v>8</v>
      </c>
    </row>
    <row r="315" spans="1:5" x14ac:dyDescent="0.55000000000000004">
      <c r="A315" t="s">
        <v>2508</v>
      </c>
      <c r="B315" t="s">
        <v>2506</v>
      </c>
      <c r="C315" t="s">
        <v>2507</v>
      </c>
      <c r="D315">
        <v>1352577</v>
      </c>
      <c r="E315" t="s">
        <v>8</v>
      </c>
    </row>
    <row r="316" spans="1:5" x14ac:dyDescent="0.55000000000000004">
      <c r="A316" t="s">
        <v>1516</v>
      </c>
      <c r="B316" t="s">
        <v>1515</v>
      </c>
      <c r="C316" t="s">
        <v>6</v>
      </c>
      <c r="D316">
        <v>495715</v>
      </c>
      <c r="E316" t="s">
        <v>8</v>
      </c>
    </row>
    <row r="317" spans="1:5" x14ac:dyDescent="0.55000000000000004">
      <c r="A317" t="s">
        <v>2505</v>
      </c>
      <c r="B317" t="s">
        <v>2504</v>
      </c>
      <c r="C317" t="s">
        <v>1467</v>
      </c>
      <c r="D317">
        <v>329186</v>
      </c>
      <c r="E317" t="s">
        <v>8</v>
      </c>
    </row>
    <row r="318" spans="1:5" x14ac:dyDescent="0.55000000000000004">
      <c r="A318" t="s">
        <v>621</v>
      </c>
      <c r="B318" t="s">
        <v>620</v>
      </c>
      <c r="C318" t="s">
        <v>10</v>
      </c>
      <c r="D318">
        <v>354803</v>
      </c>
      <c r="E318" t="s">
        <v>8</v>
      </c>
    </row>
    <row r="319" spans="1:5" x14ac:dyDescent="0.55000000000000004">
      <c r="A319" t="s">
        <v>1322</v>
      </c>
      <c r="B319" t="s">
        <v>1321</v>
      </c>
      <c r="C319" t="s">
        <v>10</v>
      </c>
      <c r="D319">
        <v>1679333</v>
      </c>
      <c r="E319" t="s">
        <v>8</v>
      </c>
    </row>
    <row r="320" spans="1:5" x14ac:dyDescent="0.55000000000000004">
      <c r="A320" t="s">
        <v>1324</v>
      </c>
      <c r="B320" t="s">
        <v>1323</v>
      </c>
      <c r="C320" t="s">
        <v>10</v>
      </c>
      <c r="D320">
        <v>227526</v>
      </c>
      <c r="E320" t="s">
        <v>8</v>
      </c>
    </row>
    <row r="321" spans="1:5" x14ac:dyDescent="0.55000000000000004">
      <c r="A321" t="s">
        <v>2522</v>
      </c>
      <c r="B321" t="s">
        <v>2521</v>
      </c>
      <c r="C321" t="s">
        <v>10</v>
      </c>
      <c r="D321">
        <v>732076</v>
      </c>
      <c r="E321" t="s">
        <v>8</v>
      </c>
    </row>
    <row r="322" spans="1:5" x14ac:dyDescent="0.55000000000000004">
      <c r="A322" t="s">
        <v>627</v>
      </c>
      <c r="B322" t="s">
        <v>626</v>
      </c>
      <c r="C322" t="s">
        <v>41</v>
      </c>
      <c r="D322">
        <v>195475</v>
      </c>
      <c r="E322" t="s">
        <v>8</v>
      </c>
    </row>
    <row r="323" spans="1:5" x14ac:dyDescent="0.55000000000000004">
      <c r="A323" t="s">
        <v>2512</v>
      </c>
      <c r="B323" t="s">
        <v>2511</v>
      </c>
      <c r="C323" t="s">
        <v>2452</v>
      </c>
      <c r="D323">
        <v>316568</v>
      </c>
      <c r="E323" t="s">
        <v>8</v>
      </c>
    </row>
    <row r="324" spans="1:5" x14ac:dyDescent="0.55000000000000004">
      <c r="A324" t="s">
        <v>2250</v>
      </c>
      <c r="B324" t="s">
        <v>2249</v>
      </c>
      <c r="C324" t="s">
        <v>10</v>
      </c>
      <c r="D324">
        <v>5215685</v>
      </c>
      <c r="E324" t="s">
        <v>8</v>
      </c>
    </row>
    <row r="325" spans="1:5" x14ac:dyDescent="0.55000000000000004">
      <c r="A325" t="s">
        <v>2518</v>
      </c>
      <c r="B325" t="s">
        <v>2517</v>
      </c>
      <c r="C325" t="s">
        <v>10</v>
      </c>
      <c r="D325">
        <v>194012</v>
      </c>
      <c r="E325" t="s">
        <v>8</v>
      </c>
    </row>
    <row r="326" spans="1:5" x14ac:dyDescent="0.55000000000000004">
      <c r="A326" t="s">
        <v>2252</v>
      </c>
      <c r="B326" t="s">
        <v>2251</v>
      </c>
      <c r="C326" t="s">
        <v>10</v>
      </c>
      <c r="D326">
        <v>662378</v>
      </c>
      <c r="E326" t="s">
        <v>8</v>
      </c>
    </row>
    <row r="327" spans="1:5" x14ac:dyDescent="0.55000000000000004">
      <c r="A327" t="s">
        <v>633</v>
      </c>
      <c r="B327" t="s">
        <v>632</v>
      </c>
      <c r="C327" t="s">
        <v>10</v>
      </c>
      <c r="D327">
        <v>302667</v>
      </c>
      <c r="E327" t="s">
        <v>8</v>
      </c>
    </row>
    <row r="328" spans="1:5" x14ac:dyDescent="0.55000000000000004">
      <c r="A328" t="s">
        <v>2254</v>
      </c>
      <c r="B328" t="s">
        <v>2253</v>
      </c>
      <c r="C328" t="s">
        <v>10</v>
      </c>
      <c r="D328">
        <v>7725180</v>
      </c>
      <c r="E328" t="s">
        <v>8</v>
      </c>
    </row>
    <row r="329" spans="1:5" x14ac:dyDescent="0.55000000000000004">
      <c r="A329" t="s">
        <v>1356</v>
      </c>
      <c r="B329" t="s">
        <v>1355</v>
      </c>
      <c r="C329" t="s">
        <v>10</v>
      </c>
      <c r="D329">
        <v>1326502</v>
      </c>
      <c r="E329" t="s">
        <v>8</v>
      </c>
    </row>
    <row r="330" spans="1:5" x14ac:dyDescent="0.55000000000000004">
      <c r="A330" t="s">
        <v>637</v>
      </c>
      <c r="B330" t="s">
        <v>3214</v>
      </c>
      <c r="C330" t="s">
        <v>10</v>
      </c>
      <c r="D330">
        <v>512415</v>
      </c>
      <c r="E330" t="s">
        <v>8</v>
      </c>
    </row>
    <row r="331" spans="1:5" x14ac:dyDescent="0.55000000000000004">
      <c r="A331" t="s">
        <v>2256</v>
      </c>
      <c r="B331" t="s">
        <v>2255</v>
      </c>
      <c r="C331" t="s">
        <v>10</v>
      </c>
      <c r="D331">
        <v>928376</v>
      </c>
      <c r="E331" t="s">
        <v>8</v>
      </c>
    </row>
    <row r="332" spans="1:5" x14ac:dyDescent="0.55000000000000004">
      <c r="A332" t="s">
        <v>2524</v>
      </c>
      <c r="B332" t="s">
        <v>2523</v>
      </c>
      <c r="C332" t="s">
        <v>10</v>
      </c>
      <c r="D332">
        <v>2947990</v>
      </c>
      <c r="E332" t="s">
        <v>8</v>
      </c>
    </row>
    <row r="333" spans="1:5" x14ac:dyDescent="0.55000000000000004">
      <c r="A333" t="s">
        <v>303</v>
      </c>
      <c r="B333" t="s">
        <v>302</v>
      </c>
      <c r="C333" t="s">
        <v>10</v>
      </c>
      <c r="D333">
        <v>1065125</v>
      </c>
      <c r="E333" t="s">
        <v>8</v>
      </c>
    </row>
    <row r="334" spans="1:5" x14ac:dyDescent="0.55000000000000004">
      <c r="A334" t="s">
        <v>307</v>
      </c>
      <c r="B334" t="s">
        <v>306</v>
      </c>
      <c r="C334" t="s">
        <v>10</v>
      </c>
      <c r="D334">
        <v>808037</v>
      </c>
      <c r="E334" t="s">
        <v>8</v>
      </c>
    </row>
    <row r="335" spans="1:5" x14ac:dyDescent="0.55000000000000004">
      <c r="A335" t="s">
        <v>1958</v>
      </c>
      <c r="B335" t="s">
        <v>1957</v>
      </c>
      <c r="C335" t="s">
        <v>10</v>
      </c>
      <c r="D335">
        <v>3287029</v>
      </c>
      <c r="E335" t="s">
        <v>8</v>
      </c>
    </row>
    <row r="336" spans="1:5" x14ac:dyDescent="0.55000000000000004">
      <c r="A336" t="s">
        <v>2284</v>
      </c>
      <c r="B336" t="s">
        <v>2283</v>
      </c>
      <c r="C336" t="s">
        <v>10</v>
      </c>
      <c r="D336">
        <v>146164</v>
      </c>
      <c r="E336" t="s">
        <v>8</v>
      </c>
    </row>
    <row r="337" spans="1:5" x14ac:dyDescent="0.55000000000000004">
      <c r="A337" t="s">
        <v>2536</v>
      </c>
      <c r="B337" t="s">
        <v>2535</v>
      </c>
      <c r="C337" t="s">
        <v>41</v>
      </c>
      <c r="D337">
        <v>473564</v>
      </c>
      <c r="E337" t="s">
        <v>8</v>
      </c>
    </row>
    <row r="338" spans="1:5" x14ac:dyDescent="0.55000000000000004">
      <c r="A338" t="s">
        <v>2538</v>
      </c>
      <c r="B338" t="s">
        <v>2537</v>
      </c>
      <c r="C338" t="s">
        <v>13</v>
      </c>
      <c r="D338">
        <v>358996</v>
      </c>
      <c r="E338" t="s">
        <v>8</v>
      </c>
    </row>
    <row r="339" spans="1:5" x14ac:dyDescent="0.55000000000000004">
      <c r="A339" t="s">
        <v>2540</v>
      </c>
      <c r="B339" t="s">
        <v>2539</v>
      </c>
      <c r="C339" t="s">
        <v>13</v>
      </c>
      <c r="D339">
        <v>237938</v>
      </c>
      <c r="E339" t="s">
        <v>8</v>
      </c>
    </row>
    <row r="340" spans="1:5" x14ac:dyDescent="0.55000000000000004">
      <c r="A340" t="s">
        <v>1964</v>
      </c>
      <c r="B340" t="s">
        <v>1963</v>
      </c>
      <c r="C340" t="s">
        <v>76</v>
      </c>
      <c r="D340">
        <v>413182</v>
      </c>
      <c r="E340" t="s">
        <v>8</v>
      </c>
    </row>
    <row r="341" spans="1:5" x14ac:dyDescent="0.55000000000000004">
      <c r="A341" t="s">
        <v>2280</v>
      </c>
      <c r="B341" t="s">
        <v>2279</v>
      </c>
      <c r="C341" t="s">
        <v>10</v>
      </c>
      <c r="D341">
        <v>408832</v>
      </c>
      <c r="E341" t="s">
        <v>8</v>
      </c>
    </row>
    <row r="342" spans="1:5" x14ac:dyDescent="0.55000000000000004">
      <c r="A342" t="s">
        <v>2542</v>
      </c>
      <c r="B342" t="s">
        <v>2541</v>
      </c>
      <c r="C342" t="s">
        <v>10</v>
      </c>
      <c r="D342">
        <v>332378</v>
      </c>
      <c r="E342" t="s">
        <v>8</v>
      </c>
    </row>
    <row r="343" spans="1:5" x14ac:dyDescent="0.55000000000000004">
      <c r="A343" t="s">
        <v>2294</v>
      </c>
      <c r="B343" t="s">
        <v>2293</v>
      </c>
      <c r="C343" t="s">
        <v>10</v>
      </c>
      <c r="D343">
        <v>940957</v>
      </c>
      <c r="E343" t="s">
        <v>8</v>
      </c>
    </row>
    <row r="344" spans="1:5" x14ac:dyDescent="0.55000000000000004">
      <c r="A344" t="s">
        <v>1727</v>
      </c>
      <c r="B344" t="s">
        <v>1726</v>
      </c>
      <c r="C344" t="s">
        <v>10</v>
      </c>
      <c r="D344">
        <v>1288702</v>
      </c>
      <c r="E344" t="s">
        <v>8</v>
      </c>
    </row>
    <row r="345" spans="1:5" x14ac:dyDescent="0.55000000000000004">
      <c r="A345" t="s">
        <v>1735</v>
      </c>
      <c r="B345" t="s">
        <v>1734</v>
      </c>
      <c r="C345" t="s">
        <v>13</v>
      </c>
      <c r="D345">
        <v>321626</v>
      </c>
      <c r="E345" t="s">
        <v>8</v>
      </c>
    </row>
    <row r="346" spans="1:5" x14ac:dyDescent="0.55000000000000004">
      <c r="A346" t="s">
        <v>2569</v>
      </c>
      <c r="B346" t="s">
        <v>2568</v>
      </c>
      <c r="C346" t="s">
        <v>10</v>
      </c>
      <c r="D346">
        <v>1320641</v>
      </c>
      <c r="E346" t="s">
        <v>8</v>
      </c>
    </row>
    <row r="347" spans="1:5" x14ac:dyDescent="0.55000000000000004">
      <c r="A347" t="s">
        <v>2296</v>
      </c>
      <c r="B347" t="s">
        <v>2295</v>
      </c>
      <c r="C347" t="s">
        <v>10</v>
      </c>
      <c r="D347">
        <v>212056</v>
      </c>
      <c r="E347" t="s">
        <v>8</v>
      </c>
    </row>
    <row r="348" spans="1:5" x14ac:dyDescent="0.55000000000000004">
      <c r="A348" t="s">
        <v>2558</v>
      </c>
      <c r="B348" t="s">
        <v>2557</v>
      </c>
      <c r="C348" t="s">
        <v>10</v>
      </c>
      <c r="D348">
        <v>395755</v>
      </c>
      <c r="E348" t="s">
        <v>8</v>
      </c>
    </row>
    <row r="349" spans="1:5" x14ac:dyDescent="0.55000000000000004">
      <c r="A349" t="s">
        <v>2556</v>
      </c>
      <c r="B349" t="s">
        <v>2555</v>
      </c>
      <c r="C349" t="s">
        <v>10</v>
      </c>
      <c r="D349">
        <v>120300</v>
      </c>
      <c r="E349" t="s">
        <v>8</v>
      </c>
    </row>
    <row r="350" spans="1:5" x14ac:dyDescent="0.55000000000000004">
      <c r="A350" t="s">
        <v>894</v>
      </c>
      <c r="B350" t="s">
        <v>893</v>
      </c>
      <c r="C350" t="s">
        <v>141</v>
      </c>
      <c r="D350">
        <v>453918</v>
      </c>
      <c r="E350" t="s">
        <v>8</v>
      </c>
    </row>
    <row r="351" spans="1:5" x14ac:dyDescent="0.55000000000000004">
      <c r="A351" t="s">
        <v>1983</v>
      </c>
      <c r="B351" t="s">
        <v>1982</v>
      </c>
      <c r="C351" t="s">
        <v>10</v>
      </c>
      <c r="D351">
        <v>990736</v>
      </c>
      <c r="E351" t="s">
        <v>8</v>
      </c>
    </row>
    <row r="352" spans="1:5" x14ac:dyDescent="0.55000000000000004">
      <c r="A352" t="s">
        <v>1737</v>
      </c>
      <c r="B352" t="s">
        <v>1736</v>
      </c>
      <c r="C352" t="s">
        <v>10</v>
      </c>
      <c r="D352">
        <v>255762</v>
      </c>
      <c r="E352" t="s">
        <v>8</v>
      </c>
    </row>
    <row r="353" spans="1:5" x14ac:dyDescent="0.55000000000000004">
      <c r="A353" t="s">
        <v>2308</v>
      </c>
      <c r="B353" t="s">
        <v>2307</v>
      </c>
      <c r="C353" t="s">
        <v>10</v>
      </c>
      <c r="D353">
        <v>801306</v>
      </c>
      <c r="E353" t="s">
        <v>8</v>
      </c>
    </row>
    <row r="354" spans="1:5" x14ac:dyDescent="0.55000000000000004">
      <c r="A354" t="s">
        <v>2565</v>
      </c>
      <c r="B354" t="s">
        <v>2563</v>
      </c>
      <c r="C354" t="s">
        <v>2564</v>
      </c>
      <c r="D354">
        <v>231924</v>
      </c>
      <c r="E354" t="s">
        <v>8</v>
      </c>
    </row>
    <row r="355" spans="1:5" x14ac:dyDescent="0.55000000000000004">
      <c r="A355" t="s">
        <v>2571</v>
      </c>
      <c r="B355" t="s">
        <v>2570</v>
      </c>
      <c r="C355" t="s">
        <v>10</v>
      </c>
      <c r="D355">
        <v>376166</v>
      </c>
      <c r="E355" t="s">
        <v>8</v>
      </c>
    </row>
    <row r="356" spans="1:5" x14ac:dyDescent="0.55000000000000004">
      <c r="A356" t="s">
        <v>1747</v>
      </c>
      <c r="B356" t="s">
        <v>1746</v>
      </c>
      <c r="C356" t="s">
        <v>10</v>
      </c>
      <c r="D356">
        <v>468328</v>
      </c>
      <c r="E356" t="s">
        <v>8</v>
      </c>
    </row>
    <row r="357" spans="1:5" x14ac:dyDescent="0.55000000000000004">
      <c r="A357" t="s">
        <v>2322</v>
      </c>
      <c r="B357" t="s">
        <v>2321</v>
      </c>
      <c r="C357" t="s">
        <v>13</v>
      </c>
      <c r="D357">
        <v>2737808</v>
      </c>
      <c r="E357" t="s">
        <v>8</v>
      </c>
    </row>
    <row r="358" spans="1:5" x14ac:dyDescent="0.55000000000000004">
      <c r="A358" t="s">
        <v>374</v>
      </c>
      <c r="B358" t="s">
        <v>373</v>
      </c>
      <c r="C358" t="s">
        <v>6</v>
      </c>
      <c r="D358">
        <v>143712</v>
      </c>
      <c r="E358" t="s">
        <v>8</v>
      </c>
    </row>
    <row r="359" spans="1:5" x14ac:dyDescent="0.55000000000000004">
      <c r="A359" t="s">
        <v>1154</v>
      </c>
      <c r="B359" t="s">
        <v>1153</v>
      </c>
      <c r="C359" t="s">
        <v>10</v>
      </c>
      <c r="D359">
        <v>62499</v>
      </c>
      <c r="E359" t="s">
        <v>8</v>
      </c>
    </row>
    <row r="360" spans="1:5" x14ac:dyDescent="0.55000000000000004">
      <c r="A360" t="s">
        <v>378</v>
      </c>
      <c r="B360" t="s">
        <v>377</v>
      </c>
      <c r="C360" t="s">
        <v>10</v>
      </c>
      <c r="D360">
        <v>3899804</v>
      </c>
      <c r="E360" t="s">
        <v>8</v>
      </c>
    </row>
    <row r="361" spans="1:5" x14ac:dyDescent="0.55000000000000004">
      <c r="A361" t="s">
        <v>783</v>
      </c>
      <c r="B361" t="s">
        <v>782</v>
      </c>
      <c r="C361" t="s">
        <v>10</v>
      </c>
      <c r="D361">
        <v>959071</v>
      </c>
      <c r="E361" t="s">
        <v>8</v>
      </c>
    </row>
    <row r="362" spans="1:5" x14ac:dyDescent="0.55000000000000004">
      <c r="A362" t="s">
        <v>390</v>
      </c>
      <c r="B362" t="s">
        <v>389</v>
      </c>
      <c r="C362" t="s">
        <v>13</v>
      </c>
      <c r="D362">
        <v>1584779</v>
      </c>
      <c r="E362" t="s">
        <v>8</v>
      </c>
    </row>
    <row r="363" spans="1:5" x14ac:dyDescent="0.55000000000000004">
      <c r="A363" t="s">
        <v>1416</v>
      </c>
      <c r="B363" t="s">
        <v>1415</v>
      </c>
      <c r="C363" t="s">
        <v>10</v>
      </c>
      <c r="D363">
        <v>1281015</v>
      </c>
      <c r="E363" t="s">
        <v>8</v>
      </c>
    </row>
    <row r="364" spans="1:5" x14ac:dyDescent="0.55000000000000004">
      <c r="A364" t="s">
        <v>2579</v>
      </c>
      <c r="B364" t="s">
        <v>2578</v>
      </c>
      <c r="C364" t="s">
        <v>10</v>
      </c>
      <c r="D364">
        <v>1422008</v>
      </c>
      <c r="E364" t="s">
        <v>8</v>
      </c>
    </row>
    <row r="365" spans="1:5" x14ac:dyDescent="0.55000000000000004">
      <c r="A365" t="s">
        <v>2581</v>
      </c>
      <c r="B365" t="s">
        <v>2580</v>
      </c>
      <c r="C365" t="s">
        <v>10</v>
      </c>
      <c r="D365">
        <v>9148477</v>
      </c>
      <c r="E365" t="s">
        <v>8</v>
      </c>
    </row>
    <row r="366" spans="1:5" x14ac:dyDescent="0.55000000000000004">
      <c r="A366" t="s">
        <v>2589</v>
      </c>
      <c r="B366" t="s">
        <v>2588</v>
      </c>
      <c r="C366" t="s">
        <v>10</v>
      </c>
      <c r="D366">
        <v>215908</v>
      </c>
      <c r="E366" t="s">
        <v>8</v>
      </c>
    </row>
    <row r="367" spans="1:5" x14ac:dyDescent="0.55000000000000004">
      <c r="A367" t="s">
        <v>1404</v>
      </c>
      <c r="B367" t="s">
        <v>1402</v>
      </c>
      <c r="C367" t="s">
        <v>1403</v>
      </c>
      <c r="D367">
        <v>4738862</v>
      </c>
      <c r="E367" t="s">
        <v>8</v>
      </c>
    </row>
    <row r="368" spans="1:5" x14ac:dyDescent="0.55000000000000004">
      <c r="A368" t="s">
        <v>2593</v>
      </c>
      <c r="B368" t="s">
        <v>2592</v>
      </c>
      <c r="C368" t="s">
        <v>141</v>
      </c>
      <c r="D368">
        <v>308415</v>
      </c>
      <c r="E368" t="s">
        <v>8</v>
      </c>
    </row>
    <row r="369" spans="1:5" x14ac:dyDescent="0.55000000000000004">
      <c r="A369" t="s">
        <v>787</v>
      </c>
      <c r="B369" t="s">
        <v>786</v>
      </c>
      <c r="C369" t="s">
        <v>10</v>
      </c>
      <c r="D369">
        <v>222454</v>
      </c>
      <c r="E369" t="s">
        <v>8</v>
      </c>
    </row>
    <row r="370" spans="1:5" x14ac:dyDescent="0.55000000000000004">
      <c r="A370" t="s">
        <v>1997</v>
      </c>
      <c r="B370" t="s">
        <v>1996</v>
      </c>
      <c r="C370" t="s">
        <v>10</v>
      </c>
      <c r="D370">
        <v>499300</v>
      </c>
      <c r="E370" t="s">
        <v>8</v>
      </c>
    </row>
    <row r="371" spans="1:5" x14ac:dyDescent="0.55000000000000004">
      <c r="A371" t="s">
        <v>1408</v>
      </c>
      <c r="B371" t="s">
        <v>1407</v>
      </c>
      <c r="C371" t="s">
        <v>10</v>
      </c>
      <c r="D371">
        <v>231600</v>
      </c>
      <c r="E371" t="s">
        <v>8</v>
      </c>
    </row>
    <row r="372" spans="1:5" x14ac:dyDescent="0.55000000000000004">
      <c r="A372" t="s">
        <v>910</v>
      </c>
      <c r="B372" t="s">
        <v>909</v>
      </c>
      <c r="C372" t="s">
        <v>10</v>
      </c>
      <c r="D372">
        <v>463662</v>
      </c>
      <c r="E372" t="s">
        <v>8</v>
      </c>
    </row>
    <row r="373" spans="1:5" x14ac:dyDescent="0.55000000000000004">
      <c r="A373" t="s">
        <v>2334</v>
      </c>
      <c r="B373" t="s">
        <v>2333</v>
      </c>
      <c r="C373" t="s">
        <v>10</v>
      </c>
      <c r="D373">
        <v>1422810</v>
      </c>
      <c r="E373" t="s">
        <v>8</v>
      </c>
    </row>
    <row r="374" spans="1:5" x14ac:dyDescent="0.55000000000000004">
      <c r="A374" t="s">
        <v>2336</v>
      </c>
      <c r="B374" t="s">
        <v>2335</v>
      </c>
      <c r="C374" t="s">
        <v>10</v>
      </c>
      <c r="D374">
        <v>575655</v>
      </c>
      <c r="E374" t="s">
        <v>8</v>
      </c>
    </row>
    <row r="375" spans="1:5" x14ac:dyDescent="0.55000000000000004">
      <c r="A375" t="s">
        <v>1107</v>
      </c>
      <c r="B375" t="s">
        <v>2337</v>
      </c>
      <c r="C375" t="s">
        <v>6</v>
      </c>
      <c r="D375">
        <v>2259070</v>
      </c>
      <c r="E375" t="s">
        <v>8</v>
      </c>
    </row>
    <row r="376" spans="1:5" x14ac:dyDescent="0.55000000000000004">
      <c r="A376" t="s">
        <v>2599</v>
      </c>
      <c r="B376" t="s">
        <v>2598</v>
      </c>
      <c r="C376" t="s">
        <v>10</v>
      </c>
      <c r="D376">
        <v>276607</v>
      </c>
      <c r="E376" t="s">
        <v>8</v>
      </c>
    </row>
    <row r="377" spans="1:5" x14ac:dyDescent="0.55000000000000004">
      <c r="A377" t="s">
        <v>1777</v>
      </c>
      <c r="B377" t="s">
        <v>1776</v>
      </c>
      <c r="C377" t="s">
        <v>10</v>
      </c>
      <c r="D377">
        <v>1868861</v>
      </c>
      <c r="E377" t="s">
        <v>8</v>
      </c>
    </row>
    <row r="378" spans="1:5" x14ac:dyDescent="0.55000000000000004">
      <c r="A378" t="s">
        <v>2347</v>
      </c>
      <c r="B378" t="s">
        <v>2346</v>
      </c>
      <c r="C378" t="s">
        <v>10</v>
      </c>
      <c r="D378">
        <v>235208</v>
      </c>
      <c r="E378" t="s">
        <v>8</v>
      </c>
    </row>
    <row r="379" spans="1:5" x14ac:dyDescent="0.55000000000000004">
      <c r="A379" t="s">
        <v>2014</v>
      </c>
      <c r="B379" t="s">
        <v>2013</v>
      </c>
      <c r="C379" t="s">
        <v>10</v>
      </c>
      <c r="D379">
        <v>5789823</v>
      </c>
      <c r="E379" t="s">
        <v>8</v>
      </c>
    </row>
    <row r="380" spans="1:5" x14ac:dyDescent="0.55000000000000004">
      <c r="A380" t="s">
        <v>2603</v>
      </c>
      <c r="B380" t="s">
        <v>2602</v>
      </c>
      <c r="C380" t="s">
        <v>41</v>
      </c>
      <c r="D380">
        <v>468389</v>
      </c>
      <c r="E380" t="s">
        <v>8</v>
      </c>
    </row>
    <row r="381" spans="1:5" x14ac:dyDescent="0.55000000000000004">
      <c r="A381" t="s">
        <v>2351</v>
      </c>
      <c r="B381" t="s">
        <v>2350</v>
      </c>
      <c r="C381" t="s">
        <v>10</v>
      </c>
      <c r="D381">
        <v>5296153</v>
      </c>
      <c r="E381" t="s">
        <v>8</v>
      </c>
    </row>
    <row r="382" spans="1:5" x14ac:dyDescent="0.55000000000000004">
      <c r="A382" t="s">
        <v>1433</v>
      </c>
      <c r="B382" t="s">
        <v>1432</v>
      </c>
      <c r="C382" t="s">
        <v>10</v>
      </c>
      <c r="D382">
        <v>1901183</v>
      </c>
      <c r="E382" t="s">
        <v>8</v>
      </c>
    </row>
    <row r="383" spans="1:5" x14ac:dyDescent="0.55000000000000004">
      <c r="A383" t="s">
        <v>695</v>
      </c>
      <c r="B383" t="s">
        <v>694</v>
      </c>
      <c r="C383" t="s">
        <v>10</v>
      </c>
      <c r="D383">
        <v>272938</v>
      </c>
      <c r="E383" t="s">
        <v>8</v>
      </c>
    </row>
    <row r="384" spans="1:5" x14ac:dyDescent="0.55000000000000004">
      <c r="A384" t="s">
        <v>2018</v>
      </c>
      <c r="B384" t="s">
        <v>2017</v>
      </c>
      <c r="C384" t="s">
        <v>10</v>
      </c>
      <c r="D384">
        <v>387561</v>
      </c>
      <c r="E384" t="s">
        <v>8</v>
      </c>
    </row>
    <row r="385" spans="1:5" x14ac:dyDescent="0.55000000000000004">
      <c r="A385" t="s">
        <v>2607</v>
      </c>
      <c r="B385" t="s">
        <v>2606</v>
      </c>
      <c r="C385" t="s">
        <v>10</v>
      </c>
      <c r="D385">
        <v>1121597</v>
      </c>
      <c r="E385" t="s">
        <v>8</v>
      </c>
    </row>
    <row r="386" spans="1:5" x14ac:dyDescent="0.55000000000000004">
      <c r="A386" t="s">
        <v>2359</v>
      </c>
      <c r="B386" t="s">
        <v>2358</v>
      </c>
      <c r="C386" t="s">
        <v>10</v>
      </c>
      <c r="D386">
        <v>2092334</v>
      </c>
      <c r="E386" t="s">
        <v>8</v>
      </c>
    </row>
    <row r="387" spans="1:5" x14ac:dyDescent="0.55000000000000004">
      <c r="A387" t="s">
        <v>725</v>
      </c>
      <c r="B387" t="s">
        <v>724</v>
      </c>
      <c r="C387" t="s">
        <v>141</v>
      </c>
      <c r="D387">
        <v>2835444</v>
      </c>
      <c r="E387" t="s">
        <v>8</v>
      </c>
    </row>
    <row r="388" spans="1:5" x14ac:dyDescent="0.55000000000000004">
      <c r="A388" t="s">
        <v>1784</v>
      </c>
      <c r="B388" t="s">
        <v>1782</v>
      </c>
      <c r="C388" t="s">
        <v>1783</v>
      </c>
      <c r="D388">
        <v>377580</v>
      </c>
      <c r="E388" t="s">
        <v>8</v>
      </c>
    </row>
    <row r="389" spans="1:5" x14ac:dyDescent="0.55000000000000004">
      <c r="A389" t="s">
        <v>2031</v>
      </c>
      <c r="B389" t="s">
        <v>2030</v>
      </c>
      <c r="C389" t="s">
        <v>10</v>
      </c>
      <c r="D389">
        <v>676596</v>
      </c>
      <c r="E389" t="s">
        <v>8</v>
      </c>
    </row>
    <row r="390" spans="1:5" x14ac:dyDescent="0.55000000000000004">
      <c r="A390" t="s">
        <v>707</v>
      </c>
      <c r="B390" t="s">
        <v>706</v>
      </c>
      <c r="C390" t="s">
        <v>10</v>
      </c>
      <c r="D390">
        <v>1059274</v>
      </c>
      <c r="E390" t="s">
        <v>8</v>
      </c>
    </row>
    <row r="391" spans="1:5" x14ac:dyDescent="0.55000000000000004">
      <c r="A391" t="s">
        <v>1802</v>
      </c>
      <c r="B391" t="s">
        <v>1801</v>
      </c>
      <c r="C391" t="s">
        <v>10</v>
      </c>
      <c r="D391">
        <v>348958</v>
      </c>
      <c r="E391" t="s">
        <v>8</v>
      </c>
    </row>
    <row r="392" spans="1:5" x14ac:dyDescent="0.55000000000000004">
      <c r="A392" t="s">
        <v>2615</v>
      </c>
      <c r="B392" t="s">
        <v>2614</v>
      </c>
      <c r="C392" t="s">
        <v>10</v>
      </c>
      <c r="D392">
        <v>862422</v>
      </c>
      <c r="E392" t="s">
        <v>8</v>
      </c>
    </row>
    <row r="393" spans="1:5" x14ac:dyDescent="0.55000000000000004">
      <c r="A393" t="s">
        <v>455</v>
      </c>
      <c r="B393" t="s">
        <v>454</v>
      </c>
      <c r="C393" t="s">
        <v>10</v>
      </c>
      <c r="D393">
        <v>1068924</v>
      </c>
      <c r="E393" t="s">
        <v>8</v>
      </c>
    </row>
    <row r="394" spans="1:5" x14ac:dyDescent="0.55000000000000004">
      <c r="A394" t="s">
        <v>2621</v>
      </c>
      <c r="B394" t="s">
        <v>2620</v>
      </c>
      <c r="C394" t="s">
        <v>10</v>
      </c>
      <c r="D394">
        <v>417239</v>
      </c>
      <c r="E394" t="s">
        <v>8</v>
      </c>
    </row>
    <row r="395" spans="1:5" x14ac:dyDescent="0.55000000000000004">
      <c r="A395" t="s">
        <v>2625</v>
      </c>
      <c r="B395" t="s">
        <v>2624</v>
      </c>
      <c r="C395" t="s">
        <v>1483</v>
      </c>
      <c r="D395">
        <v>416116</v>
      </c>
      <c r="E395" t="s">
        <v>8</v>
      </c>
    </row>
    <row r="396" spans="1:5" x14ac:dyDescent="0.55000000000000004">
      <c r="A396" t="s">
        <v>2379</v>
      </c>
      <c r="B396" t="s">
        <v>2378</v>
      </c>
      <c r="C396" t="s">
        <v>10</v>
      </c>
      <c r="D396">
        <v>1540993</v>
      </c>
      <c r="E396" t="s">
        <v>8</v>
      </c>
    </row>
    <row r="397" spans="1:5" x14ac:dyDescent="0.55000000000000004">
      <c r="A397" t="s">
        <v>2381</v>
      </c>
      <c r="B397" t="s">
        <v>2380</v>
      </c>
      <c r="C397" t="s">
        <v>76</v>
      </c>
      <c r="D397">
        <v>249087</v>
      </c>
      <c r="E397" t="s">
        <v>8</v>
      </c>
    </row>
    <row r="398" spans="1:5" x14ac:dyDescent="0.55000000000000004">
      <c r="A398" t="s">
        <v>2631</v>
      </c>
      <c r="B398" t="s">
        <v>2630</v>
      </c>
      <c r="C398" t="s">
        <v>10</v>
      </c>
      <c r="D398">
        <v>44748</v>
      </c>
      <c r="E398" t="s">
        <v>8</v>
      </c>
    </row>
    <row r="399" spans="1:5" x14ac:dyDescent="0.55000000000000004">
      <c r="A399" t="s">
        <v>2633</v>
      </c>
      <c r="B399" t="s">
        <v>2632</v>
      </c>
      <c r="C399" t="s">
        <v>10</v>
      </c>
      <c r="D399">
        <v>964589</v>
      </c>
      <c r="E399" t="s">
        <v>8</v>
      </c>
    </row>
    <row r="400" spans="1:5" x14ac:dyDescent="0.55000000000000004">
      <c r="A400" t="s">
        <v>2391</v>
      </c>
      <c r="B400" t="s">
        <v>2390</v>
      </c>
      <c r="C400" t="s">
        <v>10</v>
      </c>
      <c r="D400">
        <v>377438</v>
      </c>
      <c r="E400" t="s">
        <v>8</v>
      </c>
    </row>
    <row r="401" spans="1:5" x14ac:dyDescent="0.55000000000000004">
      <c r="A401" t="s">
        <v>1474</v>
      </c>
      <c r="B401" t="s">
        <v>1473</v>
      </c>
      <c r="C401" t="s">
        <v>10</v>
      </c>
      <c r="D401">
        <v>1999907</v>
      </c>
      <c r="E401" t="s">
        <v>8</v>
      </c>
    </row>
    <row r="402" spans="1:5" x14ac:dyDescent="0.55000000000000004">
      <c r="A402" t="s">
        <v>2058</v>
      </c>
      <c r="B402" t="s">
        <v>2057</v>
      </c>
      <c r="C402" t="s">
        <v>13</v>
      </c>
      <c r="D402">
        <v>683040</v>
      </c>
      <c r="E402" t="s">
        <v>8</v>
      </c>
    </row>
    <row r="403" spans="1:5" x14ac:dyDescent="0.55000000000000004">
      <c r="A403" t="s">
        <v>2393</v>
      </c>
      <c r="B403" t="s">
        <v>2392</v>
      </c>
      <c r="C403" t="s">
        <v>10</v>
      </c>
      <c r="D403">
        <v>10578009</v>
      </c>
      <c r="E403" t="s">
        <v>8</v>
      </c>
    </row>
    <row r="404" spans="1:5" x14ac:dyDescent="0.55000000000000004">
      <c r="A404" t="s">
        <v>719</v>
      </c>
      <c r="B404" t="s">
        <v>718</v>
      </c>
      <c r="C404" t="s">
        <v>10</v>
      </c>
      <c r="D404">
        <v>356523</v>
      </c>
      <c r="E404" t="s">
        <v>8</v>
      </c>
    </row>
    <row r="405" spans="1:5" x14ac:dyDescent="0.55000000000000004">
      <c r="A405" t="s">
        <v>2395</v>
      </c>
      <c r="B405" t="s">
        <v>2394</v>
      </c>
      <c r="C405" t="s">
        <v>10</v>
      </c>
      <c r="D405">
        <v>664708</v>
      </c>
      <c r="E405" t="s">
        <v>8</v>
      </c>
    </row>
    <row r="406" spans="1:5" x14ac:dyDescent="0.55000000000000004">
      <c r="A406" t="s">
        <v>2397</v>
      </c>
      <c r="B406" t="s">
        <v>2396</v>
      </c>
      <c r="C406" t="s">
        <v>1783</v>
      </c>
      <c r="D406">
        <v>741412</v>
      </c>
      <c r="E406" t="s">
        <v>8</v>
      </c>
    </row>
    <row r="407" spans="1:5" x14ac:dyDescent="0.55000000000000004">
      <c r="A407" t="s">
        <v>488</v>
      </c>
      <c r="B407" t="s">
        <v>487</v>
      </c>
      <c r="C407" t="s">
        <v>10</v>
      </c>
      <c r="D407">
        <v>534326</v>
      </c>
      <c r="E407" t="s">
        <v>8</v>
      </c>
    </row>
    <row r="408" spans="1:5" x14ac:dyDescent="0.55000000000000004">
      <c r="A408" t="s">
        <v>1825</v>
      </c>
      <c r="B408" t="s">
        <v>1824</v>
      </c>
      <c r="C408" t="s">
        <v>1483</v>
      </c>
      <c r="D408">
        <v>1248731</v>
      </c>
      <c r="E408" t="s">
        <v>8</v>
      </c>
    </row>
    <row r="409" spans="1:5" x14ac:dyDescent="0.55000000000000004">
      <c r="A409" t="s">
        <v>1140</v>
      </c>
      <c r="B409" t="s">
        <v>1138</v>
      </c>
      <c r="C409" t="s">
        <v>1139</v>
      </c>
      <c r="D409">
        <v>2089540</v>
      </c>
      <c r="E409" t="s">
        <v>8</v>
      </c>
    </row>
    <row r="410" spans="1:5" x14ac:dyDescent="0.55000000000000004">
      <c r="A410" t="s">
        <v>2435</v>
      </c>
      <c r="B410" t="s">
        <v>2434</v>
      </c>
      <c r="C410" t="s">
        <v>215</v>
      </c>
      <c r="D410">
        <v>358367</v>
      </c>
      <c r="E410" t="s">
        <v>8</v>
      </c>
    </row>
    <row r="411" spans="1:5" x14ac:dyDescent="0.55000000000000004">
      <c r="A411" t="s">
        <v>2442</v>
      </c>
      <c r="B411" t="s">
        <v>2441</v>
      </c>
      <c r="C411" t="s">
        <v>18</v>
      </c>
      <c r="D411">
        <v>253287</v>
      </c>
      <c r="E411" t="s">
        <v>8</v>
      </c>
    </row>
    <row r="412" spans="1:5" x14ac:dyDescent="0.55000000000000004">
      <c r="A412" t="s">
        <v>139</v>
      </c>
      <c r="B412" t="s">
        <v>137</v>
      </c>
      <c r="C412" t="s">
        <v>138</v>
      </c>
      <c r="D412">
        <v>1096173</v>
      </c>
      <c r="E412" t="s">
        <v>8</v>
      </c>
    </row>
    <row r="413" spans="1:5" x14ac:dyDescent="0.55000000000000004">
      <c r="A413" t="s">
        <v>1880</v>
      </c>
      <c r="B413" t="s">
        <v>1879</v>
      </c>
      <c r="C413" t="s">
        <v>215</v>
      </c>
      <c r="D413">
        <v>2514849</v>
      </c>
      <c r="E413" t="s">
        <v>8</v>
      </c>
    </row>
    <row r="414" spans="1:5" x14ac:dyDescent="0.55000000000000004">
      <c r="A414" t="s">
        <v>1886</v>
      </c>
      <c r="B414" t="s">
        <v>1885</v>
      </c>
      <c r="C414" t="s">
        <v>10</v>
      </c>
      <c r="D414">
        <v>1344447</v>
      </c>
      <c r="E414" t="s">
        <v>8</v>
      </c>
    </row>
    <row r="415" spans="1:5" x14ac:dyDescent="0.55000000000000004">
      <c r="A415" t="s">
        <v>1267</v>
      </c>
      <c r="B415" t="s">
        <v>1265</v>
      </c>
      <c r="C415" t="s">
        <v>1266</v>
      </c>
      <c r="D415">
        <v>381811</v>
      </c>
      <c r="E415" t="s">
        <v>8</v>
      </c>
    </row>
    <row r="416" spans="1:5" x14ac:dyDescent="0.55000000000000004">
      <c r="A416" t="s">
        <v>1283</v>
      </c>
      <c r="B416" t="s">
        <v>1281</v>
      </c>
      <c r="C416" t="s">
        <v>1282</v>
      </c>
      <c r="D416">
        <v>400821</v>
      </c>
      <c r="E416" t="s">
        <v>8</v>
      </c>
    </row>
    <row r="417" spans="1:5" x14ac:dyDescent="0.55000000000000004">
      <c r="A417" t="s">
        <v>2233</v>
      </c>
      <c r="B417" t="s">
        <v>2232</v>
      </c>
      <c r="C417" t="s">
        <v>926</v>
      </c>
      <c r="D417">
        <v>467785</v>
      </c>
      <c r="E417" t="s">
        <v>8</v>
      </c>
    </row>
    <row r="418" spans="1:5" x14ac:dyDescent="0.55000000000000004">
      <c r="A418" t="s">
        <v>2516</v>
      </c>
      <c r="B418" t="s">
        <v>2515</v>
      </c>
      <c r="C418" t="s">
        <v>18</v>
      </c>
      <c r="D418">
        <v>473160</v>
      </c>
      <c r="E418" t="s">
        <v>8</v>
      </c>
    </row>
    <row r="419" spans="1:5" x14ac:dyDescent="0.55000000000000004">
      <c r="A419" t="s">
        <v>2261</v>
      </c>
      <c r="B419" t="s">
        <v>2259</v>
      </c>
      <c r="C419" t="s">
        <v>2260</v>
      </c>
      <c r="D419">
        <v>1613455</v>
      </c>
      <c r="E419" t="s">
        <v>8</v>
      </c>
    </row>
    <row r="420" spans="1:5" x14ac:dyDescent="0.55000000000000004">
      <c r="A420" t="s">
        <v>19</v>
      </c>
      <c r="B420" t="s">
        <v>17</v>
      </c>
      <c r="C420" t="s">
        <v>18</v>
      </c>
      <c r="D420">
        <v>1673109</v>
      </c>
      <c r="E420" t="s">
        <v>8</v>
      </c>
    </row>
    <row r="421" spans="1:5" x14ac:dyDescent="0.55000000000000004">
      <c r="A421" t="s">
        <v>639</v>
      </c>
      <c r="B421" t="s">
        <v>638</v>
      </c>
      <c r="C421" t="s">
        <v>18</v>
      </c>
      <c r="D421">
        <v>549752</v>
      </c>
      <c r="E421" t="s">
        <v>8</v>
      </c>
    </row>
    <row r="422" spans="1:5" x14ac:dyDescent="0.55000000000000004">
      <c r="A422" t="s">
        <v>2302</v>
      </c>
      <c r="B422" t="s">
        <v>2301</v>
      </c>
      <c r="C422" t="s">
        <v>18</v>
      </c>
      <c r="D422">
        <v>453332</v>
      </c>
      <c r="E422" t="s">
        <v>8</v>
      </c>
    </row>
    <row r="423" spans="1:5" x14ac:dyDescent="0.55000000000000004">
      <c r="A423" t="s">
        <v>2016</v>
      </c>
      <c r="B423" t="s">
        <v>2015</v>
      </c>
      <c r="C423" t="s">
        <v>926</v>
      </c>
      <c r="D423">
        <v>999981</v>
      </c>
      <c r="E423" t="s">
        <v>8</v>
      </c>
    </row>
    <row r="424" spans="1:5" x14ac:dyDescent="0.55000000000000004">
      <c r="A424" t="s">
        <v>802</v>
      </c>
      <c r="B424" t="s">
        <v>800</v>
      </c>
      <c r="C424" t="s">
        <v>801</v>
      </c>
      <c r="D424">
        <v>283487</v>
      </c>
      <c r="E424" t="s">
        <v>8</v>
      </c>
    </row>
    <row r="425" spans="1:5" x14ac:dyDescent="0.55000000000000004">
      <c r="A425" t="s">
        <v>1908</v>
      </c>
      <c r="B425" t="s">
        <v>1907</v>
      </c>
      <c r="C425" t="s">
        <v>18</v>
      </c>
      <c r="D425">
        <v>841100</v>
      </c>
      <c r="E425" t="s">
        <v>8</v>
      </c>
    </row>
    <row r="426" spans="1:5" x14ac:dyDescent="0.55000000000000004">
      <c r="A426" t="s">
        <v>1476</v>
      </c>
      <c r="B426" t="s">
        <v>1475</v>
      </c>
      <c r="C426" t="s">
        <v>18</v>
      </c>
      <c r="D426">
        <v>1174202</v>
      </c>
      <c r="E426" t="s">
        <v>8</v>
      </c>
    </row>
    <row r="427" spans="1:5" x14ac:dyDescent="0.55000000000000004">
      <c r="A427" t="s">
        <v>2339</v>
      </c>
      <c r="B427" t="s">
        <v>2338</v>
      </c>
      <c r="C427" t="s">
        <v>1701</v>
      </c>
      <c r="D427">
        <v>9173315</v>
      </c>
      <c r="E427" t="s">
        <v>8</v>
      </c>
    </row>
    <row r="428" spans="1:5" x14ac:dyDescent="0.55000000000000004">
      <c r="A428" t="s">
        <v>2489</v>
      </c>
      <c r="B428" t="s">
        <v>2488</v>
      </c>
      <c r="C428" t="s">
        <v>10</v>
      </c>
      <c r="D428">
        <v>596001</v>
      </c>
      <c r="E428" t="s">
        <v>8</v>
      </c>
    </row>
    <row r="429" spans="1:5" x14ac:dyDescent="0.55000000000000004">
      <c r="A429" t="s">
        <v>795</v>
      </c>
      <c r="B429" t="s">
        <v>794</v>
      </c>
      <c r="C429" t="s">
        <v>18</v>
      </c>
      <c r="D429">
        <v>2070283</v>
      </c>
      <c r="E429" t="s">
        <v>8</v>
      </c>
    </row>
    <row r="430" spans="1:5" x14ac:dyDescent="0.55000000000000004">
      <c r="A430" t="s">
        <v>2477</v>
      </c>
      <c r="B430" t="s">
        <v>2476</v>
      </c>
      <c r="C430" t="s">
        <v>926</v>
      </c>
      <c r="D430">
        <v>1552202</v>
      </c>
      <c r="E430" t="s">
        <v>8</v>
      </c>
    </row>
    <row r="431" spans="1:5" x14ac:dyDescent="0.55000000000000004">
      <c r="A431" t="s">
        <v>2288</v>
      </c>
      <c r="B431" t="s">
        <v>2287</v>
      </c>
      <c r="C431" t="s">
        <v>801</v>
      </c>
      <c r="D431">
        <v>2909746</v>
      </c>
      <c r="E431" t="s">
        <v>8</v>
      </c>
    </row>
    <row r="432" spans="1:5" x14ac:dyDescent="0.55000000000000004">
      <c r="A432" t="s">
        <v>2554</v>
      </c>
      <c r="B432" t="s">
        <v>2553</v>
      </c>
      <c r="C432" t="s">
        <v>26</v>
      </c>
      <c r="D432">
        <v>3652159</v>
      </c>
      <c r="E432" t="s">
        <v>8</v>
      </c>
    </row>
    <row r="433" spans="1:5" x14ac:dyDescent="0.55000000000000004">
      <c r="A433" t="s">
        <v>2532</v>
      </c>
      <c r="B433" t="s">
        <v>2531</v>
      </c>
      <c r="C433" t="s">
        <v>18</v>
      </c>
      <c r="D433">
        <v>260097</v>
      </c>
      <c r="E433" t="s">
        <v>8</v>
      </c>
    </row>
    <row r="434" spans="1:5" x14ac:dyDescent="0.55000000000000004">
      <c r="A434" t="s">
        <v>2399</v>
      </c>
      <c r="B434" t="s">
        <v>2398</v>
      </c>
      <c r="C434" t="s">
        <v>18</v>
      </c>
      <c r="D434">
        <v>268749</v>
      </c>
      <c r="E434" t="s">
        <v>8</v>
      </c>
    </row>
    <row r="435" spans="1:5" x14ac:dyDescent="0.55000000000000004">
      <c r="A435" t="s">
        <v>1667</v>
      </c>
      <c r="B435" t="s">
        <v>1666</v>
      </c>
      <c r="C435" t="s">
        <v>926</v>
      </c>
      <c r="D435">
        <v>622777</v>
      </c>
      <c r="E435" t="s">
        <v>8</v>
      </c>
    </row>
    <row r="436" spans="1:5" x14ac:dyDescent="0.55000000000000004">
      <c r="A436" t="s">
        <v>2471</v>
      </c>
      <c r="B436" t="s">
        <v>2470</v>
      </c>
      <c r="C436" t="s">
        <v>926</v>
      </c>
      <c r="D436">
        <v>5977823</v>
      </c>
      <c r="E436" t="s">
        <v>8</v>
      </c>
    </row>
    <row r="437" spans="1:5" x14ac:dyDescent="0.55000000000000004">
      <c r="A437" t="s">
        <v>2126</v>
      </c>
      <c r="B437" t="s">
        <v>2125</v>
      </c>
      <c r="C437" t="s">
        <v>10</v>
      </c>
      <c r="D437">
        <v>243343</v>
      </c>
      <c r="E437" t="s">
        <v>8</v>
      </c>
    </row>
    <row r="438" spans="1:5" x14ac:dyDescent="0.55000000000000004">
      <c r="A438" t="s">
        <v>559</v>
      </c>
      <c r="B438" t="s">
        <v>557</v>
      </c>
      <c r="C438" t="s">
        <v>558</v>
      </c>
      <c r="D438">
        <v>514418</v>
      </c>
      <c r="E438" t="s">
        <v>8</v>
      </c>
    </row>
    <row r="439" spans="1:5" x14ac:dyDescent="0.55000000000000004">
      <c r="A439" t="s">
        <v>906</v>
      </c>
      <c r="B439" t="s">
        <v>905</v>
      </c>
      <c r="C439" t="s">
        <v>18</v>
      </c>
      <c r="D439">
        <v>346379</v>
      </c>
      <c r="E439" t="s">
        <v>8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279F2-ABBB-4C2E-BA69-099D9AD76C6A}">
  <dimension ref="A1:E491"/>
  <sheetViews>
    <sheetView workbookViewId="0">
      <selection sqref="A1:XFD10"/>
    </sheetView>
  </sheetViews>
  <sheetFormatPr defaultRowHeight="18" x14ac:dyDescent="0.55000000000000004"/>
  <cols>
    <col min="1" max="1" width="11.5" bestFit="1" customWidth="1"/>
    <col min="2" max="2" width="36.58203125" bestFit="1" customWidth="1"/>
    <col min="3" max="3" width="19" bestFit="1" customWidth="1"/>
    <col min="5" max="5" width="8.4140625" bestFit="1" customWidth="1"/>
    <col min="6" max="6" width="23.4140625" bestFit="1" customWidth="1"/>
  </cols>
  <sheetData>
    <row r="1" spans="1:5" x14ac:dyDescent="0.55000000000000004">
      <c r="A1" t="s">
        <v>2</v>
      </c>
      <c r="B1" t="s">
        <v>0</v>
      </c>
      <c r="C1" t="s">
        <v>1</v>
      </c>
      <c r="D1" t="s">
        <v>3</v>
      </c>
      <c r="E1" t="s">
        <v>4</v>
      </c>
    </row>
    <row r="2" spans="1:5" x14ac:dyDescent="0.55000000000000004">
      <c r="A2" t="s">
        <v>725</v>
      </c>
      <c r="B2" t="s">
        <v>724</v>
      </c>
      <c r="C2" t="s">
        <v>141</v>
      </c>
      <c r="D2">
        <v>2463239</v>
      </c>
      <c r="E2" t="s">
        <v>8</v>
      </c>
    </row>
    <row r="3" spans="1:5" x14ac:dyDescent="0.55000000000000004">
      <c r="A3" t="s">
        <v>2063</v>
      </c>
      <c r="B3" t="s">
        <v>2062</v>
      </c>
      <c r="C3" t="s">
        <v>10</v>
      </c>
      <c r="D3">
        <v>2114642</v>
      </c>
      <c r="E3" t="s">
        <v>8</v>
      </c>
    </row>
    <row r="4" spans="1:5" x14ac:dyDescent="0.55000000000000004">
      <c r="A4" t="s">
        <v>1148</v>
      </c>
      <c r="B4" t="s">
        <v>1147</v>
      </c>
      <c r="C4" t="s">
        <v>10</v>
      </c>
      <c r="D4">
        <v>237260</v>
      </c>
      <c r="E4" t="s">
        <v>8</v>
      </c>
    </row>
    <row r="5" spans="1:5" x14ac:dyDescent="0.55000000000000004">
      <c r="A5" t="s">
        <v>812</v>
      </c>
      <c r="B5" t="s">
        <v>811</v>
      </c>
      <c r="C5" t="s">
        <v>13</v>
      </c>
      <c r="D5">
        <v>360848</v>
      </c>
      <c r="E5" t="s">
        <v>8</v>
      </c>
    </row>
    <row r="6" spans="1:5" x14ac:dyDescent="0.55000000000000004">
      <c r="A6" t="s">
        <v>2065</v>
      </c>
      <c r="B6" t="s">
        <v>2064</v>
      </c>
      <c r="C6" t="s">
        <v>10</v>
      </c>
      <c r="D6">
        <v>1491016</v>
      </c>
      <c r="E6" t="s">
        <v>8</v>
      </c>
    </row>
    <row r="7" spans="1:5" x14ac:dyDescent="0.55000000000000004">
      <c r="A7" t="s">
        <v>1140</v>
      </c>
      <c r="B7" t="s">
        <v>1138</v>
      </c>
      <c r="C7" t="s">
        <v>1139</v>
      </c>
      <c r="D7">
        <v>407836</v>
      </c>
      <c r="E7" t="s">
        <v>8</v>
      </c>
    </row>
    <row r="8" spans="1:5" x14ac:dyDescent="0.55000000000000004">
      <c r="A8" t="s">
        <v>1142</v>
      </c>
      <c r="B8" t="s">
        <v>1141</v>
      </c>
      <c r="C8" t="s">
        <v>6</v>
      </c>
      <c r="D8">
        <v>326789</v>
      </c>
      <c r="E8" t="s">
        <v>8</v>
      </c>
    </row>
    <row r="9" spans="1:5" x14ac:dyDescent="0.55000000000000004">
      <c r="A9" t="s">
        <v>1819</v>
      </c>
      <c r="B9" t="s">
        <v>1818</v>
      </c>
      <c r="C9" t="s">
        <v>10</v>
      </c>
      <c r="D9">
        <v>1558282</v>
      </c>
      <c r="E9" t="s">
        <v>8</v>
      </c>
    </row>
    <row r="10" spans="1:5" x14ac:dyDescent="0.55000000000000004">
      <c r="A10" t="s">
        <v>2067</v>
      </c>
      <c r="B10" t="s">
        <v>2066</v>
      </c>
      <c r="C10" t="s">
        <v>10</v>
      </c>
      <c r="D10">
        <v>243760</v>
      </c>
      <c r="E10" t="s">
        <v>8</v>
      </c>
    </row>
    <row r="11" spans="1:5" x14ac:dyDescent="0.55000000000000004">
      <c r="A11" t="s">
        <v>935</v>
      </c>
      <c r="B11" t="s">
        <v>934</v>
      </c>
      <c r="C11" t="s">
        <v>10</v>
      </c>
      <c r="D11">
        <v>1344136</v>
      </c>
      <c r="E11" t="s">
        <v>8</v>
      </c>
    </row>
    <row r="12" spans="1:5" x14ac:dyDescent="0.55000000000000004">
      <c r="A12" t="s">
        <v>816</v>
      </c>
      <c r="B12" t="s">
        <v>815</v>
      </c>
      <c r="C12" t="s">
        <v>6</v>
      </c>
      <c r="D12">
        <v>871939</v>
      </c>
      <c r="E12" t="s">
        <v>8</v>
      </c>
    </row>
    <row r="13" spans="1:5" x14ac:dyDescent="0.55000000000000004">
      <c r="A13" t="s">
        <v>1144</v>
      </c>
      <c r="B13" t="s">
        <v>1143</v>
      </c>
      <c r="C13" t="s">
        <v>10</v>
      </c>
      <c r="D13">
        <v>1225194</v>
      </c>
      <c r="E13" t="s">
        <v>8</v>
      </c>
    </row>
    <row r="14" spans="1:5" x14ac:dyDescent="0.55000000000000004">
      <c r="A14" t="s">
        <v>2069</v>
      </c>
      <c r="B14" t="s">
        <v>2068</v>
      </c>
      <c r="C14" t="s">
        <v>10</v>
      </c>
      <c r="D14">
        <v>205401</v>
      </c>
      <c r="E14" t="s">
        <v>8</v>
      </c>
    </row>
    <row r="15" spans="1:5" x14ac:dyDescent="0.55000000000000004">
      <c r="A15" t="s">
        <v>2071</v>
      </c>
      <c r="B15" t="s">
        <v>2070</v>
      </c>
      <c r="C15" t="s">
        <v>76</v>
      </c>
      <c r="D15">
        <v>261527</v>
      </c>
      <c r="E15" t="s">
        <v>8</v>
      </c>
    </row>
    <row r="16" spans="1:5" x14ac:dyDescent="0.55000000000000004">
      <c r="A16" t="s">
        <v>2073</v>
      </c>
      <c r="B16" t="s">
        <v>2072</v>
      </c>
      <c r="C16" t="s">
        <v>10</v>
      </c>
      <c r="D16">
        <v>232393</v>
      </c>
      <c r="E16" t="s">
        <v>8</v>
      </c>
    </row>
    <row r="17" spans="1:5" x14ac:dyDescent="0.55000000000000004">
      <c r="A17" t="s">
        <v>1479</v>
      </c>
      <c r="B17" t="s">
        <v>1478</v>
      </c>
      <c r="C17" t="s">
        <v>10</v>
      </c>
      <c r="D17">
        <v>990492</v>
      </c>
      <c r="E17" t="s">
        <v>8</v>
      </c>
    </row>
    <row r="18" spans="1:5" x14ac:dyDescent="0.55000000000000004">
      <c r="A18" t="s">
        <v>1599</v>
      </c>
      <c r="B18" t="s">
        <v>1598</v>
      </c>
      <c r="C18" t="s">
        <v>10</v>
      </c>
      <c r="D18">
        <v>1387674</v>
      </c>
      <c r="E18" t="s">
        <v>8</v>
      </c>
    </row>
    <row r="19" spans="1:5" x14ac:dyDescent="0.55000000000000004">
      <c r="A19" t="s">
        <v>2075</v>
      </c>
      <c r="B19" t="s">
        <v>2074</v>
      </c>
      <c r="C19" t="s">
        <v>10</v>
      </c>
      <c r="D19">
        <v>646348</v>
      </c>
      <c r="E19" t="s">
        <v>8</v>
      </c>
    </row>
    <row r="20" spans="1:5" x14ac:dyDescent="0.55000000000000004">
      <c r="A20" t="s">
        <v>2077</v>
      </c>
      <c r="B20" t="s">
        <v>2076</v>
      </c>
      <c r="C20" t="s">
        <v>926</v>
      </c>
      <c r="D20">
        <v>662476</v>
      </c>
      <c r="E20" t="s">
        <v>8</v>
      </c>
    </row>
    <row r="21" spans="1:5" x14ac:dyDescent="0.55000000000000004">
      <c r="A21" t="s">
        <v>24</v>
      </c>
      <c r="B21" t="s">
        <v>23</v>
      </c>
      <c r="C21" t="s">
        <v>18</v>
      </c>
      <c r="D21">
        <v>284767</v>
      </c>
      <c r="E21" t="s">
        <v>8</v>
      </c>
    </row>
    <row r="22" spans="1:5" x14ac:dyDescent="0.55000000000000004">
      <c r="A22" t="s">
        <v>1823</v>
      </c>
      <c r="B22" t="s">
        <v>1822</v>
      </c>
      <c r="C22" t="s">
        <v>13</v>
      </c>
      <c r="D22">
        <v>274884</v>
      </c>
      <c r="E22" t="s">
        <v>8</v>
      </c>
    </row>
    <row r="23" spans="1:5" x14ac:dyDescent="0.55000000000000004">
      <c r="A23" t="s">
        <v>1825</v>
      </c>
      <c r="B23" t="s">
        <v>1824</v>
      </c>
      <c r="C23" t="s">
        <v>1483</v>
      </c>
      <c r="D23">
        <v>1310866</v>
      </c>
      <c r="E23" t="s">
        <v>8</v>
      </c>
    </row>
    <row r="24" spans="1:5" x14ac:dyDescent="0.55000000000000004">
      <c r="A24" t="s">
        <v>2079</v>
      </c>
      <c r="B24" t="s">
        <v>2078</v>
      </c>
      <c r="C24" t="s">
        <v>10</v>
      </c>
      <c r="D24">
        <v>1885775</v>
      </c>
      <c r="E24" t="s">
        <v>8</v>
      </c>
    </row>
    <row r="25" spans="1:5" x14ac:dyDescent="0.55000000000000004">
      <c r="A25" t="s">
        <v>2081</v>
      </c>
      <c r="B25" t="s">
        <v>2080</v>
      </c>
      <c r="C25" t="s">
        <v>10</v>
      </c>
      <c r="D25">
        <v>1791609</v>
      </c>
      <c r="E25" t="s">
        <v>8</v>
      </c>
    </row>
    <row r="26" spans="1:5" x14ac:dyDescent="0.55000000000000004">
      <c r="A26" t="s">
        <v>37</v>
      </c>
      <c r="B26" t="s">
        <v>36</v>
      </c>
      <c r="C26" t="s">
        <v>10</v>
      </c>
      <c r="D26">
        <v>275768</v>
      </c>
      <c r="E26" t="s">
        <v>8</v>
      </c>
    </row>
    <row r="27" spans="1:5" x14ac:dyDescent="0.55000000000000004">
      <c r="A27" t="s">
        <v>2083</v>
      </c>
      <c r="B27" t="s">
        <v>2082</v>
      </c>
      <c r="C27" t="s">
        <v>10</v>
      </c>
      <c r="D27">
        <v>342291</v>
      </c>
      <c r="E27" t="s">
        <v>8</v>
      </c>
    </row>
    <row r="28" spans="1:5" x14ac:dyDescent="0.55000000000000004">
      <c r="A28" t="s">
        <v>2086</v>
      </c>
      <c r="B28" t="s">
        <v>2084</v>
      </c>
      <c r="C28" t="s">
        <v>2085</v>
      </c>
      <c r="D28">
        <v>4995578</v>
      </c>
      <c r="E28" t="s">
        <v>8</v>
      </c>
    </row>
    <row r="29" spans="1:5" x14ac:dyDescent="0.55000000000000004">
      <c r="A29" t="s">
        <v>2088</v>
      </c>
      <c r="B29" t="s">
        <v>2087</v>
      </c>
      <c r="C29" t="s">
        <v>10</v>
      </c>
      <c r="D29">
        <v>985834</v>
      </c>
      <c r="E29" t="s">
        <v>8</v>
      </c>
    </row>
    <row r="30" spans="1:5" x14ac:dyDescent="0.55000000000000004">
      <c r="A30" t="s">
        <v>2090</v>
      </c>
      <c r="B30" t="s">
        <v>2089</v>
      </c>
      <c r="C30" t="s">
        <v>10</v>
      </c>
      <c r="D30">
        <v>278103</v>
      </c>
      <c r="E30" t="s">
        <v>8</v>
      </c>
    </row>
    <row r="31" spans="1:5" x14ac:dyDescent="0.55000000000000004">
      <c r="A31" t="s">
        <v>2092</v>
      </c>
      <c r="B31" t="s">
        <v>2091</v>
      </c>
      <c r="C31" t="s">
        <v>10</v>
      </c>
      <c r="D31">
        <v>413802</v>
      </c>
      <c r="E31" t="s">
        <v>8</v>
      </c>
    </row>
    <row r="32" spans="1:5" x14ac:dyDescent="0.55000000000000004">
      <c r="A32" t="s">
        <v>731</v>
      </c>
      <c r="B32" t="s">
        <v>730</v>
      </c>
      <c r="C32" t="s">
        <v>10</v>
      </c>
      <c r="D32">
        <v>454465</v>
      </c>
      <c r="E32" t="s">
        <v>8</v>
      </c>
    </row>
    <row r="33" spans="1:5" x14ac:dyDescent="0.55000000000000004">
      <c r="A33" t="s">
        <v>1154</v>
      </c>
      <c r="B33" t="s">
        <v>1153</v>
      </c>
      <c r="C33" t="s">
        <v>10</v>
      </c>
      <c r="D33">
        <v>56720</v>
      </c>
      <c r="E33" t="s">
        <v>8</v>
      </c>
    </row>
    <row r="34" spans="1:5" x14ac:dyDescent="0.55000000000000004">
      <c r="A34" t="s">
        <v>1158</v>
      </c>
      <c r="B34" t="s">
        <v>1157</v>
      </c>
      <c r="C34" t="s">
        <v>10</v>
      </c>
      <c r="D34">
        <v>4996459</v>
      </c>
      <c r="E34" t="s">
        <v>8</v>
      </c>
    </row>
    <row r="35" spans="1:5" x14ac:dyDescent="0.55000000000000004">
      <c r="A35" t="s">
        <v>42</v>
      </c>
      <c r="B35" t="s">
        <v>40</v>
      </c>
      <c r="C35" t="s">
        <v>41</v>
      </c>
      <c r="D35">
        <v>126956</v>
      </c>
      <c r="E35" t="s">
        <v>8</v>
      </c>
    </row>
    <row r="36" spans="1:5" x14ac:dyDescent="0.55000000000000004">
      <c r="A36" t="s">
        <v>2094</v>
      </c>
      <c r="B36" t="s">
        <v>2093</v>
      </c>
      <c r="C36" t="s">
        <v>10</v>
      </c>
      <c r="D36">
        <v>323468</v>
      </c>
      <c r="E36" t="s">
        <v>8</v>
      </c>
    </row>
    <row r="37" spans="1:5" x14ac:dyDescent="0.55000000000000004">
      <c r="A37" t="s">
        <v>1162</v>
      </c>
      <c r="B37" t="s">
        <v>1161</v>
      </c>
      <c r="C37" t="s">
        <v>10</v>
      </c>
      <c r="D37">
        <v>335537</v>
      </c>
      <c r="E37" t="s">
        <v>8</v>
      </c>
    </row>
    <row r="38" spans="1:5" x14ac:dyDescent="0.55000000000000004">
      <c r="A38" t="s">
        <v>1164</v>
      </c>
      <c r="B38" t="s">
        <v>1163</v>
      </c>
      <c r="C38" t="s">
        <v>10</v>
      </c>
      <c r="D38">
        <v>1391844</v>
      </c>
      <c r="E38" t="s">
        <v>8</v>
      </c>
    </row>
    <row r="39" spans="1:5" x14ac:dyDescent="0.55000000000000004">
      <c r="A39" t="s">
        <v>2096</v>
      </c>
      <c r="B39" t="s">
        <v>2095</v>
      </c>
      <c r="C39" t="s">
        <v>461</v>
      </c>
      <c r="D39">
        <v>1770609</v>
      </c>
      <c r="E39" t="s">
        <v>8</v>
      </c>
    </row>
    <row r="40" spans="1:5" x14ac:dyDescent="0.55000000000000004">
      <c r="A40" t="s">
        <v>1826</v>
      </c>
      <c r="B40" t="s">
        <v>47</v>
      </c>
      <c r="C40" t="s">
        <v>1483</v>
      </c>
      <c r="D40">
        <v>2328042</v>
      </c>
      <c r="E40" t="s">
        <v>8</v>
      </c>
    </row>
    <row r="41" spans="1:5" x14ac:dyDescent="0.55000000000000004">
      <c r="A41" t="s">
        <v>1828</v>
      </c>
      <c r="B41" t="s">
        <v>1827</v>
      </c>
      <c r="C41" t="s">
        <v>1317</v>
      </c>
      <c r="D41">
        <v>602082</v>
      </c>
      <c r="E41" t="s">
        <v>8</v>
      </c>
    </row>
    <row r="42" spans="1:5" x14ac:dyDescent="0.55000000000000004">
      <c r="A42" t="s">
        <v>521</v>
      </c>
      <c r="B42" t="s">
        <v>520</v>
      </c>
      <c r="C42" t="s">
        <v>10</v>
      </c>
      <c r="D42">
        <v>453744</v>
      </c>
      <c r="E42" t="s">
        <v>8</v>
      </c>
    </row>
    <row r="43" spans="1:5" x14ac:dyDescent="0.55000000000000004">
      <c r="A43" t="s">
        <v>2098</v>
      </c>
      <c r="B43" t="s">
        <v>2097</v>
      </c>
      <c r="C43" t="s">
        <v>10</v>
      </c>
      <c r="D43">
        <v>952079</v>
      </c>
      <c r="E43" t="s">
        <v>8</v>
      </c>
    </row>
    <row r="44" spans="1:5" x14ac:dyDescent="0.55000000000000004">
      <c r="A44" t="s">
        <v>52</v>
      </c>
      <c r="B44" t="s">
        <v>51</v>
      </c>
      <c r="C44" t="s">
        <v>10</v>
      </c>
      <c r="D44">
        <v>991678</v>
      </c>
      <c r="E44" t="s">
        <v>8</v>
      </c>
    </row>
    <row r="45" spans="1:5" x14ac:dyDescent="0.55000000000000004">
      <c r="A45" t="s">
        <v>1830</v>
      </c>
      <c r="B45" t="s">
        <v>1829</v>
      </c>
      <c r="C45" t="s">
        <v>10</v>
      </c>
      <c r="D45">
        <v>1513112</v>
      </c>
      <c r="E45" t="s">
        <v>8</v>
      </c>
    </row>
    <row r="46" spans="1:5" x14ac:dyDescent="0.55000000000000004">
      <c r="A46" t="s">
        <v>1607</v>
      </c>
      <c r="B46" t="s">
        <v>1606</v>
      </c>
      <c r="C46" t="s">
        <v>10</v>
      </c>
      <c r="D46">
        <v>241400</v>
      </c>
      <c r="E46" t="s">
        <v>8</v>
      </c>
    </row>
    <row r="47" spans="1:5" x14ac:dyDescent="0.55000000000000004">
      <c r="A47" t="s">
        <v>1609</v>
      </c>
      <c r="B47" t="s">
        <v>1608</v>
      </c>
      <c r="C47" t="s">
        <v>1317</v>
      </c>
      <c r="D47">
        <v>2178981</v>
      </c>
      <c r="E47" t="s">
        <v>8</v>
      </c>
    </row>
    <row r="48" spans="1:5" x14ac:dyDescent="0.55000000000000004">
      <c r="A48" t="s">
        <v>525</v>
      </c>
      <c r="B48" t="s">
        <v>524</v>
      </c>
      <c r="C48" t="s">
        <v>10</v>
      </c>
      <c r="D48">
        <v>374539</v>
      </c>
      <c r="E48" t="s">
        <v>8</v>
      </c>
    </row>
    <row r="49" spans="1:5" x14ac:dyDescent="0.55000000000000004">
      <c r="A49" t="s">
        <v>2100</v>
      </c>
      <c r="B49" t="s">
        <v>2099</v>
      </c>
      <c r="C49" t="s">
        <v>10</v>
      </c>
      <c r="D49">
        <v>561561</v>
      </c>
      <c r="E49" t="s">
        <v>8</v>
      </c>
    </row>
    <row r="50" spans="1:5" x14ac:dyDescent="0.55000000000000004">
      <c r="A50" t="s">
        <v>58</v>
      </c>
      <c r="B50" t="s">
        <v>57</v>
      </c>
      <c r="C50" t="s">
        <v>10</v>
      </c>
      <c r="D50">
        <v>838812</v>
      </c>
      <c r="E50" t="s">
        <v>8</v>
      </c>
    </row>
    <row r="51" spans="1:5" x14ac:dyDescent="0.55000000000000004">
      <c r="A51" t="s">
        <v>62</v>
      </c>
      <c r="B51" t="s">
        <v>61</v>
      </c>
      <c r="C51" t="s">
        <v>6</v>
      </c>
      <c r="D51">
        <v>1485558</v>
      </c>
      <c r="E51" t="s">
        <v>8</v>
      </c>
    </row>
    <row r="52" spans="1:5" x14ac:dyDescent="0.55000000000000004">
      <c r="A52" t="s">
        <v>64</v>
      </c>
      <c r="B52" t="s">
        <v>63</v>
      </c>
      <c r="C52" t="s">
        <v>10</v>
      </c>
      <c r="D52">
        <v>539735</v>
      </c>
      <c r="E52" t="s">
        <v>8</v>
      </c>
    </row>
    <row r="53" spans="1:5" x14ac:dyDescent="0.55000000000000004">
      <c r="A53" t="s">
        <v>1832</v>
      </c>
      <c r="B53" t="s">
        <v>1831</v>
      </c>
      <c r="C53" t="s">
        <v>41</v>
      </c>
      <c r="D53">
        <v>3017701</v>
      </c>
      <c r="E53" t="s">
        <v>8</v>
      </c>
    </row>
    <row r="54" spans="1:5" x14ac:dyDescent="0.55000000000000004">
      <c r="A54" t="s">
        <v>68</v>
      </c>
      <c r="B54" t="s">
        <v>67</v>
      </c>
      <c r="C54" t="s">
        <v>10</v>
      </c>
      <c r="D54">
        <v>1866597</v>
      </c>
      <c r="E54" t="s">
        <v>8</v>
      </c>
    </row>
    <row r="55" spans="1:5" x14ac:dyDescent="0.55000000000000004">
      <c r="A55" t="s">
        <v>1611</v>
      </c>
      <c r="B55" t="s">
        <v>1610</v>
      </c>
      <c r="C55" t="s">
        <v>10</v>
      </c>
      <c r="D55">
        <v>318084</v>
      </c>
      <c r="E55" t="s">
        <v>8</v>
      </c>
    </row>
    <row r="56" spans="1:5" x14ac:dyDescent="0.55000000000000004">
      <c r="A56" t="s">
        <v>1181</v>
      </c>
      <c r="B56" t="s">
        <v>1180</v>
      </c>
      <c r="C56" t="s">
        <v>10</v>
      </c>
      <c r="D56">
        <v>304597</v>
      </c>
      <c r="E56" t="s">
        <v>8</v>
      </c>
    </row>
    <row r="57" spans="1:5" x14ac:dyDescent="0.55000000000000004">
      <c r="A57" t="s">
        <v>1613</v>
      </c>
      <c r="B57" t="s">
        <v>1612</v>
      </c>
      <c r="C57" t="s">
        <v>10</v>
      </c>
      <c r="D57">
        <v>800192</v>
      </c>
      <c r="E57" t="s">
        <v>8</v>
      </c>
    </row>
    <row r="58" spans="1:5" x14ac:dyDescent="0.55000000000000004">
      <c r="A58" t="s">
        <v>2102</v>
      </c>
      <c r="B58" t="s">
        <v>2101</v>
      </c>
      <c r="C58" t="s">
        <v>10</v>
      </c>
      <c r="D58">
        <v>857224</v>
      </c>
      <c r="E58" t="s">
        <v>8</v>
      </c>
    </row>
    <row r="59" spans="1:5" x14ac:dyDescent="0.55000000000000004">
      <c r="A59" t="s">
        <v>2104</v>
      </c>
      <c r="B59" t="s">
        <v>2103</v>
      </c>
      <c r="C59" t="s">
        <v>10</v>
      </c>
      <c r="D59">
        <v>862748</v>
      </c>
      <c r="E59" t="s">
        <v>8</v>
      </c>
    </row>
    <row r="60" spans="1:5" x14ac:dyDescent="0.55000000000000004">
      <c r="A60" t="s">
        <v>1183</v>
      </c>
      <c r="B60" t="s">
        <v>1182</v>
      </c>
      <c r="C60" t="s">
        <v>10</v>
      </c>
      <c r="D60">
        <v>1265436</v>
      </c>
      <c r="E60" t="s">
        <v>8</v>
      </c>
    </row>
    <row r="61" spans="1:5" x14ac:dyDescent="0.55000000000000004">
      <c r="A61" t="s">
        <v>1185</v>
      </c>
      <c r="B61" t="s">
        <v>1184</v>
      </c>
      <c r="C61" t="s">
        <v>10</v>
      </c>
      <c r="D61">
        <v>1384911</v>
      </c>
      <c r="E61" t="s">
        <v>8</v>
      </c>
    </row>
    <row r="62" spans="1:5" x14ac:dyDescent="0.55000000000000004">
      <c r="A62" t="s">
        <v>1187</v>
      </c>
      <c r="B62" t="s">
        <v>1186</v>
      </c>
      <c r="C62" t="s">
        <v>10</v>
      </c>
      <c r="D62">
        <v>814317</v>
      </c>
      <c r="E62" t="s">
        <v>8</v>
      </c>
    </row>
    <row r="63" spans="1:5" x14ac:dyDescent="0.55000000000000004">
      <c r="A63" t="s">
        <v>2106</v>
      </c>
      <c r="B63" t="s">
        <v>2105</v>
      </c>
      <c r="C63" t="s">
        <v>10</v>
      </c>
      <c r="D63">
        <v>532248</v>
      </c>
      <c r="E63" t="s">
        <v>8</v>
      </c>
    </row>
    <row r="64" spans="1:5" x14ac:dyDescent="0.55000000000000004">
      <c r="A64" t="s">
        <v>1834</v>
      </c>
      <c r="B64" t="s">
        <v>1833</v>
      </c>
      <c r="C64" t="s">
        <v>10</v>
      </c>
      <c r="D64">
        <v>974791</v>
      </c>
      <c r="E64" t="s">
        <v>8</v>
      </c>
    </row>
    <row r="65" spans="1:5" x14ac:dyDescent="0.55000000000000004">
      <c r="A65" t="s">
        <v>959</v>
      </c>
      <c r="B65" t="s">
        <v>958</v>
      </c>
      <c r="C65" t="s">
        <v>41</v>
      </c>
      <c r="D65">
        <v>1274992</v>
      </c>
      <c r="E65" t="s">
        <v>8</v>
      </c>
    </row>
    <row r="66" spans="1:5" x14ac:dyDescent="0.55000000000000004">
      <c r="A66" t="s">
        <v>77</v>
      </c>
      <c r="B66" t="s">
        <v>75</v>
      </c>
      <c r="C66" t="s">
        <v>76</v>
      </c>
      <c r="D66">
        <v>568502</v>
      </c>
      <c r="E66" t="s">
        <v>8</v>
      </c>
    </row>
    <row r="67" spans="1:5" x14ac:dyDescent="0.55000000000000004">
      <c r="A67" t="s">
        <v>2108</v>
      </c>
      <c r="B67" t="s">
        <v>2107</v>
      </c>
      <c r="C67" t="s">
        <v>10</v>
      </c>
      <c r="D67">
        <v>2504718</v>
      </c>
      <c r="E67" t="s">
        <v>8</v>
      </c>
    </row>
    <row r="68" spans="1:5" x14ac:dyDescent="0.55000000000000004">
      <c r="A68" t="s">
        <v>2110</v>
      </c>
      <c r="B68" t="s">
        <v>2109</v>
      </c>
      <c r="C68" t="s">
        <v>10</v>
      </c>
      <c r="D68">
        <v>112671</v>
      </c>
      <c r="E68" t="s">
        <v>8</v>
      </c>
    </row>
    <row r="69" spans="1:5" x14ac:dyDescent="0.55000000000000004">
      <c r="A69" t="s">
        <v>1840</v>
      </c>
      <c r="B69" t="s">
        <v>1839</v>
      </c>
      <c r="C69" t="s">
        <v>10</v>
      </c>
      <c r="D69">
        <v>2189382</v>
      </c>
      <c r="E69" t="s">
        <v>8</v>
      </c>
    </row>
    <row r="70" spans="1:5" x14ac:dyDescent="0.55000000000000004">
      <c r="A70" t="s">
        <v>1842</v>
      </c>
      <c r="B70" t="s">
        <v>1841</v>
      </c>
      <c r="C70" t="s">
        <v>10</v>
      </c>
      <c r="D70">
        <v>400208</v>
      </c>
      <c r="E70" t="s">
        <v>8</v>
      </c>
    </row>
    <row r="71" spans="1:5" x14ac:dyDescent="0.55000000000000004">
      <c r="A71" t="s">
        <v>2112</v>
      </c>
      <c r="B71" t="s">
        <v>2111</v>
      </c>
      <c r="C71" t="s">
        <v>1483</v>
      </c>
      <c r="D71">
        <v>329478</v>
      </c>
      <c r="E71" t="s">
        <v>8</v>
      </c>
    </row>
    <row r="72" spans="1:5" x14ac:dyDescent="0.55000000000000004">
      <c r="A72" t="s">
        <v>1190</v>
      </c>
      <c r="B72" t="s">
        <v>1189</v>
      </c>
      <c r="C72" t="s">
        <v>10</v>
      </c>
      <c r="D72">
        <v>723346</v>
      </c>
      <c r="E72" t="s">
        <v>8</v>
      </c>
    </row>
    <row r="73" spans="1:5" x14ac:dyDescent="0.55000000000000004">
      <c r="A73" t="s">
        <v>2114</v>
      </c>
      <c r="B73" t="s">
        <v>2113</v>
      </c>
      <c r="C73" t="s">
        <v>6</v>
      </c>
      <c r="D73">
        <v>1657397</v>
      </c>
      <c r="E73" t="s">
        <v>8</v>
      </c>
    </row>
    <row r="74" spans="1:5" x14ac:dyDescent="0.55000000000000004">
      <c r="A74" t="s">
        <v>2116</v>
      </c>
      <c r="B74" t="s">
        <v>2115</v>
      </c>
      <c r="C74" t="s">
        <v>10</v>
      </c>
      <c r="D74">
        <v>2677563</v>
      </c>
      <c r="E74" t="s">
        <v>8</v>
      </c>
    </row>
    <row r="75" spans="1:5" x14ac:dyDescent="0.55000000000000004">
      <c r="A75" t="s">
        <v>2118</v>
      </c>
      <c r="B75" t="s">
        <v>2117</v>
      </c>
      <c r="C75" t="s">
        <v>10</v>
      </c>
      <c r="D75">
        <v>248773</v>
      </c>
      <c r="E75" t="s">
        <v>8</v>
      </c>
    </row>
    <row r="76" spans="1:5" x14ac:dyDescent="0.55000000000000004">
      <c r="A76" t="s">
        <v>2120</v>
      </c>
      <c r="B76" t="s">
        <v>2119</v>
      </c>
      <c r="C76" t="s">
        <v>13</v>
      </c>
      <c r="D76">
        <v>1066925</v>
      </c>
      <c r="E76" t="s">
        <v>8</v>
      </c>
    </row>
    <row r="77" spans="1:5" x14ac:dyDescent="0.55000000000000004">
      <c r="A77" t="s">
        <v>2122</v>
      </c>
      <c r="B77" t="s">
        <v>2121</v>
      </c>
      <c r="C77" t="s">
        <v>1483</v>
      </c>
      <c r="D77">
        <v>1382222</v>
      </c>
      <c r="E77" t="s">
        <v>8</v>
      </c>
    </row>
    <row r="78" spans="1:5" x14ac:dyDescent="0.55000000000000004">
      <c r="A78" t="s">
        <v>1621</v>
      </c>
      <c r="B78" t="s">
        <v>1620</v>
      </c>
      <c r="C78" t="s">
        <v>13</v>
      </c>
      <c r="D78">
        <v>3772974</v>
      </c>
      <c r="E78" t="s">
        <v>8</v>
      </c>
    </row>
    <row r="79" spans="1:5" x14ac:dyDescent="0.55000000000000004">
      <c r="A79" t="s">
        <v>965</v>
      </c>
      <c r="B79" t="s">
        <v>964</v>
      </c>
      <c r="C79" t="s">
        <v>10</v>
      </c>
      <c r="D79">
        <v>860575</v>
      </c>
      <c r="E79" t="s">
        <v>8</v>
      </c>
    </row>
    <row r="80" spans="1:5" x14ac:dyDescent="0.55000000000000004">
      <c r="A80" t="s">
        <v>1846</v>
      </c>
      <c r="B80" t="s">
        <v>1845</v>
      </c>
      <c r="C80" t="s">
        <v>10</v>
      </c>
      <c r="D80">
        <v>241610</v>
      </c>
      <c r="E80" t="s">
        <v>8</v>
      </c>
    </row>
    <row r="81" spans="1:5" x14ac:dyDescent="0.55000000000000004">
      <c r="A81" t="s">
        <v>1623</v>
      </c>
      <c r="B81" t="s">
        <v>1622</v>
      </c>
      <c r="C81" t="s">
        <v>10</v>
      </c>
      <c r="D81">
        <v>302713</v>
      </c>
      <c r="E81" t="s">
        <v>8</v>
      </c>
    </row>
    <row r="82" spans="1:5" x14ac:dyDescent="0.55000000000000004">
      <c r="A82" t="s">
        <v>539</v>
      </c>
      <c r="B82" t="s">
        <v>538</v>
      </c>
      <c r="C82" t="s">
        <v>10</v>
      </c>
      <c r="D82">
        <v>3847816</v>
      </c>
      <c r="E82" t="s">
        <v>8</v>
      </c>
    </row>
    <row r="83" spans="1:5" x14ac:dyDescent="0.55000000000000004">
      <c r="A83" t="s">
        <v>824</v>
      </c>
      <c r="B83" t="s">
        <v>823</v>
      </c>
      <c r="C83" t="s">
        <v>10</v>
      </c>
      <c r="D83">
        <v>1502640</v>
      </c>
      <c r="E83" t="s">
        <v>8</v>
      </c>
    </row>
    <row r="84" spans="1:5" x14ac:dyDescent="0.55000000000000004">
      <c r="A84" t="s">
        <v>2124</v>
      </c>
      <c r="B84" t="s">
        <v>2123</v>
      </c>
      <c r="C84" t="s">
        <v>1483</v>
      </c>
      <c r="D84">
        <v>880511</v>
      </c>
      <c r="E84" t="s">
        <v>8</v>
      </c>
    </row>
    <row r="85" spans="1:5" x14ac:dyDescent="0.55000000000000004">
      <c r="A85" t="s">
        <v>2126</v>
      </c>
      <c r="B85" t="s">
        <v>2125</v>
      </c>
      <c r="C85" t="s">
        <v>10</v>
      </c>
      <c r="D85">
        <v>223802</v>
      </c>
      <c r="E85" t="s">
        <v>8</v>
      </c>
    </row>
    <row r="86" spans="1:5" x14ac:dyDescent="0.55000000000000004">
      <c r="A86" t="s">
        <v>2128</v>
      </c>
      <c r="B86" t="s">
        <v>2127</v>
      </c>
      <c r="C86" t="s">
        <v>10</v>
      </c>
      <c r="D86">
        <v>1147791</v>
      </c>
      <c r="E86" t="s">
        <v>8</v>
      </c>
    </row>
    <row r="87" spans="1:5" x14ac:dyDescent="0.55000000000000004">
      <c r="A87" t="s">
        <v>543</v>
      </c>
      <c r="B87" t="s">
        <v>542</v>
      </c>
      <c r="C87" t="s">
        <v>10</v>
      </c>
      <c r="D87">
        <v>825232</v>
      </c>
      <c r="E87" t="s">
        <v>8</v>
      </c>
    </row>
    <row r="88" spans="1:5" x14ac:dyDescent="0.55000000000000004">
      <c r="A88" t="s">
        <v>2130</v>
      </c>
      <c r="B88" t="s">
        <v>2129</v>
      </c>
      <c r="C88" t="s">
        <v>10</v>
      </c>
      <c r="D88">
        <v>423660</v>
      </c>
      <c r="E88" t="s">
        <v>8</v>
      </c>
    </row>
    <row r="89" spans="1:5" x14ac:dyDescent="0.55000000000000004">
      <c r="A89" t="s">
        <v>2132</v>
      </c>
      <c r="B89" t="s">
        <v>2131</v>
      </c>
      <c r="C89" t="s">
        <v>10</v>
      </c>
      <c r="D89">
        <v>510472</v>
      </c>
      <c r="E89" t="s">
        <v>8</v>
      </c>
    </row>
    <row r="90" spans="1:5" x14ac:dyDescent="0.55000000000000004">
      <c r="A90" t="s">
        <v>972</v>
      </c>
      <c r="B90" t="s">
        <v>971</v>
      </c>
      <c r="C90" t="s">
        <v>10</v>
      </c>
      <c r="D90">
        <v>1173942</v>
      </c>
      <c r="E90" t="s">
        <v>8</v>
      </c>
    </row>
    <row r="91" spans="1:5" x14ac:dyDescent="0.55000000000000004">
      <c r="A91" t="s">
        <v>826</v>
      </c>
      <c r="B91" t="s">
        <v>825</v>
      </c>
      <c r="C91" t="s">
        <v>10</v>
      </c>
      <c r="D91">
        <v>2487374</v>
      </c>
      <c r="E91" t="s">
        <v>8</v>
      </c>
    </row>
    <row r="92" spans="1:5" x14ac:dyDescent="0.55000000000000004">
      <c r="A92" t="s">
        <v>2134</v>
      </c>
      <c r="B92" t="s">
        <v>2133</v>
      </c>
      <c r="C92" t="s">
        <v>10</v>
      </c>
      <c r="D92">
        <v>416338</v>
      </c>
      <c r="E92" t="s">
        <v>8</v>
      </c>
    </row>
    <row r="93" spans="1:5" x14ac:dyDescent="0.55000000000000004">
      <c r="A93" t="s">
        <v>1625</v>
      </c>
      <c r="B93" t="s">
        <v>1624</v>
      </c>
      <c r="C93" t="s">
        <v>10</v>
      </c>
      <c r="D93">
        <v>249760</v>
      </c>
      <c r="E93" t="s">
        <v>8</v>
      </c>
    </row>
    <row r="94" spans="1:5" x14ac:dyDescent="0.55000000000000004">
      <c r="A94" t="s">
        <v>974</v>
      </c>
      <c r="B94" t="s">
        <v>973</v>
      </c>
      <c r="C94" t="s">
        <v>10</v>
      </c>
      <c r="D94">
        <v>327561</v>
      </c>
      <c r="E94" t="s">
        <v>8</v>
      </c>
    </row>
    <row r="95" spans="1:5" x14ac:dyDescent="0.55000000000000004">
      <c r="A95" t="s">
        <v>95</v>
      </c>
      <c r="B95" t="s">
        <v>94</v>
      </c>
      <c r="C95" t="s">
        <v>10</v>
      </c>
      <c r="D95">
        <v>696839</v>
      </c>
      <c r="E95" t="s">
        <v>8</v>
      </c>
    </row>
    <row r="96" spans="1:5" x14ac:dyDescent="0.55000000000000004">
      <c r="A96" t="s">
        <v>98</v>
      </c>
      <c r="B96" t="s">
        <v>96</v>
      </c>
      <c r="C96" t="s">
        <v>97</v>
      </c>
      <c r="D96">
        <v>471220</v>
      </c>
      <c r="E96" t="s">
        <v>8</v>
      </c>
    </row>
    <row r="97" spans="1:5" x14ac:dyDescent="0.55000000000000004">
      <c r="A97" t="s">
        <v>1198</v>
      </c>
      <c r="B97" t="s">
        <v>1197</v>
      </c>
      <c r="C97" t="s">
        <v>13</v>
      </c>
      <c r="D97">
        <v>1345430</v>
      </c>
      <c r="E97" t="s">
        <v>8</v>
      </c>
    </row>
    <row r="98" spans="1:5" x14ac:dyDescent="0.55000000000000004">
      <c r="A98" t="s">
        <v>735</v>
      </c>
      <c r="B98" t="s">
        <v>734</v>
      </c>
      <c r="C98" t="s">
        <v>13</v>
      </c>
      <c r="D98">
        <v>420393</v>
      </c>
      <c r="E98" t="s">
        <v>8</v>
      </c>
    </row>
    <row r="99" spans="1:5" x14ac:dyDescent="0.55000000000000004">
      <c r="A99" t="s">
        <v>1850</v>
      </c>
      <c r="B99" t="s">
        <v>1849</v>
      </c>
      <c r="C99" t="s">
        <v>10</v>
      </c>
      <c r="D99">
        <v>400329</v>
      </c>
      <c r="E99" t="s">
        <v>8</v>
      </c>
    </row>
    <row r="100" spans="1:5" x14ac:dyDescent="0.55000000000000004">
      <c r="A100" t="s">
        <v>1852</v>
      </c>
      <c r="B100" t="s">
        <v>1851</v>
      </c>
      <c r="C100" t="s">
        <v>10</v>
      </c>
      <c r="D100">
        <v>1053127</v>
      </c>
      <c r="E100" t="s">
        <v>8</v>
      </c>
    </row>
    <row r="101" spans="1:5" x14ac:dyDescent="0.55000000000000004">
      <c r="A101" t="s">
        <v>104</v>
      </c>
      <c r="B101" t="s">
        <v>103</v>
      </c>
      <c r="C101" t="s">
        <v>10</v>
      </c>
      <c r="D101">
        <v>549426</v>
      </c>
      <c r="E101" t="s">
        <v>8</v>
      </c>
    </row>
    <row r="102" spans="1:5" x14ac:dyDescent="0.55000000000000004">
      <c r="A102" t="s">
        <v>2136</v>
      </c>
      <c r="B102" t="s">
        <v>2135</v>
      </c>
      <c r="C102" t="s">
        <v>1483</v>
      </c>
      <c r="D102">
        <v>166588</v>
      </c>
      <c r="E102" t="s">
        <v>8</v>
      </c>
    </row>
    <row r="103" spans="1:5" x14ac:dyDescent="0.55000000000000004">
      <c r="A103" t="s">
        <v>1628</v>
      </c>
      <c r="B103" t="s">
        <v>1626</v>
      </c>
      <c r="C103" t="s">
        <v>1627</v>
      </c>
      <c r="D103">
        <v>6661257</v>
      </c>
      <c r="E103" t="s">
        <v>8</v>
      </c>
    </row>
    <row r="104" spans="1:5" x14ac:dyDescent="0.55000000000000004">
      <c r="A104" t="s">
        <v>1857</v>
      </c>
      <c r="B104" t="s">
        <v>1856</v>
      </c>
      <c r="C104" t="s">
        <v>10</v>
      </c>
      <c r="D104">
        <v>1899111</v>
      </c>
      <c r="E104" t="s">
        <v>8</v>
      </c>
    </row>
    <row r="105" spans="1:5" x14ac:dyDescent="0.55000000000000004">
      <c r="A105" t="s">
        <v>2138</v>
      </c>
      <c r="B105" t="s">
        <v>2137</v>
      </c>
      <c r="C105" t="s">
        <v>13</v>
      </c>
      <c r="D105">
        <v>388431</v>
      </c>
      <c r="E105" t="s">
        <v>8</v>
      </c>
    </row>
    <row r="106" spans="1:5" x14ac:dyDescent="0.55000000000000004">
      <c r="A106" t="s">
        <v>2140</v>
      </c>
      <c r="B106" t="s">
        <v>2139</v>
      </c>
      <c r="C106" t="s">
        <v>10</v>
      </c>
      <c r="D106">
        <v>1122497</v>
      </c>
      <c r="E106" t="s">
        <v>8</v>
      </c>
    </row>
    <row r="107" spans="1:5" x14ac:dyDescent="0.55000000000000004">
      <c r="A107" t="s">
        <v>116</v>
      </c>
      <c r="B107" t="s">
        <v>115</v>
      </c>
      <c r="C107" t="s">
        <v>10</v>
      </c>
      <c r="D107">
        <v>1510375</v>
      </c>
      <c r="E107" t="s">
        <v>8</v>
      </c>
    </row>
    <row r="108" spans="1:5" x14ac:dyDescent="0.55000000000000004">
      <c r="A108" t="s">
        <v>1638</v>
      </c>
      <c r="B108" t="s">
        <v>1637</v>
      </c>
      <c r="C108" t="s">
        <v>10</v>
      </c>
      <c r="D108">
        <v>1481206</v>
      </c>
      <c r="E108" t="s">
        <v>8</v>
      </c>
    </row>
    <row r="109" spans="1:5" x14ac:dyDescent="0.55000000000000004">
      <c r="A109" t="s">
        <v>1642</v>
      </c>
      <c r="B109" t="s">
        <v>1641</v>
      </c>
      <c r="C109" t="s">
        <v>10</v>
      </c>
      <c r="D109">
        <v>498088</v>
      </c>
      <c r="E109" t="s">
        <v>8</v>
      </c>
    </row>
    <row r="110" spans="1:5" x14ac:dyDescent="0.55000000000000004">
      <c r="A110" t="s">
        <v>833</v>
      </c>
      <c r="B110" t="s">
        <v>832</v>
      </c>
      <c r="C110" t="s">
        <v>141</v>
      </c>
      <c r="D110">
        <v>1634568</v>
      </c>
      <c r="E110" t="s">
        <v>8</v>
      </c>
    </row>
    <row r="111" spans="1:5" x14ac:dyDescent="0.55000000000000004">
      <c r="A111" t="s">
        <v>2142</v>
      </c>
      <c r="B111" t="s">
        <v>2141</v>
      </c>
      <c r="C111" t="s">
        <v>10</v>
      </c>
      <c r="D111">
        <v>222867</v>
      </c>
      <c r="E111" t="s">
        <v>8</v>
      </c>
    </row>
    <row r="112" spans="1:5" x14ac:dyDescent="0.55000000000000004">
      <c r="A112" t="s">
        <v>1859</v>
      </c>
      <c r="B112" t="s">
        <v>1858</v>
      </c>
      <c r="C112" t="s">
        <v>10</v>
      </c>
      <c r="D112">
        <v>240300</v>
      </c>
      <c r="E112" t="s">
        <v>8</v>
      </c>
    </row>
    <row r="113" spans="1:5" x14ac:dyDescent="0.55000000000000004">
      <c r="A113" t="s">
        <v>120</v>
      </c>
      <c r="B113" t="s">
        <v>119</v>
      </c>
      <c r="C113" t="s">
        <v>10</v>
      </c>
      <c r="D113">
        <v>1039397</v>
      </c>
      <c r="E113" t="s">
        <v>8</v>
      </c>
    </row>
    <row r="114" spans="1:5" x14ac:dyDescent="0.55000000000000004">
      <c r="A114" t="s">
        <v>1208</v>
      </c>
      <c r="B114" t="s">
        <v>1207</v>
      </c>
      <c r="C114" t="s">
        <v>10</v>
      </c>
      <c r="D114">
        <v>2673675</v>
      </c>
      <c r="E114" t="s">
        <v>8</v>
      </c>
    </row>
    <row r="115" spans="1:5" x14ac:dyDescent="0.55000000000000004">
      <c r="A115" t="s">
        <v>2144</v>
      </c>
      <c r="B115" t="s">
        <v>2143</v>
      </c>
      <c r="C115" t="s">
        <v>10</v>
      </c>
      <c r="D115">
        <v>225000</v>
      </c>
      <c r="E115" t="s">
        <v>8</v>
      </c>
    </row>
    <row r="116" spans="1:5" x14ac:dyDescent="0.55000000000000004">
      <c r="A116" t="s">
        <v>2146</v>
      </c>
      <c r="B116" t="s">
        <v>2145</v>
      </c>
      <c r="C116" t="s">
        <v>13</v>
      </c>
      <c r="D116">
        <v>3161887</v>
      </c>
      <c r="E116" t="s">
        <v>8</v>
      </c>
    </row>
    <row r="117" spans="1:5" x14ac:dyDescent="0.55000000000000004">
      <c r="A117" t="s">
        <v>2148</v>
      </c>
      <c r="B117" t="s">
        <v>2147</v>
      </c>
      <c r="C117" t="s">
        <v>10</v>
      </c>
      <c r="D117">
        <v>62430</v>
      </c>
      <c r="E117" t="s">
        <v>8</v>
      </c>
    </row>
    <row r="118" spans="1:5" x14ac:dyDescent="0.55000000000000004">
      <c r="A118" t="s">
        <v>2150</v>
      </c>
      <c r="B118" t="s">
        <v>2149</v>
      </c>
      <c r="C118" t="s">
        <v>10</v>
      </c>
      <c r="D118">
        <v>388062</v>
      </c>
      <c r="E118" t="s">
        <v>8</v>
      </c>
    </row>
    <row r="119" spans="1:5" x14ac:dyDescent="0.55000000000000004">
      <c r="A119" t="s">
        <v>1650</v>
      </c>
      <c r="B119" t="s">
        <v>1649</v>
      </c>
      <c r="C119" t="s">
        <v>6</v>
      </c>
      <c r="D119">
        <v>517140</v>
      </c>
      <c r="E119" t="s">
        <v>8</v>
      </c>
    </row>
    <row r="120" spans="1:5" x14ac:dyDescent="0.55000000000000004">
      <c r="A120" t="s">
        <v>128</v>
      </c>
      <c r="B120" t="s">
        <v>127</v>
      </c>
      <c r="C120" t="s">
        <v>10</v>
      </c>
      <c r="D120">
        <v>1456934</v>
      </c>
      <c r="E120" t="s">
        <v>8</v>
      </c>
    </row>
    <row r="121" spans="1:5" x14ac:dyDescent="0.55000000000000004">
      <c r="A121" t="s">
        <v>1861</v>
      </c>
      <c r="B121" t="s">
        <v>1860</v>
      </c>
      <c r="C121" t="s">
        <v>10</v>
      </c>
      <c r="D121">
        <v>466096</v>
      </c>
      <c r="E121" t="s">
        <v>8</v>
      </c>
    </row>
    <row r="122" spans="1:5" x14ac:dyDescent="0.55000000000000004">
      <c r="A122" t="s">
        <v>737</v>
      </c>
      <c r="B122" t="s">
        <v>736</v>
      </c>
      <c r="C122" t="s">
        <v>10</v>
      </c>
      <c r="D122">
        <v>1100562</v>
      </c>
      <c r="E122" t="s">
        <v>8</v>
      </c>
    </row>
    <row r="123" spans="1:5" x14ac:dyDescent="0.55000000000000004">
      <c r="A123" t="s">
        <v>1863</v>
      </c>
      <c r="B123" t="s">
        <v>1862</v>
      </c>
      <c r="C123" t="s">
        <v>1269</v>
      </c>
      <c r="D123">
        <v>268101</v>
      </c>
      <c r="E123" t="s">
        <v>8</v>
      </c>
    </row>
    <row r="124" spans="1:5" x14ac:dyDescent="0.55000000000000004">
      <c r="A124" t="s">
        <v>1865</v>
      </c>
      <c r="B124" t="s">
        <v>1864</v>
      </c>
      <c r="C124" t="s">
        <v>10</v>
      </c>
      <c r="D124">
        <v>4276506</v>
      </c>
      <c r="E124" t="s">
        <v>8</v>
      </c>
    </row>
    <row r="125" spans="1:5" x14ac:dyDescent="0.55000000000000004">
      <c r="A125" t="s">
        <v>1867</v>
      </c>
      <c r="B125" t="s">
        <v>1866</v>
      </c>
      <c r="C125" t="s">
        <v>10</v>
      </c>
      <c r="D125">
        <v>95597</v>
      </c>
      <c r="E125" t="s">
        <v>8</v>
      </c>
    </row>
    <row r="126" spans="1:5" x14ac:dyDescent="0.55000000000000004">
      <c r="A126" t="s">
        <v>1215</v>
      </c>
      <c r="B126" t="s">
        <v>1214</v>
      </c>
      <c r="C126" t="s">
        <v>10</v>
      </c>
      <c r="D126">
        <v>479959</v>
      </c>
      <c r="E126" t="s">
        <v>8</v>
      </c>
    </row>
    <row r="127" spans="1:5" x14ac:dyDescent="0.55000000000000004">
      <c r="A127" t="s">
        <v>1217</v>
      </c>
      <c r="B127" t="s">
        <v>1216</v>
      </c>
      <c r="C127" t="s">
        <v>13</v>
      </c>
      <c r="D127">
        <v>1065228</v>
      </c>
      <c r="E127" t="s">
        <v>8</v>
      </c>
    </row>
    <row r="128" spans="1:5" x14ac:dyDescent="0.55000000000000004">
      <c r="A128" t="s">
        <v>136</v>
      </c>
      <c r="B128" t="s">
        <v>135</v>
      </c>
      <c r="C128" t="s">
        <v>10</v>
      </c>
      <c r="D128">
        <v>235657</v>
      </c>
      <c r="E128" t="s">
        <v>8</v>
      </c>
    </row>
    <row r="129" spans="1:5" x14ac:dyDescent="0.55000000000000004">
      <c r="A129" t="s">
        <v>2152</v>
      </c>
      <c r="B129" t="s">
        <v>2151</v>
      </c>
      <c r="C129" t="s">
        <v>10</v>
      </c>
      <c r="D129">
        <v>477660</v>
      </c>
      <c r="E129" t="s">
        <v>8</v>
      </c>
    </row>
    <row r="130" spans="1:5" x14ac:dyDescent="0.55000000000000004">
      <c r="A130" t="s">
        <v>139</v>
      </c>
      <c r="B130" t="s">
        <v>137</v>
      </c>
      <c r="C130" t="s">
        <v>138</v>
      </c>
      <c r="D130">
        <v>252847</v>
      </c>
      <c r="E130" t="s">
        <v>8</v>
      </c>
    </row>
    <row r="131" spans="1:5" x14ac:dyDescent="0.55000000000000004">
      <c r="A131" t="s">
        <v>142</v>
      </c>
      <c r="B131" t="s">
        <v>140</v>
      </c>
      <c r="C131" t="s">
        <v>141</v>
      </c>
      <c r="D131">
        <v>1546152</v>
      </c>
      <c r="E131" t="s">
        <v>8</v>
      </c>
    </row>
    <row r="132" spans="1:5" x14ac:dyDescent="0.55000000000000004">
      <c r="A132" t="s">
        <v>1870</v>
      </c>
      <c r="B132" t="s">
        <v>1868</v>
      </c>
      <c r="C132" t="s">
        <v>1869</v>
      </c>
      <c r="D132">
        <v>232325</v>
      </c>
      <c r="E132" t="s">
        <v>8</v>
      </c>
    </row>
    <row r="133" spans="1:5" x14ac:dyDescent="0.55000000000000004">
      <c r="A133" t="s">
        <v>1872</v>
      </c>
      <c r="B133" t="s">
        <v>1871</v>
      </c>
      <c r="C133" t="s">
        <v>10</v>
      </c>
      <c r="D133">
        <v>5812076</v>
      </c>
      <c r="E133" t="s">
        <v>8</v>
      </c>
    </row>
    <row r="134" spans="1:5" x14ac:dyDescent="0.55000000000000004">
      <c r="A134" t="s">
        <v>1874</v>
      </c>
      <c r="B134" t="s">
        <v>1873</v>
      </c>
      <c r="C134" t="s">
        <v>10</v>
      </c>
      <c r="D134">
        <v>922369</v>
      </c>
      <c r="E134" t="s">
        <v>8</v>
      </c>
    </row>
    <row r="135" spans="1:5" x14ac:dyDescent="0.55000000000000004">
      <c r="A135" t="s">
        <v>152</v>
      </c>
      <c r="B135" t="s">
        <v>151</v>
      </c>
      <c r="C135" t="s">
        <v>10</v>
      </c>
      <c r="D135">
        <v>1617729</v>
      </c>
      <c r="E135" t="s">
        <v>8</v>
      </c>
    </row>
    <row r="136" spans="1:5" x14ac:dyDescent="0.55000000000000004">
      <c r="A136" t="s">
        <v>1876</v>
      </c>
      <c r="B136" t="s">
        <v>1875</v>
      </c>
      <c r="C136" t="s">
        <v>10</v>
      </c>
      <c r="D136">
        <v>1377395</v>
      </c>
      <c r="E136" t="s">
        <v>8</v>
      </c>
    </row>
    <row r="137" spans="1:5" x14ac:dyDescent="0.55000000000000004">
      <c r="A137" t="s">
        <v>2154</v>
      </c>
      <c r="B137" t="s">
        <v>2153</v>
      </c>
      <c r="C137" t="s">
        <v>10</v>
      </c>
      <c r="D137">
        <v>778311</v>
      </c>
      <c r="E137" t="s">
        <v>8</v>
      </c>
    </row>
    <row r="138" spans="1:5" x14ac:dyDescent="0.55000000000000004">
      <c r="A138" t="s">
        <v>1225</v>
      </c>
      <c r="B138" t="s">
        <v>1224</v>
      </c>
      <c r="C138" t="s">
        <v>10</v>
      </c>
      <c r="D138">
        <v>442432</v>
      </c>
      <c r="E138" t="s">
        <v>8</v>
      </c>
    </row>
    <row r="139" spans="1:5" x14ac:dyDescent="0.55000000000000004">
      <c r="A139" t="s">
        <v>1229</v>
      </c>
      <c r="B139" t="s">
        <v>1228</v>
      </c>
      <c r="C139" t="s">
        <v>10</v>
      </c>
      <c r="D139">
        <v>310319</v>
      </c>
      <c r="E139" t="s">
        <v>8</v>
      </c>
    </row>
    <row r="140" spans="1:5" x14ac:dyDescent="0.55000000000000004">
      <c r="A140" t="s">
        <v>1878</v>
      </c>
      <c r="B140" t="s">
        <v>1877</v>
      </c>
      <c r="C140" t="s">
        <v>41</v>
      </c>
      <c r="D140">
        <v>366242</v>
      </c>
      <c r="E140" t="s">
        <v>8</v>
      </c>
    </row>
    <row r="141" spans="1:5" x14ac:dyDescent="0.55000000000000004">
      <c r="A141" t="s">
        <v>2156</v>
      </c>
      <c r="B141" t="s">
        <v>2155</v>
      </c>
      <c r="C141" t="s">
        <v>10</v>
      </c>
      <c r="D141">
        <v>447446</v>
      </c>
      <c r="E141" t="s">
        <v>8</v>
      </c>
    </row>
    <row r="142" spans="1:5" x14ac:dyDescent="0.55000000000000004">
      <c r="A142" t="s">
        <v>1657</v>
      </c>
      <c r="B142" t="s">
        <v>1655</v>
      </c>
      <c r="C142" t="s">
        <v>1656</v>
      </c>
      <c r="D142">
        <v>78821</v>
      </c>
      <c r="E142" t="s">
        <v>8</v>
      </c>
    </row>
    <row r="143" spans="1:5" x14ac:dyDescent="0.55000000000000004">
      <c r="A143" t="s">
        <v>996</v>
      </c>
      <c r="B143" t="s">
        <v>995</v>
      </c>
      <c r="C143" t="s">
        <v>10</v>
      </c>
      <c r="D143">
        <v>2232278</v>
      </c>
      <c r="E143" t="s">
        <v>8</v>
      </c>
    </row>
    <row r="144" spans="1:5" x14ac:dyDescent="0.55000000000000004">
      <c r="A144" t="s">
        <v>1880</v>
      </c>
      <c r="B144" t="s">
        <v>1879</v>
      </c>
      <c r="C144" t="s">
        <v>215</v>
      </c>
      <c r="D144">
        <v>1257495</v>
      </c>
      <c r="E144" t="s">
        <v>8</v>
      </c>
    </row>
    <row r="145" spans="1:5" x14ac:dyDescent="0.55000000000000004">
      <c r="A145" t="s">
        <v>2158</v>
      </c>
      <c r="B145" t="s">
        <v>2157</v>
      </c>
      <c r="C145" t="s">
        <v>10</v>
      </c>
      <c r="D145">
        <v>401476</v>
      </c>
      <c r="E145" t="s">
        <v>8</v>
      </c>
    </row>
    <row r="146" spans="1:5" x14ac:dyDescent="0.55000000000000004">
      <c r="A146" t="s">
        <v>162</v>
      </c>
      <c r="B146" t="s">
        <v>161</v>
      </c>
      <c r="C146" t="s">
        <v>13</v>
      </c>
      <c r="D146">
        <v>7880860</v>
      </c>
      <c r="E146" t="s">
        <v>8</v>
      </c>
    </row>
    <row r="147" spans="1:5" x14ac:dyDescent="0.55000000000000004">
      <c r="A147" t="s">
        <v>559</v>
      </c>
      <c r="B147" t="s">
        <v>557</v>
      </c>
      <c r="C147" t="s">
        <v>558</v>
      </c>
      <c r="D147">
        <v>672345</v>
      </c>
      <c r="E147" t="s">
        <v>8</v>
      </c>
    </row>
    <row r="148" spans="1:5" x14ac:dyDescent="0.55000000000000004">
      <c r="A148" t="s">
        <v>1663</v>
      </c>
      <c r="B148" t="s">
        <v>1662</v>
      </c>
      <c r="C148" t="s">
        <v>10</v>
      </c>
      <c r="D148">
        <v>139262</v>
      </c>
      <c r="E148" t="s">
        <v>8</v>
      </c>
    </row>
    <row r="149" spans="1:5" x14ac:dyDescent="0.55000000000000004">
      <c r="A149" t="s">
        <v>2160</v>
      </c>
      <c r="B149" t="s">
        <v>2159</v>
      </c>
      <c r="C149" t="s">
        <v>13</v>
      </c>
      <c r="D149">
        <v>309783</v>
      </c>
      <c r="E149" t="s">
        <v>8</v>
      </c>
    </row>
    <row r="150" spans="1:5" x14ac:dyDescent="0.55000000000000004">
      <c r="A150" t="s">
        <v>172</v>
      </c>
      <c r="B150" t="s">
        <v>171</v>
      </c>
      <c r="C150" t="s">
        <v>141</v>
      </c>
      <c r="D150">
        <v>628533</v>
      </c>
      <c r="E150" t="s">
        <v>8</v>
      </c>
    </row>
    <row r="151" spans="1:5" x14ac:dyDescent="0.55000000000000004">
      <c r="A151" t="s">
        <v>1665</v>
      </c>
      <c r="B151" t="s">
        <v>1664</v>
      </c>
      <c r="C151" t="s">
        <v>13</v>
      </c>
      <c r="D151">
        <v>548807</v>
      </c>
      <c r="E151" t="s">
        <v>8</v>
      </c>
    </row>
    <row r="152" spans="1:5" x14ac:dyDescent="0.55000000000000004">
      <c r="A152" t="s">
        <v>745</v>
      </c>
      <c r="B152" t="s">
        <v>744</v>
      </c>
      <c r="C152" t="s">
        <v>10</v>
      </c>
      <c r="D152">
        <v>1768095</v>
      </c>
      <c r="E152" t="s">
        <v>8</v>
      </c>
    </row>
    <row r="153" spans="1:5" x14ac:dyDescent="0.55000000000000004">
      <c r="A153" t="s">
        <v>2162</v>
      </c>
      <c r="B153" t="s">
        <v>2161</v>
      </c>
      <c r="C153" t="s">
        <v>10</v>
      </c>
      <c r="D153">
        <v>862420</v>
      </c>
      <c r="E153" t="s">
        <v>8</v>
      </c>
    </row>
    <row r="154" spans="1:5" x14ac:dyDescent="0.55000000000000004">
      <c r="A154" t="s">
        <v>174</v>
      </c>
      <c r="B154" t="s">
        <v>173</v>
      </c>
      <c r="C154" t="s">
        <v>13</v>
      </c>
      <c r="D154">
        <v>563630</v>
      </c>
      <c r="E154" t="s">
        <v>8</v>
      </c>
    </row>
    <row r="155" spans="1:5" x14ac:dyDescent="0.55000000000000004">
      <c r="A155" t="s">
        <v>2164</v>
      </c>
      <c r="B155" t="s">
        <v>2163</v>
      </c>
      <c r="C155" t="s">
        <v>1656</v>
      </c>
      <c r="D155">
        <v>296993</v>
      </c>
      <c r="E155" t="s">
        <v>8</v>
      </c>
    </row>
    <row r="156" spans="1:5" x14ac:dyDescent="0.55000000000000004">
      <c r="A156" t="s">
        <v>176</v>
      </c>
      <c r="B156" t="s">
        <v>175</v>
      </c>
      <c r="C156" t="s">
        <v>10</v>
      </c>
      <c r="D156">
        <v>624037</v>
      </c>
      <c r="E156" t="s">
        <v>8</v>
      </c>
    </row>
    <row r="157" spans="1:5" x14ac:dyDescent="0.55000000000000004">
      <c r="A157" t="s">
        <v>1882</v>
      </c>
      <c r="B157" t="s">
        <v>1881</v>
      </c>
      <c r="C157" t="s">
        <v>10</v>
      </c>
      <c r="D157">
        <v>280025</v>
      </c>
      <c r="E157" t="s">
        <v>8</v>
      </c>
    </row>
    <row r="158" spans="1:5" x14ac:dyDescent="0.55000000000000004">
      <c r="A158" t="s">
        <v>2166</v>
      </c>
      <c r="B158" t="s">
        <v>2165</v>
      </c>
      <c r="C158" t="s">
        <v>10</v>
      </c>
      <c r="D158">
        <v>1317084</v>
      </c>
      <c r="E158" t="s">
        <v>8</v>
      </c>
    </row>
    <row r="159" spans="1:5" x14ac:dyDescent="0.55000000000000004">
      <c r="A159" t="s">
        <v>182</v>
      </c>
      <c r="B159" t="s">
        <v>181</v>
      </c>
      <c r="C159" t="s">
        <v>10</v>
      </c>
      <c r="D159">
        <v>754838</v>
      </c>
      <c r="E159" t="s">
        <v>8</v>
      </c>
    </row>
    <row r="160" spans="1:5" x14ac:dyDescent="0.55000000000000004">
      <c r="A160" t="s">
        <v>2168</v>
      </c>
      <c r="B160" t="s">
        <v>2167</v>
      </c>
      <c r="C160" t="s">
        <v>10</v>
      </c>
      <c r="D160">
        <v>1580250</v>
      </c>
      <c r="E160" t="s">
        <v>8</v>
      </c>
    </row>
    <row r="161" spans="1:5" x14ac:dyDescent="0.55000000000000004">
      <c r="A161" t="s">
        <v>184</v>
      </c>
      <c r="B161" t="s">
        <v>183</v>
      </c>
      <c r="C161" t="s">
        <v>10</v>
      </c>
      <c r="D161">
        <v>274844</v>
      </c>
      <c r="E161" t="s">
        <v>8</v>
      </c>
    </row>
    <row r="162" spans="1:5" x14ac:dyDescent="0.55000000000000004">
      <c r="A162" t="s">
        <v>1501</v>
      </c>
      <c r="B162" t="s">
        <v>1500</v>
      </c>
      <c r="C162" t="s">
        <v>10</v>
      </c>
      <c r="D162">
        <v>173445</v>
      </c>
      <c r="E162" t="s">
        <v>8</v>
      </c>
    </row>
    <row r="163" spans="1:5" x14ac:dyDescent="0.55000000000000004">
      <c r="A163" t="s">
        <v>2170</v>
      </c>
      <c r="B163" t="s">
        <v>2169</v>
      </c>
      <c r="C163" t="s">
        <v>10</v>
      </c>
      <c r="D163">
        <v>442140</v>
      </c>
      <c r="E163" t="s">
        <v>8</v>
      </c>
    </row>
    <row r="164" spans="1:5" x14ac:dyDescent="0.55000000000000004">
      <c r="A164" t="s">
        <v>2172</v>
      </c>
      <c r="B164" t="s">
        <v>2171</v>
      </c>
      <c r="C164" t="s">
        <v>6</v>
      </c>
      <c r="D164">
        <v>2123896</v>
      </c>
      <c r="E164" t="s">
        <v>8</v>
      </c>
    </row>
    <row r="165" spans="1:5" x14ac:dyDescent="0.55000000000000004">
      <c r="A165" t="s">
        <v>1671</v>
      </c>
      <c r="B165" t="s">
        <v>1670</v>
      </c>
      <c r="C165" t="s">
        <v>10</v>
      </c>
      <c r="D165">
        <v>870111</v>
      </c>
      <c r="E165" t="s">
        <v>8</v>
      </c>
    </row>
    <row r="166" spans="1:5" x14ac:dyDescent="0.55000000000000004">
      <c r="A166" t="s">
        <v>565</v>
      </c>
      <c r="B166" t="s">
        <v>564</v>
      </c>
      <c r="C166" t="s">
        <v>10</v>
      </c>
      <c r="D166">
        <v>821640</v>
      </c>
      <c r="E166" t="s">
        <v>8</v>
      </c>
    </row>
    <row r="167" spans="1:5" x14ac:dyDescent="0.55000000000000004">
      <c r="A167" t="s">
        <v>1240</v>
      </c>
      <c r="B167" t="s">
        <v>1239</v>
      </c>
      <c r="C167" t="s">
        <v>10</v>
      </c>
      <c r="D167">
        <v>1397064</v>
      </c>
      <c r="E167" t="s">
        <v>8</v>
      </c>
    </row>
    <row r="168" spans="1:5" x14ac:dyDescent="0.55000000000000004">
      <c r="A168" t="s">
        <v>1886</v>
      </c>
      <c r="B168" t="s">
        <v>1885</v>
      </c>
      <c r="C168" t="s">
        <v>10</v>
      </c>
      <c r="D168">
        <v>6606429</v>
      </c>
      <c r="E168" t="s">
        <v>8</v>
      </c>
    </row>
    <row r="169" spans="1:5" x14ac:dyDescent="0.55000000000000004">
      <c r="A169" t="s">
        <v>2174</v>
      </c>
      <c r="B169" t="s">
        <v>2173</v>
      </c>
      <c r="C169" t="s">
        <v>10</v>
      </c>
      <c r="D169">
        <v>562318</v>
      </c>
      <c r="E169" t="s">
        <v>8</v>
      </c>
    </row>
    <row r="170" spans="1:5" x14ac:dyDescent="0.55000000000000004">
      <c r="A170" t="s">
        <v>1244</v>
      </c>
      <c r="B170" t="s">
        <v>1243</v>
      </c>
      <c r="C170" t="s">
        <v>10</v>
      </c>
      <c r="D170">
        <v>1336603</v>
      </c>
      <c r="E170" t="s">
        <v>8</v>
      </c>
    </row>
    <row r="171" spans="1:5" x14ac:dyDescent="0.55000000000000004">
      <c r="A171" t="s">
        <v>2176</v>
      </c>
      <c r="B171" t="s">
        <v>2175</v>
      </c>
      <c r="C171" t="s">
        <v>10</v>
      </c>
      <c r="D171">
        <v>1622155</v>
      </c>
      <c r="E171" t="s">
        <v>8</v>
      </c>
    </row>
    <row r="172" spans="1:5" x14ac:dyDescent="0.55000000000000004">
      <c r="A172" t="s">
        <v>1246</v>
      </c>
      <c r="B172" t="s">
        <v>1245</v>
      </c>
      <c r="C172" t="s">
        <v>41</v>
      </c>
      <c r="D172">
        <v>2059393</v>
      </c>
      <c r="E172" t="s">
        <v>8</v>
      </c>
    </row>
    <row r="173" spans="1:5" x14ac:dyDescent="0.55000000000000004">
      <c r="A173" t="s">
        <v>1888</v>
      </c>
      <c r="B173" t="s">
        <v>1887</v>
      </c>
      <c r="C173" t="s">
        <v>10</v>
      </c>
      <c r="D173">
        <v>1393216</v>
      </c>
      <c r="E173" t="s">
        <v>8</v>
      </c>
    </row>
    <row r="174" spans="1:5" x14ac:dyDescent="0.55000000000000004">
      <c r="A174" t="s">
        <v>2178</v>
      </c>
      <c r="B174" t="s">
        <v>2177</v>
      </c>
      <c r="C174" t="s">
        <v>10</v>
      </c>
      <c r="D174">
        <v>236776</v>
      </c>
      <c r="E174" t="s">
        <v>8</v>
      </c>
    </row>
    <row r="175" spans="1:5" x14ac:dyDescent="0.55000000000000004">
      <c r="A175" t="s">
        <v>1673</v>
      </c>
      <c r="B175" t="s">
        <v>1672</v>
      </c>
      <c r="C175" t="s">
        <v>10</v>
      </c>
      <c r="D175">
        <v>412813</v>
      </c>
      <c r="E175" t="s">
        <v>8</v>
      </c>
    </row>
    <row r="176" spans="1:5" x14ac:dyDescent="0.55000000000000004">
      <c r="A176" t="s">
        <v>2180</v>
      </c>
      <c r="B176" t="s">
        <v>2179</v>
      </c>
      <c r="C176" t="s">
        <v>10</v>
      </c>
      <c r="D176">
        <v>206482</v>
      </c>
      <c r="E176" t="s">
        <v>8</v>
      </c>
    </row>
    <row r="177" spans="1:5" x14ac:dyDescent="0.55000000000000004">
      <c r="A177" t="s">
        <v>2182</v>
      </c>
      <c r="B177" t="s">
        <v>2181</v>
      </c>
      <c r="C177" t="s">
        <v>10</v>
      </c>
      <c r="D177">
        <v>260579</v>
      </c>
      <c r="E177" t="s">
        <v>8</v>
      </c>
    </row>
    <row r="178" spans="1:5" x14ac:dyDescent="0.55000000000000004">
      <c r="A178" t="s">
        <v>1890</v>
      </c>
      <c r="B178" t="s">
        <v>1889</v>
      </c>
      <c r="C178" t="s">
        <v>10</v>
      </c>
      <c r="D178">
        <v>753494</v>
      </c>
      <c r="E178" t="s">
        <v>8</v>
      </c>
    </row>
    <row r="179" spans="1:5" x14ac:dyDescent="0.55000000000000004">
      <c r="A179" t="s">
        <v>2184</v>
      </c>
      <c r="B179" t="s">
        <v>2183</v>
      </c>
      <c r="C179" t="s">
        <v>41</v>
      </c>
      <c r="D179">
        <v>758174</v>
      </c>
      <c r="E179" t="s">
        <v>8</v>
      </c>
    </row>
    <row r="180" spans="1:5" x14ac:dyDescent="0.55000000000000004">
      <c r="A180" t="s">
        <v>2186</v>
      </c>
      <c r="B180" t="s">
        <v>2185</v>
      </c>
      <c r="C180" t="s">
        <v>41</v>
      </c>
      <c r="D180">
        <v>1686010</v>
      </c>
      <c r="E180" t="s">
        <v>8</v>
      </c>
    </row>
    <row r="181" spans="1:5" x14ac:dyDescent="0.55000000000000004">
      <c r="A181" t="s">
        <v>2188</v>
      </c>
      <c r="B181" t="s">
        <v>2187</v>
      </c>
      <c r="C181" t="s">
        <v>10</v>
      </c>
      <c r="D181">
        <v>1806214</v>
      </c>
      <c r="E181" t="s">
        <v>8</v>
      </c>
    </row>
    <row r="182" spans="1:5" x14ac:dyDescent="0.55000000000000004">
      <c r="A182" t="s">
        <v>1015</v>
      </c>
      <c r="B182" t="s">
        <v>2189</v>
      </c>
      <c r="C182" t="s">
        <v>10</v>
      </c>
      <c r="D182">
        <v>340705</v>
      </c>
      <c r="E182" t="s">
        <v>8</v>
      </c>
    </row>
    <row r="183" spans="1:5" x14ac:dyDescent="0.55000000000000004">
      <c r="A183" t="s">
        <v>194</v>
      </c>
      <c r="B183" t="s">
        <v>193</v>
      </c>
      <c r="C183" t="s">
        <v>10</v>
      </c>
      <c r="D183">
        <v>854752</v>
      </c>
      <c r="E183" t="s">
        <v>8</v>
      </c>
    </row>
    <row r="184" spans="1:5" x14ac:dyDescent="0.55000000000000004">
      <c r="A184" t="s">
        <v>571</v>
      </c>
      <c r="B184" t="s">
        <v>570</v>
      </c>
      <c r="C184" t="s">
        <v>10</v>
      </c>
      <c r="D184">
        <v>508647</v>
      </c>
      <c r="E184" t="s">
        <v>8</v>
      </c>
    </row>
    <row r="185" spans="1:5" x14ac:dyDescent="0.55000000000000004">
      <c r="A185" t="s">
        <v>1017</v>
      </c>
      <c r="B185" t="s">
        <v>1016</v>
      </c>
      <c r="C185" t="s">
        <v>10</v>
      </c>
      <c r="D185">
        <v>209236</v>
      </c>
      <c r="E185" t="s">
        <v>8</v>
      </c>
    </row>
    <row r="186" spans="1:5" x14ac:dyDescent="0.55000000000000004">
      <c r="A186" t="s">
        <v>1250</v>
      </c>
      <c r="B186" t="s">
        <v>1249</v>
      </c>
      <c r="C186" t="s">
        <v>10</v>
      </c>
      <c r="D186">
        <v>6636672</v>
      </c>
      <c r="E186" t="s">
        <v>8</v>
      </c>
    </row>
    <row r="187" spans="1:5" x14ac:dyDescent="0.55000000000000004">
      <c r="A187" t="s">
        <v>2191</v>
      </c>
      <c r="B187" t="s">
        <v>2190</v>
      </c>
      <c r="C187" t="s">
        <v>13</v>
      </c>
      <c r="D187">
        <v>222741</v>
      </c>
      <c r="E187" t="s">
        <v>8</v>
      </c>
    </row>
    <row r="188" spans="1:5" x14ac:dyDescent="0.55000000000000004">
      <c r="A188" t="s">
        <v>2193</v>
      </c>
      <c r="B188" t="s">
        <v>2192</v>
      </c>
      <c r="C188" t="s">
        <v>10</v>
      </c>
      <c r="D188">
        <v>951014</v>
      </c>
      <c r="E188" t="s">
        <v>8</v>
      </c>
    </row>
    <row r="189" spans="1:5" x14ac:dyDescent="0.55000000000000004">
      <c r="A189" t="s">
        <v>196</v>
      </c>
      <c r="B189" t="s">
        <v>195</v>
      </c>
      <c r="C189" t="s">
        <v>10</v>
      </c>
      <c r="D189">
        <v>744910</v>
      </c>
      <c r="E189" t="s">
        <v>8</v>
      </c>
    </row>
    <row r="190" spans="1:5" x14ac:dyDescent="0.55000000000000004">
      <c r="A190" t="s">
        <v>1675</v>
      </c>
      <c r="B190" t="s">
        <v>1674</v>
      </c>
      <c r="C190" t="s">
        <v>10</v>
      </c>
      <c r="D190">
        <v>1518694</v>
      </c>
      <c r="E190" t="s">
        <v>8</v>
      </c>
    </row>
    <row r="191" spans="1:5" x14ac:dyDescent="0.55000000000000004">
      <c r="A191" t="s">
        <v>1252</v>
      </c>
      <c r="B191" t="s">
        <v>1251</v>
      </c>
      <c r="C191" t="s">
        <v>10</v>
      </c>
      <c r="D191">
        <v>2714539</v>
      </c>
      <c r="E191" t="s">
        <v>8</v>
      </c>
    </row>
    <row r="192" spans="1:5" x14ac:dyDescent="0.55000000000000004">
      <c r="A192" t="s">
        <v>1254</v>
      </c>
      <c r="B192" t="s">
        <v>1253</v>
      </c>
      <c r="C192" t="s">
        <v>41</v>
      </c>
      <c r="D192">
        <v>650803</v>
      </c>
      <c r="E192" t="s">
        <v>8</v>
      </c>
    </row>
    <row r="193" spans="1:5" x14ac:dyDescent="0.55000000000000004">
      <c r="A193" t="s">
        <v>202</v>
      </c>
      <c r="B193" t="s">
        <v>201</v>
      </c>
      <c r="C193" t="s">
        <v>10</v>
      </c>
      <c r="D193">
        <v>432076</v>
      </c>
      <c r="E193" t="s">
        <v>8</v>
      </c>
    </row>
    <row r="194" spans="1:5" x14ac:dyDescent="0.55000000000000004">
      <c r="A194" t="s">
        <v>209</v>
      </c>
      <c r="B194" t="s">
        <v>207</v>
      </c>
      <c r="C194" t="s">
        <v>208</v>
      </c>
      <c r="D194">
        <v>537760</v>
      </c>
      <c r="E194" t="s">
        <v>8</v>
      </c>
    </row>
    <row r="195" spans="1:5" x14ac:dyDescent="0.55000000000000004">
      <c r="A195" t="s">
        <v>2195</v>
      </c>
      <c r="B195" t="s">
        <v>2194</v>
      </c>
      <c r="C195" t="s">
        <v>10</v>
      </c>
      <c r="D195">
        <v>116568</v>
      </c>
      <c r="E195" t="s">
        <v>8</v>
      </c>
    </row>
    <row r="196" spans="1:5" x14ac:dyDescent="0.55000000000000004">
      <c r="A196" t="s">
        <v>2197</v>
      </c>
      <c r="B196" t="s">
        <v>2196</v>
      </c>
      <c r="C196" t="s">
        <v>10</v>
      </c>
      <c r="D196">
        <v>351317</v>
      </c>
      <c r="E196" t="s">
        <v>8</v>
      </c>
    </row>
    <row r="197" spans="1:5" x14ac:dyDescent="0.55000000000000004">
      <c r="A197" t="s">
        <v>1894</v>
      </c>
      <c r="B197" t="s">
        <v>1893</v>
      </c>
      <c r="C197" t="s">
        <v>1317</v>
      </c>
      <c r="D197">
        <v>901741</v>
      </c>
      <c r="E197" t="s">
        <v>8</v>
      </c>
    </row>
    <row r="198" spans="1:5" x14ac:dyDescent="0.55000000000000004">
      <c r="A198" t="s">
        <v>2200</v>
      </c>
      <c r="B198" t="s">
        <v>2198</v>
      </c>
      <c r="C198" t="s">
        <v>2199</v>
      </c>
      <c r="D198">
        <v>661693</v>
      </c>
      <c r="E198" t="s">
        <v>8</v>
      </c>
    </row>
    <row r="199" spans="1:5" x14ac:dyDescent="0.55000000000000004">
      <c r="A199" t="s">
        <v>1896</v>
      </c>
      <c r="B199" t="s">
        <v>1895</v>
      </c>
      <c r="C199" t="s">
        <v>138</v>
      </c>
      <c r="D199">
        <v>878201</v>
      </c>
      <c r="E199" t="s">
        <v>8</v>
      </c>
    </row>
    <row r="200" spans="1:5" x14ac:dyDescent="0.55000000000000004">
      <c r="A200" t="s">
        <v>2202</v>
      </c>
      <c r="B200" t="s">
        <v>2201</v>
      </c>
      <c r="C200" t="s">
        <v>10</v>
      </c>
      <c r="D200">
        <v>8619781</v>
      </c>
      <c r="E200" t="s">
        <v>8</v>
      </c>
    </row>
    <row r="201" spans="1:5" x14ac:dyDescent="0.55000000000000004">
      <c r="A201" t="s">
        <v>2204</v>
      </c>
      <c r="B201" t="s">
        <v>2203</v>
      </c>
      <c r="C201" t="s">
        <v>6</v>
      </c>
      <c r="D201">
        <v>449542</v>
      </c>
      <c r="E201" t="s">
        <v>8</v>
      </c>
    </row>
    <row r="202" spans="1:5" x14ac:dyDescent="0.55000000000000004">
      <c r="A202" t="s">
        <v>1262</v>
      </c>
      <c r="B202" t="s">
        <v>1261</v>
      </c>
      <c r="C202" t="s">
        <v>41</v>
      </c>
      <c r="D202">
        <v>619064</v>
      </c>
      <c r="E202" t="s">
        <v>8</v>
      </c>
    </row>
    <row r="203" spans="1:5" x14ac:dyDescent="0.55000000000000004">
      <c r="A203" t="s">
        <v>2206</v>
      </c>
      <c r="B203" t="s">
        <v>2205</v>
      </c>
      <c r="C203" t="s">
        <v>10</v>
      </c>
      <c r="D203">
        <v>390453</v>
      </c>
      <c r="E203" t="s">
        <v>8</v>
      </c>
    </row>
    <row r="204" spans="1:5" x14ac:dyDescent="0.55000000000000004">
      <c r="A204" t="s">
        <v>2208</v>
      </c>
      <c r="B204" t="s">
        <v>2207</v>
      </c>
      <c r="C204" t="s">
        <v>10</v>
      </c>
      <c r="D204">
        <v>442008</v>
      </c>
      <c r="E204" t="s">
        <v>8</v>
      </c>
    </row>
    <row r="205" spans="1:5" x14ac:dyDescent="0.55000000000000004">
      <c r="A205" t="s">
        <v>1898</v>
      </c>
      <c r="B205" t="s">
        <v>1897</v>
      </c>
      <c r="C205" t="s">
        <v>10</v>
      </c>
      <c r="D205">
        <v>4943783</v>
      </c>
      <c r="E205" t="s">
        <v>8</v>
      </c>
    </row>
    <row r="206" spans="1:5" x14ac:dyDescent="0.55000000000000004">
      <c r="A206" t="s">
        <v>2211</v>
      </c>
      <c r="B206" t="s">
        <v>2209</v>
      </c>
      <c r="C206" t="s">
        <v>2210</v>
      </c>
      <c r="D206">
        <v>1058768</v>
      </c>
      <c r="E206" t="s">
        <v>8</v>
      </c>
    </row>
    <row r="207" spans="1:5" x14ac:dyDescent="0.55000000000000004">
      <c r="A207" t="s">
        <v>1900</v>
      </c>
      <c r="B207" t="s">
        <v>1899</v>
      </c>
      <c r="C207" t="s">
        <v>10</v>
      </c>
      <c r="D207">
        <v>1985533</v>
      </c>
      <c r="E207" t="s">
        <v>8</v>
      </c>
    </row>
    <row r="208" spans="1:5" x14ac:dyDescent="0.55000000000000004">
      <c r="A208" t="s">
        <v>1902</v>
      </c>
      <c r="B208" t="s">
        <v>1901</v>
      </c>
      <c r="C208" t="s">
        <v>1483</v>
      </c>
      <c r="D208">
        <v>5265353</v>
      </c>
      <c r="E208" t="s">
        <v>8</v>
      </c>
    </row>
    <row r="209" spans="1:5" x14ac:dyDescent="0.55000000000000004">
      <c r="A209" t="s">
        <v>1267</v>
      </c>
      <c r="B209" t="s">
        <v>1265</v>
      </c>
      <c r="C209" t="s">
        <v>1266</v>
      </c>
      <c r="D209">
        <v>431044</v>
      </c>
      <c r="E209" t="s">
        <v>8</v>
      </c>
    </row>
    <row r="210" spans="1:5" x14ac:dyDescent="0.55000000000000004">
      <c r="A210" t="s">
        <v>2213</v>
      </c>
      <c r="B210" t="s">
        <v>2212</v>
      </c>
      <c r="C210" t="s">
        <v>141</v>
      </c>
      <c r="D210">
        <v>18205</v>
      </c>
      <c r="E210" t="s">
        <v>8</v>
      </c>
    </row>
    <row r="211" spans="1:5" x14ac:dyDescent="0.55000000000000004">
      <c r="A211" t="s">
        <v>1904</v>
      </c>
      <c r="B211" t="s">
        <v>1903</v>
      </c>
      <c r="C211" t="s">
        <v>10</v>
      </c>
      <c r="D211">
        <v>2096919</v>
      </c>
      <c r="E211" t="s">
        <v>8</v>
      </c>
    </row>
    <row r="212" spans="1:5" x14ac:dyDescent="0.55000000000000004">
      <c r="A212" t="s">
        <v>2215</v>
      </c>
      <c r="B212" t="s">
        <v>2214</v>
      </c>
      <c r="C212" t="s">
        <v>6</v>
      </c>
      <c r="D212">
        <v>561401</v>
      </c>
      <c r="E212" t="s">
        <v>8</v>
      </c>
    </row>
    <row r="213" spans="1:5" x14ac:dyDescent="0.55000000000000004">
      <c r="A213" t="s">
        <v>1906</v>
      </c>
      <c r="B213" t="s">
        <v>1905</v>
      </c>
      <c r="C213" t="s">
        <v>10</v>
      </c>
      <c r="D213">
        <v>3889066</v>
      </c>
      <c r="E213" t="s">
        <v>8</v>
      </c>
    </row>
    <row r="214" spans="1:5" x14ac:dyDescent="0.55000000000000004">
      <c r="A214" t="s">
        <v>1272</v>
      </c>
      <c r="B214" t="s">
        <v>1271</v>
      </c>
      <c r="C214" t="s">
        <v>6</v>
      </c>
      <c r="D214">
        <v>216869</v>
      </c>
      <c r="E214" t="s">
        <v>8</v>
      </c>
    </row>
    <row r="215" spans="1:5" x14ac:dyDescent="0.55000000000000004">
      <c r="A215" t="s">
        <v>1280</v>
      </c>
      <c r="B215" t="s">
        <v>1279</v>
      </c>
      <c r="C215" t="s">
        <v>10</v>
      </c>
      <c r="D215">
        <v>291632</v>
      </c>
      <c r="E215" t="s">
        <v>8</v>
      </c>
    </row>
    <row r="216" spans="1:5" x14ac:dyDescent="0.55000000000000004">
      <c r="A216" t="s">
        <v>1908</v>
      </c>
      <c r="B216" t="s">
        <v>1907</v>
      </c>
      <c r="C216" t="s">
        <v>18</v>
      </c>
      <c r="D216">
        <v>298222</v>
      </c>
      <c r="E216" t="s">
        <v>8</v>
      </c>
    </row>
    <row r="217" spans="1:5" x14ac:dyDescent="0.55000000000000004">
      <c r="A217" t="s">
        <v>2217</v>
      </c>
      <c r="B217" t="s">
        <v>2216</v>
      </c>
      <c r="C217" t="s">
        <v>6</v>
      </c>
      <c r="D217">
        <v>225731</v>
      </c>
      <c r="E217" t="s">
        <v>8</v>
      </c>
    </row>
    <row r="218" spans="1:5" x14ac:dyDescent="0.55000000000000004">
      <c r="A218" t="s">
        <v>2219</v>
      </c>
      <c r="B218" t="s">
        <v>2218</v>
      </c>
      <c r="C218" t="s">
        <v>10</v>
      </c>
      <c r="D218">
        <v>479431</v>
      </c>
      <c r="E218" t="s">
        <v>8</v>
      </c>
    </row>
    <row r="219" spans="1:5" x14ac:dyDescent="0.55000000000000004">
      <c r="A219" t="s">
        <v>1283</v>
      </c>
      <c r="B219" t="s">
        <v>1281</v>
      </c>
      <c r="C219" t="s">
        <v>1282</v>
      </c>
      <c r="D219">
        <v>582961</v>
      </c>
      <c r="E219" t="s">
        <v>8</v>
      </c>
    </row>
    <row r="220" spans="1:5" x14ac:dyDescent="0.55000000000000004">
      <c r="A220" t="s">
        <v>2221</v>
      </c>
      <c r="B220" t="s">
        <v>2220</v>
      </c>
      <c r="C220" t="s">
        <v>10</v>
      </c>
      <c r="D220">
        <v>294458</v>
      </c>
      <c r="E220" t="s">
        <v>8</v>
      </c>
    </row>
    <row r="221" spans="1:5" x14ac:dyDescent="0.55000000000000004">
      <c r="A221" t="s">
        <v>1285</v>
      </c>
      <c r="B221" t="s">
        <v>1284</v>
      </c>
      <c r="C221" t="s">
        <v>10</v>
      </c>
      <c r="D221">
        <v>2383385</v>
      </c>
      <c r="E221" t="s">
        <v>8</v>
      </c>
    </row>
    <row r="222" spans="1:5" x14ac:dyDescent="0.55000000000000004">
      <c r="A222" t="s">
        <v>587</v>
      </c>
      <c r="B222" t="s">
        <v>586</v>
      </c>
      <c r="C222" t="s">
        <v>10</v>
      </c>
      <c r="D222">
        <v>959951</v>
      </c>
      <c r="E222" t="s">
        <v>8</v>
      </c>
    </row>
    <row r="223" spans="1:5" x14ac:dyDescent="0.55000000000000004">
      <c r="A223" t="s">
        <v>2223</v>
      </c>
      <c r="B223" t="s">
        <v>2222</v>
      </c>
      <c r="C223" t="s">
        <v>10</v>
      </c>
      <c r="D223">
        <v>328403</v>
      </c>
      <c r="E223" t="s">
        <v>8</v>
      </c>
    </row>
    <row r="224" spans="1:5" x14ac:dyDescent="0.55000000000000004">
      <c r="A224" t="s">
        <v>1289</v>
      </c>
      <c r="B224" t="s">
        <v>1288</v>
      </c>
      <c r="C224" t="s">
        <v>10</v>
      </c>
      <c r="D224">
        <v>450633</v>
      </c>
      <c r="E224" t="s">
        <v>8</v>
      </c>
    </row>
    <row r="225" spans="1:5" x14ac:dyDescent="0.55000000000000004">
      <c r="A225" t="s">
        <v>1913</v>
      </c>
      <c r="B225" t="s">
        <v>1290</v>
      </c>
      <c r="C225" t="s">
        <v>18</v>
      </c>
      <c r="D225">
        <v>91957</v>
      </c>
      <c r="E225" t="s">
        <v>8</v>
      </c>
    </row>
    <row r="226" spans="1:5" x14ac:dyDescent="0.55000000000000004">
      <c r="A226" t="s">
        <v>1679</v>
      </c>
      <c r="B226" t="s">
        <v>1678</v>
      </c>
      <c r="C226" t="s">
        <v>10</v>
      </c>
      <c r="D226">
        <v>316237</v>
      </c>
      <c r="E226" t="s">
        <v>8</v>
      </c>
    </row>
    <row r="227" spans="1:5" x14ac:dyDescent="0.55000000000000004">
      <c r="A227" t="s">
        <v>589</v>
      </c>
      <c r="B227" t="s">
        <v>588</v>
      </c>
      <c r="C227" t="s">
        <v>10</v>
      </c>
      <c r="D227">
        <v>4240687</v>
      </c>
      <c r="E227" t="s">
        <v>8</v>
      </c>
    </row>
    <row r="228" spans="1:5" x14ac:dyDescent="0.55000000000000004">
      <c r="A228" t="s">
        <v>241</v>
      </c>
      <c r="B228" t="s">
        <v>240</v>
      </c>
      <c r="C228" t="s">
        <v>10</v>
      </c>
      <c r="D228">
        <v>421428</v>
      </c>
      <c r="E228" t="s">
        <v>8</v>
      </c>
    </row>
    <row r="229" spans="1:5" x14ac:dyDescent="0.55000000000000004">
      <c r="A229" t="s">
        <v>1915</v>
      </c>
      <c r="B229" t="s">
        <v>1914</v>
      </c>
      <c r="C229" t="s">
        <v>10</v>
      </c>
      <c r="D229">
        <v>614733</v>
      </c>
      <c r="E229" t="s">
        <v>8</v>
      </c>
    </row>
    <row r="230" spans="1:5" x14ac:dyDescent="0.55000000000000004">
      <c r="A230" t="s">
        <v>243</v>
      </c>
      <c r="B230" t="s">
        <v>242</v>
      </c>
      <c r="C230" t="s">
        <v>10</v>
      </c>
      <c r="D230">
        <v>190814</v>
      </c>
      <c r="E230" t="s">
        <v>8</v>
      </c>
    </row>
    <row r="231" spans="1:5" x14ac:dyDescent="0.55000000000000004">
      <c r="A231" t="s">
        <v>753</v>
      </c>
      <c r="B231" t="s">
        <v>752</v>
      </c>
      <c r="C231" t="s">
        <v>10</v>
      </c>
      <c r="D231">
        <v>421279</v>
      </c>
      <c r="E231" t="s">
        <v>8</v>
      </c>
    </row>
    <row r="232" spans="1:5" x14ac:dyDescent="0.55000000000000004">
      <c r="A232" t="s">
        <v>1297</v>
      </c>
      <c r="B232" t="s">
        <v>1296</v>
      </c>
      <c r="C232" t="s">
        <v>10</v>
      </c>
      <c r="D232">
        <v>1716890</v>
      </c>
      <c r="E232" t="s">
        <v>8</v>
      </c>
    </row>
    <row r="233" spans="1:5" x14ac:dyDescent="0.55000000000000004">
      <c r="A233" t="s">
        <v>2225</v>
      </c>
      <c r="B233" t="s">
        <v>2224</v>
      </c>
      <c r="C233" t="s">
        <v>10</v>
      </c>
      <c r="D233">
        <v>210484</v>
      </c>
      <c r="E233" t="s">
        <v>8</v>
      </c>
    </row>
    <row r="234" spans="1:5" x14ac:dyDescent="0.55000000000000004">
      <c r="A234" t="s">
        <v>1687</v>
      </c>
      <c r="B234" t="s">
        <v>1686</v>
      </c>
      <c r="C234" t="s">
        <v>10</v>
      </c>
      <c r="D234">
        <v>8816435</v>
      </c>
      <c r="E234" t="s">
        <v>8</v>
      </c>
    </row>
    <row r="235" spans="1:5" x14ac:dyDescent="0.55000000000000004">
      <c r="A235" t="s">
        <v>1031</v>
      </c>
      <c r="B235" t="s">
        <v>1030</v>
      </c>
      <c r="C235" t="s">
        <v>10</v>
      </c>
      <c r="D235">
        <v>1262936</v>
      </c>
      <c r="E235" t="s">
        <v>8</v>
      </c>
    </row>
    <row r="236" spans="1:5" x14ac:dyDescent="0.55000000000000004">
      <c r="A236" t="s">
        <v>1301</v>
      </c>
      <c r="B236" t="s">
        <v>1300</v>
      </c>
      <c r="C236" t="s">
        <v>10</v>
      </c>
      <c r="D236">
        <v>2362170</v>
      </c>
      <c r="E236" t="s">
        <v>8</v>
      </c>
    </row>
    <row r="237" spans="1:5" x14ac:dyDescent="0.55000000000000004">
      <c r="A237" t="s">
        <v>1035</v>
      </c>
      <c r="B237" t="s">
        <v>1034</v>
      </c>
      <c r="C237" t="s">
        <v>10</v>
      </c>
      <c r="D237">
        <v>215892</v>
      </c>
      <c r="E237" t="s">
        <v>8</v>
      </c>
    </row>
    <row r="238" spans="1:5" x14ac:dyDescent="0.55000000000000004">
      <c r="A238" t="s">
        <v>2227</v>
      </c>
      <c r="B238" t="s">
        <v>2226</v>
      </c>
      <c r="C238" t="s">
        <v>13</v>
      </c>
      <c r="D238">
        <v>233662</v>
      </c>
      <c r="E238" t="s">
        <v>8</v>
      </c>
    </row>
    <row r="239" spans="1:5" x14ac:dyDescent="0.55000000000000004">
      <c r="A239" t="s">
        <v>603</v>
      </c>
      <c r="B239" t="s">
        <v>602</v>
      </c>
      <c r="C239" t="s">
        <v>10</v>
      </c>
      <c r="D239">
        <v>1571556</v>
      </c>
      <c r="E239" t="s">
        <v>8</v>
      </c>
    </row>
    <row r="240" spans="1:5" x14ac:dyDescent="0.55000000000000004">
      <c r="A240" t="s">
        <v>2229</v>
      </c>
      <c r="B240" t="s">
        <v>2228</v>
      </c>
      <c r="C240" t="s">
        <v>215</v>
      </c>
      <c r="D240">
        <v>369682</v>
      </c>
      <c r="E240" t="s">
        <v>8</v>
      </c>
    </row>
    <row r="241" spans="1:5" x14ac:dyDescent="0.55000000000000004">
      <c r="A241" t="s">
        <v>2231</v>
      </c>
      <c r="B241" t="s">
        <v>2230</v>
      </c>
      <c r="C241" t="s">
        <v>10</v>
      </c>
      <c r="D241">
        <v>3639180</v>
      </c>
      <c r="E241" t="s">
        <v>8</v>
      </c>
    </row>
    <row r="242" spans="1:5" x14ac:dyDescent="0.55000000000000004">
      <c r="A242" t="s">
        <v>263</v>
      </c>
      <c r="B242" t="s">
        <v>262</v>
      </c>
      <c r="C242" t="s">
        <v>10</v>
      </c>
      <c r="D242">
        <v>4469597</v>
      </c>
      <c r="E242" t="s">
        <v>8</v>
      </c>
    </row>
    <row r="243" spans="1:5" x14ac:dyDescent="0.55000000000000004">
      <c r="A243" t="s">
        <v>1923</v>
      </c>
      <c r="B243" t="s">
        <v>1922</v>
      </c>
      <c r="C243" t="s">
        <v>10</v>
      </c>
      <c r="D243">
        <v>222993</v>
      </c>
      <c r="E243" t="s">
        <v>8</v>
      </c>
    </row>
    <row r="244" spans="1:5" x14ac:dyDescent="0.55000000000000004">
      <c r="A244" t="s">
        <v>2233</v>
      </c>
      <c r="B244" t="s">
        <v>2232</v>
      </c>
      <c r="C244" t="s">
        <v>926</v>
      </c>
      <c r="D244">
        <v>84606</v>
      </c>
      <c r="E244" t="s">
        <v>8</v>
      </c>
    </row>
    <row r="245" spans="1:5" x14ac:dyDescent="0.55000000000000004">
      <c r="A245" t="s">
        <v>2235</v>
      </c>
      <c r="B245" t="s">
        <v>2234</v>
      </c>
      <c r="C245" t="s">
        <v>6</v>
      </c>
      <c r="D245">
        <v>208388</v>
      </c>
      <c r="E245" t="s">
        <v>8</v>
      </c>
    </row>
    <row r="246" spans="1:5" x14ac:dyDescent="0.55000000000000004">
      <c r="A246" t="s">
        <v>859</v>
      </c>
      <c r="B246" t="s">
        <v>858</v>
      </c>
      <c r="C246" t="s">
        <v>10</v>
      </c>
      <c r="D246">
        <v>233928</v>
      </c>
      <c r="E246" t="s">
        <v>8</v>
      </c>
    </row>
    <row r="247" spans="1:5" x14ac:dyDescent="0.55000000000000004">
      <c r="A247" t="s">
        <v>267</v>
      </c>
      <c r="B247" t="s">
        <v>266</v>
      </c>
      <c r="C247" t="s">
        <v>10</v>
      </c>
      <c r="D247">
        <v>441112</v>
      </c>
      <c r="E247" t="s">
        <v>8</v>
      </c>
    </row>
    <row r="248" spans="1:5" x14ac:dyDescent="0.55000000000000004">
      <c r="A248" t="s">
        <v>2237</v>
      </c>
      <c r="B248" t="s">
        <v>2236</v>
      </c>
      <c r="C248" t="s">
        <v>10</v>
      </c>
      <c r="D248">
        <v>1356697</v>
      </c>
      <c r="E248" t="s">
        <v>8</v>
      </c>
    </row>
    <row r="249" spans="1:5" x14ac:dyDescent="0.55000000000000004">
      <c r="A249" t="s">
        <v>1693</v>
      </c>
      <c r="B249" t="s">
        <v>1692</v>
      </c>
      <c r="C249" t="s">
        <v>10</v>
      </c>
      <c r="D249">
        <v>619665</v>
      </c>
      <c r="E249" t="s">
        <v>8</v>
      </c>
    </row>
    <row r="250" spans="1:5" x14ac:dyDescent="0.55000000000000004">
      <c r="A250" t="s">
        <v>1925</v>
      </c>
      <c r="B250" t="s">
        <v>1924</v>
      </c>
      <c r="C250" t="s">
        <v>10</v>
      </c>
      <c r="D250">
        <v>2130892</v>
      </c>
      <c r="E250" t="s">
        <v>8</v>
      </c>
    </row>
    <row r="251" spans="1:5" x14ac:dyDescent="0.55000000000000004">
      <c r="A251" t="s">
        <v>2239</v>
      </c>
      <c r="B251" t="s">
        <v>2238</v>
      </c>
      <c r="C251" t="s">
        <v>41</v>
      </c>
      <c r="D251">
        <v>2896339</v>
      </c>
      <c r="E251" t="s">
        <v>8</v>
      </c>
    </row>
    <row r="252" spans="1:5" x14ac:dyDescent="0.55000000000000004">
      <c r="A252" t="s">
        <v>1037</v>
      </c>
      <c r="B252" t="s">
        <v>1036</v>
      </c>
      <c r="C252" t="s">
        <v>18</v>
      </c>
      <c r="D252">
        <v>227687</v>
      </c>
      <c r="E252" t="s">
        <v>8</v>
      </c>
    </row>
    <row r="253" spans="1:5" x14ac:dyDescent="0.55000000000000004">
      <c r="A253" t="s">
        <v>1039</v>
      </c>
      <c r="B253" t="s">
        <v>1038</v>
      </c>
      <c r="C253" t="s">
        <v>10</v>
      </c>
      <c r="D253">
        <v>2241831</v>
      </c>
      <c r="E253" t="s">
        <v>8</v>
      </c>
    </row>
    <row r="254" spans="1:5" x14ac:dyDescent="0.55000000000000004">
      <c r="A254" t="s">
        <v>2241</v>
      </c>
      <c r="B254" t="s">
        <v>2240</v>
      </c>
      <c r="C254" t="s">
        <v>10</v>
      </c>
      <c r="D254">
        <v>575924</v>
      </c>
      <c r="E254" t="s">
        <v>8</v>
      </c>
    </row>
    <row r="255" spans="1:5" x14ac:dyDescent="0.55000000000000004">
      <c r="A255" t="s">
        <v>1311</v>
      </c>
      <c r="B255" t="s">
        <v>1310</v>
      </c>
      <c r="C255" t="s">
        <v>10</v>
      </c>
      <c r="D255">
        <v>1885794</v>
      </c>
      <c r="E255" t="s">
        <v>8</v>
      </c>
    </row>
    <row r="256" spans="1:5" x14ac:dyDescent="0.55000000000000004">
      <c r="A256" t="s">
        <v>2243</v>
      </c>
      <c r="B256" t="s">
        <v>2242</v>
      </c>
      <c r="C256" t="s">
        <v>558</v>
      </c>
      <c r="D256">
        <v>933980</v>
      </c>
      <c r="E256" t="s">
        <v>8</v>
      </c>
    </row>
    <row r="257" spans="1:5" x14ac:dyDescent="0.55000000000000004">
      <c r="A257" t="s">
        <v>1315</v>
      </c>
      <c r="B257" t="s">
        <v>2244</v>
      </c>
      <c r="C257" t="s">
        <v>10</v>
      </c>
      <c r="D257">
        <v>252832</v>
      </c>
      <c r="E257" t="s">
        <v>8</v>
      </c>
    </row>
    <row r="258" spans="1:5" x14ac:dyDescent="0.55000000000000004">
      <c r="A258" t="s">
        <v>1930</v>
      </c>
      <c r="B258" t="s">
        <v>1929</v>
      </c>
      <c r="C258" t="s">
        <v>10</v>
      </c>
      <c r="D258">
        <v>77073</v>
      </c>
      <c r="E258" t="s">
        <v>8</v>
      </c>
    </row>
    <row r="259" spans="1:5" x14ac:dyDescent="0.55000000000000004">
      <c r="A259" t="s">
        <v>1520</v>
      </c>
      <c r="B259" t="s">
        <v>1519</v>
      </c>
      <c r="C259" t="s">
        <v>10</v>
      </c>
      <c r="D259">
        <v>281599</v>
      </c>
      <c r="E259" t="s">
        <v>8</v>
      </c>
    </row>
    <row r="260" spans="1:5" x14ac:dyDescent="0.55000000000000004">
      <c r="A260" t="s">
        <v>1933</v>
      </c>
      <c r="B260" t="s">
        <v>1931</v>
      </c>
      <c r="C260" t="s">
        <v>1932</v>
      </c>
      <c r="D260">
        <v>464167</v>
      </c>
      <c r="E260" t="s">
        <v>8</v>
      </c>
    </row>
    <row r="261" spans="1:5" x14ac:dyDescent="0.55000000000000004">
      <c r="A261" t="s">
        <v>621</v>
      </c>
      <c r="B261" t="s">
        <v>620</v>
      </c>
      <c r="C261" t="s">
        <v>10</v>
      </c>
      <c r="D261">
        <v>393885</v>
      </c>
      <c r="E261" t="s">
        <v>8</v>
      </c>
    </row>
    <row r="262" spans="1:5" x14ac:dyDescent="0.55000000000000004">
      <c r="A262" t="s">
        <v>2246</v>
      </c>
      <c r="B262" t="s">
        <v>2245</v>
      </c>
      <c r="C262" t="s">
        <v>13</v>
      </c>
      <c r="D262">
        <v>212669</v>
      </c>
      <c r="E262" t="s">
        <v>8</v>
      </c>
    </row>
    <row r="263" spans="1:5" x14ac:dyDescent="0.55000000000000004">
      <c r="A263" t="s">
        <v>1935</v>
      </c>
      <c r="B263" t="s">
        <v>1934</v>
      </c>
      <c r="C263" t="s">
        <v>10</v>
      </c>
      <c r="D263">
        <v>519220</v>
      </c>
      <c r="E263" t="s">
        <v>8</v>
      </c>
    </row>
    <row r="264" spans="1:5" x14ac:dyDescent="0.55000000000000004">
      <c r="A264" t="s">
        <v>1938</v>
      </c>
      <c r="B264" t="s">
        <v>1936</v>
      </c>
      <c r="C264" t="s">
        <v>1937</v>
      </c>
      <c r="D264">
        <v>1053811</v>
      </c>
      <c r="E264" t="s">
        <v>8</v>
      </c>
    </row>
    <row r="265" spans="1:5" x14ac:dyDescent="0.55000000000000004">
      <c r="A265" t="s">
        <v>1940</v>
      </c>
      <c r="B265" t="s">
        <v>1939</v>
      </c>
      <c r="C265" t="s">
        <v>41</v>
      </c>
      <c r="D265">
        <v>363693</v>
      </c>
      <c r="E265" t="s">
        <v>8</v>
      </c>
    </row>
    <row r="266" spans="1:5" x14ac:dyDescent="0.55000000000000004">
      <c r="A266" t="s">
        <v>1322</v>
      </c>
      <c r="B266" t="s">
        <v>1321</v>
      </c>
      <c r="C266" t="s">
        <v>10</v>
      </c>
      <c r="D266">
        <v>1387262</v>
      </c>
      <c r="E266" t="s">
        <v>8</v>
      </c>
    </row>
    <row r="267" spans="1:5" x14ac:dyDescent="0.55000000000000004">
      <c r="A267" t="s">
        <v>1324</v>
      </c>
      <c r="B267" t="s">
        <v>1323</v>
      </c>
      <c r="C267" t="s">
        <v>10</v>
      </c>
      <c r="D267">
        <v>425740</v>
      </c>
      <c r="E267" t="s">
        <v>8</v>
      </c>
    </row>
    <row r="268" spans="1:5" x14ac:dyDescent="0.55000000000000004">
      <c r="A268" t="s">
        <v>1326</v>
      </c>
      <c r="B268" t="s">
        <v>1325</v>
      </c>
      <c r="C268" t="s">
        <v>18</v>
      </c>
      <c r="D268">
        <v>227968</v>
      </c>
      <c r="E268" t="s">
        <v>8</v>
      </c>
    </row>
    <row r="269" spans="1:5" x14ac:dyDescent="0.55000000000000004">
      <c r="A269" t="s">
        <v>285</v>
      </c>
      <c r="B269" t="s">
        <v>284</v>
      </c>
      <c r="C269" t="s">
        <v>10</v>
      </c>
      <c r="D269">
        <v>310864</v>
      </c>
      <c r="E269" t="s">
        <v>8</v>
      </c>
    </row>
    <row r="270" spans="1:5" x14ac:dyDescent="0.55000000000000004">
      <c r="A270" t="s">
        <v>627</v>
      </c>
      <c r="B270" t="s">
        <v>626</v>
      </c>
      <c r="C270" t="s">
        <v>41</v>
      </c>
      <c r="D270">
        <v>365947</v>
      </c>
      <c r="E270" t="s">
        <v>8</v>
      </c>
    </row>
    <row r="271" spans="1:5" x14ac:dyDescent="0.55000000000000004">
      <c r="A271" t="s">
        <v>2248</v>
      </c>
      <c r="B271" t="s">
        <v>2247</v>
      </c>
      <c r="C271" t="s">
        <v>13</v>
      </c>
      <c r="D271">
        <v>1307229</v>
      </c>
      <c r="E271" t="s">
        <v>8</v>
      </c>
    </row>
    <row r="272" spans="1:5" x14ac:dyDescent="0.55000000000000004">
      <c r="A272" t="s">
        <v>1943</v>
      </c>
      <c r="B272" t="s">
        <v>1941</v>
      </c>
      <c r="C272" t="s">
        <v>1942</v>
      </c>
      <c r="D272">
        <v>489313</v>
      </c>
      <c r="E272" t="s">
        <v>8</v>
      </c>
    </row>
    <row r="273" spans="1:5" x14ac:dyDescent="0.55000000000000004">
      <c r="A273" t="s">
        <v>1332</v>
      </c>
      <c r="B273" t="s">
        <v>1331</v>
      </c>
      <c r="C273" t="s">
        <v>10</v>
      </c>
      <c r="D273">
        <v>894374</v>
      </c>
      <c r="E273" t="s">
        <v>8</v>
      </c>
    </row>
    <row r="274" spans="1:5" x14ac:dyDescent="0.55000000000000004">
      <c r="A274" t="s">
        <v>1527</v>
      </c>
      <c r="B274" t="s">
        <v>1526</v>
      </c>
      <c r="C274" t="s">
        <v>10</v>
      </c>
      <c r="D274">
        <v>273771</v>
      </c>
      <c r="E274" t="s">
        <v>8</v>
      </c>
    </row>
    <row r="275" spans="1:5" x14ac:dyDescent="0.55000000000000004">
      <c r="A275" t="s">
        <v>1945</v>
      </c>
      <c r="B275" t="s">
        <v>1944</v>
      </c>
      <c r="C275" t="s">
        <v>10</v>
      </c>
      <c r="D275">
        <v>1073020</v>
      </c>
      <c r="E275" t="s">
        <v>8</v>
      </c>
    </row>
    <row r="276" spans="1:5" x14ac:dyDescent="0.55000000000000004">
      <c r="A276" t="s">
        <v>1049</v>
      </c>
      <c r="B276" t="s">
        <v>1048</v>
      </c>
      <c r="C276" t="s">
        <v>10</v>
      </c>
      <c r="D276">
        <v>783872</v>
      </c>
      <c r="E276" t="s">
        <v>8</v>
      </c>
    </row>
    <row r="277" spans="1:5" x14ac:dyDescent="0.55000000000000004">
      <c r="A277" t="s">
        <v>2250</v>
      </c>
      <c r="B277" t="s">
        <v>2249</v>
      </c>
      <c r="C277" t="s">
        <v>10</v>
      </c>
      <c r="D277">
        <v>1708186</v>
      </c>
      <c r="E277" t="s">
        <v>8</v>
      </c>
    </row>
    <row r="278" spans="1:5" x14ac:dyDescent="0.55000000000000004">
      <c r="A278" t="s">
        <v>629</v>
      </c>
      <c r="B278" t="s">
        <v>628</v>
      </c>
      <c r="C278" t="s">
        <v>10</v>
      </c>
      <c r="D278">
        <v>244383</v>
      </c>
      <c r="E278" t="s">
        <v>8</v>
      </c>
    </row>
    <row r="279" spans="1:5" x14ac:dyDescent="0.55000000000000004">
      <c r="A279" t="s">
        <v>1334</v>
      </c>
      <c r="B279" t="s">
        <v>1333</v>
      </c>
      <c r="C279" t="s">
        <v>10</v>
      </c>
      <c r="D279">
        <v>623381</v>
      </c>
      <c r="E279" t="s">
        <v>8</v>
      </c>
    </row>
    <row r="280" spans="1:5" x14ac:dyDescent="0.55000000000000004">
      <c r="A280" t="s">
        <v>1051</v>
      </c>
      <c r="B280" t="s">
        <v>1050</v>
      </c>
      <c r="C280" t="s">
        <v>10</v>
      </c>
      <c r="D280">
        <v>3457982</v>
      </c>
      <c r="E280" t="s">
        <v>8</v>
      </c>
    </row>
    <row r="281" spans="1:5" x14ac:dyDescent="0.55000000000000004">
      <c r="A281" t="s">
        <v>2252</v>
      </c>
      <c r="B281" t="s">
        <v>2251</v>
      </c>
      <c r="C281" t="s">
        <v>10</v>
      </c>
      <c r="D281">
        <v>383578</v>
      </c>
      <c r="E281" t="s">
        <v>8</v>
      </c>
    </row>
    <row r="282" spans="1:5" x14ac:dyDescent="0.55000000000000004">
      <c r="A282" t="s">
        <v>2254</v>
      </c>
      <c r="B282" t="s">
        <v>2253</v>
      </c>
      <c r="C282" t="s">
        <v>10</v>
      </c>
      <c r="D282">
        <v>1197177</v>
      </c>
      <c r="E282" t="s">
        <v>8</v>
      </c>
    </row>
    <row r="283" spans="1:5" x14ac:dyDescent="0.55000000000000004">
      <c r="A283" t="s">
        <v>2256</v>
      </c>
      <c r="B283" t="s">
        <v>2255</v>
      </c>
      <c r="C283" t="s">
        <v>10</v>
      </c>
      <c r="D283">
        <v>655281</v>
      </c>
      <c r="E283" t="s">
        <v>8</v>
      </c>
    </row>
    <row r="284" spans="1:5" x14ac:dyDescent="0.55000000000000004">
      <c r="A284" t="s">
        <v>1338</v>
      </c>
      <c r="B284" t="s">
        <v>1337</v>
      </c>
      <c r="C284" t="s">
        <v>10</v>
      </c>
      <c r="D284">
        <v>7542721</v>
      </c>
      <c r="E284" t="s">
        <v>8</v>
      </c>
    </row>
    <row r="285" spans="1:5" x14ac:dyDescent="0.55000000000000004">
      <c r="A285" t="s">
        <v>2258</v>
      </c>
      <c r="B285" t="s">
        <v>2257</v>
      </c>
      <c r="C285" t="s">
        <v>10</v>
      </c>
      <c r="D285">
        <v>2521020</v>
      </c>
      <c r="E285" t="s">
        <v>8</v>
      </c>
    </row>
    <row r="286" spans="1:5" x14ac:dyDescent="0.55000000000000004">
      <c r="A286" t="s">
        <v>1706</v>
      </c>
      <c r="B286" t="s">
        <v>1705</v>
      </c>
      <c r="C286" t="s">
        <v>10</v>
      </c>
      <c r="D286">
        <v>232838</v>
      </c>
      <c r="E286" t="s">
        <v>8</v>
      </c>
    </row>
    <row r="287" spans="1:5" x14ac:dyDescent="0.55000000000000004">
      <c r="A287" t="s">
        <v>2261</v>
      </c>
      <c r="B287" t="s">
        <v>2259</v>
      </c>
      <c r="C287" t="s">
        <v>2260</v>
      </c>
      <c r="D287">
        <v>207999</v>
      </c>
      <c r="E287" t="s">
        <v>8</v>
      </c>
    </row>
    <row r="288" spans="1:5" x14ac:dyDescent="0.55000000000000004">
      <c r="A288" t="s">
        <v>2263</v>
      </c>
      <c r="B288" t="s">
        <v>2262</v>
      </c>
      <c r="C288" t="s">
        <v>10</v>
      </c>
      <c r="D288">
        <v>643146</v>
      </c>
      <c r="E288" t="s">
        <v>8</v>
      </c>
    </row>
    <row r="289" spans="1:5" x14ac:dyDescent="0.55000000000000004">
      <c r="A289" t="s">
        <v>1948</v>
      </c>
      <c r="B289" t="s">
        <v>1947</v>
      </c>
      <c r="C289" t="s">
        <v>208</v>
      </c>
      <c r="D289">
        <v>149478</v>
      </c>
      <c r="E289" t="s">
        <v>8</v>
      </c>
    </row>
    <row r="290" spans="1:5" x14ac:dyDescent="0.55000000000000004">
      <c r="A290" t="s">
        <v>2265</v>
      </c>
      <c r="B290" t="s">
        <v>2264</v>
      </c>
      <c r="C290" t="s">
        <v>13</v>
      </c>
      <c r="D290">
        <v>251777</v>
      </c>
      <c r="E290" t="s">
        <v>8</v>
      </c>
    </row>
    <row r="291" spans="1:5" x14ac:dyDescent="0.55000000000000004">
      <c r="A291" t="s">
        <v>1708</v>
      </c>
      <c r="B291" t="s">
        <v>1707</v>
      </c>
      <c r="C291" t="s">
        <v>10</v>
      </c>
      <c r="D291">
        <v>4587179</v>
      </c>
      <c r="E291" t="s">
        <v>8</v>
      </c>
    </row>
    <row r="292" spans="1:5" x14ac:dyDescent="0.55000000000000004">
      <c r="A292" t="s">
        <v>2267</v>
      </c>
      <c r="B292" t="s">
        <v>2266</v>
      </c>
      <c r="C292" t="s">
        <v>10</v>
      </c>
      <c r="D292">
        <v>682094</v>
      </c>
      <c r="E292" t="s">
        <v>8</v>
      </c>
    </row>
    <row r="293" spans="1:5" x14ac:dyDescent="0.55000000000000004">
      <c r="A293" t="s">
        <v>303</v>
      </c>
      <c r="B293" t="s">
        <v>302</v>
      </c>
      <c r="C293" t="s">
        <v>10</v>
      </c>
      <c r="D293">
        <v>1209033</v>
      </c>
      <c r="E293" t="s">
        <v>8</v>
      </c>
    </row>
    <row r="294" spans="1:5" x14ac:dyDescent="0.55000000000000004">
      <c r="A294" t="s">
        <v>2270</v>
      </c>
      <c r="B294" t="s">
        <v>2268</v>
      </c>
      <c r="C294" t="s">
        <v>2269</v>
      </c>
      <c r="D294">
        <v>57485</v>
      </c>
      <c r="E294" t="s">
        <v>8</v>
      </c>
    </row>
    <row r="295" spans="1:5" x14ac:dyDescent="0.55000000000000004">
      <c r="A295" t="s">
        <v>1344</v>
      </c>
      <c r="B295" t="s">
        <v>1343</v>
      </c>
      <c r="C295" t="s">
        <v>10</v>
      </c>
      <c r="D295">
        <v>313430</v>
      </c>
      <c r="E295" t="s">
        <v>8</v>
      </c>
    </row>
    <row r="296" spans="1:5" x14ac:dyDescent="0.55000000000000004">
      <c r="A296" t="s">
        <v>309</v>
      </c>
      <c r="B296" t="s">
        <v>308</v>
      </c>
      <c r="C296" t="s">
        <v>10</v>
      </c>
      <c r="D296">
        <v>583687</v>
      </c>
      <c r="E296" t="s">
        <v>8</v>
      </c>
    </row>
    <row r="297" spans="1:5" x14ac:dyDescent="0.55000000000000004">
      <c r="A297" t="s">
        <v>1952</v>
      </c>
      <c r="B297" t="s">
        <v>1951</v>
      </c>
      <c r="C297" t="s">
        <v>10</v>
      </c>
      <c r="D297">
        <v>243109</v>
      </c>
      <c r="E297" t="s">
        <v>8</v>
      </c>
    </row>
    <row r="298" spans="1:5" x14ac:dyDescent="0.55000000000000004">
      <c r="A298" t="s">
        <v>633</v>
      </c>
      <c r="B298" t="s">
        <v>632</v>
      </c>
      <c r="C298" t="s">
        <v>10</v>
      </c>
      <c r="D298">
        <v>2095499</v>
      </c>
      <c r="E298" t="s">
        <v>8</v>
      </c>
    </row>
    <row r="299" spans="1:5" x14ac:dyDescent="0.55000000000000004">
      <c r="A299" t="s">
        <v>1712</v>
      </c>
      <c r="B299" t="s">
        <v>1711</v>
      </c>
      <c r="C299" t="s">
        <v>10</v>
      </c>
      <c r="D299">
        <v>287749</v>
      </c>
      <c r="E299" t="s">
        <v>8</v>
      </c>
    </row>
    <row r="300" spans="1:5" x14ac:dyDescent="0.55000000000000004">
      <c r="A300" t="s">
        <v>1954</v>
      </c>
      <c r="B300" t="s">
        <v>1953</v>
      </c>
      <c r="C300" t="s">
        <v>10</v>
      </c>
      <c r="D300">
        <v>1101019</v>
      </c>
      <c r="E300" t="s">
        <v>8</v>
      </c>
    </row>
    <row r="301" spans="1:5" x14ac:dyDescent="0.55000000000000004">
      <c r="A301" t="s">
        <v>1956</v>
      </c>
      <c r="B301" t="s">
        <v>1955</v>
      </c>
      <c r="C301" t="s">
        <v>10</v>
      </c>
      <c r="D301">
        <v>1021427</v>
      </c>
      <c r="E301" t="s">
        <v>8</v>
      </c>
    </row>
    <row r="302" spans="1:5" x14ac:dyDescent="0.55000000000000004">
      <c r="A302" t="s">
        <v>1714</v>
      </c>
      <c r="B302" t="s">
        <v>1713</v>
      </c>
      <c r="C302" t="s">
        <v>41</v>
      </c>
      <c r="D302">
        <v>845536</v>
      </c>
      <c r="E302" t="s">
        <v>8</v>
      </c>
    </row>
    <row r="303" spans="1:5" x14ac:dyDescent="0.55000000000000004">
      <c r="A303" t="s">
        <v>1716</v>
      </c>
      <c r="B303" t="s">
        <v>1715</v>
      </c>
      <c r="C303" t="s">
        <v>41</v>
      </c>
      <c r="D303">
        <v>127025</v>
      </c>
      <c r="E303" t="s">
        <v>8</v>
      </c>
    </row>
    <row r="304" spans="1:5" x14ac:dyDescent="0.55000000000000004">
      <c r="A304" t="s">
        <v>1958</v>
      </c>
      <c r="B304" t="s">
        <v>1957</v>
      </c>
      <c r="C304" t="s">
        <v>10</v>
      </c>
      <c r="D304">
        <v>993111</v>
      </c>
      <c r="E304" t="s">
        <v>8</v>
      </c>
    </row>
    <row r="305" spans="1:5" x14ac:dyDescent="0.55000000000000004">
      <c r="A305" t="s">
        <v>2272</v>
      </c>
      <c r="B305" t="s">
        <v>2271</v>
      </c>
      <c r="C305" t="s">
        <v>10</v>
      </c>
      <c r="D305">
        <v>267772</v>
      </c>
      <c r="E305" t="s">
        <v>8</v>
      </c>
    </row>
    <row r="306" spans="1:5" x14ac:dyDescent="0.55000000000000004">
      <c r="A306" t="s">
        <v>2274</v>
      </c>
      <c r="B306" t="s">
        <v>2273</v>
      </c>
      <c r="C306" t="s">
        <v>41</v>
      </c>
      <c r="D306">
        <v>384397</v>
      </c>
      <c r="E306" t="s">
        <v>8</v>
      </c>
    </row>
    <row r="307" spans="1:5" x14ac:dyDescent="0.55000000000000004">
      <c r="A307" t="s">
        <v>1960</v>
      </c>
      <c r="B307" t="s">
        <v>1959</v>
      </c>
      <c r="C307" t="s">
        <v>10</v>
      </c>
      <c r="D307">
        <v>3019080</v>
      </c>
      <c r="E307" t="s">
        <v>8</v>
      </c>
    </row>
    <row r="308" spans="1:5" x14ac:dyDescent="0.55000000000000004">
      <c r="A308" t="s">
        <v>1352</v>
      </c>
      <c r="B308" t="s">
        <v>1351</v>
      </c>
      <c r="C308" t="s">
        <v>10</v>
      </c>
      <c r="D308">
        <v>519782</v>
      </c>
      <c r="E308" t="s">
        <v>8</v>
      </c>
    </row>
    <row r="309" spans="1:5" x14ac:dyDescent="0.55000000000000004">
      <c r="A309" t="s">
        <v>1354</v>
      </c>
      <c r="B309" t="s">
        <v>1353</v>
      </c>
      <c r="C309" t="s">
        <v>13</v>
      </c>
      <c r="D309">
        <v>869593</v>
      </c>
      <c r="E309" t="s">
        <v>8</v>
      </c>
    </row>
    <row r="310" spans="1:5" x14ac:dyDescent="0.55000000000000004">
      <c r="A310" t="s">
        <v>1356</v>
      </c>
      <c r="B310" t="s">
        <v>1355</v>
      </c>
      <c r="C310" t="s">
        <v>10</v>
      </c>
      <c r="D310">
        <v>642974</v>
      </c>
      <c r="E310" t="s">
        <v>8</v>
      </c>
    </row>
    <row r="311" spans="1:5" x14ac:dyDescent="0.55000000000000004">
      <c r="A311" t="s">
        <v>637</v>
      </c>
      <c r="B311" t="s">
        <v>636</v>
      </c>
      <c r="C311" t="s">
        <v>10</v>
      </c>
      <c r="D311">
        <v>351597</v>
      </c>
      <c r="E311" t="s">
        <v>8</v>
      </c>
    </row>
    <row r="312" spans="1:5" x14ac:dyDescent="0.55000000000000004">
      <c r="A312" t="s">
        <v>639</v>
      </c>
      <c r="B312" t="s">
        <v>638</v>
      </c>
      <c r="C312" t="s">
        <v>18</v>
      </c>
      <c r="D312">
        <v>471448</v>
      </c>
      <c r="E312" t="s">
        <v>8</v>
      </c>
    </row>
    <row r="313" spans="1:5" x14ac:dyDescent="0.55000000000000004">
      <c r="A313" t="s">
        <v>643</v>
      </c>
      <c r="B313" t="s">
        <v>642</v>
      </c>
      <c r="C313" t="s">
        <v>10</v>
      </c>
      <c r="D313">
        <v>480266</v>
      </c>
      <c r="E313" t="s">
        <v>8</v>
      </c>
    </row>
    <row r="314" spans="1:5" x14ac:dyDescent="0.55000000000000004">
      <c r="A314" t="s">
        <v>317</v>
      </c>
      <c r="B314" t="s">
        <v>316</v>
      </c>
      <c r="C314" t="s">
        <v>10</v>
      </c>
      <c r="D314">
        <v>1380880</v>
      </c>
      <c r="E314" t="s">
        <v>8</v>
      </c>
    </row>
    <row r="315" spans="1:5" x14ac:dyDescent="0.55000000000000004">
      <c r="A315" t="s">
        <v>2276</v>
      </c>
      <c r="B315" t="s">
        <v>2275</v>
      </c>
      <c r="C315" t="s">
        <v>13</v>
      </c>
      <c r="D315">
        <v>388440</v>
      </c>
      <c r="E315" t="s">
        <v>8</v>
      </c>
    </row>
    <row r="316" spans="1:5" x14ac:dyDescent="0.55000000000000004">
      <c r="A316" t="s">
        <v>1358</v>
      </c>
      <c r="B316" t="s">
        <v>1357</v>
      </c>
      <c r="C316" t="s">
        <v>10</v>
      </c>
      <c r="D316">
        <v>1381154</v>
      </c>
      <c r="E316" t="s">
        <v>8</v>
      </c>
    </row>
    <row r="317" spans="1:5" x14ac:dyDescent="0.55000000000000004">
      <c r="A317" t="s">
        <v>1360</v>
      </c>
      <c r="B317" t="s">
        <v>1359</v>
      </c>
      <c r="C317" t="s">
        <v>18</v>
      </c>
      <c r="D317">
        <v>870447</v>
      </c>
      <c r="E317" t="s">
        <v>8</v>
      </c>
    </row>
    <row r="318" spans="1:5" x14ac:dyDescent="0.55000000000000004">
      <c r="A318" t="s">
        <v>1065</v>
      </c>
      <c r="B318" t="s">
        <v>1064</v>
      </c>
      <c r="C318" t="s">
        <v>10</v>
      </c>
      <c r="D318">
        <v>562447</v>
      </c>
      <c r="E318" t="s">
        <v>8</v>
      </c>
    </row>
    <row r="319" spans="1:5" x14ac:dyDescent="0.55000000000000004">
      <c r="A319" t="s">
        <v>1962</v>
      </c>
      <c r="B319" t="s">
        <v>1961</v>
      </c>
      <c r="C319" t="s">
        <v>13</v>
      </c>
      <c r="D319">
        <v>808034</v>
      </c>
      <c r="E319" t="s">
        <v>8</v>
      </c>
    </row>
    <row r="320" spans="1:5" x14ac:dyDescent="0.55000000000000004">
      <c r="A320" t="s">
        <v>1067</v>
      </c>
      <c r="B320" t="s">
        <v>1066</v>
      </c>
      <c r="C320" t="s">
        <v>6</v>
      </c>
      <c r="D320">
        <v>216504</v>
      </c>
      <c r="E320" t="s">
        <v>8</v>
      </c>
    </row>
    <row r="321" spans="1:5" x14ac:dyDescent="0.55000000000000004">
      <c r="A321" t="s">
        <v>1964</v>
      </c>
      <c r="B321" t="s">
        <v>1963</v>
      </c>
      <c r="C321" t="s">
        <v>76</v>
      </c>
      <c r="D321">
        <v>330817</v>
      </c>
      <c r="E321" t="s">
        <v>8</v>
      </c>
    </row>
    <row r="322" spans="1:5" x14ac:dyDescent="0.55000000000000004">
      <c r="A322" t="s">
        <v>2278</v>
      </c>
      <c r="B322" t="s">
        <v>2277</v>
      </c>
      <c r="C322" t="s">
        <v>1656</v>
      </c>
      <c r="D322">
        <v>121470</v>
      </c>
      <c r="E322" t="s">
        <v>8</v>
      </c>
    </row>
    <row r="323" spans="1:5" x14ac:dyDescent="0.55000000000000004">
      <c r="A323" t="s">
        <v>2280</v>
      </c>
      <c r="B323" t="s">
        <v>2279</v>
      </c>
      <c r="C323" t="s">
        <v>10</v>
      </c>
      <c r="D323">
        <v>142370</v>
      </c>
      <c r="E323" t="s">
        <v>8</v>
      </c>
    </row>
    <row r="324" spans="1:5" x14ac:dyDescent="0.55000000000000004">
      <c r="A324" t="s">
        <v>2282</v>
      </c>
      <c r="B324" t="s">
        <v>2281</v>
      </c>
      <c r="C324" t="s">
        <v>10</v>
      </c>
      <c r="D324">
        <v>797803</v>
      </c>
      <c r="E324" t="s">
        <v>8</v>
      </c>
    </row>
    <row r="325" spans="1:5" x14ac:dyDescent="0.55000000000000004">
      <c r="A325" t="s">
        <v>885</v>
      </c>
      <c r="B325" t="s">
        <v>884</v>
      </c>
      <c r="C325" t="s">
        <v>18</v>
      </c>
      <c r="D325">
        <v>607403</v>
      </c>
      <c r="E325" t="s">
        <v>8</v>
      </c>
    </row>
    <row r="326" spans="1:5" x14ac:dyDescent="0.55000000000000004">
      <c r="A326" t="s">
        <v>2284</v>
      </c>
      <c r="B326" t="s">
        <v>2283</v>
      </c>
      <c r="C326" t="s">
        <v>10</v>
      </c>
      <c r="D326">
        <v>1122323</v>
      </c>
      <c r="E326" t="s">
        <v>8</v>
      </c>
    </row>
    <row r="327" spans="1:5" x14ac:dyDescent="0.55000000000000004">
      <c r="A327" t="s">
        <v>329</v>
      </c>
      <c r="B327" t="s">
        <v>328</v>
      </c>
      <c r="C327" t="s">
        <v>10</v>
      </c>
      <c r="D327">
        <v>1224069</v>
      </c>
      <c r="E327" t="s">
        <v>8</v>
      </c>
    </row>
    <row r="328" spans="1:5" x14ac:dyDescent="0.55000000000000004">
      <c r="A328" t="s">
        <v>2286</v>
      </c>
      <c r="B328" t="s">
        <v>2285</v>
      </c>
      <c r="C328" t="s">
        <v>10</v>
      </c>
      <c r="D328">
        <v>324446</v>
      </c>
      <c r="E328" t="s">
        <v>8</v>
      </c>
    </row>
    <row r="329" spans="1:5" x14ac:dyDescent="0.55000000000000004">
      <c r="A329" t="s">
        <v>2288</v>
      </c>
      <c r="B329" t="s">
        <v>2287</v>
      </c>
      <c r="C329" t="s">
        <v>801</v>
      </c>
      <c r="D329">
        <v>1207733</v>
      </c>
      <c r="E329" t="s">
        <v>8</v>
      </c>
    </row>
    <row r="330" spans="1:5" x14ac:dyDescent="0.55000000000000004">
      <c r="A330" t="s">
        <v>2290</v>
      </c>
      <c r="B330" t="s">
        <v>2289</v>
      </c>
      <c r="C330" t="s">
        <v>10</v>
      </c>
      <c r="D330">
        <v>216988</v>
      </c>
      <c r="E330" t="s">
        <v>8</v>
      </c>
    </row>
    <row r="331" spans="1:5" x14ac:dyDescent="0.55000000000000004">
      <c r="A331" t="s">
        <v>333</v>
      </c>
      <c r="B331" t="s">
        <v>332</v>
      </c>
      <c r="C331" t="s">
        <v>13</v>
      </c>
      <c r="D331">
        <v>179732</v>
      </c>
      <c r="E331" t="s">
        <v>8</v>
      </c>
    </row>
    <row r="332" spans="1:5" x14ac:dyDescent="0.55000000000000004">
      <c r="A332" t="s">
        <v>2292</v>
      </c>
      <c r="B332" t="s">
        <v>2291</v>
      </c>
      <c r="C332" t="s">
        <v>10</v>
      </c>
      <c r="D332">
        <v>2969422</v>
      </c>
      <c r="E332" t="s">
        <v>8</v>
      </c>
    </row>
    <row r="333" spans="1:5" x14ac:dyDescent="0.55000000000000004">
      <c r="A333" t="s">
        <v>1369</v>
      </c>
      <c r="B333" t="s">
        <v>1367</v>
      </c>
      <c r="C333" t="s">
        <v>1368</v>
      </c>
      <c r="D333">
        <v>709264</v>
      </c>
      <c r="E333" t="s">
        <v>8</v>
      </c>
    </row>
    <row r="334" spans="1:5" x14ac:dyDescent="0.55000000000000004">
      <c r="A334" t="s">
        <v>1371</v>
      </c>
      <c r="B334" t="s">
        <v>1370</v>
      </c>
      <c r="C334" t="s">
        <v>10</v>
      </c>
      <c r="D334">
        <v>392465</v>
      </c>
      <c r="E334" t="s">
        <v>8</v>
      </c>
    </row>
    <row r="335" spans="1:5" x14ac:dyDescent="0.55000000000000004">
      <c r="A335" t="s">
        <v>655</v>
      </c>
      <c r="B335" t="s">
        <v>654</v>
      </c>
      <c r="C335" t="s">
        <v>10</v>
      </c>
      <c r="D335">
        <v>221090</v>
      </c>
      <c r="E335" t="s">
        <v>8</v>
      </c>
    </row>
    <row r="336" spans="1:5" x14ac:dyDescent="0.55000000000000004">
      <c r="A336" t="s">
        <v>2294</v>
      </c>
      <c r="B336" t="s">
        <v>2293</v>
      </c>
      <c r="C336" t="s">
        <v>10</v>
      </c>
      <c r="D336">
        <v>2021370</v>
      </c>
      <c r="E336" t="s">
        <v>8</v>
      </c>
    </row>
    <row r="337" spans="1:5" x14ac:dyDescent="0.55000000000000004">
      <c r="A337" t="s">
        <v>1973</v>
      </c>
      <c r="B337" t="s">
        <v>1972</v>
      </c>
      <c r="C337" t="s">
        <v>10</v>
      </c>
      <c r="D337">
        <v>719368</v>
      </c>
      <c r="E337" t="s">
        <v>8</v>
      </c>
    </row>
    <row r="338" spans="1:5" x14ac:dyDescent="0.55000000000000004">
      <c r="A338" t="s">
        <v>1727</v>
      </c>
      <c r="B338" t="s">
        <v>1726</v>
      </c>
      <c r="C338" t="s">
        <v>10</v>
      </c>
      <c r="D338">
        <v>373093</v>
      </c>
      <c r="E338" t="s">
        <v>8</v>
      </c>
    </row>
    <row r="339" spans="1:5" x14ac:dyDescent="0.55000000000000004">
      <c r="A339" t="s">
        <v>1975</v>
      </c>
      <c r="B339" t="s">
        <v>1974</v>
      </c>
      <c r="C339" t="s">
        <v>10</v>
      </c>
      <c r="D339">
        <v>309550</v>
      </c>
      <c r="E339" t="s">
        <v>8</v>
      </c>
    </row>
    <row r="340" spans="1:5" x14ac:dyDescent="0.55000000000000004">
      <c r="A340" t="s">
        <v>777</v>
      </c>
      <c r="B340" t="s">
        <v>776</v>
      </c>
      <c r="C340" t="s">
        <v>10</v>
      </c>
      <c r="D340">
        <v>4188442</v>
      </c>
      <c r="E340" t="s">
        <v>8</v>
      </c>
    </row>
    <row r="341" spans="1:5" x14ac:dyDescent="0.55000000000000004">
      <c r="A341" t="s">
        <v>1373</v>
      </c>
      <c r="B341" t="s">
        <v>1372</v>
      </c>
      <c r="C341" t="s">
        <v>10</v>
      </c>
      <c r="D341">
        <v>255388</v>
      </c>
      <c r="E341" t="s">
        <v>8</v>
      </c>
    </row>
    <row r="342" spans="1:5" x14ac:dyDescent="0.55000000000000004">
      <c r="A342" t="s">
        <v>341</v>
      </c>
      <c r="B342" t="s">
        <v>340</v>
      </c>
      <c r="C342" t="s">
        <v>10</v>
      </c>
      <c r="D342">
        <v>1280628</v>
      </c>
      <c r="E342" t="s">
        <v>8</v>
      </c>
    </row>
    <row r="343" spans="1:5" x14ac:dyDescent="0.55000000000000004">
      <c r="A343" t="s">
        <v>1977</v>
      </c>
      <c r="B343" t="s">
        <v>1976</v>
      </c>
      <c r="C343" t="s">
        <v>10</v>
      </c>
      <c r="D343">
        <v>1231665</v>
      </c>
      <c r="E343" t="s">
        <v>8</v>
      </c>
    </row>
    <row r="344" spans="1:5" x14ac:dyDescent="0.55000000000000004">
      <c r="A344" t="s">
        <v>2296</v>
      </c>
      <c r="B344" t="s">
        <v>2295</v>
      </c>
      <c r="C344" t="s">
        <v>10</v>
      </c>
      <c r="D344">
        <v>688103</v>
      </c>
      <c r="E344" t="s">
        <v>8</v>
      </c>
    </row>
    <row r="345" spans="1:5" x14ac:dyDescent="0.55000000000000004">
      <c r="A345" t="s">
        <v>1731</v>
      </c>
      <c r="B345" t="s">
        <v>1730</v>
      </c>
      <c r="C345" t="s">
        <v>13</v>
      </c>
      <c r="D345">
        <v>270502</v>
      </c>
      <c r="E345" t="s">
        <v>8</v>
      </c>
    </row>
    <row r="346" spans="1:5" x14ac:dyDescent="0.55000000000000004">
      <c r="A346" t="s">
        <v>1979</v>
      </c>
      <c r="B346" t="s">
        <v>1978</v>
      </c>
      <c r="C346" t="s">
        <v>10</v>
      </c>
      <c r="D346">
        <v>931353</v>
      </c>
      <c r="E346" t="s">
        <v>8</v>
      </c>
    </row>
    <row r="347" spans="1:5" x14ac:dyDescent="0.55000000000000004">
      <c r="A347" t="s">
        <v>1375</v>
      </c>
      <c r="B347" t="s">
        <v>1374</v>
      </c>
      <c r="C347" t="s">
        <v>10</v>
      </c>
      <c r="D347">
        <v>1335022</v>
      </c>
      <c r="E347" t="s">
        <v>8</v>
      </c>
    </row>
    <row r="348" spans="1:5" x14ac:dyDescent="0.55000000000000004">
      <c r="A348" t="s">
        <v>2298</v>
      </c>
      <c r="B348" t="s">
        <v>2297</v>
      </c>
      <c r="C348" t="s">
        <v>10</v>
      </c>
      <c r="D348">
        <v>250267</v>
      </c>
      <c r="E348" t="s">
        <v>8</v>
      </c>
    </row>
    <row r="349" spans="1:5" x14ac:dyDescent="0.55000000000000004">
      <c r="A349" t="s">
        <v>2300</v>
      </c>
      <c r="B349" t="s">
        <v>2299</v>
      </c>
      <c r="C349" t="s">
        <v>10</v>
      </c>
      <c r="D349">
        <v>340161</v>
      </c>
      <c r="E349" t="s">
        <v>8</v>
      </c>
    </row>
    <row r="350" spans="1:5" x14ac:dyDescent="0.55000000000000004">
      <c r="A350" t="s">
        <v>1735</v>
      </c>
      <c r="B350" t="s">
        <v>1734</v>
      </c>
      <c r="C350" t="s">
        <v>13</v>
      </c>
      <c r="D350">
        <v>723282</v>
      </c>
      <c r="E350" t="s">
        <v>8</v>
      </c>
    </row>
    <row r="351" spans="1:5" x14ac:dyDescent="0.55000000000000004">
      <c r="A351" t="s">
        <v>1981</v>
      </c>
      <c r="B351" t="s">
        <v>1980</v>
      </c>
      <c r="C351" t="s">
        <v>10</v>
      </c>
      <c r="D351">
        <v>328909</v>
      </c>
      <c r="E351" t="s">
        <v>8</v>
      </c>
    </row>
    <row r="352" spans="1:5" x14ac:dyDescent="0.55000000000000004">
      <c r="A352" t="s">
        <v>894</v>
      </c>
      <c r="B352" t="s">
        <v>893</v>
      </c>
      <c r="C352" t="s">
        <v>141</v>
      </c>
      <c r="D352">
        <v>793546</v>
      </c>
      <c r="E352" t="s">
        <v>8</v>
      </c>
    </row>
    <row r="353" spans="1:5" x14ac:dyDescent="0.55000000000000004">
      <c r="A353" t="s">
        <v>2302</v>
      </c>
      <c r="B353" t="s">
        <v>2301</v>
      </c>
      <c r="C353" t="s">
        <v>18</v>
      </c>
      <c r="D353">
        <v>397495</v>
      </c>
      <c r="E353" t="s">
        <v>8</v>
      </c>
    </row>
    <row r="354" spans="1:5" x14ac:dyDescent="0.55000000000000004">
      <c r="A354" t="s">
        <v>352</v>
      </c>
      <c r="B354" t="s">
        <v>351</v>
      </c>
      <c r="C354" t="s">
        <v>18</v>
      </c>
      <c r="D354">
        <v>1282544</v>
      </c>
      <c r="E354" t="s">
        <v>8</v>
      </c>
    </row>
    <row r="355" spans="1:5" x14ac:dyDescent="0.55000000000000004">
      <c r="A355" t="s">
        <v>1983</v>
      </c>
      <c r="B355" t="s">
        <v>1982</v>
      </c>
      <c r="C355" t="s">
        <v>10</v>
      </c>
      <c r="D355">
        <v>861206</v>
      </c>
      <c r="E355" t="s">
        <v>8</v>
      </c>
    </row>
    <row r="356" spans="1:5" x14ac:dyDescent="0.55000000000000004">
      <c r="A356" t="s">
        <v>1985</v>
      </c>
      <c r="B356" t="s">
        <v>1984</v>
      </c>
      <c r="C356" t="s">
        <v>10</v>
      </c>
      <c r="D356">
        <v>2289680</v>
      </c>
      <c r="E356" t="s">
        <v>8</v>
      </c>
    </row>
    <row r="357" spans="1:5" x14ac:dyDescent="0.55000000000000004">
      <c r="A357" t="s">
        <v>2304</v>
      </c>
      <c r="B357" t="s">
        <v>2303</v>
      </c>
      <c r="C357" t="s">
        <v>10</v>
      </c>
      <c r="D357">
        <v>95872</v>
      </c>
      <c r="E357" t="s">
        <v>8</v>
      </c>
    </row>
    <row r="358" spans="1:5" x14ac:dyDescent="0.55000000000000004">
      <c r="A358" t="s">
        <v>2306</v>
      </c>
      <c r="B358" t="s">
        <v>2305</v>
      </c>
      <c r="C358" t="s">
        <v>10</v>
      </c>
      <c r="D358">
        <v>1972689</v>
      </c>
      <c r="E358" t="s">
        <v>8</v>
      </c>
    </row>
    <row r="359" spans="1:5" x14ac:dyDescent="0.55000000000000004">
      <c r="A359" t="s">
        <v>671</v>
      </c>
      <c r="B359" t="s">
        <v>670</v>
      </c>
      <c r="C359" t="s">
        <v>41</v>
      </c>
      <c r="D359">
        <v>1384626</v>
      </c>
      <c r="E359" t="s">
        <v>8</v>
      </c>
    </row>
    <row r="360" spans="1:5" x14ac:dyDescent="0.55000000000000004">
      <c r="A360" t="s">
        <v>1387</v>
      </c>
      <c r="B360" t="s">
        <v>1386</v>
      </c>
      <c r="C360" t="s">
        <v>10</v>
      </c>
      <c r="D360">
        <v>313454</v>
      </c>
      <c r="E360" t="s">
        <v>8</v>
      </c>
    </row>
    <row r="361" spans="1:5" x14ac:dyDescent="0.55000000000000004">
      <c r="A361" t="s">
        <v>1987</v>
      </c>
      <c r="B361" t="s">
        <v>1986</v>
      </c>
      <c r="C361" t="s">
        <v>10</v>
      </c>
      <c r="D361">
        <v>153341</v>
      </c>
      <c r="E361" t="s">
        <v>8</v>
      </c>
    </row>
    <row r="362" spans="1:5" x14ac:dyDescent="0.55000000000000004">
      <c r="A362" t="s">
        <v>1089</v>
      </c>
      <c r="B362" t="s">
        <v>1088</v>
      </c>
      <c r="C362" t="s">
        <v>41</v>
      </c>
      <c r="D362">
        <v>612726</v>
      </c>
      <c r="E362" t="s">
        <v>8</v>
      </c>
    </row>
    <row r="363" spans="1:5" x14ac:dyDescent="0.55000000000000004">
      <c r="A363" t="s">
        <v>2308</v>
      </c>
      <c r="B363" t="s">
        <v>2307</v>
      </c>
      <c r="C363" t="s">
        <v>10</v>
      </c>
      <c r="D363">
        <v>806643</v>
      </c>
      <c r="E363" t="s">
        <v>8</v>
      </c>
    </row>
    <row r="364" spans="1:5" x14ac:dyDescent="0.55000000000000004">
      <c r="A364" t="s">
        <v>366</v>
      </c>
      <c r="B364" t="s">
        <v>365</v>
      </c>
      <c r="C364" t="s">
        <v>10</v>
      </c>
      <c r="D364">
        <v>228221</v>
      </c>
      <c r="E364" t="s">
        <v>8</v>
      </c>
    </row>
    <row r="365" spans="1:5" x14ac:dyDescent="0.55000000000000004">
      <c r="A365" t="s">
        <v>900</v>
      </c>
      <c r="B365" t="s">
        <v>899</v>
      </c>
      <c r="C365" t="s">
        <v>10</v>
      </c>
      <c r="D365">
        <v>1281465</v>
      </c>
      <c r="E365" t="s">
        <v>8</v>
      </c>
    </row>
    <row r="366" spans="1:5" x14ac:dyDescent="0.55000000000000004">
      <c r="A366" t="s">
        <v>1747</v>
      </c>
      <c r="B366" t="s">
        <v>1746</v>
      </c>
      <c r="C366" t="s">
        <v>10</v>
      </c>
      <c r="D366">
        <v>594893</v>
      </c>
      <c r="E366" t="s">
        <v>8</v>
      </c>
    </row>
    <row r="367" spans="1:5" x14ac:dyDescent="0.55000000000000004">
      <c r="A367" t="s">
        <v>1546</v>
      </c>
      <c r="B367" t="s">
        <v>1545</v>
      </c>
      <c r="C367" t="s">
        <v>10</v>
      </c>
      <c r="D367">
        <v>267444</v>
      </c>
      <c r="E367" t="s">
        <v>8</v>
      </c>
    </row>
    <row r="368" spans="1:5" x14ac:dyDescent="0.55000000000000004">
      <c r="A368" t="s">
        <v>1389</v>
      </c>
      <c r="B368" t="s">
        <v>1388</v>
      </c>
      <c r="C368" t="s">
        <v>6</v>
      </c>
      <c r="D368">
        <v>85950</v>
      </c>
      <c r="E368" t="s">
        <v>8</v>
      </c>
    </row>
    <row r="369" spans="1:5" x14ac:dyDescent="0.55000000000000004">
      <c r="A369" t="s">
        <v>2310</v>
      </c>
      <c r="B369" t="s">
        <v>2309</v>
      </c>
      <c r="C369" t="s">
        <v>10</v>
      </c>
      <c r="D369">
        <v>248984</v>
      </c>
      <c r="E369" t="s">
        <v>8</v>
      </c>
    </row>
    <row r="370" spans="1:5" x14ac:dyDescent="0.55000000000000004">
      <c r="A370" t="s">
        <v>1391</v>
      </c>
      <c r="B370" t="s">
        <v>1390</v>
      </c>
      <c r="C370" t="s">
        <v>13</v>
      </c>
      <c r="D370">
        <v>498382</v>
      </c>
      <c r="E370" t="s">
        <v>8</v>
      </c>
    </row>
    <row r="371" spans="1:5" x14ac:dyDescent="0.55000000000000004">
      <c r="A371" t="s">
        <v>374</v>
      </c>
      <c r="B371" t="s">
        <v>373</v>
      </c>
      <c r="C371" t="s">
        <v>6</v>
      </c>
      <c r="D371">
        <v>152716</v>
      </c>
      <c r="E371" t="s">
        <v>8</v>
      </c>
    </row>
    <row r="372" spans="1:5" x14ac:dyDescent="0.55000000000000004">
      <c r="A372" t="s">
        <v>2312</v>
      </c>
      <c r="B372" t="s">
        <v>2311</v>
      </c>
      <c r="C372" t="s">
        <v>10</v>
      </c>
      <c r="D372">
        <v>224486</v>
      </c>
      <c r="E372" t="s">
        <v>8</v>
      </c>
    </row>
    <row r="373" spans="1:5" x14ac:dyDescent="0.55000000000000004">
      <c r="A373" t="s">
        <v>2314</v>
      </c>
      <c r="B373" t="s">
        <v>2313</v>
      </c>
      <c r="C373" t="s">
        <v>10</v>
      </c>
      <c r="D373">
        <v>646462</v>
      </c>
      <c r="E373" t="s">
        <v>8</v>
      </c>
    </row>
    <row r="374" spans="1:5" x14ac:dyDescent="0.55000000000000004">
      <c r="A374" t="s">
        <v>2316</v>
      </c>
      <c r="B374" t="s">
        <v>2315</v>
      </c>
      <c r="C374" t="s">
        <v>10</v>
      </c>
      <c r="D374">
        <v>211306</v>
      </c>
      <c r="E374" t="s">
        <v>8</v>
      </c>
    </row>
    <row r="375" spans="1:5" x14ac:dyDescent="0.55000000000000004">
      <c r="A375" t="s">
        <v>2318</v>
      </c>
      <c r="B375" t="s">
        <v>2317</v>
      </c>
      <c r="C375" t="s">
        <v>10</v>
      </c>
      <c r="D375">
        <v>392363</v>
      </c>
      <c r="E375" t="s">
        <v>8</v>
      </c>
    </row>
    <row r="376" spans="1:5" x14ac:dyDescent="0.55000000000000004">
      <c r="A376" t="s">
        <v>378</v>
      </c>
      <c r="B376" t="s">
        <v>377</v>
      </c>
      <c r="C376" t="s">
        <v>10</v>
      </c>
      <c r="D376">
        <v>244919</v>
      </c>
      <c r="E376" t="s">
        <v>8</v>
      </c>
    </row>
    <row r="377" spans="1:5" x14ac:dyDescent="0.55000000000000004">
      <c r="A377" t="s">
        <v>1753</v>
      </c>
      <c r="B377" t="s">
        <v>1752</v>
      </c>
      <c r="C377" t="s">
        <v>10</v>
      </c>
      <c r="D377">
        <v>828135</v>
      </c>
      <c r="E377" t="s">
        <v>8</v>
      </c>
    </row>
    <row r="378" spans="1:5" x14ac:dyDescent="0.55000000000000004">
      <c r="A378" t="s">
        <v>2320</v>
      </c>
      <c r="B378" t="s">
        <v>2319</v>
      </c>
      <c r="C378" t="s">
        <v>10</v>
      </c>
      <c r="D378">
        <v>708261</v>
      </c>
      <c r="E378" t="s">
        <v>8</v>
      </c>
    </row>
    <row r="379" spans="1:5" x14ac:dyDescent="0.55000000000000004">
      <c r="A379" t="s">
        <v>1991</v>
      </c>
      <c r="B379" t="s">
        <v>1990</v>
      </c>
      <c r="C379" t="s">
        <v>6</v>
      </c>
      <c r="D379">
        <v>158065</v>
      </c>
      <c r="E379" t="s">
        <v>8</v>
      </c>
    </row>
    <row r="380" spans="1:5" x14ac:dyDescent="0.55000000000000004">
      <c r="A380" t="s">
        <v>902</v>
      </c>
      <c r="B380" t="s">
        <v>901</v>
      </c>
      <c r="C380" t="s">
        <v>10</v>
      </c>
      <c r="D380">
        <v>528510</v>
      </c>
      <c r="E380" t="s">
        <v>8</v>
      </c>
    </row>
    <row r="381" spans="1:5" x14ac:dyDescent="0.55000000000000004">
      <c r="A381" t="s">
        <v>783</v>
      </c>
      <c r="B381" t="s">
        <v>782</v>
      </c>
      <c r="C381" t="s">
        <v>10</v>
      </c>
      <c r="D381">
        <v>2255352</v>
      </c>
      <c r="E381" t="s">
        <v>8</v>
      </c>
    </row>
    <row r="382" spans="1:5" x14ac:dyDescent="0.55000000000000004">
      <c r="A382" t="s">
        <v>2322</v>
      </c>
      <c r="B382" t="s">
        <v>2321</v>
      </c>
      <c r="C382" t="s">
        <v>13</v>
      </c>
      <c r="D382">
        <v>1100349</v>
      </c>
      <c r="E382" t="s">
        <v>8</v>
      </c>
    </row>
    <row r="383" spans="1:5" x14ac:dyDescent="0.55000000000000004">
      <c r="A383" t="s">
        <v>1393</v>
      </c>
      <c r="B383" t="s">
        <v>1392</v>
      </c>
      <c r="C383" t="s">
        <v>6</v>
      </c>
      <c r="D383">
        <v>346320</v>
      </c>
      <c r="E383" t="s">
        <v>8</v>
      </c>
    </row>
    <row r="384" spans="1:5" x14ac:dyDescent="0.55000000000000004">
      <c r="A384" t="s">
        <v>386</v>
      </c>
      <c r="B384" t="s">
        <v>385</v>
      </c>
      <c r="C384" t="s">
        <v>13</v>
      </c>
      <c r="D384">
        <v>3902166</v>
      </c>
      <c r="E384" t="s">
        <v>8</v>
      </c>
    </row>
    <row r="385" spans="1:5" x14ac:dyDescent="0.55000000000000004">
      <c r="A385" t="s">
        <v>1995</v>
      </c>
      <c r="B385" t="s">
        <v>1994</v>
      </c>
      <c r="C385" t="s">
        <v>10</v>
      </c>
      <c r="D385">
        <v>280519</v>
      </c>
      <c r="E385" t="s">
        <v>8</v>
      </c>
    </row>
    <row r="386" spans="1:5" x14ac:dyDescent="0.55000000000000004">
      <c r="A386" t="s">
        <v>1397</v>
      </c>
      <c r="B386" t="s">
        <v>1396</v>
      </c>
      <c r="C386" t="s">
        <v>10</v>
      </c>
      <c r="D386">
        <v>978232</v>
      </c>
      <c r="E386" t="s">
        <v>8</v>
      </c>
    </row>
    <row r="387" spans="1:5" x14ac:dyDescent="0.55000000000000004">
      <c r="A387" t="s">
        <v>1759</v>
      </c>
      <c r="B387" t="s">
        <v>1758</v>
      </c>
      <c r="C387" t="s">
        <v>10</v>
      </c>
      <c r="D387">
        <v>746158</v>
      </c>
      <c r="E387" t="s">
        <v>8</v>
      </c>
    </row>
    <row r="388" spans="1:5" x14ac:dyDescent="0.55000000000000004">
      <c r="A388" t="s">
        <v>1399</v>
      </c>
      <c r="B388" t="s">
        <v>1398</v>
      </c>
      <c r="C388" t="s">
        <v>13</v>
      </c>
      <c r="D388">
        <v>353841</v>
      </c>
      <c r="E388" t="s">
        <v>8</v>
      </c>
    </row>
    <row r="389" spans="1:5" x14ac:dyDescent="0.55000000000000004">
      <c r="A389" t="s">
        <v>390</v>
      </c>
      <c r="B389" t="s">
        <v>389</v>
      </c>
      <c r="C389" t="s">
        <v>13</v>
      </c>
      <c r="D389">
        <v>1462700</v>
      </c>
      <c r="E389" t="s">
        <v>8</v>
      </c>
    </row>
    <row r="390" spans="1:5" x14ac:dyDescent="0.55000000000000004">
      <c r="A390" t="s">
        <v>2324</v>
      </c>
      <c r="B390" t="s">
        <v>2323</v>
      </c>
      <c r="C390" t="s">
        <v>18</v>
      </c>
      <c r="D390">
        <v>951943</v>
      </c>
      <c r="E390" t="s">
        <v>8</v>
      </c>
    </row>
    <row r="391" spans="1:5" x14ac:dyDescent="0.55000000000000004">
      <c r="A391" t="s">
        <v>906</v>
      </c>
      <c r="B391" t="s">
        <v>905</v>
      </c>
      <c r="C391" t="s">
        <v>18</v>
      </c>
      <c r="D391">
        <v>780687</v>
      </c>
      <c r="E391" t="s">
        <v>8</v>
      </c>
    </row>
    <row r="392" spans="1:5" x14ac:dyDescent="0.55000000000000004">
      <c r="A392" t="s">
        <v>1404</v>
      </c>
      <c r="B392" t="s">
        <v>1402</v>
      </c>
      <c r="C392" t="s">
        <v>1403</v>
      </c>
      <c r="D392">
        <v>3807959</v>
      </c>
      <c r="E392" t="s">
        <v>8</v>
      </c>
    </row>
    <row r="393" spans="1:5" x14ac:dyDescent="0.55000000000000004">
      <c r="A393" t="s">
        <v>2326</v>
      </c>
      <c r="B393" t="s">
        <v>2325</v>
      </c>
      <c r="C393" t="s">
        <v>10</v>
      </c>
      <c r="D393">
        <v>792953</v>
      </c>
      <c r="E393" t="s">
        <v>8</v>
      </c>
    </row>
    <row r="394" spans="1:5" x14ac:dyDescent="0.55000000000000004">
      <c r="A394" t="s">
        <v>2328</v>
      </c>
      <c r="B394" t="s">
        <v>2327</v>
      </c>
      <c r="C394" t="s">
        <v>10</v>
      </c>
      <c r="D394">
        <v>507498</v>
      </c>
      <c r="E394" t="s">
        <v>8</v>
      </c>
    </row>
    <row r="395" spans="1:5" x14ac:dyDescent="0.55000000000000004">
      <c r="A395" t="s">
        <v>1101</v>
      </c>
      <c r="B395" t="s">
        <v>1100</v>
      </c>
      <c r="C395" t="s">
        <v>18</v>
      </c>
      <c r="D395">
        <v>529159</v>
      </c>
      <c r="E395" t="s">
        <v>8</v>
      </c>
    </row>
    <row r="396" spans="1:5" x14ac:dyDescent="0.55000000000000004">
      <c r="A396" t="s">
        <v>1997</v>
      </c>
      <c r="B396" t="s">
        <v>1996</v>
      </c>
      <c r="C396" t="s">
        <v>10</v>
      </c>
      <c r="D396">
        <v>742460</v>
      </c>
      <c r="E396" t="s">
        <v>8</v>
      </c>
    </row>
    <row r="397" spans="1:5" x14ac:dyDescent="0.55000000000000004">
      <c r="A397" t="s">
        <v>2330</v>
      </c>
      <c r="B397" t="s">
        <v>2329</v>
      </c>
      <c r="C397" t="s">
        <v>10</v>
      </c>
      <c r="D397">
        <v>378522</v>
      </c>
      <c r="E397" t="s">
        <v>8</v>
      </c>
    </row>
    <row r="398" spans="1:5" x14ac:dyDescent="0.55000000000000004">
      <c r="A398" t="s">
        <v>1999</v>
      </c>
      <c r="B398" t="s">
        <v>1998</v>
      </c>
      <c r="C398" t="s">
        <v>13</v>
      </c>
      <c r="D398">
        <v>678193</v>
      </c>
      <c r="E398" t="s">
        <v>8</v>
      </c>
    </row>
    <row r="399" spans="1:5" x14ac:dyDescent="0.55000000000000004">
      <c r="A399" t="s">
        <v>2001</v>
      </c>
      <c r="B399" t="s">
        <v>2000</v>
      </c>
      <c r="C399" t="s">
        <v>10</v>
      </c>
      <c r="D399">
        <v>2955931</v>
      </c>
      <c r="E399" t="s">
        <v>8</v>
      </c>
    </row>
    <row r="400" spans="1:5" x14ac:dyDescent="0.55000000000000004">
      <c r="A400" t="s">
        <v>2332</v>
      </c>
      <c r="B400" t="s">
        <v>2331</v>
      </c>
      <c r="C400" t="s">
        <v>76</v>
      </c>
      <c r="D400">
        <v>711385</v>
      </c>
      <c r="E400" t="s">
        <v>8</v>
      </c>
    </row>
    <row r="401" spans="1:5" x14ac:dyDescent="0.55000000000000004">
      <c r="A401" t="s">
        <v>910</v>
      </c>
      <c r="B401" t="s">
        <v>909</v>
      </c>
      <c r="C401" t="s">
        <v>10</v>
      </c>
      <c r="D401">
        <v>331422</v>
      </c>
      <c r="E401" t="s">
        <v>8</v>
      </c>
    </row>
    <row r="402" spans="1:5" x14ac:dyDescent="0.55000000000000004">
      <c r="A402" t="s">
        <v>2334</v>
      </c>
      <c r="B402" t="s">
        <v>2333</v>
      </c>
      <c r="C402" t="s">
        <v>10</v>
      </c>
      <c r="D402">
        <v>1897408</v>
      </c>
      <c r="E402" t="s">
        <v>8</v>
      </c>
    </row>
    <row r="403" spans="1:5" x14ac:dyDescent="0.55000000000000004">
      <c r="A403" t="s">
        <v>2005</v>
      </c>
      <c r="B403" t="s">
        <v>2004</v>
      </c>
      <c r="C403" t="s">
        <v>10</v>
      </c>
      <c r="D403">
        <v>509612</v>
      </c>
      <c r="E403" t="s">
        <v>8</v>
      </c>
    </row>
    <row r="404" spans="1:5" x14ac:dyDescent="0.55000000000000004">
      <c r="A404" t="s">
        <v>1414</v>
      </c>
      <c r="B404" t="s">
        <v>1413</v>
      </c>
      <c r="C404" t="s">
        <v>13</v>
      </c>
      <c r="D404">
        <v>2208916</v>
      </c>
      <c r="E404" t="s">
        <v>8</v>
      </c>
    </row>
    <row r="405" spans="1:5" x14ac:dyDescent="0.55000000000000004">
      <c r="A405" t="s">
        <v>2336</v>
      </c>
      <c r="B405" t="s">
        <v>2335</v>
      </c>
      <c r="C405" t="s">
        <v>10</v>
      </c>
      <c r="D405">
        <v>916142</v>
      </c>
      <c r="E405" t="s">
        <v>8</v>
      </c>
    </row>
    <row r="406" spans="1:5" x14ac:dyDescent="0.55000000000000004">
      <c r="A406" t="s">
        <v>1107</v>
      </c>
      <c r="B406" t="s">
        <v>2337</v>
      </c>
      <c r="C406" t="s">
        <v>6</v>
      </c>
      <c r="D406">
        <v>468602</v>
      </c>
      <c r="E406" t="s">
        <v>8</v>
      </c>
    </row>
    <row r="407" spans="1:5" x14ac:dyDescent="0.55000000000000004">
      <c r="A407" t="s">
        <v>2339</v>
      </c>
      <c r="B407" t="s">
        <v>2338</v>
      </c>
      <c r="C407" t="s">
        <v>1701</v>
      </c>
      <c r="D407">
        <v>442734</v>
      </c>
      <c r="E407" t="s">
        <v>8</v>
      </c>
    </row>
    <row r="408" spans="1:5" x14ac:dyDescent="0.55000000000000004">
      <c r="A408" t="s">
        <v>795</v>
      </c>
      <c r="B408" t="s">
        <v>794</v>
      </c>
      <c r="C408" t="s">
        <v>18</v>
      </c>
      <c r="D408">
        <v>2103865</v>
      </c>
      <c r="E408" t="s">
        <v>8</v>
      </c>
    </row>
    <row r="409" spans="1:5" x14ac:dyDescent="0.55000000000000004">
      <c r="A409" t="s">
        <v>1416</v>
      </c>
      <c r="B409" t="s">
        <v>1415</v>
      </c>
      <c r="C409" t="s">
        <v>10</v>
      </c>
      <c r="D409">
        <v>3802582</v>
      </c>
      <c r="E409" t="s">
        <v>8</v>
      </c>
    </row>
    <row r="410" spans="1:5" x14ac:dyDescent="0.55000000000000004">
      <c r="A410" t="s">
        <v>1777</v>
      </c>
      <c r="B410" t="s">
        <v>1776</v>
      </c>
      <c r="C410" t="s">
        <v>10</v>
      </c>
      <c r="D410">
        <v>3617457</v>
      </c>
      <c r="E410" t="s">
        <v>8</v>
      </c>
    </row>
    <row r="411" spans="1:5" x14ac:dyDescent="0.55000000000000004">
      <c r="A411" t="s">
        <v>2341</v>
      </c>
      <c r="B411" t="s">
        <v>2340</v>
      </c>
      <c r="C411" t="s">
        <v>13</v>
      </c>
      <c r="D411">
        <v>970486</v>
      </c>
      <c r="E411" t="s">
        <v>8</v>
      </c>
    </row>
    <row r="412" spans="1:5" x14ac:dyDescent="0.55000000000000004">
      <c r="A412" t="s">
        <v>2343</v>
      </c>
      <c r="B412" t="s">
        <v>2342</v>
      </c>
      <c r="C412" t="s">
        <v>10</v>
      </c>
      <c r="D412">
        <v>716920</v>
      </c>
      <c r="E412" t="s">
        <v>8</v>
      </c>
    </row>
    <row r="413" spans="1:5" x14ac:dyDescent="0.55000000000000004">
      <c r="A413" t="s">
        <v>2010</v>
      </c>
      <c r="B413" t="s">
        <v>2009</v>
      </c>
      <c r="C413" t="s">
        <v>10</v>
      </c>
      <c r="D413">
        <v>1549486</v>
      </c>
      <c r="E413" t="s">
        <v>8</v>
      </c>
    </row>
    <row r="414" spans="1:5" x14ac:dyDescent="0.55000000000000004">
      <c r="A414" t="s">
        <v>2345</v>
      </c>
      <c r="B414" t="s">
        <v>2344</v>
      </c>
      <c r="C414" t="s">
        <v>558</v>
      </c>
      <c r="D414">
        <v>1378032</v>
      </c>
      <c r="E414" t="s">
        <v>8</v>
      </c>
    </row>
    <row r="415" spans="1:5" x14ac:dyDescent="0.55000000000000004">
      <c r="A415" t="s">
        <v>2347</v>
      </c>
      <c r="B415" t="s">
        <v>2346</v>
      </c>
      <c r="C415" t="s">
        <v>10</v>
      </c>
      <c r="D415">
        <v>204930</v>
      </c>
      <c r="E415" t="s">
        <v>8</v>
      </c>
    </row>
    <row r="416" spans="1:5" x14ac:dyDescent="0.55000000000000004">
      <c r="A416" t="s">
        <v>2014</v>
      </c>
      <c r="B416" t="s">
        <v>2013</v>
      </c>
      <c r="C416" t="s">
        <v>10</v>
      </c>
      <c r="D416">
        <v>3263544</v>
      </c>
      <c r="E416" t="s">
        <v>8</v>
      </c>
    </row>
    <row r="417" spans="1:5" x14ac:dyDescent="0.55000000000000004">
      <c r="A417" t="s">
        <v>2349</v>
      </c>
      <c r="B417" t="s">
        <v>2348</v>
      </c>
      <c r="C417" t="s">
        <v>10</v>
      </c>
      <c r="D417">
        <v>984379</v>
      </c>
      <c r="E417" t="s">
        <v>8</v>
      </c>
    </row>
    <row r="418" spans="1:5" x14ac:dyDescent="0.55000000000000004">
      <c r="A418" t="s">
        <v>2016</v>
      </c>
      <c r="B418" t="s">
        <v>2015</v>
      </c>
      <c r="C418" t="s">
        <v>926</v>
      </c>
      <c r="D418">
        <v>290070</v>
      </c>
      <c r="E418" t="s">
        <v>8</v>
      </c>
    </row>
    <row r="419" spans="1:5" x14ac:dyDescent="0.55000000000000004">
      <c r="A419" t="s">
        <v>2351</v>
      </c>
      <c r="B419" t="s">
        <v>2350</v>
      </c>
      <c r="C419" t="s">
        <v>10</v>
      </c>
      <c r="D419">
        <v>413991</v>
      </c>
      <c r="E419" t="s">
        <v>8</v>
      </c>
    </row>
    <row r="420" spans="1:5" x14ac:dyDescent="0.55000000000000004">
      <c r="A420" t="s">
        <v>2353</v>
      </c>
      <c r="B420" t="s">
        <v>2352</v>
      </c>
      <c r="C420" t="s">
        <v>10</v>
      </c>
      <c r="D420">
        <v>2620274</v>
      </c>
      <c r="E420" t="s">
        <v>8</v>
      </c>
    </row>
    <row r="421" spans="1:5" x14ac:dyDescent="0.55000000000000004">
      <c r="A421" t="s">
        <v>2355</v>
      </c>
      <c r="B421" t="s">
        <v>2354</v>
      </c>
      <c r="C421" t="s">
        <v>10</v>
      </c>
      <c r="D421">
        <v>203766</v>
      </c>
      <c r="E421" t="s">
        <v>8</v>
      </c>
    </row>
    <row r="422" spans="1:5" x14ac:dyDescent="0.55000000000000004">
      <c r="A422" t="s">
        <v>2018</v>
      </c>
      <c r="B422" t="s">
        <v>2017</v>
      </c>
      <c r="C422" t="s">
        <v>10</v>
      </c>
      <c r="D422">
        <v>325134</v>
      </c>
      <c r="E422" t="s">
        <v>8</v>
      </c>
    </row>
    <row r="423" spans="1:5" x14ac:dyDescent="0.55000000000000004">
      <c r="A423" t="s">
        <v>2357</v>
      </c>
      <c r="B423" t="s">
        <v>2356</v>
      </c>
      <c r="C423" t="s">
        <v>10</v>
      </c>
      <c r="D423">
        <v>297739</v>
      </c>
      <c r="E423" t="s">
        <v>8</v>
      </c>
    </row>
    <row r="424" spans="1:5" x14ac:dyDescent="0.55000000000000004">
      <c r="A424" t="s">
        <v>2020</v>
      </c>
      <c r="B424" t="s">
        <v>2019</v>
      </c>
      <c r="C424" t="s">
        <v>10</v>
      </c>
      <c r="D424">
        <v>742759</v>
      </c>
      <c r="E424" t="s">
        <v>8</v>
      </c>
    </row>
    <row r="425" spans="1:5" x14ac:dyDescent="0.55000000000000004">
      <c r="A425" t="s">
        <v>2359</v>
      </c>
      <c r="B425" t="s">
        <v>2358</v>
      </c>
      <c r="C425" t="s">
        <v>10</v>
      </c>
      <c r="D425">
        <v>649152</v>
      </c>
      <c r="E425" t="s">
        <v>8</v>
      </c>
    </row>
    <row r="426" spans="1:5" x14ac:dyDescent="0.55000000000000004">
      <c r="A426" t="s">
        <v>2361</v>
      </c>
      <c r="B426" t="s">
        <v>2360</v>
      </c>
      <c r="C426" t="s">
        <v>18</v>
      </c>
      <c r="D426">
        <v>106119</v>
      </c>
      <c r="E426" t="s">
        <v>8</v>
      </c>
    </row>
    <row r="427" spans="1:5" x14ac:dyDescent="0.55000000000000004">
      <c r="A427" t="s">
        <v>2021</v>
      </c>
      <c r="B427" t="s">
        <v>698</v>
      </c>
      <c r="C427" t="s">
        <v>13</v>
      </c>
      <c r="D427">
        <v>1579173</v>
      </c>
      <c r="E427" t="s">
        <v>8</v>
      </c>
    </row>
    <row r="428" spans="1:5" x14ac:dyDescent="0.55000000000000004">
      <c r="A428" t="s">
        <v>2023</v>
      </c>
      <c r="B428" t="s">
        <v>2022</v>
      </c>
      <c r="C428" t="s">
        <v>10</v>
      </c>
      <c r="D428">
        <v>4442118</v>
      </c>
      <c r="E428" t="s">
        <v>8</v>
      </c>
    </row>
    <row r="429" spans="1:5" x14ac:dyDescent="0.55000000000000004">
      <c r="A429" t="s">
        <v>1115</v>
      </c>
      <c r="B429" t="s">
        <v>1114</v>
      </c>
      <c r="C429" t="s">
        <v>10</v>
      </c>
      <c r="D429">
        <v>434703</v>
      </c>
      <c r="E429" t="s">
        <v>8</v>
      </c>
    </row>
    <row r="430" spans="1:5" x14ac:dyDescent="0.55000000000000004">
      <c r="A430" t="s">
        <v>2363</v>
      </c>
      <c r="B430" t="s">
        <v>2362</v>
      </c>
      <c r="C430" t="s">
        <v>10</v>
      </c>
      <c r="D430">
        <v>1054614</v>
      </c>
      <c r="E430" t="s">
        <v>8</v>
      </c>
    </row>
    <row r="431" spans="1:5" x14ac:dyDescent="0.55000000000000004">
      <c r="A431" t="s">
        <v>1786</v>
      </c>
      <c r="B431" t="s">
        <v>1785</v>
      </c>
      <c r="C431" t="s">
        <v>1317</v>
      </c>
      <c r="D431">
        <v>405579</v>
      </c>
      <c r="E431" t="s">
        <v>8</v>
      </c>
    </row>
    <row r="432" spans="1:5" x14ac:dyDescent="0.55000000000000004">
      <c r="A432" t="s">
        <v>2025</v>
      </c>
      <c r="B432" t="s">
        <v>2024</v>
      </c>
      <c r="C432" t="s">
        <v>10</v>
      </c>
      <c r="D432">
        <v>2249768</v>
      </c>
      <c r="E432" t="s">
        <v>8</v>
      </c>
    </row>
    <row r="433" spans="1:5" x14ac:dyDescent="0.55000000000000004">
      <c r="A433" t="s">
        <v>2365</v>
      </c>
      <c r="B433" t="s">
        <v>2364</v>
      </c>
      <c r="C433" t="s">
        <v>10</v>
      </c>
      <c r="D433">
        <v>748010</v>
      </c>
      <c r="E433" t="s">
        <v>8</v>
      </c>
    </row>
    <row r="434" spans="1:5" x14ac:dyDescent="0.55000000000000004">
      <c r="A434" t="s">
        <v>1431</v>
      </c>
      <c r="B434" t="s">
        <v>1430</v>
      </c>
      <c r="C434" t="s">
        <v>10</v>
      </c>
      <c r="D434">
        <v>536549</v>
      </c>
      <c r="E434" t="s">
        <v>8</v>
      </c>
    </row>
    <row r="435" spans="1:5" x14ac:dyDescent="0.55000000000000004">
      <c r="A435" t="s">
        <v>2027</v>
      </c>
      <c r="B435" t="s">
        <v>2026</v>
      </c>
      <c r="C435" t="s">
        <v>10</v>
      </c>
      <c r="D435">
        <v>6172968</v>
      </c>
      <c r="E435" t="s">
        <v>8</v>
      </c>
    </row>
    <row r="436" spans="1:5" x14ac:dyDescent="0.55000000000000004">
      <c r="A436" t="s">
        <v>1433</v>
      </c>
      <c r="B436" t="s">
        <v>1432</v>
      </c>
      <c r="C436" t="s">
        <v>10</v>
      </c>
      <c r="D436">
        <v>5901613</v>
      </c>
      <c r="E436" t="s">
        <v>8</v>
      </c>
    </row>
    <row r="437" spans="1:5" x14ac:dyDescent="0.55000000000000004">
      <c r="A437" t="s">
        <v>1788</v>
      </c>
      <c r="B437" t="s">
        <v>1787</v>
      </c>
      <c r="C437" t="s">
        <v>41</v>
      </c>
      <c r="D437">
        <v>257769</v>
      </c>
      <c r="E437" t="s">
        <v>8</v>
      </c>
    </row>
    <row r="438" spans="1:5" x14ac:dyDescent="0.55000000000000004">
      <c r="A438" t="s">
        <v>2029</v>
      </c>
      <c r="B438" t="s">
        <v>2028</v>
      </c>
      <c r="C438" t="s">
        <v>10</v>
      </c>
      <c r="D438">
        <v>150704</v>
      </c>
      <c r="E438" t="s">
        <v>8</v>
      </c>
    </row>
    <row r="439" spans="1:5" x14ac:dyDescent="0.55000000000000004">
      <c r="A439" t="s">
        <v>2031</v>
      </c>
      <c r="B439" t="s">
        <v>2030</v>
      </c>
      <c r="C439" t="s">
        <v>10</v>
      </c>
      <c r="D439">
        <v>766576</v>
      </c>
      <c r="E439" t="s">
        <v>8</v>
      </c>
    </row>
    <row r="440" spans="1:5" x14ac:dyDescent="0.55000000000000004">
      <c r="A440" t="s">
        <v>2033</v>
      </c>
      <c r="B440" t="s">
        <v>2032</v>
      </c>
      <c r="C440" t="s">
        <v>10</v>
      </c>
      <c r="D440">
        <v>744855</v>
      </c>
      <c r="E440" t="s">
        <v>8</v>
      </c>
    </row>
    <row r="441" spans="1:5" x14ac:dyDescent="0.55000000000000004">
      <c r="A441" t="s">
        <v>2035</v>
      </c>
      <c r="B441" t="s">
        <v>2034</v>
      </c>
      <c r="C441" t="s">
        <v>10</v>
      </c>
      <c r="D441">
        <v>1952924</v>
      </c>
      <c r="E441" t="s">
        <v>8</v>
      </c>
    </row>
    <row r="442" spans="1:5" x14ac:dyDescent="0.55000000000000004">
      <c r="A442" t="s">
        <v>2367</v>
      </c>
      <c r="B442" t="s">
        <v>2366</v>
      </c>
      <c r="C442" t="s">
        <v>10</v>
      </c>
      <c r="D442">
        <v>1873528</v>
      </c>
      <c r="E442" t="s">
        <v>8</v>
      </c>
    </row>
    <row r="443" spans="1:5" x14ac:dyDescent="0.55000000000000004">
      <c r="A443" t="s">
        <v>1437</v>
      </c>
      <c r="B443" t="s">
        <v>1436</v>
      </c>
      <c r="C443" t="s">
        <v>41</v>
      </c>
      <c r="D443">
        <v>896043</v>
      </c>
      <c r="E443" t="s">
        <v>8</v>
      </c>
    </row>
    <row r="444" spans="1:5" x14ac:dyDescent="0.55000000000000004">
      <c r="A444" t="s">
        <v>2369</v>
      </c>
      <c r="B444" t="s">
        <v>2368</v>
      </c>
      <c r="C444" t="s">
        <v>10</v>
      </c>
      <c r="D444">
        <v>239189</v>
      </c>
      <c r="E444" t="s">
        <v>8</v>
      </c>
    </row>
    <row r="445" spans="1:5" x14ac:dyDescent="0.55000000000000004">
      <c r="A445" t="s">
        <v>2371</v>
      </c>
      <c r="B445" t="s">
        <v>2370</v>
      </c>
      <c r="C445" t="s">
        <v>10</v>
      </c>
      <c r="D445">
        <v>1107965</v>
      </c>
      <c r="E445" t="s">
        <v>8</v>
      </c>
    </row>
    <row r="446" spans="1:5" x14ac:dyDescent="0.55000000000000004">
      <c r="A446" t="s">
        <v>1792</v>
      </c>
      <c r="B446" t="s">
        <v>1791</v>
      </c>
      <c r="C446" t="s">
        <v>10</v>
      </c>
      <c r="D446">
        <v>1015335</v>
      </c>
      <c r="E446" t="s">
        <v>8</v>
      </c>
    </row>
    <row r="447" spans="1:5" x14ac:dyDescent="0.55000000000000004">
      <c r="A447" t="s">
        <v>431</v>
      </c>
      <c r="B447" t="s">
        <v>430</v>
      </c>
      <c r="C447" t="s">
        <v>10</v>
      </c>
      <c r="D447">
        <v>459456</v>
      </c>
      <c r="E447" t="s">
        <v>8</v>
      </c>
    </row>
    <row r="448" spans="1:5" x14ac:dyDescent="0.55000000000000004">
      <c r="A448" t="s">
        <v>918</v>
      </c>
      <c r="B448" t="s">
        <v>917</v>
      </c>
      <c r="C448" t="s">
        <v>10</v>
      </c>
      <c r="D448">
        <v>984981</v>
      </c>
      <c r="E448" t="s">
        <v>8</v>
      </c>
    </row>
    <row r="449" spans="1:5" x14ac:dyDescent="0.55000000000000004">
      <c r="A449" t="s">
        <v>1794</v>
      </c>
      <c r="B449" t="s">
        <v>1793</v>
      </c>
      <c r="C449" t="s">
        <v>10</v>
      </c>
      <c r="D449">
        <v>514664</v>
      </c>
      <c r="E449" t="s">
        <v>8</v>
      </c>
    </row>
    <row r="450" spans="1:5" x14ac:dyDescent="0.55000000000000004">
      <c r="A450" t="s">
        <v>2373</v>
      </c>
      <c r="B450" t="s">
        <v>2372</v>
      </c>
      <c r="C450" t="s">
        <v>10</v>
      </c>
      <c r="D450">
        <v>3733880</v>
      </c>
      <c r="E450" t="s">
        <v>8</v>
      </c>
    </row>
    <row r="451" spans="1:5" x14ac:dyDescent="0.55000000000000004">
      <c r="A451" t="s">
        <v>1796</v>
      </c>
      <c r="B451" t="s">
        <v>1795</v>
      </c>
      <c r="C451" t="s">
        <v>18</v>
      </c>
      <c r="D451">
        <v>293385</v>
      </c>
      <c r="E451" t="s">
        <v>8</v>
      </c>
    </row>
    <row r="452" spans="1:5" x14ac:dyDescent="0.55000000000000004">
      <c r="A452" t="s">
        <v>1439</v>
      </c>
      <c r="B452" t="s">
        <v>1438</v>
      </c>
      <c r="C452" t="s">
        <v>10</v>
      </c>
      <c r="D452">
        <v>767725</v>
      </c>
      <c r="E452" t="s">
        <v>8</v>
      </c>
    </row>
    <row r="453" spans="1:5" x14ac:dyDescent="0.55000000000000004">
      <c r="A453" t="s">
        <v>1441</v>
      </c>
      <c r="B453" t="s">
        <v>1440</v>
      </c>
      <c r="C453" t="s">
        <v>41</v>
      </c>
      <c r="D453">
        <v>556656</v>
      </c>
      <c r="E453" t="s">
        <v>8</v>
      </c>
    </row>
    <row r="454" spans="1:5" x14ac:dyDescent="0.55000000000000004">
      <c r="A454" t="s">
        <v>1798</v>
      </c>
      <c r="B454" t="s">
        <v>1797</v>
      </c>
      <c r="C454" t="s">
        <v>10</v>
      </c>
      <c r="D454">
        <v>448632</v>
      </c>
      <c r="E454" t="s">
        <v>8</v>
      </c>
    </row>
    <row r="455" spans="1:5" x14ac:dyDescent="0.55000000000000004">
      <c r="A455" t="s">
        <v>443</v>
      </c>
      <c r="B455" t="s">
        <v>442</v>
      </c>
      <c r="C455" t="s">
        <v>10</v>
      </c>
      <c r="D455">
        <v>329497</v>
      </c>
      <c r="E455" t="s">
        <v>8</v>
      </c>
    </row>
    <row r="456" spans="1:5" x14ac:dyDescent="0.55000000000000004">
      <c r="A456" t="s">
        <v>2040</v>
      </c>
      <c r="B456" t="s">
        <v>2039</v>
      </c>
      <c r="C456" t="s">
        <v>10</v>
      </c>
      <c r="D456">
        <v>528884</v>
      </c>
      <c r="E456" t="s">
        <v>8</v>
      </c>
    </row>
    <row r="457" spans="1:5" x14ac:dyDescent="0.55000000000000004">
      <c r="A457" t="s">
        <v>1445</v>
      </c>
      <c r="B457" t="s">
        <v>1444</v>
      </c>
      <c r="C457" t="s">
        <v>13</v>
      </c>
      <c r="D457">
        <v>242956</v>
      </c>
      <c r="E457" t="s">
        <v>8</v>
      </c>
    </row>
    <row r="458" spans="1:5" x14ac:dyDescent="0.55000000000000004">
      <c r="A458" t="s">
        <v>1800</v>
      </c>
      <c r="B458" t="s">
        <v>1799</v>
      </c>
      <c r="C458" t="s">
        <v>10</v>
      </c>
      <c r="D458">
        <v>1151754</v>
      </c>
      <c r="E458" t="s">
        <v>8</v>
      </c>
    </row>
    <row r="459" spans="1:5" x14ac:dyDescent="0.55000000000000004">
      <c r="A459" t="s">
        <v>804</v>
      </c>
      <c r="B459" t="s">
        <v>803</v>
      </c>
      <c r="C459" t="s">
        <v>10</v>
      </c>
      <c r="D459">
        <v>433118</v>
      </c>
      <c r="E459" t="s">
        <v>8</v>
      </c>
    </row>
    <row r="460" spans="1:5" x14ac:dyDescent="0.55000000000000004">
      <c r="A460" t="s">
        <v>1451</v>
      </c>
      <c r="B460" t="s">
        <v>1450</v>
      </c>
      <c r="C460" t="s">
        <v>880</v>
      </c>
      <c r="D460">
        <v>757171</v>
      </c>
      <c r="E460" t="s">
        <v>8</v>
      </c>
    </row>
    <row r="461" spans="1:5" x14ac:dyDescent="0.55000000000000004">
      <c r="A461" t="s">
        <v>2375</v>
      </c>
      <c r="B461" t="s">
        <v>2374</v>
      </c>
      <c r="C461" t="s">
        <v>10</v>
      </c>
      <c r="D461">
        <v>1098304</v>
      </c>
      <c r="E461" t="s">
        <v>8</v>
      </c>
    </row>
    <row r="462" spans="1:5" x14ac:dyDescent="0.55000000000000004">
      <c r="A462" t="s">
        <v>1453</v>
      </c>
      <c r="B462" t="s">
        <v>1452</v>
      </c>
      <c r="C462" t="s">
        <v>10</v>
      </c>
      <c r="D462">
        <v>973146</v>
      </c>
      <c r="E462" t="s">
        <v>8</v>
      </c>
    </row>
    <row r="463" spans="1:5" x14ac:dyDescent="0.55000000000000004">
      <c r="A463" t="s">
        <v>1455</v>
      </c>
      <c r="B463" t="s">
        <v>1454</v>
      </c>
      <c r="C463" t="s">
        <v>10</v>
      </c>
      <c r="D463">
        <v>254056</v>
      </c>
      <c r="E463" t="s">
        <v>8</v>
      </c>
    </row>
    <row r="464" spans="1:5" x14ac:dyDescent="0.55000000000000004">
      <c r="A464" t="s">
        <v>2042</v>
      </c>
      <c r="B464" t="s">
        <v>2041</v>
      </c>
      <c r="C464" t="s">
        <v>1317</v>
      </c>
      <c r="D464">
        <v>366595</v>
      </c>
      <c r="E464" t="s">
        <v>8</v>
      </c>
    </row>
    <row r="465" spans="1:5" x14ac:dyDescent="0.55000000000000004">
      <c r="A465" t="s">
        <v>451</v>
      </c>
      <c r="B465" t="s">
        <v>450</v>
      </c>
      <c r="C465" t="s">
        <v>10</v>
      </c>
      <c r="D465">
        <v>156313</v>
      </c>
      <c r="E465" t="s">
        <v>8</v>
      </c>
    </row>
    <row r="466" spans="1:5" x14ac:dyDescent="0.55000000000000004">
      <c r="A466" t="s">
        <v>2044</v>
      </c>
      <c r="B466" t="s">
        <v>2043</v>
      </c>
      <c r="C466" t="s">
        <v>10</v>
      </c>
      <c r="D466">
        <v>466674</v>
      </c>
      <c r="E466" t="s">
        <v>8</v>
      </c>
    </row>
    <row r="467" spans="1:5" x14ac:dyDescent="0.55000000000000004">
      <c r="A467" t="s">
        <v>1802</v>
      </c>
      <c r="B467" t="s">
        <v>1801</v>
      </c>
      <c r="C467" t="s">
        <v>10</v>
      </c>
      <c r="D467">
        <v>593016</v>
      </c>
      <c r="E467" t="s">
        <v>8</v>
      </c>
    </row>
    <row r="468" spans="1:5" x14ac:dyDescent="0.55000000000000004">
      <c r="A468" t="s">
        <v>2377</v>
      </c>
      <c r="B468" t="s">
        <v>2376</v>
      </c>
      <c r="C468" t="s">
        <v>10</v>
      </c>
      <c r="D468">
        <v>932053</v>
      </c>
      <c r="E468" t="s">
        <v>8</v>
      </c>
    </row>
    <row r="469" spans="1:5" x14ac:dyDescent="0.55000000000000004">
      <c r="A469" t="s">
        <v>459</v>
      </c>
      <c r="B469" t="s">
        <v>458</v>
      </c>
      <c r="C469" t="s">
        <v>10</v>
      </c>
      <c r="D469">
        <v>2889878</v>
      </c>
      <c r="E469" t="s">
        <v>8</v>
      </c>
    </row>
    <row r="470" spans="1:5" x14ac:dyDescent="0.55000000000000004">
      <c r="A470" t="s">
        <v>709</v>
      </c>
      <c r="B470" t="s">
        <v>708</v>
      </c>
      <c r="C470" t="s">
        <v>10</v>
      </c>
      <c r="D470">
        <v>1596972</v>
      </c>
      <c r="E470" t="s">
        <v>8</v>
      </c>
    </row>
    <row r="471" spans="1:5" x14ac:dyDescent="0.55000000000000004">
      <c r="A471" t="s">
        <v>2379</v>
      </c>
      <c r="B471" t="s">
        <v>2378</v>
      </c>
      <c r="C471" t="s">
        <v>10</v>
      </c>
      <c r="D471">
        <v>905407</v>
      </c>
      <c r="E471" t="s">
        <v>8</v>
      </c>
    </row>
    <row r="472" spans="1:5" x14ac:dyDescent="0.55000000000000004">
      <c r="A472" t="s">
        <v>1121</v>
      </c>
      <c r="B472" t="s">
        <v>1120</v>
      </c>
      <c r="C472" t="s">
        <v>10</v>
      </c>
      <c r="D472">
        <v>1429012</v>
      </c>
      <c r="E472" t="s">
        <v>8</v>
      </c>
    </row>
    <row r="473" spans="1:5" x14ac:dyDescent="0.55000000000000004">
      <c r="A473" t="s">
        <v>2381</v>
      </c>
      <c r="B473" t="s">
        <v>2380</v>
      </c>
      <c r="C473" t="s">
        <v>76</v>
      </c>
      <c r="D473">
        <v>277277</v>
      </c>
      <c r="E473" t="s">
        <v>8</v>
      </c>
    </row>
    <row r="474" spans="1:5" x14ac:dyDescent="0.55000000000000004">
      <c r="A474" t="s">
        <v>2383</v>
      </c>
      <c r="B474" t="s">
        <v>2382</v>
      </c>
      <c r="C474" t="s">
        <v>6</v>
      </c>
      <c r="D474">
        <v>60097</v>
      </c>
      <c r="E474" t="s">
        <v>8</v>
      </c>
    </row>
    <row r="475" spans="1:5" x14ac:dyDescent="0.55000000000000004">
      <c r="A475" t="s">
        <v>2385</v>
      </c>
      <c r="B475" t="s">
        <v>2384</v>
      </c>
      <c r="C475" t="s">
        <v>1814</v>
      </c>
      <c r="D475">
        <v>147526</v>
      </c>
      <c r="E475" t="s">
        <v>8</v>
      </c>
    </row>
    <row r="476" spans="1:5" x14ac:dyDescent="0.55000000000000004">
      <c r="A476" t="s">
        <v>2048</v>
      </c>
      <c r="B476" t="s">
        <v>2047</v>
      </c>
      <c r="C476" t="s">
        <v>10</v>
      </c>
      <c r="D476">
        <v>4575713</v>
      </c>
      <c r="E476" t="s">
        <v>8</v>
      </c>
    </row>
    <row r="477" spans="1:5" x14ac:dyDescent="0.55000000000000004">
      <c r="A477" t="s">
        <v>2387</v>
      </c>
      <c r="B477" t="s">
        <v>2386</v>
      </c>
      <c r="C477" t="s">
        <v>141</v>
      </c>
      <c r="D477">
        <v>835171</v>
      </c>
      <c r="E477" t="s">
        <v>8</v>
      </c>
    </row>
    <row r="478" spans="1:5" x14ac:dyDescent="0.55000000000000004">
      <c r="A478" t="s">
        <v>2389</v>
      </c>
      <c r="B478" t="s">
        <v>2388</v>
      </c>
      <c r="C478" t="s">
        <v>10</v>
      </c>
      <c r="D478">
        <v>719593</v>
      </c>
      <c r="E478" t="s">
        <v>8</v>
      </c>
    </row>
    <row r="479" spans="1:5" x14ac:dyDescent="0.55000000000000004">
      <c r="A479" t="s">
        <v>474</v>
      </c>
      <c r="B479" t="s">
        <v>473</v>
      </c>
      <c r="C479" t="s">
        <v>10</v>
      </c>
      <c r="D479">
        <v>342474</v>
      </c>
      <c r="E479" t="s">
        <v>8</v>
      </c>
    </row>
    <row r="480" spans="1:5" x14ac:dyDescent="0.55000000000000004">
      <c r="A480" t="s">
        <v>2391</v>
      </c>
      <c r="B480" t="s">
        <v>2390</v>
      </c>
      <c r="C480" t="s">
        <v>10</v>
      </c>
      <c r="D480">
        <v>360762</v>
      </c>
      <c r="E480" t="s">
        <v>8</v>
      </c>
    </row>
    <row r="481" spans="1:5" x14ac:dyDescent="0.55000000000000004">
      <c r="A481" t="s">
        <v>1127</v>
      </c>
      <c r="B481" t="s">
        <v>1126</v>
      </c>
      <c r="C481" t="s">
        <v>10</v>
      </c>
      <c r="D481">
        <v>816864</v>
      </c>
      <c r="E481" t="s">
        <v>8</v>
      </c>
    </row>
    <row r="482" spans="1:5" x14ac:dyDescent="0.55000000000000004">
      <c r="A482" t="s">
        <v>1474</v>
      </c>
      <c r="B482" t="s">
        <v>1473</v>
      </c>
      <c r="C482" t="s">
        <v>10</v>
      </c>
      <c r="D482">
        <v>1225698</v>
      </c>
      <c r="E482" t="s">
        <v>8</v>
      </c>
    </row>
    <row r="483" spans="1:5" x14ac:dyDescent="0.55000000000000004">
      <c r="A483" t="s">
        <v>1476</v>
      </c>
      <c r="B483" t="s">
        <v>1475</v>
      </c>
      <c r="C483" t="s">
        <v>18</v>
      </c>
      <c r="D483">
        <v>931728</v>
      </c>
      <c r="E483" t="s">
        <v>8</v>
      </c>
    </row>
    <row r="484" spans="1:5" x14ac:dyDescent="0.55000000000000004">
      <c r="A484" t="s">
        <v>2056</v>
      </c>
      <c r="B484" t="s">
        <v>2055</v>
      </c>
      <c r="C484" t="s">
        <v>10</v>
      </c>
      <c r="D484">
        <v>464620</v>
      </c>
      <c r="E484" t="s">
        <v>8</v>
      </c>
    </row>
    <row r="485" spans="1:5" x14ac:dyDescent="0.55000000000000004">
      <c r="A485" t="s">
        <v>2058</v>
      </c>
      <c r="B485" t="s">
        <v>2057</v>
      </c>
      <c r="C485" t="s">
        <v>13</v>
      </c>
      <c r="D485">
        <v>898857</v>
      </c>
      <c r="E485" t="s">
        <v>8</v>
      </c>
    </row>
    <row r="486" spans="1:5" x14ac:dyDescent="0.55000000000000004">
      <c r="A486" t="s">
        <v>1810</v>
      </c>
      <c r="B486" t="s">
        <v>1809</v>
      </c>
      <c r="C486" t="s">
        <v>10</v>
      </c>
      <c r="D486">
        <v>401543</v>
      </c>
      <c r="E486" t="s">
        <v>8</v>
      </c>
    </row>
    <row r="487" spans="1:5" x14ac:dyDescent="0.55000000000000004">
      <c r="A487" t="s">
        <v>2393</v>
      </c>
      <c r="B487" t="s">
        <v>2392</v>
      </c>
      <c r="C487" t="s">
        <v>10</v>
      </c>
      <c r="D487">
        <v>444495</v>
      </c>
      <c r="E487" t="s">
        <v>8</v>
      </c>
    </row>
    <row r="488" spans="1:5" x14ac:dyDescent="0.55000000000000004">
      <c r="A488" t="s">
        <v>2395</v>
      </c>
      <c r="B488" t="s">
        <v>2394</v>
      </c>
      <c r="C488" t="s">
        <v>10</v>
      </c>
      <c r="D488">
        <v>138163</v>
      </c>
      <c r="E488" t="s">
        <v>8</v>
      </c>
    </row>
    <row r="489" spans="1:5" x14ac:dyDescent="0.55000000000000004">
      <c r="A489" t="s">
        <v>2397</v>
      </c>
      <c r="B489" t="s">
        <v>2396</v>
      </c>
      <c r="C489" t="s">
        <v>1783</v>
      </c>
      <c r="D489">
        <v>276601</v>
      </c>
      <c r="E489" t="s">
        <v>8</v>
      </c>
    </row>
    <row r="490" spans="1:5" x14ac:dyDescent="0.55000000000000004">
      <c r="A490" t="s">
        <v>1812</v>
      </c>
      <c r="B490" t="s">
        <v>1811</v>
      </c>
      <c r="C490" t="s">
        <v>18</v>
      </c>
      <c r="D490">
        <v>291742</v>
      </c>
      <c r="E490" t="s">
        <v>8</v>
      </c>
    </row>
    <row r="491" spans="1:5" x14ac:dyDescent="0.55000000000000004">
      <c r="A491" t="s">
        <v>2060</v>
      </c>
      <c r="B491" t="s">
        <v>2059</v>
      </c>
      <c r="C491" t="s">
        <v>13</v>
      </c>
      <c r="D491">
        <v>2410476</v>
      </c>
      <c r="E491" t="s">
        <v>8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3BCA3-02E4-45BD-8ED0-CC2D5E231C20}">
  <dimension ref="A1:E390"/>
  <sheetViews>
    <sheetView workbookViewId="0"/>
  </sheetViews>
  <sheetFormatPr defaultRowHeight="18" x14ac:dyDescent="0.55000000000000004"/>
  <cols>
    <col min="1" max="1" width="11.58203125" bestFit="1" customWidth="1"/>
    <col min="2" max="2" width="36.58203125" bestFit="1" customWidth="1"/>
    <col min="3" max="3" width="18.83203125" bestFit="1" customWidth="1"/>
    <col min="5" max="5" width="27" customWidth="1"/>
    <col min="6" max="6" width="23.4140625" bestFit="1" customWidth="1"/>
  </cols>
  <sheetData>
    <row r="1" spans="1:5" x14ac:dyDescent="0.55000000000000004">
      <c r="A1" t="s">
        <v>2</v>
      </c>
      <c r="B1" t="s">
        <v>0</v>
      </c>
      <c r="C1" t="s">
        <v>1</v>
      </c>
      <c r="D1" t="s">
        <v>3</v>
      </c>
      <c r="E1" t="s">
        <v>4</v>
      </c>
    </row>
    <row r="2" spans="1:5" x14ac:dyDescent="0.55000000000000004">
      <c r="A2" t="s">
        <v>725</v>
      </c>
      <c r="B2" t="s">
        <v>724</v>
      </c>
      <c r="C2" t="s">
        <v>141</v>
      </c>
      <c r="D2">
        <v>2265893</v>
      </c>
      <c r="E2" t="s">
        <v>8</v>
      </c>
    </row>
    <row r="3" spans="1:5" x14ac:dyDescent="0.55000000000000004">
      <c r="A3" t="s">
        <v>810</v>
      </c>
      <c r="B3" t="s">
        <v>809</v>
      </c>
      <c r="C3" t="s">
        <v>41</v>
      </c>
      <c r="D3">
        <v>55704</v>
      </c>
      <c r="E3" t="s">
        <v>8</v>
      </c>
    </row>
    <row r="4" spans="1:5" x14ac:dyDescent="0.55000000000000004">
      <c r="A4" t="s">
        <v>1148</v>
      </c>
      <c r="B4" t="s">
        <v>1147</v>
      </c>
      <c r="C4" t="s">
        <v>10</v>
      </c>
      <c r="D4">
        <v>1123290</v>
      </c>
      <c r="E4" t="s">
        <v>8</v>
      </c>
    </row>
    <row r="5" spans="1:5" x14ac:dyDescent="0.55000000000000004">
      <c r="A5" t="s">
        <v>1142</v>
      </c>
      <c r="B5" t="s">
        <v>1141</v>
      </c>
      <c r="C5" t="s">
        <v>6</v>
      </c>
      <c r="D5">
        <v>330523</v>
      </c>
      <c r="E5" t="s">
        <v>8</v>
      </c>
    </row>
    <row r="6" spans="1:5" x14ac:dyDescent="0.55000000000000004">
      <c r="A6" t="s">
        <v>1819</v>
      </c>
      <c r="B6" t="s">
        <v>1818</v>
      </c>
      <c r="C6" t="s">
        <v>10</v>
      </c>
      <c r="D6">
        <v>2357249</v>
      </c>
      <c r="E6" t="s">
        <v>8</v>
      </c>
    </row>
    <row r="7" spans="1:5" x14ac:dyDescent="0.55000000000000004">
      <c r="A7" t="s">
        <v>935</v>
      </c>
      <c r="B7" t="s">
        <v>934</v>
      </c>
      <c r="C7" t="s">
        <v>10</v>
      </c>
      <c r="D7">
        <v>1922339</v>
      </c>
      <c r="E7" t="s">
        <v>8</v>
      </c>
    </row>
    <row r="8" spans="1:5" x14ac:dyDescent="0.55000000000000004">
      <c r="A8" t="s">
        <v>1821</v>
      </c>
      <c r="B8" t="s">
        <v>1820</v>
      </c>
      <c r="C8" t="s">
        <v>10</v>
      </c>
      <c r="D8">
        <v>107768</v>
      </c>
      <c r="E8" t="s">
        <v>8</v>
      </c>
    </row>
    <row r="9" spans="1:5" x14ac:dyDescent="0.55000000000000004">
      <c r="A9" t="s">
        <v>816</v>
      </c>
      <c r="B9" t="s">
        <v>815</v>
      </c>
      <c r="C9" t="s">
        <v>6</v>
      </c>
      <c r="D9">
        <v>964287</v>
      </c>
      <c r="E9" t="s">
        <v>8</v>
      </c>
    </row>
    <row r="10" spans="1:5" x14ac:dyDescent="0.55000000000000004">
      <c r="A10" t="s">
        <v>1144</v>
      </c>
      <c r="B10" t="s">
        <v>1143</v>
      </c>
      <c r="C10" t="s">
        <v>10</v>
      </c>
      <c r="D10">
        <v>1013210</v>
      </c>
      <c r="E10" t="s">
        <v>8</v>
      </c>
    </row>
    <row r="11" spans="1:5" x14ac:dyDescent="0.55000000000000004">
      <c r="A11" t="s">
        <v>1599</v>
      </c>
      <c r="B11" t="s">
        <v>1598</v>
      </c>
      <c r="C11" t="s">
        <v>10</v>
      </c>
      <c r="D11">
        <v>1092859</v>
      </c>
      <c r="E11" t="s">
        <v>8</v>
      </c>
    </row>
    <row r="12" spans="1:5" x14ac:dyDescent="0.55000000000000004">
      <c r="A12" t="s">
        <v>24</v>
      </c>
      <c r="B12" t="s">
        <v>23</v>
      </c>
      <c r="C12" t="s">
        <v>18</v>
      </c>
      <c r="D12">
        <v>1182752</v>
      </c>
      <c r="E12" t="s">
        <v>8</v>
      </c>
    </row>
    <row r="13" spans="1:5" x14ac:dyDescent="0.55000000000000004">
      <c r="A13" t="s">
        <v>1823</v>
      </c>
      <c r="B13" t="s">
        <v>1822</v>
      </c>
      <c r="C13" t="s">
        <v>13</v>
      </c>
      <c r="D13">
        <v>876100</v>
      </c>
      <c r="E13" t="s">
        <v>8</v>
      </c>
    </row>
    <row r="14" spans="1:5" x14ac:dyDescent="0.55000000000000004">
      <c r="A14" t="s">
        <v>1825</v>
      </c>
      <c r="B14" t="s">
        <v>1824</v>
      </c>
      <c r="C14" t="s">
        <v>1483</v>
      </c>
      <c r="D14">
        <v>527717</v>
      </c>
      <c r="E14" t="s">
        <v>8</v>
      </c>
    </row>
    <row r="15" spans="1:5" x14ac:dyDescent="0.55000000000000004">
      <c r="A15" t="s">
        <v>1603</v>
      </c>
      <c r="B15" t="s">
        <v>1602</v>
      </c>
      <c r="C15" t="s">
        <v>10</v>
      </c>
      <c r="D15">
        <v>805785</v>
      </c>
      <c r="E15" t="s">
        <v>8</v>
      </c>
    </row>
    <row r="16" spans="1:5" x14ac:dyDescent="0.55000000000000004">
      <c r="A16" t="s">
        <v>37</v>
      </c>
      <c r="B16" t="s">
        <v>36</v>
      </c>
      <c r="C16" t="s">
        <v>10</v>
      </c>
      <c r="D16">
        <v>220999</v>
      </c>
      <c r="E16" t="s">
        <v>8</v>
      </c>
    </row>
    <row r="17" spans="1:5" x14ac:dyDescent="0.55000000000000004">
      <c r="A17" t="s">
        <v>731</v>
      </c>
      <c r="B17" t="s">
        <v>730</v>
      </c>
      <c r="C17" t="s">
        <v>10</v>
      </c>
      <c r="D17">
        <v>316256</v>
      </c>
      <c r="E17" t="s">
        <v>8</v>
      </c>
    </row>
    <row r="18" spans="1:5" x14ac:dyDescent="0.55000000000000004">
      <c r="A18" t="s">
        <v>1154</v>
      </c>
      <c r="B18" t="s">
        <v>1153</v>
      </c>
      <c r="C18" t="s">
        <v>10</v>
      </c>
      <c r="D18">
        <v>56209</v>
      </c>
      <c r="E18" t="s">
        <v>8</v>
      </c>
    </row>
    <row r="19" spans="1:5" x14ac:dyDescent="0.55000000000000004">
      <c r="A19" t="s">
        <v>515</v>
      </c>
      <c r="B19" t="s">
        <v>513</v>
      </c>
      <c r="C19" t="s">
        <v>514</v>
      </c>
      <c r="D19">
        <v>1531926</v>
      </c>
      <c r="E19" t="s">
        <v>8</v>
      </c>
    </row>
    <row r="20" spans="1:5" x14ac:dyDescent="0.55000000000000004">
      <c r="A20" t="s">
        <v>42</v>
      </c>
      <c r="B20" t="s">
        <v>40</v>
      </c>
      <c r="C20" t="s">
        <v>41</v>
      </c>
      <c r="D20">
        <v>789716</v>
      </c>
      <c r="E20" t="s">
        <v>8</v>
      </c>
    </row>
    <row r="21" spans="1:5" x14ac:dyDescent="0.55000000000000004">
      <c r="A21" t="s">
        <v>1162</v>
      </c>
      <c r="B21" t="s">
        <v>1161</v>
      </c>
      <c r="C21" t="s">
        <v>10</v>
      </c>
      <c r="D21">
        <v>580450</v>
      </c>
      <c r="E21" t="s">
        <v>8</v>
      </c>
    </row>
    <row r="22" spans="1:5" x14ac:dyDescent="0.55000000000000004">
      <c r="A22" t="s">
        <v>1164</v>
      </c>
      <c r="B22" t="s">
        <v>1163</v>
      </c>
      <c r="C22" t="s">
        <v>10</v>
      </c>
      <c r="D22">
        <v>3111955</v>
      </c>
      <c r="E22" t="s">
        <v>8</v>
      </c>
    </row>
    <row r="23" spans="1:5" x14ac:dyDescent="0.55000000000000004">
      <c r="A23" t="s">
        <v>1166</v>
      </c>
      <c r="B23" t="s">
        <v>1165</v>
      </c>
      <c r="C23" t="s">
        <v>208</v>
      </c>
      <c r="D23">
        <v>478808</v>
      </c>
      <c r="E23" t="s">
        <v>8</v>
      </c>
    </row>
    <row r="24" spans="1:5" x14ac:dyDescent="0.55000000000000004">
      <c r="A24" t="s">
        <v>1826</v>
      </c>
      <c r="B24" t="s">
        <v>47</v>
      </c>
      <c r="C24" t="s">
        <v>1483</v>
      </c>
      <c r="D24">
        <v>4944670</v>
      </c>
      <c r="E24" t="s">
        <v>8</v>
      </c>
    </row>
    <row r="25" spans="1:5" x14ac:dyDescent="0.55000000000000004">
      <c r="A25" t="s">
        <v>1828</v>
      </c>
      <c r="B25" t="s">
        <v>1827</v>
      </c>
      <c r="C25" t="s">
        <v>1317</v>
      </c>
      <c r="D25">
        <v>213289</v>
      </c>
      <c r="E25" t="s">
        <v>8</v>
      </c>
    </row>
    <row r="26" spans="1:5" x14ac:dyDescent="0.55000000000000004">
      <c r="A26" t="s">
        <v>1170</v>
      </c>
      <c r="B26" t="s">
        <v>1169</v>
      </c>
      <c r="C26" t="s">
        <v>6</v>
      </c>
      <c r="D26">
        <v>631987</v>
      </c>
      <c r="E26" t="s">
        <v>8</v>
      </c>
    </row>
    <row r="27" spans="1:5" x14ac:dyDescent="0.55000000000000004">
      <c r="A27" t="s">
        <v>52</v>
      </c>
      <c r="B27" t="s">
        <v>51</v>
      </c>
      <c r="C27" t="s">
        <v>10</v>
      </c>
      <c r="D27">
        <v>1537939</v>
      </c>
      <c r="E27" t="s">
        <v>8</v>
      </c>
    </row>
    <row r="28" spans="1:5" x14ac:dyDescent="0.55000000000000004">
      <c r="A28" t="s">
        <v>1830</v>
      </c>
      <c r="B28" t="s">
        <v>1829</v>
      </c>
      <c r="C28" t="s">
        <v>10</v>
      </c>
      <c r="D28">
        <v>2519199</v>
      </c>
      <c r="E28" t="s">
        <v>8</v>
      </c>
    </row>
    <row r="29" spans="1:5" x14ac:dyDescent="0.55000000000000004">
      <c r="A29" t="s">
        <v>1605</v>
      </c>
      <c r="B29" t="s">
        <v>1604</v>
      </c>
      <c r="C29" t="s">
        <v>10</v>
      </c>
      <c r="D29">
        <v>378125</v>
      </c>
      <c r="E29" t="s">
        <v>8</v>
      </c>
    </row>
    <row r="30" spans="1:5" x14ac:dyDescent="0.55000000000000004">
      <c r="A30" t="s">
        <v>1607</v>
      </c>
      <c r="B30" t="s">
        <v>1606</v>
      </c>
      <c r="C30" t="s">
        <v>10</v>
      </c>
      <c r="D30">
        <v>640562</v>
      </c>
      <c r="E30" t="s">
        <v>8</v>
      </c>
    </row>
    <row r="31" spans="1:5" x14ac:dyDescent="0.55000000000000004">
      <c r="A31" t="s">
        <v>1609</v>
      </c>
      <c r="B31" t="s">
        <v>1608</v>
      </c>
      <c r="C31" t="s">
        <v>1317</v>
      </c>
      <c r="D31">
        <v>4529513</v>
      </c>
      <c r="E31" t="s">
        <v>8</v>
      </c>
    </row>
    <row r="32" spans="1:5" x14ac:dyDescent="0.55000000000000004">
      <c r="A32" t="s">
        <v>58</v>
      </c>
      <c r="B32" t="s">
        <v>57</v>
      </c>
      <c r="C32" t="s">
        <v>10</v>
      </c>
      <c r="D32">
        <v>2532782</v>
      </c>
      <c r="E32" t="s">
        <v>8</v>
      </c>
    </row>
    <row r="33" spans="1:5" x14ac:dyDescent="0.55000000000000004">
      <c r="A33" t="s">
        <v>62</v>
      </c>
      <c r="B33" t="s">
        <v>61</v>
      </c>
      <c r="C33" t="s">
        <v>6</v>
      </c>
      <c r="D33">
        <v>1188291</v>
      </c>
      <c r="E33" t="s">
        <v>8</v>
      </c>
    </row>
    <row r="34" spans="1:5" x14ac:dyDescent="0.55000000000000004">
      <c r="A34" t="s">
        <v>1832</v>
      </c>
      <c r="B34" t="s">
        <v>1831</v>
      </c>
      <c r="C34" t="s">
        <v>41</v>
      </c>
      <c r="D34">
        <v>1660461</v>
      </c>
      <c r="E34" t="s">
        <v>8</v>
      </c>
    </row>
    <row r="35" spans="1:5" x14ac:dyDescent="0.55000000000000004">
      <c r="A35" t="s">
        <v>68</v>
      </c>
      <c r="B35" t="s">
        <v>67</v>
      </c>
      <c r="C35" t="s">
        <v>10</v>
      </c>
      <c r="D35">
        <v>2707128</v>
      </c>
      <c r="E35" t="s">
        <v>8</v>
      </c>
    </row>
    <row r="36" spans="1:5" x14ac:dyDescent="0.55000000000000004">
      <c r="A36" t="s">
        <v>1611</v>
      </c>
      <c r="B36" t="s">
        <v>1610</v>
      </c>
      <c r="C36" t="s">
        <v>10</v>
      </c>
      <c r="D36">
        <v>1635468</v>
      </c>
      <c r="E36" t="s">
        <v>8</v>
      </c>
    </row>
    <row r="37" spans="1:5" x14ac:dyDescent="0.55000000000000004">
      <c r="A37" t="s">
        <v>1181</v>
      </c>
      <c r="B37" t="s">
        <v>1180</v>
      </c>
      <c r="C37" t="s">
        <v>10</v>
      </c>
      <c r="D37">
        <v>66034</v>
      </c>
      <c r="E37" t="s">
        <v>8</v>
      </c>
    </row>
    <row r="38" spans="1:5" x14ac:dyDescent="0.55000000000000004">
      <c r="A38" t="s">
        <v>1613</v>
      </c>
      <c r="B38" t="s">
        <v>1612</v>
      </c>
      <c r="C38" t="s">
        <v>10</v>
      </c>
      <c r="D38">
        <v>410028</v>
      </c>
      <c r="E38" t="s">
        <v>8</v>
      </c>
    </row>
    <row r="39" spans="1:5" x14ac:dyDescent="0.55000000000000004">
      <c r="A39" t="s">
        <v>1183</v>
      </c>
      <c r="B39" t="s">
        <v>1182</v>
      </c>
      <c r="C39" t="s">
        <v>10</v>
      </c>
      <c r="D39">
        <v>1390503</v>
      </c>
      <c r="E39" t="s">
        <v>8</v>
      </c>
    </row>
    <row r="40" spans="1:5" x14ac:dyDescent="0.55000000000000004">
      <c r="A40" t="s">
        <v>1185</v>
      </c>
      <c r="B40" t="s">
        <v>1184</v>
      </c>
      <c r="C40" t="s">
        <v>10</v>
      </c>
      <c r="D40">
        <v>594688</v>
      </c>
      <c r="E40" t="s">
        <v>8</v>
      </c>
    </row>
    <row r="41" spans="1:5" x14ac:dyDescent="0.55000000000000004">
      <c r="A41" t="s">
        <v>1187</v>
      </c>
      <c r="B41" t="s">
        <v>1186</v>
      </c>
      <c r="C41" t="s">
        <v>10</v>
      </c>
      <c r="D41">
        <v>371884</v>
      </c>
      <c r="E41" t="s">
        <v>8</v>
      </c>
    </row>
    <row r="42" spans="1:5" x14ac:dyDescent="0.55000000000000004">
      <c r="A42" t="s">
        <v>1834</v>
      </c>
      <c r="B42" t="s">
        <v>1833</v>
      </c>
      <c r="C42" t="s">
        <v>10</v>
      </c>
      <c r="D42">
        <v>401309</v>
      </c>
      <c r="E42" t="s">
        <v>8</v>
      </c>
    </row>
    <row r="43" spans="1:5" x14ac:dyDescent="0.55000000000000004">
      <c r="A43" t="s">
        <v>1836</v>
      </c>
      <c r="B43" t="s">
        <v>1835</v>
      </c>
      <c r="C43" t="s">
        <v>141</v>
      </c>
      <c r="D43">
        <v>309751</v>
      </c>
      <c r="E43" t="s">
        <v>8</v>
      </c>
    </row>
    <row r="44" spans="1:5" x14ac:dyDescent="0.55000000000000004">
      <c r="A44" t="s">
        <v>959</v>
      </c>
      <c r="B44" t="s">
        <v>958</v>
      </c>
      <c r="C44" t="s">
        <v>41</v>
      </c>
      <c r="D44">
        <v>817327</v>
      </c>
      <c r="E44" t="s">
        <v>8</v>
      </c>
    </row>
    <row r="45" spans="1:5" x14ac:dyDescent="0.55000000000000004">
      <c r="A45" t="s">
        <v>1838</v>
      </c>
      <c r="B45" t="s">
        <v>1837</v>
      </c>
      <c r="C45" t="s">
        <v>10</v>
      </c>
      <c r="D45">
        <v>471436</v>
      </c>
      <c r="E45" t="s">
        <v>8</v>
      </c>
    </row>
    <row r="46" spans="1:5" x14ac:dyDescent="0.55000000000000004">
      <c r="A46" t="s">
        <v>77</v>
      </c>
      <c r="B46" t="s">
        <v>75</v>
      </c>
      <c r="C46" t="s">
        <v>76</v>
      </c>
      <c r="D46">
        <v>2487576</v>
      </c>
      <c r="E46" t="s">
        <v>8</v>
      </c>
    </row>
    <row r="47" spans="1:5" x14ac:dyDescent="0.55000000000000004">
      <c r="A47" t="s">
        <v>1840</v>
      </c>
      <c r="B47" t="s">
        <v>1839</v>
      </c>
      <c r="C47" t="s">
        <v>10</v>
      </c>
      <c r="D47">
        <v>2278076</v>
      </c>
      <c r="E47" t="s">
        <v>8</v>
      </c>
    </row>
    <row r="48" spans="1:5" x14ac:dyDescent="0.55000000000000004">
      <c r="A48" t="s">
        <v>1842</v>
      </c>
      <c r="B48" t="s">
        <v>1841</v>
      </c>
      <c r="C48" t="s">
        <v>10</v>
      </c>
      <c r="D48">
        <v>489012</v>
      </c>
      <c r="E48" t="s">
        <v>8</v>
      </c>
    </row>
    <row r="49" spans="1:5" x14ac:dyDescent="0.55000000000000004">
      <c r="A49" t="s">
        <v>961</v>
      </c>
      <c r="B49" t="s">
        <v>960</v>
      </c>
      <c r="C49" t="s">
        <v>10</v>
      </c>
      <c r="D49">
        <v>1194155</v>
      </c>
      <c r="E49" t="s">
        <v>8</v>
      </c>
    </row>
    <row r="50" spans="1:5" x14ac:dyDescent="0.55000000000000004">
      <c r="A50" t="s">
        <v>1190</v>
      </c>
      <c r="B50" t="s">
        <v>1189</v>
      </c>
      <c r="C50" t="s">
        <v>10</v>
      </c>
      <c r="D50">
        <v>951441</v>
      </c>
      <c r="E50" t="s">
        <v>8</v>
      </c>
    </row>
    <row r="51" spans="1:5" x14ac:dyDescent="0.55000000000000004">
      <c r="A51" t="s">
        <v>1844</v>
      </c>
      <c r="B51" t="s">
        <v>1843</v>
      </c>
      <c r="C51" t="s">
        <v>13</v>
      </c>
      <c r="D51">
        <v>98186</v>
      </c>
      <c r="E51" t="s">
        <v>8</v>
      </c>
    </row>
    <row r="52" spans="1:5" x14ac:dyDescent="0.55000000000000004">
      <c r="A52" t="s">
        <v>963</v>
      </c>
      <c r="B52" t="s">
        <v>962</v>
      </c>
      <c r="C52" t="s">
        <v>6</v>
      </c>
      <c r="D52">
        <v>452128</v>
      </c>
      <c r="E52" t="s">
        <v>8</v>
      </c>
    </row>
    <row r="53" spans="1:5" x14ac:dyDescent="0.55000000000000004">
      <c r="A53" t="s">
        <v>1621</v>
      </c>
      <c r="B53" t="s">
        <v>1620</v>
      </c>
      <c r="C53" t="s">
        <v>13</v>
      </c>
      <c r="D53">
        <v>1739138</v>
      </c>
      <c r="E53" t="s">
        <v>8</v>
      </c>
    </row>
    <row r="54" spans="1:5" x14ac:dyDescent="0.55000000000000004">
      <c r="A54" t="s">
        <v>965</v>
      </c>
      <c r="B54" t="s">
        <v>964</v>
      </c>
      <c r="C54" t="s">
        <v>10</v>
      </c>
      <c r="D54">
        <v>779919</v>
      </c>
      <c r="E54" t="s">
        <v>8</v>
      </c>
    </row>
    <row r="55" spans="1:5" x14ac:dyDescent="0.55000000000000004">
      <c r="A55" t="s">
        <v>1846</v>
      </c>
      <c r="B55" t="s">
        <v>1845</v>
      </c>
      <c r="C55" t="s">
        <v>10</v>
      </c>
      <c r="D55">
        <v>252299</v>
      </c>
      <c r="E55" t="s">
        <v>8</v>
      </c>
    </row>
    <row r="56" spans="1:5" x14ac:dyDescent="0.55000000000000004">
      <c r="A56" t="s">
        <v>1623</v>
      </c>
      <c r="B56" t="s">
        <v>1622</v>
      </c>
      <c r="C56" t="s">
        <v>10</v>
      </c>
      <c r="D56">
        <v>707344</v>
      </c>
      <c r="E56" t="s">
        <v>8</v>
      </c>
    </row>
    <row r="57" spans="1:5" x14ac:dyDescent="0.55000000000000004">
      <c r="A57" t="s">
        <v>539</v>
      </c>
      <c r="B57" t="s">
        <v>538</v>
      </c>
      <c r="C57" t="s">
        <v>10</v>
      </c>
      <c r="D57">
        <v>583860</v>
      </c>
      <c r="E57" t="s">
        <v>8</v>
      </c>
    </row>
    <row r="58" spans="1:5" x14ac:dyDescent="0.55000000000000004">
      <c r="A58" t="s">
        <v>824</v>
      </c>
      <c r="B58" t="s">
        <v>823</v>
      </c>
      <c r="C58" t="s">
        <v>10</v>
      </c>
      <c r="D58">
        <v>1414442</v>
      </c>
      <c r="E58" t="s">
        <v>8</v>
      </c>
    </row>
    <row r="59" spans="1:5" x14ac:dyDescent="0.55000000000000004">
      <c r="A59" t="s">
        <v>1196</v>
      </c>
      <c r="B59" t="s">
        <v>1195</v>
      </c>
      <c r="C59" t="s">
        <v>10</v>
      </c>
      <c r="D59">
        <v>663905</v>
      </c>
      <c r="E59" t="s">
        <v>8</v>
      </c>
    </row>
    <row r="60" spans="1:5" x14ac:dyDescent="0.55000000000000004">
      <c r="A60" t="s">
        <v>543</v>
      </c>
      <c r="B60" t="s">
        <v>542</v>
      </c>
      <c r="C60" t="s">
        <v>10</v>
      </c>
      <c r="D60">
        <v>722134</v>
      </c>
      <c r="E60" t="s">
        <v>8</v>
      </c>
    </row>
    <row r="61" spans="1:5" x14ac:dyDescent="0.55000000000000004">
      <c r="A61" t="s">
        <v>972</v>
      </c>
      <c r="B61" t="s">
        <v>971</v>
      </c>
      <c r="C61" t="s">
        <v>10</v>
      </c>
      <c r="D61">
        <v>584493</v>
      </c>
      <c r="E61" t="s">
        <v>8</v>
      </c>
    </row>
    <row r="62" spans="1:5" x14ac:dyDescent="0.55000000000000004">
      <c r="A62" t="s">
        <v>826</v>
      </c>
      <c r="B62" t="s">
        <v>825</v>
      </c>
      <c r="C62" t="s">
        <v>10</v>
      </c>
      <c r="D62">
        <v>1595433</v>
      </c>
      <c r="E62" t="s">
        <v>8</v>
      </c>
    </row>
    <row r="63" spans="1:5" x14ac:dyDescent="0.55000000000000004">
      <c r="A63" t="s">
        <v>1625</v>
      </c>
      <c r="B63" t="s">
        <v>1624</v>
      </c>
      <c r="C63" t="s">
        <v>10</v>
      </c>
      <c r="D63">
        <v>522426</v>
      </c>
      <c r="E63" t="s">
        <v>8</v>
      </c>
    </row>
    <row r="64" spans="1:5" x14ac:dyDescent="0.55000000000000004">
      <c r="A64" t="s">
        <v>974</v>
      </c>
      <c r="B64" t="s">
        <v>973</v>
      </c>
      <c r="C64" t="s">
        <v>10</v>
      </c>
      <c r="D64">
        <v>261876</v>
      </c>
      <c r="E64" t="s">
        <v>8</v>
      </c>
    </row>
    <row r="65" spans="1:5" x14ac:dyDescent="0.55000000000000004">
      <c r="A65" t="s">
        <v>95</v>
      </c>
      <c r="B65" t="s">
        <v>94</v>
      </c>
      <c r="C65" t="s">
        <v>10</v>
      </c>
      <c r="D65">
        <v>499472</v>
      </c>
      <c r="E65" t="s">
        <v>8</v>
      </c>
    </row>
    <row r="66" spans="1:5" x14ac:dyDescent="0.55000000000000004">
      <c r="A66" t="s">
        <v>98</v>
      </c>
      <c r="B66" t="s">
        <v>96</v>
      </c>
      <c r="C66" t="s">
        <v>97</v>
      </c>
      <c r="D66">
        <v>781715</v>
      </c>
      <c r="E66" t="s">
        <v>8</v>
      </c>
    </row>
    <row r="67" spans="1:5" x14ac:dyDescent="0.55000000000000004">
      <c r="A67" t="s">
        <v>1198</v>
      </c>
      <c r="B67" t="s">
        <v>1197</v>
      </c>
      <c r="C67" t="s">
        <v>13</v>
      </c>
      <c r="D67">
        <v>695288</v>
      </c>
      <c r="E67" t="s">
        <v>8</v>
      </c>
    </row>
    <row r="68" spans="1:5" x14ac:dyDescent="0.55000000000000004">
      <c r="A68" t="s">
        <v>978</v>
      </c>
      <c r="B68" t="s">
        <v>977</v>
      </c>
      <c r="C68" t="s">
        <v>10</v>
      </c>
      <c r="D68">
        <v>2064917</v>
      </c>
      <c r="E68" t="s">
        <v>8</v>
      </c>
    </row>
    <row r="69" spans="1:5" x14ac:dyDescent="0.55000000000000004">
      <c r="A69" t="s">
        <v>1848</v>
      </c>
      <c r="B69" t="s">
        <v>1847</v>
      </c>
      <c r="C69" t="s">
        <v>10</v>
      </c>
      <c r="D69">
        <v>1001190</v>
      </c>
      <c r="E69" t="s">
        <v>8</v>
      </c>
    </row>
    <row r="70" spans="1:5" x14ac:dyDescent="0.55000000000000004">
      <c r="A70" t="s">
        <v>1850</v>
      </c>
      <c r="B70" t="s">
        <v>1849</v>
      </c>
      <c r="C70" t="s">
        <v>10</v>
      </c>
      <c r="D70">
        <v>1844824</v>
      </c>
      <c r="E70" t="s">
        <v>8</v>
      </c>
    </row>
    <row r="71" spans="1:5" x14ac:dyDescent="0.55000000000000004">
      <c r="A71" t="s">
        <v>1852</v>
      </c>
      <c r="B71" t="s">
        <v>1851</v>
      </c>
      <c r="C71" t="s">
        <v>10</v>
      </c>
      <c r="D71">
        <v>490476</v>
      </c>
      <c r="E71" t="s">
        <v>8</v>
      </c>
    </row>
    <row r="72" spans="1:5" x14ac:dyDescent="0.55000000000000004">
      <c r="A72" t="s">
        <v>1855</v>
      </c>
      <c r="B72" t="s">
        <v>1853</v>
      </c>
      <c r="C72" t="s">
        <v>1854</v>
      </c>
      <c r="D72">
        <v>236935</v>
      </c>
      <c r="E72" t="s">
        <v>8</v>
      </c>
    </row>
    <row r="73" spans="1:5" x14ac:dyDescent="0.55000000000000004">
      <c r="A73" t="s">
        <v>1628</v>
      </c>
      <c r="B73" t="s">
        <v>1626</v>
      </c>
      <c r="C73" t="s">
        <v>1627</v>
      </c>
      <c r="D73">
        <v>5865018</v>
      </c>
      <c r="E73" t="s">
        <v>8</v>
      </c>
    </row>
    <row r="74" spans="1:5" x14ac:dyDescent="0.55000000000000004">
      <c r="A74" t="s">
        <v>1857</v>
      </c>
      <c r="B74" t="s">
        <v>1856</v>
      </c>
      <c r="C74" t="s">
        <v>10</v>
      </c>
      <c r="D74">
        <v>1589775</v>
      </c>
      <c r="E74" t="s">
        <v>8</v>
      </c>
    </row>
    <row r="75" spans="1:5" x14ac:dyDescent="0.55000000000000004">
      <c r="A75" t="s">
        <v>1634</v>
      </c>
      <c r="B75" t="s">
        <v>1633</v>
      </c>
      <c r="C75" t="s">
        <v>10</v>
      </c>
      <c r="D75">
        <v>239512</v>
      </c>
      <c r="E75" t="s">
        <v>8</v>
      </c>
    </row>
    <row r="76" spans="1:5" x14ac:dyDescent="0.55000000000000004">
      <c r="A76" t="s">
        <v>116</v>
      </c>
      <c r="B76" t="s">
        <v>115</v>
      </c>
      <c r="C76" t="s">
        <v>10</v>
      </c>
      <c r="D76">
        <v>233434</v>
      </c>
      <c r="E76" t="s">
        <v>8</v>
      </c>
    </row>
    <row r="77" spans="1:5" x14ac:dyDescent="0.55000000000000004">
      <c r="A77" t="s">
        <v>1638</v>
      </c>
      <c r="B77" t="s">
        <v>1637</v>
      </c>
      <c r="C77" t="s">
        <v>10</v>
      </c>
      <c r="D77">
        <v>2036049</v>
      </c>
      <c r="E77" t="s">
        <v>8</v>
      </c>
    </row>
    <row r="78" spans="1:5" x14ac:dyDescent="0.55000000000000004">
      <c r="A78" t="s">
        <v>1642</v>
      </c>
      <c r="B78" t="s">
        <v>1641</v>
      </c>
      <c r="C78" t="s">
        <v>10</v>
      </c>
      <c r="D78">
        <v>773175</v>
      </c>
      <c r="E78" t="s">
        <v>8</v>
      </c>
    </row>
    <row r="79" spans="1:5" x14ac:dyDescent="0.55000000000000004">
      <c r="A79" t="s">
        <v>1206</v>
      </c>
      <c r="B79" t="s">
        <v>1205</v>
      </c>
      <c r="C79" t="s">
        <v>10</v>
      </c>
      <c r="D79">
        <v>1201326</v>
      </c>
      <c r="E79" t="s">
        <v>8</v>
      </c>
    </row>
    <row r="80" spans="1:5" x14ac:dyDescent="0.55000000000000004">
      <c r="A80" t="s">
        <v>1859</v>
      </c>
      <c r="B80" t="s">
        <v>1858</v>
      </c>
      <c r="C80" t="s">
        <v>10</v>
      </c>
      <c r="D80">
        <v>1155411</v>
      </c>
      <c r="E80" t="s">
        <v>8</v>
      </c>
    </row>
    <row r="81" spans="1:5" x14ac:dyDescent="0.55000000000000004">
      <c r="A81" t="s">
        <v>550</v>
      </c>
      <c r="B81" t="s">
        <v>549</v>
      </c>
      <c r="C81" t="s">
        <v>10</v>
      </c>
      <c r="D81">
        <v>259851</v>
      </c>
      <c r="E81" t="s">
        <v>8</v>
      </c>
    </row>
    <row r="82" spans="1:5" x14ac:dyDescent="0.55000000000000004">
      <c r="A82" t="s">
        <v>120</v>
      </c>
      <c r="B82" t="s">
        <v>119</v>
      </c>
      <c r="C82" t="s">
        <v>10</v>
      </c>
      <c r="D82">
        <v>2132415</v>
      </c>
      <c r="E82" t="s">
        <v>8</v>
      </c>
    </row>
    <row r="83" spans="1:5" x14ac:dyDescent="0.55000000000000004">
      <c r="A83" t="s">
        <v>126</v>
      </c>
      <c r="B83" t="s">
        <v>125</v>
      </c>
      <c r="C83" t="s">
        <v>10</v>
      </c>
      <c r="D83">
        <v>38347</v>
      </c>
      <c r="E83" t="s">
        <v>8</v>
      </c>
    </row>
    <row r="84" spans="1:5" x14ac:dyDescent="0.55000000000000004">
      <c r="A84" t="s">
        <v>1650</v>
      </c>
      <c r="B84" t="s">
        <v>1649</v>
      </c>
      <c r="C84" t="s">
        <v>6</v>
      </c>
      <c r="D84">
        <v>1239385</v>
      </c>
      <c r="E84" t="s">
        <v>8</v>
      </c>
    </row>
    <row r="85" spans="1:5" x14ac:dyDescent="0.55000000000000004">
      <c r="A85" t="s">
        <v>128</v>
      </c>
      <c r="B85" t="s">
        <v>127</v>
      </c>
      <c r="C85" t="s">
        <v>10</v>
      </c>
      <c r="D85">
        <v>1582024</v>
      </c>
      <c r="E85" t="s">
        <v>8</v>
      </c>
    </row>
    <row r="86" spans="1:5" x14ac:dyDescent="0.55000000000000004">
      <c r="A86" t="s">
        <v>1861</v>
      </c>
      <c r="B86" t="s">
        <v>1860</v>
      </c>
      <c r="C86" t="s">
        <v>10</v>
      </c>
      <c r="D86">
        <v>852679</v>
      </c>
      <c r="E86" t="s">
        <v>8</v>
      </c>
    </row>
    <row r="87" spans="1:5" x14ac:dyDescent="0.55000000000000004">
      <c r="A87" t="s">
        <v>1863</v>
      </c>
      <c r="B87" t="s">
        <v>1862</v>
      </c>
      <c r="C87" t="s">
        <v>1269</v>
      </c>
      <c r="D87">
        <v>427201</v>
      </c>
      <c r="E87" t="s">
        <v>8</v>
      </c>
    </row>
    <row r="88" spans="1:5" x14ac:dyDescent="0.55000000000000004">
      <c r="A88" t="s">
        <v>1865</v>
      </c>
      <c r="B88" t="s">
        <v>1864</v>
      </c>
      <c r="C88" t="s">
        <v>10</v>
      </c>
      <c r="D88">
        <v>3686274</v>
      </c>
      <c r="E88" t="s">
        <v>8</v>
      </c>
    </row>
    <row r="89" spans="1:5" x14ac:dyDescent="0.55000000000000004">
      <c r="A89" t="s">
        <v>1867</v>
      </c>
      <c r="B89" t="s">
        <v>1866</v>
      </c>
      <c r="C89" t="s">
        <v>10</v>
      </c>
      <c r="D89">
        <v>187919</v>
      </c>
      <c r="E89" t="s">
        <v>8</v>
      </c>
    </row>
    <row r="90" spans="1:5" x14ac:dyDescent="0.55000000000000004">
      <c r="A90" t="s">
        <v>1215</v>
      </c>
      <c r="B90" t="s">
        <v>1214</v>
      </c>
      <c r="C90" t="s">
        <v>10</v>
      </c>
      <c r="D90">
        <v>395914</v>
      </c>
      <c r="E90" t="s">
        <v>8</v>
      </c>
    </row>
    <row r="91" spans="1:5" x14ac:dyDescent="0.55000000000000004">
      <c r="A91" t="s">
        <v>1217</v>
      </c>
      <c r="B91" t="s">
        <v>1216</v>
      </c>
      <c r="C91" t="s">
        <v>13</v>
      </c>
      <c r="D91">
        <v>852077</v>
      </c>
      <c r="E91" t="s">
        <v>8</v>
      </c>
    </row>
    <row r="92" spans="1:5" x14ac:dyDescent="0.55000000000000004">
      <c r="A92" t="s">
        <v>136</v>
      </c>
      <c r="B92" t="s">
        <v>135</v>
      </c>
      <c r="C92" t="s">
        <v>10</v>
      </c>
      <c r="D92">
        <v>827016</v>
      </c>
      <c r="E92" t="s">
        <v>8</v>
      </c>
    </row>
    <row r="93" spans="1:5" x14ac:dyDescent="0.55000000000000004">
      <c r="A93" t="s">
        <v>139</v>
      </c>
      <c r="B93" t="s">
        <v>137</v>
      </c>
      <c r="C93" t="s">
        <v>138</v>
      </c>
      <c r="D93">
        <v>1036042</v>
      </c>
      <c r="E93" t="s">
        <v>8</v>
      </c>
    </row>
    <row r="94" spans="1:5" x14ac:dyDescent="0.55000000000000004">
      <c r="A94" t="s">
        <v>1870</v>
      </c>
      <c r="B94" t="s">
        <v>1868</v>
      </c>
      <c r="C94" t="s">
        <v>1869</v>
      </c>
      <c r="D94">
        <v>339464</v>
      </c>
      <c r="E94" t="s">
        <v>8</v>
      </c>
    </row>
    <row r="95" spans="1:5" x14ac:dyDescent="0.55000000000000004">
      <c r="A95" t="s">
        <v>1872</v>
      </c>
      <c r="B95" t="s">
        <v>1871</v>
      </c>
      <c r="C95" t="s">
        <v>10</v>
      </c>
      <c r="D95">
        <v>856503</v>
      </c>
      <c r="E95" t="s">
        <v>8</v>
      </c>
    </row>
    <row r="96" spans="1:5" x14ac:dyDescent="0.55000000000000004">
      <c r="A96" t="s">
        <v>1874</v>
      </c>
      <c r="B96" t="s">
        <v>1873</v>
      </c>
      <c r="C96" t="s">
        <v>10</v>
      </c>
      <c r="D96">
        <v>1419314</v>
      </c>
      <c r="E96" t="s">
        <v>8</v>
      </c>
    </row>
    <row r="97" spans="1:5" x14ac:dyDescent="0.55000000000000004">
      <c r="A97" t="s">
        <v>150</v>
      </c>
      <c r="B97" t="s">
        <v>149</v>
      </c>
      <c r="C97" t="s">
        <v>10</v>
      </c>
      <c r="D97">
        <v>228216</v>
      </c>
      <c r="E97" t="s">
        <v>8</v>
      </c>
    </row>
    <row r="98" spans="1:5" x14ac:dyDescent="0.55000000000000004">
      <c r="A98" t="s">
        <v>1876</v>
      </c>
      <c r="B98" t="s">
        <v>1875</v>
      </c>
      <c r="C98" t="s">
        <v>10</v>
      </c>
      <c r="D98">
        <v>1983312</v>
      </c>
      <c r="E98" t="s">
        <v>8</v>
      </c>
    </row>
    <row r="99" spans="1:5" x14ac:dyDescent="0.55000000000000004">
      <c r="A99" t="s">
        <v>1225</v>
      </c>
      <c r="B99" t="s">
        <v>1224</v>
      </c>
      <c r="C99" t="s">
        <v>10</v>
      </c>
      <c r="D99">
        <v>1511802</v>
      </c>
      <c r="E99" t="s">
        <v>8</v>
      </c>
    </row>
    <row r="100" spans="1:5" x14ac:dyDescent="0.55000000000000004">
      <c r="A100" t="s">
        <v>1229</v>
      </c>
      <c r="B100" t="s">
        <v>1228</v>
      </c>
      <c r="C100" t="s">
        <v>10</v>
      </c>
      <c r="D100">
        <v>522842</v>
      </c>
      <c r="E100" t="s">
        <v>8</v>
      </c>
    </row>
    <row r="101" spans="1:5" x14ac:dyDescent="0.55000000000000004">
      <c r="A101" t="s">
        <v>1231</v>
      </c>
      <c r="B101" t="s">
        <v>1230</v>
      </c>
      <c r="C101" t="s">
        <v>13</v>
      </c>
      <c r="D101">
        <v>149130</v>
      </c>
      <c r="E101" t="s">
        <v>8</v>
      </c>
    </row>
    <row r="102" spans="1:5" x14ac:dyDescent="0.55000000000000004">
      <c r="A102" t="s">
        <v>1878</v>
      </c>
      <c r="B102" t="s">
        <v>1877</v>
      </c>
      <c r="C102" t="s">
        <v>41</v>
      </c>
      <c r="D102">
        <v>274372</v>
      </c>
      <c r="E102" t="s">
        <v>8</v>
      </c>
    </row>
    <row r="103" spans="1:5" x14ac:dyDescent="0.55000000000000004">
      <c r="A103" t="s">
        <v>1657</v>
      </c>
      <c r="B103" t="s">
        <v>1655</v>
      </c>
      <c r="C103" t="s">
        <v>1656</v>
      </c>
      <c r="D103">
        <v>1138262</v>
      </c>
      <c r="E103" t="s">
        <v>8</v>
      </c>
    </row>
    <row r="104" spans="1:5" x14ac:dyDescent="0.55000000000000004">
      <c r="A104" t="s">
        <v>996</v>
      </c>
      <c r="B104" t="s">
        <v>995</v>
      </c>
      <c r="C104" t="s">
        <v>10</v>
      </c>
      <c r="D104">
        <v>538687</v>
      </c>
      <c r="E104" t="s">
        <v>8</v>
      </c>
    </row>
    <row r="105" spans="1:5" x14ac:dyDescent="0.55000000000000004">
      <c r="A105" t="s">
        <v>1880</v>
      </c>
      <c r="B105" t="s">
        <v>1879</v>
      </c>
      <c r="C105" t="s">
        <v>215</v>
      </c>
      <c r="D105">
        <v>870660</v>
      </c>
      <c r="E105" t="s">
        <v>8</v>
      </c>
    </row>
    <row r="106" spans="1:5" x14ac:dyDescent="0.55000000000000004">
      <c r="A106" t="s">
        <v>999</v>
      </c>
      <c r="B106" t="s">
        <v>998</v>
      </c>
      <c r="C106" t="s">
        <v>10</v>
      </c>
      <c r="D106">
        <v>212967</v>
      </c>
      <c r="E106" t="s">
        <v>8</v>
      </c>
    </row>
    <row r="107" spans="1:5" x14ac:dyDescent="0.55000000000000004">
      <c r="A107" t="s">
        <v>1661</v>
      </c>
      <c r="B107" t="s">
        <v>1660</v>
      </c>
      <c r="C107" t="s">
        <v>6</v>
      </c>
      <c r="D107">
        <v>2212261</v>
      </c>
      <c r="E107" t="s">
        <v>8</v>
      </c>
    </row>
    <row r="108" spans="1:5" x14ac:dyDescent="0.55000000000000004">
      <c r="A108" t="s">
        <v>841</v>
      </c>
      <c r="B108" t="s">
        <v>840</v>
      </c>
      <c r="C108" t="s">
        <v>10</v>
      </c>
      <c r="D108">
        <v>1440807</v>
      </c>
      <c r="E108" t="s">
        <v>8</v>
      </c>
    </row>
    <row r="109" spans="1:5" x14ac:dyDescent="0.55000000000000004">
      <c r="A109" t="s">
        <v>162</v>
      </c>
      <c r="B109" t="s">
        <v>161</v>
      </c>
      <c r="C109" t="s">
        <v>13</v>
      </c>
      <c r="D109">
        <v>4263198</v>
      </c>
      <c r="E109" t="s">
        <v>8</v>
      </c>
    </row>
    <row r="110" spans="1:5" x14ac:dyDescent="0.55000000000000004">
      <c r="A110" t="s">
        <v>559</v>
      </c>
      <c r="B110" t="s">
        <v>557</v>
      </c>
      <c r="C110" t="s">
        <v>558</v>
      </c>
      <c r="D110">
        <v>244918</v>
      </c>
      <c r="E110" t="s">
        <v>8</v>
      </c>
    </row>
    <row r="111" spans="1:5" x14ac:dyDescent="0.55000000000000004">
      <c r="A111" t="s">
        <v>172</v>
      </c>
      <c r="B111" t="s">
        <v>171</v>
      </c>
      <c r="C111" t="s">
        <v>141</v>
      </c>
      <c r="D111">
        <v>903305</v>
      </c>
      <c r="E111" t="s">
        <v>8</v>
      </c>
    </row>
    <row r="112" spans="1:5" x14ac:dyDescent="0.55000000000000004">
      <c r="A112" t="s">
        <v>1665</v>
      </c>
      <c r="B112" t="s">
        <v>1664</v>
      </c>
      <c r="C112" t="s">
        <v>13</v>
      </c>
      <c r="D112">
        <v>1028900</v>
      </c>
      <c r="E112" t="s">
        <v>8</v>
      </c>
    </row>
    <row r="113" spans="1:5" x14ac:dyDescent="0.55000000000000004">
      <c r="A113" t="s">
        <v>174</v>
      </c>
      <c r="B113" t="s">
        <v>173</v>
      </c>
      <c r="C113" t="s">
        <v>13</v>
      </c>
      <c r="D113">
        <v>657802</v>
      </c>
      <c r="E113" t="s">
        <v>8</v>
      </c>
    </row>
    <row r="114" spans="1:5" x14ac:dyDescent="0.55000000000000004">
      <c r="A114" t="s">
        <v>1882</v>
      </c>
      <c r="B114" t="s">
        <v>1881</v>
      </c>
      <c r="C114" t="s">
        <v>10</v>
      </c>
      <c r="D114">
        <v>258903</v>
      </c>
      <c r="E114" t="s">
        <v>8</v>
      </c>
    </row>
    <row r="115" spans="1:5" x14ac:dyDescent="0.55000000000000004">
      <c r="A115" t="s">
        <v>1884</v>
      </c>
      <c r="B115" t="s">
        <v>1883</v>
      </c>
      <c r="C115" t="s">
        <v>10</v>
      </c>
      <c r="D115">
        <v>766574</v>
      </c>
      <c r="E115" t="s">
        <v>8</v>
      </c>
    </row>
    <row r="116" spans="1:5" x14ac:dyDescent="0.55000000000000004">
      <c r="A116" t="s">
        <v>182</v>
      </c>
      <c r="B116" t="s">
        <v>181</v>
      </c>
      <c r="C116" t="s">
        <v>10</v>
      </c>
      <c r="D116">
        <v>1584928</v>
      </c>
      <c r="E116" t="s">
        <v>8</v>
      </c>
    </row>
    <row r="117" spans="1:5" x14ac:dyDescent="0.55000000000000004">
      <c r="A117" t="s">
        <v>563</v>
      </c>
      <c r="B117" t="s">
        <v>562</v>
      </c>
      <c r="C117" t="s">
        <v>10</v>
      </c>
      <c r="D117">
        <v>804575</v>
      </c>
      <c r="E117" t="s">
        <v>8</v>
      </c>
    </row>
    <row r="118" spans="1:5" x14ac:dyDescent="0.55000000000000004">
      <c r="A118" t="s">
        <v>1007</v>
      </c>
      <c r="B118" t="s">
        <v>1006</v>
      </c>
      <c r="C118" t="s">
        <v>10</v>
      </c>
      <c r="D118">
        <v>333691</v>
      </c>
      <c r="E118" t="s">
        <v>8</v>
      </c>
    </row>
    <row r="119" spans="1:5" x14ac:dyDescent="0.55000000000000004">
      <c r="A119" t="s">
        <v>1671</v>
      </c>
      <c r="B119" t="s">
        <v>1670</v>
      </c>
      <c r="C119" t="s">
        <v>10</v>
      </c>
      <c r="D119">
        <v>656829</v>
      </c>
      <c r="E119" t="s">
        <v>8</v>
      </c>
    </row>
    <row r="120" spans="1:5" x14ac:dyDescent="0.55000000000000004">
      <c r="A120" t="s">
        <v>1240</v>
      </c>
      <c r="B120" t="s">
        <v>1239</v>
      </c>
      <c r="C120" t="s">
        <v>10</v>
      </c>
      <c r="D120">
        <v>1031999</v>
      </c>
      <c r="E120" t="s">
        <v>8</v>
      </c>
    </row>
    <row r="121" spans="1:5" x14ac:dyDescent="0.55000000000000004">
      <c r="A121" t="s">
        <v>1886</v>
      </c>
      <c r="B121" t="s">
        <v>1885</v>
      </c>
      <c r="C121" t="s">
        <v>10</v>
      </c>
      <c r="D121">
        <v>4936343</v>
      </c>
      <c r="E121" t="s">
        <v>8</v>
      </c>
    </row>
    <row r="122" spans="1:5" x14ac:dyDescent="0.55000000000000004">
      <c r="A122" t="s">
        <v>1244</v>
      </c>
      <c r="B122" t="s">
        <v>1243</v>
      </c>
      <c r="C122" t="s">
        <v>10</v>
      </c>
      <c r="D122">
        <v>337611</v>
      </c>
      <c r="E122" t="s">
        <v>8</v>
      </c>
    </row>
    <row r="123" spans="1:5" x14ac:dyDescent="0.55000000000000004">
      <c r="A123" t="s">
        <v>1246</v>
      </c>
      <c r="B123" t="s">
        <v>1245</v>
      </c>
      <c r="C123" t="s">
        <v>41</v>
      </c>
      <c r="D123">
        <v>728178</v>
      </c>
      <c r="E123" t="s">
        <v>8</v>
      </c>
    </row>
    <row r="124" spans="1:5" x14ac:dyDescent="0.55000000000000004">
      <c r="A124" t="s">
        <v>1888</v>
      </c>
      <c r="B124" t="s">
        <v>1887</v>
      </c>
      <c r="C124" t="s">
        <v>10</v>
      </c>
      <c r="D124">
        <v>275374</v>
      </c>
      <c r="E124" t="s">
        <v>8</v>
      </c>
    </row>
    <row r="125" spans="1:5" x14ac:dyDescent="0.55000000000000004">
      <c r="A125" t="s">
        <v>1673</v>
      </c>
      <c r="B125" t="s">
        <v>1672</v>
      </c>
      <c r="C125" t="s">
        <v>10</v>
      </c>
      <c r="D125">
        <v>1152672</v>
      </c>
      <c r="E125" t="s">
        <v>8</v>
      </c>
    </row>
    <row r="126" spans="1:5" x14ac:dyDescent="0.55000000000000004">
      <c r="A126" t="s">
        <v>1890</v>
      </c>
      <c r="B126" t="s">
        <v>1889</v>
      </c>
      <c r="C126" t="s">
        <v>10</v>
      </c>
      <c r="D126">
        <v>345304</v>
      </c>
      <c r="E126" t="s">
        <v>8</v>
      </c>
    </row>
    <row r="127" spans="1:5" x14ac:dyDescent="0.55000000000000004">
      <c r="A127" t="s">
        <v>194</v>
      </c>
      <c r="B127" t="s">
        <v>193</v>
      </c>
      <c r="C127" t="s">
        <v>10</v>
      </c>
      <c r="D127">
        <v>650090</v>
      </c>
      <c r="E127" t="s">
        <v>8</v>
      </c>
    </row>
    <row r="128" spans="1:5" x14ac:dyDescent="0.55000000000000004">
      <c r="A128" t="s">
        <v>1015</v>
      </c>
      <c r="B128" t="s">
        <v>1014</v>
      </c>
      <c r="C128" t="s">
        <v>10</v>
      </c>
      <c r="D128">
        <v>237601</v>
      </c>
      <c r="E128" t="s">
        <v>8</v>
      </c>
    </row>
    <row r="129" spans="1:5" x14ac:dyDescent="0.55000000000000004">
      <c r="A129" t="s">
        <v>1892</v>
      </c>
      <c r="B129" t="s">
        <v>1891</v>
      </c>
      <c r="C129" t="s">
        <v>10</v>
      </c>
      <c r="D129">
        <v>217114</v>
      </c>
      <c r="E129" t="s">
        <v>8</v>
      </c>
    </row>
    <row r="130" spans="1:5" x14ac:dyDescent="0.55000000000000004">
      <c r="A130" t="s">
        <v>571</v>
      </c>
      <c r="B130" t="s">
        <v>570</v>
      </c>
      <c r="C130" t="s">
        <v>10</v>
      </c>
      <c r="D130">
        <v>152578</v>
      </c>
      <c r="E130" t="s">
        <v>8</v>
      </c>
    </row>
    <row r="131" spans="1:5" x14ac:dyDescent="0.55000000000000004">
      <c r="A131" t="s">
        <v>1250</v>
      </c>
      <c r="B131" t="s">
        <v>1249</v>
      </c>
      <c r="C131" t="s">
        <v>10</v>
      </c>
      <c r="D131">
        <v>817667</v>
      </c>
      <c r="E131" t="s">
        <v>8</v>
      </c>
    </row>
    <row r="132" spans="1:5" x14ac:dyDescent="0.55000000000000004">
      <c r="A132" t="s">
        <v>1019</v>
      </c>
      <c r="B132" t="s">
        <v>1018</v>
      </c>
      <c r="C132" t="s">
        <v>10</v>
      </c>
      <c r="D132">
        <v>447886</v>
      </c>
      <c r="E132" t="s">
        <v>8</v>
      </c>
    </row>
    <row r="133" spans="1:5" x14ac:dyDescent="0.55000000000000004">
      <c r="A133" t="s">
        <v>1675</v>
      </c>
      <c r="B133" t="s">
        <v>1674</v>
      </c>
      <c r="C133" t="s">
        <v>10</v>
      </c>
      <c r="D133">
        <v>1877790</v>
      </c>
      <c r="E133" t="s">
        <v>8</v>
      </c>
    </row>
    <row r="134" spans="1:5" x14ac:dyDescent="0.55000000000000004">
      <c r="A134" t="s">
        <v>1252</v>
      </c>
      <c r="B134" t="s">
        <v>1251</v>
      </c>
      <c r="C134" t="s">
        <v>10</v>
      </c>
      <c r="D134">
        <v>2943150</v>
      </c>
      <c r="E134" t="s">
        <v>8</v>
      </c>
    </row>
    <row r="135" spans="1:5" x14ac:dyDescent="0.55000000000000004">
      <c r="A135" t="s">
        <v>1254</v>
      </c>
      <c r="B135" t="s">
        <v>1253</v>
      </c>
      <c r="C135" t="s">
        <v>41</v>
      </c>
      <c r="D135">
        <v>392256</v>
      </c>
      <c r="E135" t="s">
        <v>8</v>
      </c>
    </row>
    <row r="136" spans="1:5" x14ac:dyDescent="0.55000000000000004">
      <c r="A136" t="s">
        <v>202</v>
      </c>
      <c r="B136" t="s">
        <v>201</v>
      </c>
      <c r="C136" t="s">
        <v>10</v>
      </c>
      <c r="D136">
        <v>1012456</v>
      </c>
      <c r="E136" t="s">
        <v>8</v>
      </c>
    </row>
    <row r="137" spans="1:5" x14ac:dyDescent="0.55000000000000004">
      <c r="A137" t="s">
        <v>1021</v>
      </c>
      <c r="B137" t="s">
        <v>1020</v>
      </c>
      <c r="C137" t="s">
        <v>880</v>
      </c>
      <c r="D137">
        <v>255593</v>
      </c>
      <c r="E137" t="s">
        <v>8</v>
      </c>
    </row>
    <row r="138" spans="1:5" x14ac:dyDescent="0.55000000000000004">
      <c r="A138" t="s">
        <v>1258</v>
      </c>
      <c r="B138" t="s">
        <v>1257</v>
      </c>
      <c r="C138" t="s">
        <v>10</v>
      </c>
      <c r="D138">
        <v>1799536</v>
      </c>
      <c r="E138" t="s">
        <v>8</v>
      </c>
    </row>
    <row r="139" spans="1:5" x14ac:dyDescent="0.55000000000000004">
      <c r="A139" t="s">
        <v>209</v>
      </c>
      <c r="B139" t="s">
        <v>207</v>
      </c>
      <c r="C139" t="s">
        <v>208</v>
      </c>
      <c r="D139">
        <v>228822</v>
      </c>
      <c r="E139" t="s">
        <v>8</v>
      </c>
    </row>
    <row r="140" spans="1:5" x14ac:dyDescent="0.55000000000000004">
      <c r="A140" t="s">
        <v>1894</v>
      </c>
      <c r="B140" t="s">
        <v>1893</v>
      </c>
      <c r="C140" t="s">
        <v>1317</v>
      </c>
      <c r="D140">
        <v>1856020</v>
      </c>
      <c r="E140" t="s">
        <v>8</v>
      </c>
    </row>
    <row r="141" spans="1:5" x14ac:dyDescent="0.55000000000000004">
      <c r="A141" t="s">
        <v>1896</v>
      </c>
      <c r="B141" t="s">
        <v>1895</v>
      </c>
      <c r="C141" t="s">
        <v>138</v>
      </c>
      <c r="D141">
        <v>727218</v>
      </c>
      <c r="E141" t="s">
        <v>8</v>
      </c>
    </row>
    <row r="142" spans="1:5" x14ac:dyDescent="0.55000000000000004">
      <c r="A142" t="s">
        <v>849</v>
      </c>
      <c r="B142" t="s">
        <v>848</v>
      </c>
      <c r="C142" t="s">
        <v>10</v>
      </c>
      <c r="D142">
        <v>196454</v>
      </c>
      <c r="E142" t="s">
        <v>8</v>
      </c>
    </row>
    <row r="143" spans="1:5" x14ac:dyDescent="0.55000000000000004">
      <c r="A143" t="s">
        <v>1262</v>
      </c>
      <c r="B143" t="s">
        <v>1261</v>
      </c>
      <c r="C143" t="s">
        <v>41</v>
      </c>
      <c r="D143">
        <v>211990</v>
      </c>
      <c r="E143" t="s">
        <v>8</v>
      </c>
    </row>
    <row r="144" spans="1:5" x14ac:dyDescent="0.55000000000000004">
      <c r="A144" t="s">
        <v>1264</v>
      </c>
      <c r="B144" t="s">
        <v>1263</v>
      </c>
      <c r="C144" t="s">
        <v>18</v>
      </c>
      <c r="D144">
        <v>193668</v>
      </c>
      <c r="E144" t="s">
        <v>8</v>
      </c>
    </row>
    <row r="145" spans="1:5" x14ac:dyDescent="0.55000000000000004">
      <c r="A145" t="s">
        <v>1898</v>
      </c>
      <c r="B145" t="s">
        <v>1897</v>
      </c>
      <c r="C145" t="s">
        <v>10</v>
      </c>
      <c r="D145">
        <v>3028554</v>
      </c>
      <c r="E145" t="s">
        <v>8</v>
      </c>
    </row>
    <row r="146" spans="1:5" x14ac:dyDescent="0.55000000000000004">
      <c r="A146" t="s">
        <v>1900</v>
      </c>
      <c r="B146" t="s">
        <v>1899</v>
      </c>
      <c r="C146" t="s">
        <v>10</v>
      </c>
      <c r="D146">
        <v>455198</v>
      </c>
      <c r="E146" t="s">
        <v>8</v>
      </c>
    </row>
    <row r="147" spans="1:5" x14ac:dyDescent="0.55000000000000004">
      <c r="A147" t="s">
        <v>1902</v>
      </c>
      <c r="B147" t="s">
        <v>1901</v>
      </c>
      <c r="C147" t="s">
        <v>1483</v>
      </c>
      <c r="D147">
        <v>1470710</v>
      </c>
      <c r="E147" t="s">
        <v>8</v>
      </c>
    </row>
    <row r="148" spans="1:5" x14ac:dyDescent="0.55000000000000004">
      <c r="A148" t="s">
        <v>1267</v>
      </c>
      <c r="B148" t="s">
        <v>1265</v>
      </c>
      <c r="C148" t="s">
        <v>1266</v>
      </c>
      <c r="D148">
        <v>315736</v>
      </c>
      <c r="E148" t="s">
        <v>8</v>
      </c>
    </row>
    <row r="149" spans="1:5" x14ac:dyDescent="0.55000000000000004">
      <c r="A149" t="s">
        <v>1904</v>
      </c>
      <c r="B149" t="s">
        <v>1903</v>
      </c>
      <c r="C149" t="s">
        <v>10</v>
      </c>
      <c r="D149">
        <v>794502</v>
      </c>
      <c r="E149" t="s">
        <v>8</v>
      </c>
    </row>
    <row r="150" spans="1:5" x14ac:dyDescent="0.55000000000000004">
      <c r="A150" t="s">
        <v>1906</v>
      </c>
      <c r="B150" t="s">
        <v>1905</v>
      </c>
      <c r="C150" t="s">
        <v>10</v>
      </c>
      <c r="D150">
        <v>1505769</v>
      </c>
      <c r="E150" t="s">
        <v>8</v>
      </c>
    </row>
    <row r="151" spans="1:5" x14ac:dyDescent="0.55000000000000004">
      <c r="A151" t="s">
        <v>1280</v>
      </c>
      <c r="B151" t="s">
        <v>1279</v>
      </c>
      <c r="C151" t="s">
        <v>10</v>
      </c>
      <c r="D151">
        <v>943820</v>
      </c>
      <c r="E151" t="s">
        <v>8</v>
      </c>
    </row>
    <row r="152" spans="1:5" x14ac:dyDescent="0.55000000000000004">
      <c r="A152" t="s">
        <v>1908</v>
      </c>
      <c r="B152" t="s">
        <v>1907</v>
      </c>
      <c r="C152" t="s">
        <v>18</v>
      </c>
      <c r="D152">
        <v>244948</v>
      </c>
      <c r="E152" t="s">
        <v>8</v>
      </c>
    </row>
    <row r="153" spans="1:5" x14ac:dyDescent="0.55000000000000004">
      <c r="A153" t="s">
        <v>216</v>
      </c>
      <c r="B153" t="s">
        <v>214</v>
      </c>
      <c r="C153" t="s">
        <v>215</v>
      </c>
      <c r="D153">
        <v>447104</v>
      </c>
      <c r="E153" t="s">
        <v>8</v>
      </c>
    </row>
    <row r="154" spans="1:5" x14ac:dyDescent="0.55000000000000004">
      <c r="A154" t="s">
        <v>1910</v>
      </c>
      <c r="B154" t="s">
        <v>1909</v>
      </c>
      <c r="C154" t="s">
        <v>10</v>
      </c>
      <c r="D154">
        <v>259397</v>
      </c>
      <c r="E154" t="s">
        <v>8</v>
      </c>
    </row>
    <row r="155" spans="1:5" x14ac:dyDescent="0.55000000000000004">
      <c r="A155" t="s">
        <v>1283</v>
      </c>
      <c r="B155" t="s">
        <v>1281</v>
      </c>
      <c r="C155" t="s">
        <v>1282</v>
      </c>
      <c r="D155">
        <v>331854</v>
      </c>
      <c r="E155" t="s">
        <v>8</v>
      </c>
    </row>
    <row r="156" spans="1:5" x14ac:dyDescent="0.55000000000000004">
      <c r="A156" t="s">
        <v>1912</v>
      </c>
      <c r="B156" t="s">
        <v>1911</v>
      </c>
      <c r="C156" t="s">
        <v>10</v>
      </c>
      <c r="D156">
        <v>72138</v>
      </c>
      <c r="E156" t="s">
        <v>8</v>
      </c>
    </row>
    <row r="157" spans="1:5" x14ac:dyDescent="0.55000000000000004">
      <c r="A157" t="s">
        <v>222</v>
      </c>
      <c r="B157" t="s">
        <v>221</v>
      </c>
      <c r="C157" t="s">
        <v>10</v>
      </c>
      <c r="D157">
        <v>344250</v>
      </c>
      <c r="E157" t="s">
        <v>8</v>
      </c>
    </row>
    <row r="158" spans="1:5" x14ac:dyDescent="0.55000000000000004">
      <c r="A158" t="s">
        <v>224</v>
      </c>
      <c r="B158" t="s">
        <v>223</v>
      </c>
      <c r="C158" t="s">
        <v>10</v>
      </c>
      <c r="D158">
        <v>206085</v>
      </c>
      <c r="E158" t="s">
        <v>8</v>
      </c>
    </row>
    <row r="159" spans="1:5" x14ac:dyDescent="0.55000000000000004">
      <c r="A159" t="s">
        <v>1285</v>
      </c>
      <c r="B159" t="s">
        <v>1284</v>
      </c>
      <c r="C159" t="s">
        <v>10</v>
      </c>
      <c r="D159">
        <v>4169386</v>
      </c>
      <c r="E159" t="s">
        <v>8</v>
      </c>
    </row>
    <row r="160" spans="1:5" x14ac:dyDescent="0.55000000000000004">
      <c r="A160" t="s">
        <v>587</v>
      </c>
      <c r="B160" t="s">
        <v>586</v>
      </c>
      <c r="C160" t="s">
        <v>10</v>
      </c>
      <c r="D160">
        <v>298869</v>
      </c>
      <c r="E160" t="s">
        <v>8</v>
      </c>
    </row>
    <row r="161" spans="1:5" x14ac:dyDescent="0.55000000000000004">
      <c r="A161" t="s">
        <v>1289</v>
      </c>
      <c r="B161" t="s">
        <v>1288</v>
      </c>
      <c r="C161" t="s">
        <v>10</v>
      </c>
      <c r="D161">
        <v>465981</v>
      </c>
      <c r="E161" t="s">
        <v>8</v>
      </c>
    </row>
    <row r="162" spans="1:5" x14ac:dyDescent="0.55000000000000004">
      <c r="A162" t="s">
        <v>1913</v>
      </c>
      <c r="B162" t="s">
        <v>1290</v>
      </c>
      <c r="C162" t="s">
        <v>18</v>
      </c>
      <c r="D162">
        <v>123125</v>
      </c>
      <c r="E162" t="s">
        <v>8</v>
      </c>
    </row>
    <row r="163" spans="1:5" x14ac:dyDescent="0.55000000000000004">
      <c r="A163" t="s">
        <v>1679</v>
      </c>
      <c r="B163" t="s">
        <v>1678</v>
      </c>
      <c r="C163" t="s">
        <v>10</v>
      </c>
      <c r="D163">
        <v>280900</v>
      </c>
      <c r="E163" t="s">
        <v>8</v>
      </c>
    </row>
    <row r="164" spans="1:5" x14ac:dyDescent="0.55000000000000004">
      <c r="A164" t="s">
        <v>589</v>
      </c>
      <c r="B164" t="s">
        <v>588</v>
      </c>
      <c r="C164" t="s">
        <v>10</v>
      </c>
      <c r="D164">
        <v>3273350</v>
      </c>
      <c r="E164" t="s">
        <v>8</v>
      </c>
    </row>
    <row r="165" spans="1:5" x14ac:dyDescent="0.55000000000000004">
      <c r="A165" t="s">
        <v>235</v>
      </c>
      <c r="B165" t="s">
        <v>234</v>
      </c>
      <c r="C165" t="s">
        <v>41</v>
      </c>
      <c r="D165">
        <v>214682</v>
      </c>
      <c r="E165" t="s">
        <v>8</v>
      </c>
    </row>
    <row r="166" spans="1:5" x14ac:dyDescent="0.55000000000000004">
      <c r="A166" t="s">
        <v>241</v>
      </c>
      <c r="B166" t="s">
        <v>240</v>
      </c>
      <c r="C166" t="s">
        <v>10</v>
      </c>
      <c r="D166">
        <v>399604</v>
      </c>
      <c r="E166" t="s">
        <v>8</v>
      </c>
    </row>
    <row r="167" spans="1:5" x14ac:dyDescent="0.55000000000000004">
      <c r="A167" t="s">
        <v>1915</v>
      </c>
      <c r="B167" t="s">
        <v>1914</v>
      </c>
      <c r="C167" t="s">
        <v>10</v>
      </c>
      <c r="D167">
        <v>1026213</v>
      </c>
      <c r="E167" t="s">
        <v>8</v>
      </c>
    </row>
    <row r="168" spans="1:5" x14ac:dyDescent="0.55000000000000004">
      <c r="A168" t="s">
        <v>243</v>
      </c>
      <c r="B168" t="s">
        <v>242</v>
      </c>
      <c r="C168" t="s">
        <v>10</v>
      </c>
      <c r="D168">
        <v>1208448</v>
      </c>
      <c r="E168" t="s">
        <v>8</v>
      </c>
    </row>
    <row r="169" spans="1:5" x14ac:dyDescent="0.55000000000000004">
      <c r="A169" t="s">
        <v>247</v>
      </c>
      <c r="B169" t="s">
        <v>246</v>
      </c>
      <c r="C169" t="s">
        <v>10</v>
      </c>
      <c r="D169">
        <v>843739</v>
      </c>
      <c r="E169" t="s">
        <v>8</v>
      </c>
    </row>
    <row r="170" spans="1:5" x14ac:dyDescent="0.55000000000000004">
      <c r="A170" t="s">
        <v>249</v>
      </c>
      <c r="B170" t="s">
        <v>248</v>
      </c>
      <c r="C170" t="s">
        <v>10</v>
      </c>
      <c r="D170">
        <v>354308</v>
      </c>
      <c r="E170" t="s">
        <v>8</v>
      </c>
    </row>
    <row r="171" spans="1:5" x14ac:dyDescent="0.55000000000000004">
      <c r="A171" t="s">
        <v>1917</v>
      </c>
      <c r="B171" t="s">
        <v>1916</v>
      </c>
      <c r="C171" t="s">
        <v>41</v>
      </c>
      <c r="D171">
        <v>44330</v>
      </c>
      <c r="E171" t="s">
        <v>8</v>
      </c>
    </row>
    <row r="172" spans="1:5" x14ac:dyDescent="0.55000000000000004">
      <c r="A172" t="s">
        <v>1919</v>
      </c>
      <c r="B172" t="s">
        <v>1918</v>
      </c>
      <c r="C172" t="s">
        <v>1317</v>
      </c>
      <c r="D172">
        <v>394602</v>
      </c>
      <c r="E172" t="s">
        <v>8</v>
      </c>
    </row>
    <row r="173" spans="1:5" x14ac:dyDescent="0.55000000000000004">
      <c r="A173" t="s">
        <v>1921</v>
      </c>
      <c r="B173" t="s">
        <v>1920</v>
      </c>
      <c r="C173" t="s">
        <v>10</v>
      </c>
      <c r="D173">
        <v>226246</v>
      </c>
      <c r="E173" t="s">
        <v>8</v>
      </c>
    </row>
    <row r="174" spans="1:5" x14ac:dyDescent="0.55000000000000004">
      <c r="A174" t="s">
        <v>1297</v>
      </c>
      <c r="B174" t="s">
        <v>1296</v>
      </c>
      <c r="C174" t="s">
        <v>10</v>
      </c>
      <c r="D174">
        <v>1585871</v>
      </c>
      <c r="E174" t="s">
        <v>8</v>
      </c>
    </row>
    <row r="175" spans="1:5" x14ac:dyDescent="0.55000000000000004">
      <c r="A175" t="s">
        <v>1683</v>
      </c>
      <c r="B175" t="s">
        <v>1682</v>
      </c>
      <c r="C175" t="s">
        <v>10</v>
      </c>
      <c r="D175">
        <v>811043</v>
      </c>
      <c r="E175" t="s">
        <v>8</v>
      </c>
    </row>
    <row r="176" spans="1:5" x14ac:dyDescent="0.55000000000000004">
      <c r="A176" t="s">
        <v>597</v>
      </c>
      <c r="B176" t="s">
        <v>596</v>
      </c>
      <c r="C176" t="s">
        <v>6</v>
      </c>
      <c r="D176">
        <v>445662</v>
      </c>
      <c r="E176" t="s">
        <v>8</v>
      </c>
    </row>
    <row r="177" spans="1:5" x14ac:dyDescent="0.55000000000000004">
      <c r="A177" t="s">
        <v>257</v>
      </c>
      <c r="B177" t="s">
        <v>256</v>
      </c>
      <c r="C177" t="s">
        <v>10</v>
      </c>
      <c r="D177">
        <v>907346</v>
      </c>
      <c r="E177" t="s">
        <v>8</v>
      </c>
    </row>
    <row r="178" spans="1:5" x14ac:dyDescent="0.55000000000000004">
      <c r="A178" t="s">
        <v>1687</v>
      </c>
      <c r="B178" t="s">
        <v>1686</v>
      </c>
      <c r="C178" t="s">
        <v>10</v>
      </c>
      <c r="D178">
        <v>294899</v>
      </c>
      <c r="E178" t="s">
        <v>8</v>
      </c>
    </row>
    <row r="179" spans="1:5" x14ac:dyDescent="0.55000000000000004">
      <c r="A179" t="s">
        <v>1029</v>
      </c>
      <c r="B179" t="s">
        <v>1028</v>
      </c>
      <c r="C179" t="s">
        <v>10</v>
      </c>
      <c r="D179">
        <v>386378</v>
      </c>
      <c r="E179" t="s">
        <v>8</v>
      </c>
    </row>
    <row r="180" spans="1:5" x14ac:dyDescent="0.55000000000000004">
      <c r="A180" t="s">
        <v>1689</v>
      </c>
      <c r="B180" t="s">
        <v>1688</v>
      </c>
      <c r="C180" t="s">
        <v>10</v>
      </c>
      <c r="D180">
        <v>446679</v>
      </c>
      <c r="E180" t="s">
        <v>8</v>
      </c>
    </row>
    <row r="181" spans="1:5" x14ac:dyDescent="0.55000000000000004">
      <c r="A181" t="s">
        <v>1031</v>
      </c>
      <c r="B181" t="s">
        <v>1030</v>
      </c>
      <c r="C181" t="s">
        <v>10</v>
      </c>
      <c r="D181">
        <v>1812758</v>
      </c>
      <c r="E181" t="s">
        <v>8</v>
      </c>
    </row>
    <row r="182" spans="1:5" x14ac:dyDescent="0.55000000000000004">
      <c r="A182" t="s">
        <v>1303</v>
      </c>
      <c r="B182" t="s">
        <v>1302</v>
      </c>
      <c r="C182" t="s">
        <v>10</v>
      </c>
      <c r="D182">
        <v>888726</v>
      </c>
      <c r="E182" t="s">
        <v>8</v>
      </c>
    </row>
    <row r="183" spans="1:5" x14ac:dyDescent="0.55000000000000004">
      <c r="A183" t="s">
        <v>603</v>
      </c>
      <c r="B183" t="s">
        <v>602</v>
      </c>
      <c r="C183" t="s">
        <v>10</v>
      </c>
      <c r="D183">
        <v>648488</v>
      </c>
      <c r="E183" t="s">
        <v>8</v>
      </c>
    </row>
    <row r="184" spans="1:5" x14ac:dyDescent="0.55000000000000004">
      <c r="A184" t="s">
        <v>1923</v>
      </c>
      <c r="B184" t="s">
        <v>1922</v>
      </c>
      <c r="C184" t="s">
        <v>10</v>
      </c>
      <c r="D184">
        <v>2820074</v>
      </c>
      <c r="E184" t="s">
        <v>8</v>
      </c>
    </row>
    <row r="185" spans="1:5" x14ac:dyDescent="0.55000000000000004">
      <c r="A185" t="s">
        <v>265</v>
      </c>
      <c r="B185" t="s">
        <v>264</v>
      </c>
      <c r="C185" t="s">
        <v>10</v>
      </c>
      <c r="D185">
        <v>406502</v>
      </c>
      <c r="E185" t="s">
        <v>8</v>
      </c>
    </row>
    <row r="186" spans="1:5" x14ac:dyDescent="0.55000000000000004">
      <c r="A186" t="s">
        <v>1691</v>
      </c>
      <c r="B186" t="s">
        <v>1690</v>
      </c>
      <c r="C186" t="s">
        <v>10</v>
      </c>
      <c r="D186">
        <v>211450</v>
      </c>
      <c r="E186" t="s">
        <v>8</v>
      </c>
    </row>
    <row r="187" spans="1:5" x14ac:dyDescent="0.55000000000000004">
      <c r="A187" t="s">
        <v>1693</v>
      </c>
      <c r="B187" t="s">
        <v>1692</v>
      </c>
      <c r="C187" t="s">
        <v>10</v>
      </c>
      <c r="D187">
        <v>799293</v>
      </c>
      <c r="E187" t="s">
        <v>8</v>
      </c>
    </row>
    <row r="188" spans="1:5" x14ac:dyDescent="0.55000000000000004">
      <c r="A188" t="s">
        <v>1925</v>
      </c>
      <c r="B188" t="s">
        <v>1924</v>
      </c>
      <c r="C188" t="s">
        <v>10</v>
      </c>
      <c r="D188">
        <v>3033397</v>
      </c>
      <c r="E188" t="s">
        <v>8</v>
      </c>
    </row>
    <row r="189" spans="1:5" x14ac:dyDescent="0.55000000000000004">
      <c r="A189" t="s">
        <v>1305</v>
      </c>
      <c r="B189" t="s">
        <v>1926</v>
      </c>
      <c r="C189" t="s">
        <v>10</v>
      </c>
      <c r="D189">
        <v>353893</v>
      </c>
      <c r="E189" t="s">
        <v>8</v>
      </c>
    </row>
    <row r="190" spans="1:5" x14ac:dyDescent="0.55000000000000004">
      <c r="A190" t="s">
        <v>1928</v>
      </c>
      <c r="B190" t="s">
        <v>1927</v>
      </c>
      <c r="C190" t="s">
        <v>208</v>
      </c>
      <c r="D190">
        <v>338793</v>
      </c>
      <c r="E190" t="s">
        <v>8</v>
      </c>
    </row>
    <row r="191" spans="1:5" x14ac:dyDescent="0.55000000000000004">
      <c r="A191" t="s">
        <v>1037</v>
      </c>
      <c r="B191" t="s">
        <v>1036</v>
      </c>
      <c r="C191" t="s">
        <v>18</v>
      </c>
      <c r="D191">
        <v>295185</v>
      </c>
      <c r="E191" t="s">
        <v>8</v>
      </c>
    </row>
    <row r="192" spans="1:5" x14ac:dyDescent="0.55000000000000004">
      <c r="A192" t="s">
        <v>1311</v>
      </c>
      <c r="B192" t="s">
        <v>1310</v>
      </c>
      <c r="C192" t="s">
        <v>10</v>
      </c>
      <c r="D192">
        <v>2105976</v>
      </c>
      <c r="E192" t="s">
        <v>8</v>
      </c>
    </row>
    <row r="193" spans="1:5" x14ac:dyDescent="0.55000000000000004">
      <c r="A193" t="s">
        <v>1930</v>
      </c>
      <c r="B193" t="s">
        <v>1929</v>
      </c>
      <c r="C193" t="s">
        <v>10</v>
      </c>
      <c r="D193">
        <v>238370</v>
      </c>
      <c r="E193" t="s">
        <v>8</v>
      </c>
    </row>
    <row r="194" spans="1:5" x14ac:dyDescent="0.55000000000000004">
      <c r="A194" t="s">
        <v>1313</v>
      </c>
      <c r="B194" t="s">
        <v>1312</v>
      </c>
      <c r="C194" t="s">
        <v>76</v>
      </c>
      <c r="D194">
        <v>90999</v>
      </c>
      <c r="E194" t="s">
        <v>8</v>
      </c>
    </row>
    <row r="195" spans="1:5" x14ac:dyDescent="0.55000000000000004">
      <c r="A195" t="s">
        <v>1315</v>
      </c>
      <c r="B195" t="s">
        <v>1314</v>
      </c>
      <c r="C195" t="s">
        <v>10</v>
      </c>
      <c r="D195">
        <v>820176</v>
      </c>
      <c r="E195" t="s">
        <v>8</v>
      </c>
    </row>
    <row r="196" spans="1:5" x14ac:dyDescent="0.55000000000000004">
      <c r="A196" t="s">
        <v>1933</v>
      </c>
      <c r="B196" t="s">
        <v>1931</v>
      </c>
      <c r="C196" t="s">
        <v>1932</v>
      </c>
      <c r="D196">
        <v>905991</v>
      </c>
      <c r="E196" t="s">
        <v>8</v>
      </c>
    </row>
    <row r="197" spans="1:5" x14ac:dyDescent="0.55000000000000004">
      <c r="A197" t="s">
        <v>1935</v>
      </c>
      <c r="B197" t="s">
        <v>1934</v>
      </c>
      <c r="C197" t="s">
        <v>10</v>
      </c>
      <c r="D197">
        <v>922583</v>
      </c>
      <c r="E197" t="s">
        <v>8</v>
      </c>
    </row>
    <row r="198" spans="1:5" x14ac:dyDescent="0.55000000000000004">
      <c r="A198" t="s">
        <v>1320</v>
      </c>
      <c r="B198" t="s">
        <v>1319</v>
      </c>
      <c r="C198" t="s">
        <v>10</v>
      </c>
      <c r="D198">
        <v>303894</v>
      </c>
      <c r="E198" t="s">
        <v>8</v>
      </c>
    </row>
    <row r="199" spans="1:5" x14ac:dyDescent="0.55000000000000004">
      <c r="A199" t="s">
        <v>1938</v>
      </c>
      <c r="B199" t="s">
        <v>1936</v>
      </c>
      <c r="C199" t="s">
        <v>1937</v>
      </c>
      <c r="D199">
        <v>396800</v>
      </c>
      <c r="E199" t="s">
        <v>8</v>
      </c>
    </row>
    <row r="200" spans="1:5" x14ac:dyDescent="0.55000000000000004">
      <c r="A200" t="s">
        <v>1940</v>
      </c>
      <c r="B200" t="s">
        <v>1939</v>
      </c>
      <c r="C200" t="s">
        <v>41</v>
      </c>
      <c r="D200">
        <v>1155010</v>
      </c>
      <c r="E200" t="s">
        <v>8</v>
      </c>
    </row>
    <row r="201" spans="1:5" x14ac:dyDescent="0.55000000000000004">
      <c r="A201" t="s">
        <v>1322</v>
      </c>
      <c r="B201" t="s">
        <v>1321</v>
      </c>
      <c r="C201" t="s">
        <v>10</v>
      </c>
      <c r="D201">
        <v>223789</v>
      </c>
      <c r="E201" t="s">
        <v>8</v>
      </c>
    </row>
    <row r="202" spans="1:5" x14ac:dyDescent="0.55000000000000004">
      <c r="A202" t="s">
        <v>1324</v>
      </c>
      <c r="B202" t="s">
        <v>1323</v>
      </c>
      <c r="C202" t="s">
        <v>10</v>
      </c>
      <c r="D202">
        <v>1005566</v>
      </c>
      <c r="E202" t="s">
        <v>8</v>
      </c>
    </row>
    <row r="203" spans="1:5" x14ac:dyDescent="0.55000000000000004">
      <c r="A203" t="s">
        <v>1043</v>
      </c>
      <c r="B203" t="s">
        <v>1042</v>
      </c>
      <c r="C203" t="s">
        <v>10</v>
      </c>
      <c r="D203">
        <v>367773</v>
      </c>
      <c r="E203" t="s">
        <v>8</v>
      </c>
    </row>
    <row r="204" spans="1:5" x14ac:dyDescent="0.55000000000000004">
      <c r="A204" t="s">
        <v>285</v>
      </c>
      <c r="B204" t="s">
        <v>284</v>
      </c>
      <c r="C204" t="s">
        <v>10</v>
      </c>
      <c r="D204">
        <v>1685604</v>
      </c>
      <c r="E204" t="s">
        <v>8</v>
      </c>
    </row>
    <row r="205" spans="1:5" x14ac:dyDescent="0.55000000000000004">
      <c r="A205" t="s">
        <v>627</v>
      </c>
      <c r="B205" t="s">
        <v>626</v>
      </c>
      <c r="C205" t="s">
        <v>41</v>
      </c>
      <c r="D205">
        <v>1015064</v>
      </c>
      <c r="E205" t="s">
        <v>8</v>
      </c>
    </row>
    <row r="206" spans="1:5" x14ac:dyDescent="0.55000000000000004">
      <c r="A206" t="s">
        <v>1699</v>
      </c>
      <c r="B206" t="s">
        <v>1698</v>
      </c>
      <c r="C206" t="s">
        <v>6</v>
      </c>
      <c r="D206">
        <v>320269</v>
      </c>
      <c r="E206" t="s">
        <v>8</v>
      </c>
    </row>
    <row r="207" spans="1:5" x14ac:dyDescent="0.55000000000000004">
      <c r="A207" t="s">
        <v>1943</v>
      </c>
      <c r="B207" t="s">
        <v>1941</v>
      </c>
      <c r="C207" t="s">
        <v>1942</v>
      </c>
      <c r="D207">
        <v>423469</v>
      </c>
      <c r="E207" t="s">
        <v>8</v>
      </c>
    </row>
    <row r="208" spans="1:5" x14ac:dyDescent="0.55000000000000004">
      <c r="A208" t="s">
        <v>1332</v>
      </c>
      <c r="B208" t="s">
        <v>1331</v>
      </c>
      <c r="C208" t="s">
        <v>10</v>
      </c>
      <c r="D208">
        <v>500130</v>
      </c>
      <c r="E208" t="s">
        <v>8</v>
      </c>
    </row>
    <row r="209" spans="1:5" x14ac:dyDescent="0.55000000000000004">
      <c r="A209" t="s">
        <v>1527</v>
      </c>
      <c r="B209" t="s">
        <v>1526</v>
      </c>
      <c r="C209" t="s">
        <v>10</v>
      </c>
      <c r="D209">
        <v>126902</v>
      </c>
      <c r="E209" t="s">
        <v>8</v>
      </c>
    </row>
    <row r="210" spans="1:5" x14ac:dyDescent="0.55000000000000004">
      <c r="A210" t="s">
        <v>1945</v>
      </c>
      <c r="B210" t="s">
        <v>1944</v>
      </c>
      <c r="C210" t="s">
        <v>10</v>
      </c>
      <c r="D210">
        <v>1257900</v>
      </c>
      <c r="E210" t="s">
        <v>8</v>
      </c>
    </row>
    <row r="211" spans="1:5" x14ac:dyDescent="0.55000000000000004">
      <c r="A211" t="s">
        <v>629</v>
      </c>
      <c r="B211" t="s">
        <v>628</v>
      </c>
      <c r="C211" t="s">
        <v>10</v>
      </c>
      <c r="D211">
        <v>1041418</v>
      </c>
      <c r="E211" t="s">
        <v>8</v>
      </c>
    </row>
    <row r="212" spans="1:5" x14ac:dyDescent="0.55000000000000004">
      <c r="A212" t="s">
        <v>1334</v>
      </c>
      <c r="B212" t="s">
        <v>1333</v>
      </c>
      <c r="C212" t="s">
        <v>10</v>
      </c>
      <c r="D212">
        <v>2526820</v>
      </c>
      <c r="E212" t="s">
        <v>8</v>
      </c>
    </row>
    <row r="213" spans="1:5" x14ac:dyDescent="0.55000000000000004">
      <c r="A213" t="s">
        <v>29</v>
      </c>
      <c r="B213" t="s">
        <v>1946</v>
      </c>
      <c r="C213" t="s">
        <v>10</v>
      </c>
      <c r="D213">
        <v>578664</v>
      </c>
      <c r="E213" t="s">
        <v>8</v>
      </c>
    </row>
    <row r="214" spans="1:5" x14ac:dyDescent="0.55000000000000004">
      <c r="A214" t="s">
        <v>1336</v>
      </c>
      <c r="B214" t="s">
        <v>1335</v>
      </c>
      <c r="C214" t="s">
        <v>18</v>
      </c>
      <c r="D214">
        <v>195421</v>
      </c>
      <c r="E214" t="s">
        <v>8</v>
      </c>
    </row>
    <row r="215" spans="1:5" x14ac:dyDescent="0.55000000000000004">
      <c r="A215" t="s">
        <v>631</v>
      </c>
      <c r="B215" t="s">
        <v>630</v>
      </c>
      <c r="C215" t="s">
        <v>141</v>
      </c>
      <c r="D215">
        <v>135128</v>
      </c>
      <c r="E215" t="s">
        <v>8</v>
      </c>
    </row>
    <row r="216" spans="1:5" x14ac:dyDescent="0.55000000000000004">
      <c r="A216" t="s">
        <v>1706</v>
      </c>
      <c r="B216" t="s">
        <v>1705</v>
      </c>
      <c r="C216" t="s">
        <v>10</v>
      </c>
      <c r="D216">
        <v>1784332</v>
      </c>
      <c r="E216" t="s">
        <v>8</v>
      </c>
    </row>
    <row r="217" spans="1:5" x14ac:dyDescent="0.55000000000000004">
      <c r="A217" t="s">
        <v>1948</v>
      </c>
      <c r="B217" t="s">
        <v>1947</v>
      </c>
      <c r="C217" t="s">
        <v>208</v>
      </c>
      <c r="D217">
        <v>107477</v>
      </c>
      <c r="E217" t="s">
        <v>8</v>
      </c>
    </row>
    <row r="218" spans="1:5" x14ac:dyDescent="0.55000000000000004">
      <c r="A218" t="s">
        <v>1708</v>
      </c>
      <c r="B218" t="s">
        <v>1707</v>
      </c>
      <c r="C218" t="s">
        <v>10</v>
      </c>
      <c r="D218">
        <v>1602183</v>
      </c>
      <c r="E218" t="s">
        <v>8</v>
      </c>
    </row>
    <row r="219" spans="1:5" x14ac:dyDescent="0.55000000000000004">
      <c r="A219" t="s">
        <v>1340</v>
      </c>
      <c r="B219" t="s">
        <v>1339</v>
      </c>
      <c r="C219" t="s">
        <v>10</v>
      </c>
      <c r="D219">
        <v>283716</v>
      </c>
      <c r="E219" t="s">
        <v>8</v>
      </c>
    </row>
    <row r="220" spans="1:5" x14ac:dyDescent="0.55000000000000004">
      <c r="A220" t="s">
        <v>1342</v>
      </c>
      <c r="B220" t="s">
        <v>1341</v>
      </c>
      <c r="C220" t="s">
        <v>13</v>
      </c>
      <c r="D220">
        <v>556562</v>
      </c>
      <c r="E220" t="s">
        <v>8</v>
      </c>
    </row>
    <row r="221" spans="1:5" x14ac:dyDescent="0.55000000000000004">
      <c r="A221" t="s">
        <v>303</v>
      </c>
      <c r="B221" t="s">
        <v>302</v>
      </c>
      <c r="C221" t="s">
        <v>10</v>
      </c>
      <c r="D221">
        <v>1433991</v>
      </c>
      <c r="E221" t="s">
        <v>8</v>
      </c>
    </row>
    <row r="222" spans="1:5" x14ac:dyDescent="0.55000000000000004">
      <c r="A222" t="s">
        <v>1950</v>
      </c>
      <c r="B222" t="s">
        <v>1949</v>
      </c>
      <c r="C222" t="s">
        <v>10</v>
      </c>
      <c r="D222">
        <v>2142998</v>
      </c>
      <c r="E222" t="s">
        <v>8</v>
      </c>
    </row>
    <row r="223" spans="1:5" x14ac:dyDescent="0.55000000000000004">
      <c r="A223" t="s">
        <v>1344</v>
      </c>
      <c r="B223" t="s">
        <v>1343</v>
      </c>
      <c r="C223" t="s">
        <v>10</v>
      </c>
      <c r="D223">
        <v>409706</v>
      </c>
      <c r="E223" t="s">
        <v>8</v>
      </c>
    </row>
    <row r="224" spans="1:5" x14ac:dyDescent="0.55000000000000004">
      <c r="A224" t="s">
        <v>309</v>
      </c>
      <c r="B224" t="s">
        <v>308</v>
      </c>
      <c r="C224" t="s">
        <v>10</v>
      </c>
      <c r="D224">
        <v>1217695</v>
      </c>
      <c r="E224" t="s">
        <v>8</v>
      </c>
    </row>
    <row r="225" spans="1:5" x14ac:dyDescent="0.55000000000000004">
      <c r="A225" t="s">
        <v>1952</v>
      </c>
      <c r="B225" t="s">
        <v>1951</v>
      </c>
      <c r="C225" t="s">
        <v>10</v>
      </c>
      <c r="D225">
        <v>539616</v>
      </c>
      <c r="E225" t="s">
        <v>8</v>
      </c>
    </row>
    <row r="226" spans="1:5" x14ac:dyDescent="0.55000000000000004">
      <c r="A226" t="s">
        <v>1710</v>
      </c>
      <c r="B226" t="s">
        <v>1709</v>
      </c>
      <c r="C226" t="s">
        <v>10</v>
      </c>
      <c r="D226">
        <v>1764547</v>
      </c>
      <c r="E226" t="s">
        <v>8</v>
      </c>
    </row>
    <row r="227" spans="1:5" x14ac:dyDescent="0.55000000000000004">
      <c r="A227" t="s">
        <v>633</v>
      </c>
      <c r="B227" t="s">
        <v>632</v>
      </c>
      <c r="C227" t="s">
        <v>10</v>
      </c>
      <c r="D227">
        <v>1731374</v>
      </c>
      <c r="E227" t="s">
        <v>8</v>
      </c>
    </row>
    <row r="228" spans="1:5" x14ac:dyDescent="0.55000000000000004">
      <c r="A228" t="s">
        <v>1712</v>
      </c>
      <c r="B228" t="s">
        <v>1711</v>
      </c>
      <c r="C228" t="s">
        <v>10</v>
      </c>
      <c r="D228">
        <v>1006894</v>
      </c>
      <c r="E228" t="s">
        <v>8</v>
      </c>
    </row>
    <row r="229" spans="1:5" x14ac:dyDescent="0.55000000000000004">
      <c r="A229" t="s">
        <v>1954</v>
      </c>
      <c r="B229" t="s">
        <v>1953</v>
      </c>
      <c r="C229" t="s">
        <v>10</v>
      </c>
      <c r="D229">
        <v>646581</v>
      </c>
      <c r="E229" t="s">
        <v>8</v>
      </c>
    </row>
    <row r="230" spans="1:5" x14ac:dyDescent="0.55000000000000004">
      <c r="A230" t="s">
        <v>1956</v>
      </c>
      <c r="B230" t="s">
        <v>1955</v>
      </c>
      <c r="C230" t="s">
        <v>10</v>
      </c>
      <c r="D230">
        <v>332114</v>
      </c>
      <c r="E230" t="s">
        <v>8</v>
      </c>
    </row>
    <row r="231" spans="1:5" x14ac:dyDescent="0.55000000000000004">
      <c r="A231" t="s">
        <v>1714</v>
      </c>
      <c r="B231" t="s">
        <v>1713</v>
      </c>
      <c r="C231" t="s">
        <v>41</v>
      </c>
      <c r="D231">
        <v>1057067</v>
      </c>
      <c r="E231" t="s">
        <v>8</v>
      </c>
    </row>
    <row r="232" spans="1:5" x14ac:dyDescent="0.55000000000000004">
      <c r="A232" t="s">
        <v>1716</v>
      </c>
      <c r="B232" t="s">
        <v>1715</v>
      </c>
      <c r="C232" t="s">
        <v>41</v>
      </c>
      <c r="D232">
        <v>274599</v>
      </c>
      <c r="E232" t="s">
        <v>8</v>
      </c>
    </row>
    <row r="233" spans="1:5" x14ac:dyDescent="0.55000000000000004">
      <c r="A233" t="s">
        <v>1958</v>
      </c>
      <c r="B233" t="s">
        <v>1957</v>
      </c>
      <c r="C233" t="s">
        <v>10</v>
      </c>
      <c r="D233">
        <v>394955</v>
      </c>
      <c r="E233" t="s">
        <v>8</v>
      </c>
    </row>
    <row r="234" spans="1:5" x14ac:dyDescent="0.55000000000000004">
      <c r="A234" t="s">
        <v>1718</v>
      </c>
      <c r="B234" t="s">
        <v>1717</v>
      </c>
      <c r="C234" t="s">
        <v>18</v>
      </c>
      <c r="D234">
        <v>1144003</v>
      </c>
      <c r="E234" t="s">
        <v>8</v>
      </c>
    </row>
    <row r="235" spans="1:5" x14ac:dyDescent="0.55000000000000004">
      <c r="A235" t="s">
        <v>1348</v>
      </c>
      <c r="B235" t="s">
        <v>1347</v>
      </c>
      <c r="C235" t="s">
        <v>10</v>
      </c>
      <c r="D235">
        <v>728383</v>
      </c>
      <c r="E235" t="s">
        <v>8</v>
      </c>
    </row>
    <row r="236" spans="1:5" x14ac:dyDescent="0.55000000000000004">
      <c r="A236" t="s">
        <v>1063</v>
      </c>
      <c r="B236" t="s">
        <v>1062</v>
      </c>
      <c r="C236" t="s">
        <v>10</v>
      </c>
      <c r="D236">
        <v>55282</v>
      </c>
      <c r="E236" t="s">
        <v>8</v>
      </c>
    </row>
    <row r="237" spans="1:5" x14ac:dyDescent="0.55000000000000004">
      <c r="A237" t="s">
        <v>1960</v>
      </c>
      <c r="B237" t="s">
        <v>1959</v>
      </c>
      <c r="C237" t="s">
        <v>10</v>
      </c>
      <c r="D237">
        <v>3185976</v>
      </c>
      <c r="E237" t="s">
        <v>8</v>
      </c>
    </row>
    <row r="238" spans="1:5" x14ac:dyDescent="0.55000000000000004">
      <c r="A238" t="s">
        <v>1354</v>
      </c>
      <c r="B238" t="s">
        <v>1353</v>
      </c>
      <c r="C238" t="s">
        <v>13</v>
      </c>
      <c r="D238">
        <v>1012348</v>
      </c>
      <c r="E238" t="s">
        <v>8</v>
      </c>
    </row>
    <row r="239" spans="1:5" x14ac:dyDescent="0.55000000000000004">
      <c r="A239" t="s">
        <v>639</v>
      </c>
      <c r="B239" t="s">
        <v>638</v>
      </c>
      <c r="C239" t="s">
        <v>18</v>
      </c>
      <c r="D239">
        <v>599027</v>
      </c>
      <c r="E239" t="s">
        <v>8</v>
      </c>
    </row>
    <row r="240" spans="1:5" x14ac:dyDescent="0.55000000000000004">
      <c r="A240" t="s">
        <v>1358</v>
      </c>
      <c r="B240" t="s">
        <v>1357</v>
      </c>
      <c r="C240" t="s">
        <v>10</v>
      </c>
      <c r="D240">
        <v>1352684</v>
      </c>
      <c r="E240" t="s">
        <v>8</v>
      </c>
    </row>
    <row r="241" spans="1:5" x14ac:dyDescent="0.55000000000000004">
      <c r="A241" t="s">
        <v>1360</v>
      </c>
      <c r="B241" t="s">
        <v>1359</v>
      </c>
      <c r="C241" t="s">
        <v>18</v>
      </c>
      <c r="D241">
        <v>1152770</v>
      </c>
      <c r="E241" t="s">
        <v>8</v>
      </c>
    </row>
    <row r="242" spans="1:5" x14ac:dyDescent="0.55000000000000004">
      <c r="A242" t="s">
        <v>1722</v>
      </c>
      <c r="B242" t="s">
        <v>1721</v>
      </c>
      <c r="C242" t="s">
        <v>10</v>
      </c>
      <c r="D242">
        <v>547978</v>
      </c>
      <c r="E242" t="s">
        <v>8</v>
      </c>
    </row>
    <row r="243" spans="1:5" x14ac:dyDescent="0.55000000000000004">
      <c r="A243" t="s">
        <v>1065</v>
      </c>
      <c r="B243" t="s">
        <v>1064</v>
      </c>
      <c r="C243" t="s">
        <v>10</v>
      </c>
      <c r="D243">
        <v>87728</v>
      </c>
      <c r="E243" t="s">
        <v>8</v>
      </c>
    </row>
    <row r="244" spans="1:5" x14ac:dyDescent="0.55000000000000004">
      <c r="A244" t="s">
        <v>1962</v>
      </c>
      <c r="B244" t="s">
        <v>1961</v>
      </c>
      <c r="C244" t="s">
        <v>13</v>
      </c>
      <c r="D244">
        <v>317713</v>
      </c>
      <c r="E244" t="s">
        <v>8</v>
      </c>
    </row>
    <row r="245" spans="1:5" x14ac:dyDescent="0.55000000000000004">
      <c r="A245" t="s">
        <v>319</v>
      </c>
      <c r="B245" t="s">
        <v>318</v>
      </c>
      <c r="C245" t="s">
        <v>10</v>
      </c>
      <c r="D245">
        <v>184820</v>
      </c>
      <c r="E245" t="s">
        <v>8</v>
      </c>
    </row>
    <row r="246" spans="1:5" x14ac:dyDescent="0.55000000000000004">
      <c r="A246" t="s">
        <v>1067</v>
      </c>
      <c r="B246" t="s">
        <v>1066</v>
      </c>
      <c r="C246" t="s">
        <v>6</v>
      </c>
      <c r="D246">
        <v>298525</v>
      </c>
      <c r="E246" t="s">
        <v>8</v>
      </c>
    </row>
    <row r="247" spans="1:5" x14ac:dyDescent="0.55000000000000004">
      <c r="A247" t="s">
        <v>1964</v>
      </c>
      <c r="B247" t="s">
        <v>1963</v>
      </c>
      <c r="C247" t="s">
        <v>76</v>
      </c>
      <c r="D247">
        <v>370966</v>
      </c>
      <c r="E247" t="s">
        <v>8</v>
      </c>
    </row>
    <row r="248" spans="1:5" x14ac:dyDescent="0.55000000000000004">
      <c r="A248" t="s">
        <v>1967</v>
      </c>
      <c r="B248" t="s">
        <v>1965</v>
      </c>
      <c r="C248" t="s">
        <v>1966</v>
      </c>
      <c r="D248">
        <v>315440</v>
      </c>
      <c r="E248" t="s">
        <v>8</v>
      </c>
    </row>
    <row r="249" spans="1:5" x14ac:dyDescent="0.55000000000000004">
      <c r="A249" t="s">
        <v>885</v>
      </c>
      <c r="B249" t="s">
        <v>884</v>
      </c>
      <c r="C249" t="s">
        <v>18</v>
      </c>
      <c r="D249">
        <v>2201742</v>
      </c>
      <c r="E249" t="s">
        <v>8</v>
      </c>
    </row>
    <row r="250" spans="1:5" x14ac:dyDescent="0.55000000000000004">
      <c r="A250" t="s">
        <v>888</v>
      </c>
      <c r="B250" t="s">
        <v>886</v>
      </c>
      <c r="C250" t="s">
        <v>887</v>
      </c>
      <c r="D250">
        <v>135934</v>
      </c>
      <c r="E250" t="s">
        <v>8</v>
      </c>
    </row>
    <row r="251" spans="1:5" x14ac:dyDescent="0.55000000000000004">
      <c r="A251" t="s">
        <v>327</v>
      </c>
      <c r="B251" t="s">
        <v>326</v>
      </c>
      <c r="C251" t="s">
        <v>10</v>
      </c>
      <c r="D251">
        <v>2569590</v>
      </c>
      <c r="E251" t="s">
        <v>8</v>
      </c>
    </row>
    <row r="252" spans="1:5" x14ac:dyDescent="0.55000000000000004">
      <c r="A252" t="s">
        <v>1724</v>
      </c>
      <c r="B252" t="s">
        <v>1723</v>
      </c>
      <c r="C252" t="s">
        <v>10</v>
      </c>
      <c r="D252">
        <v>318977</v>
      </c>
      <c r="E252" t="s">
        <v>8</v>
      </c>
    </row>
    <row r="253" spans="1:5" x14ac:dyDescent="0.55000000000000004">
      <c r="A253" t="s">
        <v>651</v>
      </c>
      <c r="B253" t="s">
        <v>650</v>
      </c>
      <c r="C253" t="s">
        <v>10</v>
      </c>
      <c r="D253">
        <v>897558</v>
      </c>
      <c r="E253" t="s">
        <v>8</v>
      </c>
    </row>
    <row r="254" spans="1:5" x14ac:dyDescent="0.55000000000000004">
      <c r="A254" t="s">
        <v>1969</v>
      </c>
      <c r="B254" t="s">
        <v>1968</v>
      </c>
      <c r="C254" t="s">
        <v>13</v>
      </c>
      <c r="D254">
        <v>328675</v>
      </c>
      <c r="E254" t="s">
        <v>8</v>
      </c>
    </row>
    <row r="255" spans="1:5" x14ac:dyDescent="0.55000000000000004">
      <c r="A255" t="s">
        <v>1971</v>
      </c>
      <c r="B255" t="s">
        <v>1970</v>
      </c>
      <c r="C255" t="s">
        <v>10</v>
      </c>
      <c r="D255">
        <v>580307</v>
      </c>
      <c r="E255" t="s">
        <v>8</v>
      </c>
    </row>
    <row r="256" spans="1:5" x14ac:dyDescent="0.55000000000000004">
      <c r="A256" t="s">
        <v>333</v>
      </c>
      <c r="B256" t="s">
        <v>332</v>
      </c>
      <c r="C256" t="s">
        <v>13</v>
      </c>
      <c r="D256">
        <v>943803</v>
      </c>
      <c r="E256" t="s">
        <v>8</v>
      </c>
    </row>
    <row r="257" spans="1:5" x14ac:dyDescent="0.55000000000000004">
      <c r="A257" t="s">
        <v>1369</v>
      </c>
      <c r="B257" t="s">
        <v>1367</v>
      </c>
      <c r="C257" t="s">
        <v>1368</v>
      </c>
      <c r="D257">
        <v>2632739</v>
      </c>
      <c r="E257" t="s">
        <v>8</v>
      </c>
    </row>
    <row r="258" spans="1:5" x14ac:dyDescent="0.55000000000000004">
      <c r="A258" t="s">
        <v>1371</v>
      </c>
      <c r="B258" t="s">
        <v>1370</v>
      </c>
      <c r="C258" t="s">
        <v>10</v>
      </c>
      <c r="D258">
        <v>312086</v>
      </c>
      <c r="E258" t="s">
        <v>8</v>
      </c>
    </row>
    <row r="259" spans="1:5" x14ac:dyDescent="0.55000000000000004">
      <c r="A259" t="s">
        <v>655</v>
      </c>
      <c r="B259" t="s">
        <v>654</v>
      </c>
      <c r="C259" t="s">
        <v>10</v>
      </c>
      <c r="D259">
        <v>205440</v>
      </c>
      <c r="E259" t="s">
        <v>8</v>
      </c>
    </row>
    <row r="260" spans="1:5" x14ac:dyDescent="0.55000000000000004">
      <c r="A260" t="s">
        <v>1973</v>
      </c>
      <c r="B260" t="s">
        <v>1972</v>
      </c>
      <c r="C260" t="s">
        <v>10</v>
      </c>
      <c r="D260">
        <v>1221044</v>
      </c>
      <c r="E260" t="s">
        <v>8</v>
      </c>
    </row>
    <row r="261" spans="1:5" x14ac:dyDescent="0.55000000000000004">
      <c r="A261" t="s">
        <v>657</v>
      </c>
      <c r="B261" t="s">
        <v>1725</v>
      </c>
      <c r="C261" t="s">
        <v>10</v>
      </c>
      <c r="D261">
        <v>828722</v>
      </c>
      <c r="E261" t="s">
        <v>8</v>
      </c>
    </row>
    <row r="262" spans="1:5" x14ac:dyDescent="0.55000000000000004">
      <c r="A262" t="s">
        <v>1975</v>
      </c>
      <c r="B262" t="s">
        <v>1974</v>
      </c>
      <c r="C262" t="s">
        <v>10</v>
      </c>
      <c r="D262">
        <v>372294</v>
      </c>
      <c r="E262" t="s">
        <v>8</v>
      </c>
    </row>
    <row r="263" spans="1:5" x14ac:dyDescent="0.55000000000000004">
      <c r="A263" t="s">
        <v>341</v>
      </c>
      <c r="B263" t="s">
        <v>340</v>
      </c>
      <c r="C263" t="s">
        <v>10</v>
      </c>
      <c r="D263">
        <v>244291</v>
      </c>
      <c r="E263" t="s">
        <v>8</v>
      </c>
    </row>
    <row r="264" spans="1:5" x14ac:dyDescent="0.55000000000000004">
      <c r="A264" t="s">
        <v>1977</v>
      </c>
      <c r="B264" t="s">
        <v>1976</v>
      </c>
      <c r="C264" t="s">
        <v>10</v>
      </c>
      <c r="D264">
        <v>296240</v>
      </c>
      <c r="E264" t="s">
        <v>8</v>
      </c>
    </row>
    <row r="265" spans="1:5" x14ac:dyDescent="0.55000000000000004">
      <c r="A265" t="s">
        <v>1731</v>
      </c>
      <c r="B265" t="s">
        <v>1730</v>
      </c>
      <c r="C265" t="s">
        <v>13</v>
      </c>
      <c r="D265">
        <v>733157</v>
      </c>
      <c r="E265" t="s">
        <v>8</v>
      </c>
    </row>
    <row r="266" spans="1:5" x14ac:dyDescent="0.55000000000000004">
      <c r="A266" t="s">
        <v>1979</v>
      </c>
      <c r="B266" t="s">
        <v>1978</v>
      </c>
      <c r="C266" t="s">
        <v>10</v>
      </c>
      <c r="D266">
        <v>827190</v>
      </c>
      <c r="E266" t="s">
        <v>8</v>
      </c>
    </row>
    <row r="267" spans="1:5" x14ac:dyDescent="0.55000000000000004">
      <c r="A267" t="s">
        <v>1375</v>
      </c>
      <c r="B267" t="s">
        <v>1374</v>
      </c>
      <c r="C267" t="s">
        <v>10</v>
      </c>
      <c r="D267">
        <v>909235</v>
      </c>
      <c r="E267" t="s">
        <v>8</v>
      </c>
    </row>
    <row r="268" spans="1:5" x14ac:dyDescent="0.55000000000000004">
      <c r="A268" t="s">
        <v>1733</v>
      </c>
      <c r="B268" t="s">
        <v>1732</v>
      </c>
      <c r="C268" t="s">
        <v>10</v>
      </c>
      <c r="D268">
        <v>981348</v>
      </c>
      <c r="E268" t="s">
        <v>8</v>
      </c>
    </row>
    <row r="269" spans="1:5" x14ac:dyDescent="0.55000000000000004">
      <c r="A269" t="s">
        <v>1735</v>
      </c>
      <c r="B269" t="s">
        <v>1734</v>
      </c>
      <c r="C269" t="s">
        <v>13</v>
      </c>
      <c r="D269">
        <v>379851</v>
      </c>
      <c r="E269" t="s">
        <v>8</v>
      </c>
    </row>
    <row r="270" spans="1:5" x14ac:dyDescent="0.55000000000000004">
      <c r="A270" t="s">
        <v>1981</v>
      </c>
      <c r="B270" t="s">
        <v>1980</v>
      </c>
      <c r="C270" t="s">
        <v>10</v>
      </c>
      <c r="D270">
        <v>213528</v>
      </c>
      <c r="E270" t="s">
        <v>8</v>
      </c>
    </row>
    <row r="271" spans="1:5" x14ac:dyDescent="0.55000000000000004">
      <c r="A271" t="s">
        <v>894</v>
      </c>
      <c r="B271" t="s">
        <v>893</v>
      </c>
      <c r="C271" t="s">
        <v>141</v>
      </c>
      <c r="D271">
        <v>2315183</v>
      </c>
      <c r="E271" t="s">
        <v>8</v>
      </c>
    </row>
    <row r="272" spans="1:5" x14ac:dyDescent="0.55000000000000004">
      <c r="A272" t="s">
        <v>1983</v>
      </c>
      <c r="B272" t="s">
        <v>1982</v>
      </c>
      <c r="C272" t="s">
        <v>10</v>
      </c>
      <c r="D272">
        <v>604019</v>
      </c>
      <c r="E272" t="s">
        <v>8</v>
      </c>
    </row>
    <row r="273" spans="1:5" x14ac:dyDescent="0.55000000000000004">
      <c r="A273" t="s">
        <v>358</v>
      </c>
      <c r="B273" t="s">
        <v>357</v>
      </c>
      <c r="C273" t="s">
        <v>10</v>
      </c>
      <c r="D273">
        <v>269810</v>
      </c>
      <c r="E273" t="s">
        <v>8</v>
      </c>
    </row>
    <row r="274" spans="1:5" x14ac:dyDescent="0.55000000000000004">
      <c r="A274" t="s">
        <v>1739</v>
      </c>
      <c r="B274" t="s">
        <v>1738</v>
      </c>
      <c r="C274" t="s">
        <v>10</v>
      </c>
      <c r="D274">
        <v>123944</v>
      </c>
      <c r="E274" t="s">
        <v>8</v>
      </c>
    </row>
    <row r="275" spans="1:5" x14ac:dyDescent="0.55000000000000004">
      <c r="A275" t="s">
        <v>1985</v>
      </c>
      <c r="B275" t="s">
        <v>1984</v>
      </c>
      <c r="C275" t="s">
        <v>10</v>
      </c>
      <c r="D275">
        <v>246838</v>
      </c>
      <c r="E275" t="s">
        <v>8</v>
      </c>
    </row>
    <row r="276" spans="1:5" x14ac:dyDescent="0.55000000000000004">
      <c r="A276" t="s">
        <v>671</v>
      </c>
      <c r="B276" t="s">
        <v>670</v>
      </c>
      <c r="C276" t="s">
        <v>41</v>
      </c>
      <c r="D276">
        <v>1075764</v>
      </c>
      <c r="E276" t="s">
        <v>8</v>
      </c>
    </row>
    <row r="277" spans="1:5" x14ac:dyDescent="0.55000000000000004">
      <c r="A277" t="s">
        <v>1087</v>
      </c>
      <c r="B277" t="s">
        <v>1086</v>
      </c>
      <c r="C277" t="s">
        <v>10</v>
      </c>
      <c r="D277">
        <v>579854</v>
      </c>
      <c r="E277" t="s">
        <v>8</v>
      </c>
    </row>
    <row r="278" spans="1:5" x14ac:dyDescent="0.55000000000000004">
      <c r="A278" t="s">
        <v>1387</v>
      </c>
      <c r="B278" t="s">
        <v>1386</v>
      </c>
      <c r="C278" t="s">
        <v>10</v>
      </c>
      <c r="D278">
        <v>1618391</v>
      </c>
      <c r="E278" t="s">
        <v>8</v>
      </c>
    </row>
    <row r="279" spans="1:5" x14ac:dyDescent="0.55000000000000004">
      <c r="A279" t="s">
        <v>1987</v>
      </c>
      <c r="B279" t="s">
        <v>1986</v>
      </c>
      <c r="C279" t="s">
        <v>10</v>
      </c>
      <c r="D279">
        <v>126374</v>
      </c>
      <c r="E279" t="s">
        <v>8</v>
      </c>
    </row>
    <row r="280" spans="1:5" x14ac:dyDescent="0.55000000000000004">
      <c r="A280" t="s">
        <v>366</v>
      </c>
      <c r="B280" t="s">
        <v>365</v>
      </c>
      <c r="C280" t="s">
        <v>10</v>
      </c>
      <c r="D280">
        <v>311653</v>
      </c>
      <c r="E280" t="s">
        <v>8</v>
      </c>
    </row>
    <row r="281" spans="1:5" x14ac:dyDescent="0.55000000000000004">
      <c r="A281" t="s">
        <v>673</v>
      </c>
      <c r="B281" t="s">
        <v>672</v>
      </c>
      <c r="C281" t="s">
        <v>10</v>
      </c>
      <c r="D281">
        <v>166785</v>
      </c>
      <c r="E281" t="s">
        <v>8</v>
      </c>
    </row>
    <row r="282" spans="1:5" x14ac:dyDescent="0.55000000000000004">
      <c r="A282" t="s">
        <v>368</v>
      </c>
      <c r="B282" t="s">
        <v>367</v>
      </c>
      <c r="C282" t="s">
        <v>10</v>
      </c>
      <c r="D282">
        <v>1919999</v>
      </c>
      <c r="E282" t="s">
        <v>8</v>
      </c>
    </row>
    <row r="283" spans="1:5" x14ac:dyDescent="0.55000000000000004">
      <c r="A283" t="s">
        <v>1743</v>
      </c>
      <c r="B283" t="s">
        <v>1742</v>
      </c>
      <c r="C283" t="s">
        <v>10</v>
      </c>
      <c r="D283">
        <v>2240482</v>
      </c>
      <c r="E283" t="s">
        <v>8</v>
      </c>
    </row>
    <row r="284" spans="1:5" x14ac:dyDescent="0.55000000000000004">
      <c r="A284" t="s">
        <v>1989</v>
      </c>
      <c r="B284" t="s">
        <v>1988</v>
      </c>
      <c r="C284" t="s">
        <v>6</v>
      </c>
      <c r="D284">
        <v>172598</v>
      </c>
      <c r="E284" t="s">
        <v>8</v>
      </c>
    </row>
    <row r="285" spans="1:5" x14ac:dyDescent="0.55000000000000004">
      <c r="A285" t="s">
        <v>1747</v>
      </c>
      <c r="B285" t="s">
        <v>1746</v>
      </c>
      <c r="C285" t="s">
        <v>10</v>
      </c>
      <c r="D285">
        <v>832626</v>
      </c>
      <c r="E285" t="s">
        <v>8</v>
      </c>
    </row>
    <row r="286" spans="1:5" x14ac:dyDescent="0.55000000000000004">
      <c r="A286" t="s">
        <v>1389</v>
      </c>
      <c r="B286" t="s">
        <v>1388</v>
      </c>
      <c r="C286" t="s">
        <v>6</v>
      </c>
      <c r="D286">
        <v>614247</v>
      </c>
      <c r="E286" t="s">
        <v>8</v>
      </c>
    </row>
    <row r="287" spans="1:5" x14ac:dyDescent="0.55000000000000004">
      <c r="A287" t="s">
        <v>1391</v>
      </c>
      <c r="B287" t="s">
        <v>1390</v>
      </c>
      <c r="C287" t="s">
        <v>13</v>
      </c>
      <c r="D287">
        <v>787802</v>
      </c>
      <c r="E287" t="s">
        <v>8</v>
      </c>
    </row>
    <row r="288" spans="1:5" x14ac:dyDescent="0.55000000000000004">
      <c r="A288" t="s">
        <v>374</v>
      </c>
      <c r="B288" t="s">
        <v>373</v>
      </c>
      <c r="C288" t="s">
        <v>6</v>
      </c>
      <c r="D288">
        <v>151397</v>
      </c>
      <c r="E288" t="s">
        <v>8</v>
      </c>
    </row>
    <row r="289" spans="1:5" x14ac:dyDescent="0.55000000000000004">
      <c r="A289" t="s">
        <v>1749</v>
      </c>
      <c r="B289" t="s">
        <v>1748</v>
      </c>
      <c r="C289" t="s">
        <v>10</v>
      </c>
      <c r="D289">
        <v>263667</v>
      </c>
      <c r="E289" t="s">
        <v>8</v>
      </c>
    </row>
    <row r="290" spans="1:5" x14ac:dyDescent="0.55000000000000004">
      <c r="A290" t="s">
        <v>1751</v>
      </c>
      <c r="B290" t="s">
        <v>1750</v>
      </c>
      <c r="C290" t="s">
        <v>10</v>
      </c>
      <c r="D290">
        <v>178637</v>
      </c>
      <c r="E290" t="s">
        <v>8</v>
      </c>
    </row>
    <row r="291" spans="1:5" x14ac:dyDescent="0.55000000000000004">
      <c r="A291" t="s">
        <v>376</v>
      </c>
      <c r="B291" t="s">
        <v>375</v>
      </c>
      <c r="C291" t="s">
        <v>10</v>
      </c>
      <c r="D291">
        <v>214639</v>
      </c>
      <c r="E291" t="s">
        <v>8</v>
      </c>
    </row>
    <row r="292" spans="1:5" x14ac:dyDescent="0.55000000000000004">
      <c r="A292" t="s">
        <v>1753</v>
      </c>
      <c r="B292" t="s">
        <v>1752</v>
      </c>
      <c r="C292" t="s">
        <v>10</v>
      </c>
      <c r="D292">
        <v>1584326</v>
      </c>
      <c r="E292" t="s">
        <v>8</v>
      </c>
    </row>
    <row r="293" spans="1:5" x14ac:dyDescent="0.55000000000000004">
      <c r="A293" t="s">
        <v>1991</v>
      </c>
      <c r="B293" t="s">
        <v>1990</v>
      </c>
      <c r="C293" t="s">
        <v>6</v>
      </c>
      <c r="D293">
        <v>301942</v>
      </c>
      <c r="E293" t="s">
        <v>8</v>
      </c>
    </row>
    <row r="294" spans="1:5" x14ac:dyDescent="0.55000000000000004">
      <c r="A294" t="s">
        <v>902</v>
      </c>
      <c r="B294" t="s">
        <v>901</v>
      </c>
      <c r="C294" t="s">
        <v>10</v>
      </c>
      <c r="D294">
        <v>404095</v>
      </c>
      <c r="E294" t="s">
        <v>8</v>
      </c>
    </row>
    <row r="295" spans="1:5" x14ac:dyDescent="0.55000000000000004">
      <c r="A295" t="s">
        <v>783</v>
      </c>
      <c r="B295" t="s">
        <v>782</v>
      </c>
      <c r="C295" t="s">
        <v>10</v>
      </c>
      <c r="D295">
        <v>1298880</v>
      </c>
      <c r="E295" t="s">
        <v>8</v>
      </c>
    </row>
    <row r="296" spans="1:5" x14ac:dyDescent="0.55000000000000004">
      <c r="A296" t="s">
        <v>1755</v>
      </c>
      <c r="B296" t="s">
        <v>1754</v>
      </c>
      <c r="C296" t="s">
        <v>10</v>
      </c>
      <c r="D296">
        <v>445831</v>
      </c>
      <c r="E296" t="s">
        <v>8</v>
      </c>
    </row>
    <row r="297" spans="1:5" x14ac:dyDescent="0.55000000000000004">
      <c r="A297" t="s">
        <v>1757</v>
      </c>
      <c r="B297" t="s">
        <v>1756</v>
      </c>
      <c r="C297" t="s">
        <v>10</v>
      </c>
      <c r="D297">
        <v>381330</v>
      </c>
      <c r="E297" t="s">
        <v>8</v>
      </c>
    </row>
    <row r="298" spans="1:5" x14ac:dyDescent="0.55000000000000004">
      <c r="A298" t="s">
        <v>1393</v>
      </c>
      <c r="B298" t="s">
        <v>1392</v>
      </c>
      <c r="C298" t="s">
        <v>6</v>
      </c>
      <c r="D298">
        <v>786298</v>
      </c>
      <c r="E298" t="s">
        <v>8</v>
      </c>
    </row>
    <row r="299" spans="1:5" x14ac:dyDescent="0.55000000000000004">
      <c r="A299" t="s">
        <v>386</v>
      </c>
      <c r="B299" t="s">
        <v>385</v>
      </c>
      <c r="C299" t="s">
        <v>13</v>
      </c>
      <c r="D299">
        <v>2541906</v>
      </c>
      <c r="E299" t="s">
        <v>8</v>
      </c>
    </row>
    <row r="300" spans="1:5" x14ac:dyDescent="0.55000000000000004">
      <c r="A300" t="s">
        <v>1993</v>
      </c>
      <c r="B300" t="s">
        <v>1992</v>
      </c>
      <c r="C300" t="s">
        <v>6</v>
      </c>
      <c r="D300">
        <v>231911</v>
      </c>
      <c r="E300" t="s">
        <v>8</v>
      </c>
    </row>
    <row r="301" spans="1:5" x14ac:dyDescent="0.55000000000000004">
      <c r="A301" t="s">
        <v>1995</v>
      </c>
      <c r="B301" t="s">
        <v>1994</v>
      </c>
      <c r="C301" t="s">
        <v>10</v>
      </c>
      <c r="D301">
        <v>332944</v>
      </c>
      <c r="E301" t="s">
        <v>8</v>
      </c>
    </row>
    <row r="302" spans="1:5" x14ac:dyDescent="0.55000000000000004">
      <c r="A302" t="s">
        <v>1397</v>
      </c>
      <c r="B302" t="s">
        <v>1396</v>
      </c>
      <c r="C302" t="s">
        <v>10</v>
      </c>
      <c r="D302">
        <v>789327</v>
      </c>
      <c r="E302" t="s">
        <v>8</v>
      </c>
    </row>
    <row r="303" spans="1:5" x14ac:dyDescent="0.55000000000000004">
      <c r="A303" t="s">
        <v>1759</v>
      </c>
      <c r="B303" t="s">
        <v>1758</v>
      </c>
      <c r="C303" t="s">
        <v>10</v>
      </c>
      <c r="D303">
        <v>739370</v>
      </c>
      <c r="E303" t="s">
        <v>8</v>
      </c>
    </row>
    <row r="304" spans="1:5" x14ac:dyDescent="0.55000000000000004">
      <c r="A304" t="s">
        <v>1399</v>
      </c>
      <c r="B304" t="s">
        <v>1398</v>
      </c>
      <c r="C304" t="s">
        <v>13</v>
      </c>
      <c r="D304">
        <v>345944</v>
      </c>
      <c r="E304" t="s">
        <v>8</v>
      </c>
    </row>
    <row r="305" spans="1:5" x14ac:dyDescent="0.55000000000000004">
      <c r="A305" t="s">
        <v>390</v>
      </c>
      <c r="B305" t="s">
        <v>389</v>
      </c>
      <c r="C305" t="s">
        <v>13</v>
      </c>
      <c r="D305">
        <v>1202294</v>
      </c>
      <c r="E305" t="s">
        <v>8</v>
      </c>
    </row>
    <row r="306" spans="1:5" x14ac:dyDescent="0.55000000000000004">
      <c r="A306" t="s">
        <v>1761</v>
      </c>
      <c r="B306" t="s">
        <v>1760</v>
      </c>
      <c r="C306" t="s">
        <v>1483</v>
      </c>
      <c r="D306">
        <v>275808</v>
      </c>
      <c r="E306" t="s">
        <v>8</v>
      </c>
    </row>
    <row r="307" spans="1:5" x14ac:dyDescent="0.55000000000000004">
      <c r="A307" t="s">
        <v>906</v>
      </c>
      <c r="B307" t="s">
        <v>905</v>
      </c>
      <c r="C307" t="s">
        <v>18</v>
      </c>
      <c r="D307">
        <v>685424</v>
      </c>
      <c r="E307" t="s">
        <v>8</v>
      </c>
    </row>
    <row r="308" spans="1:5" x14ac:dyDescent="0.55000000000000004">
      <c r="A308" t="s">
        <v>1767</v>
      </c>
      <c r="B308" t="s">
        <v>1766</v>
      </c>
      <c r="C308" t="s">
        <v>13</v>
      </c>
      <c r="D308">
        <v>210430</v>
      </c>
      <c r="E308" t="s">
        <v>8</v>
      </c>
    </row>
    <row r="309" spans="1:5" x14ac:dyDescent="0.55000000000000004">
      <c r="A309" t="s">
        <v>1404</v>
      </c>
      <c r="B309" t="s">
        <v>1402</v>
      </c>
      <c r="C309" t="s">
        <v>1403</v>
      </c>
      <c r="D309">
        <v>2792022</v>
      </c>
      <c r="E309" t="s">
        <v>8</v>
      </c>
    </row>
    <row r="310" spans="1:5" x14ac:dyDescent="0.55000000000000004">
      <c r="A310" t="s">
        <v>398</v>
      </c>
      <c r="B310" t="s">
        <v>397</v>
      </c>
      <c r="C310" t="s">
        <v>10</v>
      </c>
      <c r="D310">
        <v>1046502</v>
      </c>
      <c r="E310" t="s">
        <v>8</v>
      </c>
    </row>
    <row r="311" spans="1:5" x14ac:dyDescent="0.55000000000000004">
      <c r="A311" t="s">
        <v>1101</v>
      </c>
      <c r="B311" t="s">
        <v>1100</v>
      </c>
      <c r="C311" t="s">
        <v>18</v>
      </c>
      <c r="D311">
        <v>1341093</v>
      </c>
      <c r="E311" t="s">
        <v>8</v>
      </c>
    </row>
    <row r="312" spans="1:5" x14ac:dyDescent="0.55000000000000004">
      <c r="A312" t="s">
        <v>789</v>
      </c>
      <c r="B312" t="s">
        <v>788</v>
      </c>
      <c r="C312" t="s">
        <v>13</v>
      </c>
      <c r="D312">
        <v>325538</v>
      </c>
      <c r="E312" t="s">
        <v>8</v>
      </c>
    </row>
    <row r="313" spans="1:5" x14ac:dyDescent="0.55000000000000004">
      <c r="A313" t="s">
        <v>1997</v>
      </c>
      <c r="B313" t="s">
        <v>1996</v>
      </c>
      <c r="C313" t="s">
        <v>10</v>
      </c>
      <c r="D313">
        <v>518372</v>
      </c>
      <c r="E313" t="s">
        <v>8</v>
      </c>
    </row>
    <row r="314" spans="1:5" x14ac:dyDescent="0.55000000000000004">
      <c r="A314" t="s">
        <v>1999</v>
      </c>
      <c r="B314" t="s">
        <v>1998</v>
      </c>
      <c r="C314" t="s">
        <v>13</v>
      </c>
      <c r="D314">
        <v>268894</v>
      </c>
      <c r="E314" t="s">
        <v>8</v>
      </c>
    </row>
    <row r="315" spans="1:5" x14ac:dyDescent="0.55000000000000004">
      <c r="A315" t="s">
        <v>1406</v>
      </c>
      <c r="B315" t="s">
        <v>1405</v>
      </c>
      <c r="C315" t="s">
        <v>10</v>
      </c>
      <c r="D315">
        <v>1034702</v>
      </c>
      <c r="E315" t="s">
        <v>8</v>
      </c>
    </row>
    <row r="316" spans="1:5" x14ac:dyDescent="0.55000000000000004">
      <c r="A316" t="s">
        <v>1771</v>
      </c>
      <c r="B316" t="s">
        <v>1770</v>
      </c>
      <c r="C316" t="s">
        <v>18</v>
      </c>
      <c r="D316">
        <v>547926</v>
      </c>
      <c r="E316" t="s">
        <v>8</v>
      </c>
    </row>
    <row r="317" spans="1:5" x14ac:dyDescent="0.55000000000000004">
      <c r="A317" t="s">
        <v>2001</v>
      </c>
      <c r="B317" t="s">
        <v>2000</v>
      </c>
      <c r="C317" t="s">
        <v>10</v>
      </c>
      <c r="D317">
        <v>1360469</v>
      </c>
      <c r="E317" t="s">
        <v>8</v>
      </c>
    </row>
    <row r="318" spans="1:5" x14ac:dyDescent="0.55000000000000004">
      <c r="A318" t="s">
        <v>2003</v>
      </c>
      <c r="B318" t="s">
        <v>2002</v>
      </c>
      <c r="C318" t="s">
        <v>10</v>
      </c>
      <c r="D318">
        <v>266043</v>
      </c>
      <c r="E318" t="s">
        <v>8</v>
      </c>
    </row>
    <row r="319" spans="1:5" x14ac:dyDescent="0.55000000000000004">
      <c r="A319" t="s">
        <v>687</v>
      </c>
      <c r="B319" t="s">
        <v>686</v>
      </c>
      <c r="C319" t="s">
        <v>10</v>
      </c>
      <c r="D319">
        <v>207754</v>
      </c>
      <c r="E319" t="s">
        <v>8</v>
      </c>
    </row>
    <row r="320" spans="1:5" x14ac:dyDescent="0.55000000000000004">
      <c r="A320" t="s">
        <v>2005</v>
      </c>
      <c r="B320" t="s">
        <v>2004</v>
      </c>
      <c r="C320" t="s">
        <v>10</v>
      </c>
      <c r="D320">
        <v>1887439</v>
      </c>
      <c r="E320" t="s">
        <v>8</v>
      </c>
    </row>
    <row r="321" spans="1:5" x14ac:dyDescent="0.55000000000000004">
      <c r="A321" t="s">
        <v>1414</v>
      </c>
      <c r="B321" t="s">
        <v>1413</v>
      </c>
      <c r="C321" t="s">
        <v>13</v>
      </c>
      <c r="D321">
        <v>2669131</v>
      </c>
      <c r="E321" t="s">
        <v>8</v>
      </c>
    </row>
    <row r="322" spans="1:5" x14ac:dyDescent="0.55000000000000004">
      <c r="A322" t="s">
        <v>2008</v>
      </c>
      <c r="B322" t="s">
        <v>2006</v>
      </c>
      <c r="C322" t="s">
        <v>2007</v>
      </c>
      <c r="D322">
        <v>233956</v>
      </c>
      <c r="E322" t="s">
        <v>8</v>
      </c>
    </row>
    <row r="323" spans="1:5" x14ac:dyDescent="0.55000000000000004">
      <c r="A323" t="s">
        <v>795</v>
      </c>
      <c r="B323" t="s">
        <v>794</v>
      </c>
      <c r="C323" t="s">
        <v>18</v>
      </c>
      <c r="D323">
        <v>1339903</v>
      </c>
      <c r="E323" t="s">
        <v>8</v>
      </c>
    </row>
    <row r="324" spans="1:5" x14ac:dyDescent="0.55000000000000004">
      <c r="A324" t="s">
        <v>1775</v>
      </c>
      <c r="B324" t="s">
        <v>1774</v>
      </c>
      <c r="C324" t="s">
        <v>13</v>
      </c>
      <c r="D324">
        <v>1939495</v>
      </c>
      <c r="E324" t="s">
        <v>8</v>
      </c>
    </row>
    <row r="325" spans="1:5" x14ac:dyDescent="0.55000000000000004">
      <c r="A325" t="s">
        <v>1416</v>
      </c>
      <c r="B325" t="s">
        <v>1415</v>
      </c>
      <c r="C325" t="s">
        <v>10</v>
      </c>
      <c r="D325">
        <v>1457937</v>
      </c>
      <c r="E325" t="s">
        <v>8</v>
      </c>
    </row>
    <row r="326" spans="1:5" x14ac:dyDescent="0.55000000000000004">
      <c r="A326" t="s">
        <v>1777</v>
      </c>
      <c r="B326" t="s">
        <v>1776</v>
      </c>
      <c r="C326" t="s">
        <v>10</v>
      </c>
      <c r="D326">
        <v>3321573</v>
      </c>
      <c r="E326" t="s">
        <v>8</v>
      </c>
    </row>
    <row r="327" spans="1:5" x14ac:dyDescent="0.55000000000000004">
      <c r="A327" t="s">
        <v>1779</v>
      </c>
      <c r="B327" t="s">
        <v>1778</v>
      </c>
      <c r="C327" t="s">
        <v>10</v>
      </c>
      <c r="D327">
        <v>914271</v>
      </c>
      <c r="E327" t="s">
        <v>8</v>
      </c>
    </row>
    <row r="328" spans="1:5" x14ac:dyDescent="0.55000000000000004">
      <c r="A328" t="s">
        <v>2010</v>
      </c>
      <c r="B328" t="s">
        <v>2009</v>
      </c>
      <c r="C328" t="s">
        <v>10</v>
      </c>
      <c r="D328">
        <v>1065480</v>
      </c>
      <c r="E328" t="s">
        <v>8</v>
      </c>
    </row>
    <row r="329" spans="1:5" x14ac:dyDescent="0.55000000000000004">
      <c r="A329" t="s">
        <v>2012</v>
      </c>
      <c r="B329" t="s">
        <v>2011</v>
      </c>
      <c r="C329" t="s">
        <v>10</v>
      </c>
      <c r="D329">
        <v>258437</v>
      </c>
      <c r="E329" t="s">
        <v>8</v>
      </c>
    </row>
    <row r="330" spans="1:5" x14ac:dyDescent="0.55000000000000004">
      <c r="A330" t="s">
        <v>2014</v>
      </c>
      <c r="B330" t="s">
        <v>2013</v>
      </c>
      <c r="C330" t="s">
        <v>10</v>
      </c>
      <c r="D330">
        <v>739991</v>
      </c>
      <c r="E330" t="s">
        <v>8</v>
      </c>
    </row>
    <row r="331" spans="1:5" x14ac:dyDescent="0.55000000000000004">
      <c r="A331" t="s">
        <v>2016</v>
      </c>
      <c r="B331" t="s">
        <v>2015</v>
      </c>
      <c r="C331" t="s">
        <v>926</v>
      </c>
      <c r="D331">
        <v>89488</v>
      </c>
      <c r="E331" t="s">
        <v>8</v>
      </c>
    </row>
    <row r="332" spans="1:5" x14ac:dyDescent="0.55000000000000004">
      <c r="A332" t="s">
        <v>2018</v>
      </c>
      <c r="B332" t="s">
        <v>2017</v>
      </c>
      <c r="C332" t="s">
        <v>10</v>
      </c>
      <c r="D332">
        <v>377030</v>
      </c>
      <c r="E332" t="s">
        <v>8</v>
      </c>
    </row>
    <row r="333" spans="1:5" x14ac:dyDescent="0.55000000000000004">
      <c r="A333" t="s">
        <v>2020</v>
      </c>
      <c r="B333" t="s">
        <v>2019</v>
      </c>
      <c r="C333" t="s">
        <v>10</v>
      </c>
      <c r="D333">
        <v>1033647</v>
      </c>
      <c r="E333" t="s">
        <v>8</v>
      </c>
    </row>
    <row r="334" spans="1:5" x14ac:dyDescent="0.55000000000000004">
      <c r="A334" t="s">
        <v>2021</v>
      </c>
      <c r="B334" t="s">
        <v>698</v>
      </c>
      <c r="C334" t="s">
        <v>13</v>
      </c>
      <c r="D334">
        <v>2246026</v>
      </c>
      <c r="E334" t="s">
        <v>8</v>
      </c>
    </row>
    <row r="335" spans="1:5" x14ac:dyDescent="0.55000000000000004">
      <c r="A335" t="s">
        <v>2023</v>
      </c>
      <c r="B335" t="s">
        <v>2022</v>
      </c>
      <c r="C335" t="s">
        <v>10</v>
      </c>
      <c r="D335">
        <v>240807</v>
      </c>
      <c r="E335" t="s">
        <v>8</v>
      </c>
    </row>
    <row r="336" spans="1:5" x14ac:dyDescent="0.55000000000000004">
      <c r="A336" t="s">
        <v>1115</v>
      </c>
      <c r="B336" t="s">
        <v>1114</v>
      </c>
      <c r="C336" t="s">
        <v>10</v>
      </c>
      <c r="D336">
        <v>376195</v>
      </c>
      <c r="E336" t="s">
        <v>8</v>
      </c>
    </row>
    <row r="337" spans="1:5" x14ac:dyDescent="0.55000000000000004">
      <c r="A337" t="s">
        <v>1784</v>
      </c>
      <c r="B337" t="s">
        <v>1782</v>
      </c>
      <c r="C337" t="s">
        <v>1783</v>
      </c>
      <c r="D337">
        <v>2490417</v>
      </c>
      <c r="E337" t="s">
        <v>8</v>
      </c>
    </row>
    <row r="338" spans="1:5" x14ac:dyDescent="0.55000000000000004">
      <c r="A338" t="s">
        <v>2025</v>
      </c>
      <c r="B338" t="s">
        <v>2024</v>
      </c>
      <c r="C338" t="s">
        <v>10</v>
      </c>
      <c r="D338">
        <v>2874533</v>
      </c>
      <c r="E338" t="s">
        <v>8</v>
      </c>
    </row>
    <row r="339" spans="1:5" x14ac:dyDescent="0.55000000000000004">
      <c r="A339" t="s">
        <v>1431</v>
      </c>
      <c r="B339" t="s">
        <v>1430</v>
      </c>
      <c r="C339" t="s">
        <v>10</v>
      </c>
      <c r="D339">
        <v>2326645</v>
      </c>
      <c r="E339" t="s">
        <v>8</v>
      </c>
    </row>
    <row r="340" spans="1:5" x14ac:dyDescent="0.55000000000000004">
      <c r="A340" t="s">
        <v>2027</v>
      </c>
      <c r="B340" t="s">
        <v>2026</v>
      </c>
      <c r="C340" t="s">
        <v>10</v>
      </c>
      <c r="D340">
        <v>1647365</v>
      </c>
      <c r="E340" t="s">
        <v>8</v>
      </c>
    </row>
    <row r="341" spans="1:5" x14ac:dyDescent="0.55000000000000004">
      <c r="A341" t="s">
        <v>1433</v>
      </c>
      <c r="B341" t="s">
        <v>1432</v>
      </c>
      <c r="C341" t="s">
        <v>10</v>
      </c>
      <c r="D341">
        <v>710303</v>
      </c>
      <c r="E341" t="s">
        <v>8</v>
      </c>
    </row>
    <row r="342" spans="1:5" x14ac:dyDescent="0.55000000000000004">
      <c r="A342" t="s">
        <v>1788</v>
      </c>
      <c r="B342" t="s">
        <v>1787</v>
      </c>
      <c r="C342" t="s">
        <v>41</v>
      </c>
      <c r="D342">
        <v>1223582</v>
      </c>
      <c r="E342" t="s">
        <v>8</v>
      </c>
    </row>
    <row r="343" spans="1:5" x14ac:dyDescent="0.55000000000000004">
      <c r="A343" t="s">
        <v>2029</v>
      </c>
      <c r="B343" t="s">
        <v>2028</v>
      </c>
      <c r="C343" t="s">
        <v>10</v>
      </c>
      <c r="D343">
        <v>280551</v>
      </c>
      <c r="E343" t="s">
        <v>8</v>
      </c>
    </row>
    <row r="344" spans="1:5" x14ac:dyDescent="0.55000000000000004">
      <c r="A344" t="s">
        <v>2031</v>
      </c>
      <c r="B344" t="s">
        <v>2030</v>
      </c>
      <c r="C344" t="s">
        <v>10</v>
      </c>
      <c r="D344">
        <v>565946</v>
      </c>
      <c r="E344" t="s">
        <v>8</v>
      </c>
    </row>
    <row r="345" spans="1:5" x14ac:dyDescent="0.55000000000000004">
      <c r="A345" t="s">
        <v>2033</v>
      </c>
      <c r="B345" t="s">
        <v>2032</v>
      </c>
      <c r="C345" t="s">
        <v>10</v>
      </c>
      <c r="D345">
        <v>639114</v>
      </c>
      <c r="E345" t="s">
        <v>8</v>
      </c>
    </row>
    <row r="346" spans="1:5" x14ac:dyDescent="0.55000000000000004">
      <c r="A346" t="s">
        <v>2035</v>
      </c>
      <c r="B346" t="s">
        <v>2034</v>
      </c>
      <c r="C346" t="s">
        <v>10</v>
      </c>
      <c r="D346">
        <v>2218465</v>
      </c>
      <c r="E346" t="s">
        <v>8</v>
      </c>
    </row>
    <row r="347" spans="1:5" x14ac:dyDescent="0.55000000000000004">
      <c r="A347" t="s">
        <v>421</v>
      </c>
      <c r="B347" t="s">
        <v>420</v>
      </c>
      <c r="C347" t="s">
        <v>10</v>
      </c>
      <c r="D347">
        <v>341579</v>
      </c>
      <c r="E347" t="s">
        <v>8</v>
      </c>
    </row>
    <row r="348" spans="1:5" x14ac:dyDescent="0.55000000000000004">
      <c r="A348" t="s">
        <v>1437</v>
      </c>
      <c r="B348" t="s">
        <v>1436</v>
      </c>
      <c r="C348" t="s">
        <v>41</v>
      </c>
      <c r="D348">
        <v>2413316</v>
      </c>
      <c r="E348" t="s">
        <v>8</v>
      </c>
    </row>
    <row r="349" spans="1:5" x14ac:dyDescent="0.55000000000000004">
      <c r="A349" t="s">
        <v>1792</v>
      </c>
      <c r="B349" t="s">
        <v>1791</v>
      </c>
      <c r="C349" t="s">
        <v>10</v>
      </c>
      <c r="D349">
        <v>1036635</v>
      </c>
      <c r="E349" t="s">
        <v>8</v>
      </c>
    </row>
    <row r="350" spans="1:5" x14ac:dyDescent="0.55000000000000004">
      <c r="A350" t="s">
        <v>431</v>
      </c>
      <c r="B350" t="s">
        <v>430</v>
      </c>
      <c r="C350" t="s">
        <v>10</v>
      </c>
      <c r="D350">
        <v>553400</v>
      </c>
      <c r="E350" t="s">
        <v>8</v>
      </c>
    </row>
    <row r="351" spans="1:5" x14ac:dyDescent="0.55000000000000004">
      <c r="A351" t="s">
        <v>1794</v>
      </c>
      <c r="B351" t="s">
        <v>1793</v>
      </c>
      <c r="C351" t="s">
        <v>10</v>
      </c>
      <c r="D351">
        <v>824282</v>
      </c>
      <c r="E351" t="s">
        <v>8</v>
      </c>
    </row>
    <row r="352" spans="1:5" x14ac:dyDescent="0.55000000000000004">
      <c r="A352" t="s">
        <v>1796</v>
      </c>
      <c r="B352" t="s">
        <v>1795</v>
      </c>
      <c r="C352" t="s">
        <v>18</v>
      </c>
      <c r="D352">
        <v>350819</v>
      </c>
      <c r="E352" t="s">
        <v>8</v>
      </c>
    </row>
    <row r="353" spans="1:5" x14ac:dyDescent="0.55000000000000004">
      <c r="A353" t="s">
        <v>433</v>
      </c>
      <c r="B353" t="s">
        <v>432</v>
      </c>
      <c r="C353" t="s">
        <v>10</v>
      </c>
      <c r="D353">
        <v>1556436</v>
      </c>
      <c r="E353" t="s">
        <v>8</v>
      </c>
    </row>
    <row r="354" spans="1:5" x14ac:dyDescent="0.55000000000000004">
      <c r="A354" t="s">
        <v>1439</v>
      </c>
      <c r="B354" t="s">
        <v>1438</v>
      </c>
      <c r="C354" t="s">
        <v>10</v>
      </c>
      <c r="D354">
        <v>1032492</v>
      </c>
      <c r="E354" t="s">
        <v>8</v>
      </c>
    </row>
    <row r="355" spans="1:5" x14ac:dyDescent="0.55000000000000004">
      <c r="A355" t="s">
        <v>1441</v>
      </c>
      <c r="B355" t="s">
        <v>1440</v>
      </c>
      <c r="C355" t="s">
        <v>41</v>
      </c>
      <c r="D355">
        <v>447886</v>
      </c>
      <c r="E355" t="s">
        <v>8</v>
      </c>
    </row>
    <row r="356" spans="1:5" x14ac:dyDescent="0.55000000000000004">
      <c r="A356" t="s">
        <v>2038</v>
      </c>
      <c r="B356" t="s">
        <v>2036</v>
      </c>
      <c r="C356" t="s">
        <v>2037</v>
      </c>
      <c r="D356">
        <v>41480</v>
      </c>
      <c r="E356" t="s">
        <v>8</v>
      </c>
    </row>
    <row r="357" spans="1:5" x14ac:dyDescent="0.55000000000000004">
      <c r="A357" t="s">
        <v>1798</v>
      </c>
      <c r="B357" t="s">
        <v>1797</v>
      </c>
      <c r="C357" t="s">
        <v>10</v>
      </c>
      <c r="D357">
        <v>405405</v>
      </c>
      <c r="E357" t="s">
        <v>8</v>
      </c>
    </row>
    <row r="358" spans="1:5" x14ac:dyDescent="0.55000000000000004">
      <c r="A358" t="s">
        <v>443</v>
      </c>
      <c r="B358" t="s">
        <v>442</v>
      </c>
      <c r="C358" t="s">
        <v>10</v>
      </c>
      <c r="D358">
        <v>455448</v>
      </c>
      <c r="E358" t="s">
        <v>8</v>
      </c>
    </row>
    <row r="359" spans="1:5" x14ac:dyDescent="0.55000000000000004">
      <c r="A359" t="s">
        <v>2040</v>
      </c>
      <c r="B359" t="s">
        <v>2039</v>
      </c>
      <c r="C359" t="s">
        <v>10</v>
      </c>
      <c r="D359">
        <v>1270474</v>
      </c>
      <c r="E359" t="s">
        <v>8</v>
      </c>
    </row>
    <row r="360" spans="1:5" x14ac:dyDescent="0.55000000000000004">
      <c r="A360" t="s">
        <v>1445</v>
      </c>
      <c r="B360" t="s">
        <v>1444</v>
      </c>
      <c r="C360" t="s">
        <v>13</v>
      </c>
      <c r="D360">
        <v>373356</v>
      </c>
      <c r="E360" t="s">
        <v>8</v>
      </c>
    </row>
    <row r="361" spans="1:5" x14ac:dyDescent="0.55000000000000004">
      <c r="A361" t="s">
        <v>1447</v>
      </c>
      <c r="B361" t="s">
        <v>1446</v>
      </c>
      <c r="C361" t="s">
        <v>10</v>
      </c>
      <c r="D361">
        <v>243290</v>
      </c>
      <c r="E361" t="s">
        <v>8</v>
      </c>
    </row>
    <row r="362" spans="1:5" x14ac:dyDescent="0.55000000000000004">
      <c r="A362" t="s">
        <v>1800</v>
      </c>
      <c r="B362" t="s">
        <v>1799</v>
      </c>
      <c r="C362" t="s">
        <v>10</v>
      </c>
      <c r="D362">
        <v>2562372</v>
      </c>
      <c r="E362" t="s">
        <v>8</v>
      </c>
    </row>
    <row r="363" spans="1:5" x14ac:dyDescent="0.55000000000000004">
      <c r="A363" t="s">
        <v>804</v>
      </c>
      <c r="B363" t="s">
        <v>803</v>
      </c>
      <c r="C363" t="s">
        <v>10</v>
      </c>
      <c r="D363">
        <v>1067111</v>
      </c>
      <c r="E363" t="s">
        <v>8</v>
      </c>
    </row>
    <row r="364" spans="1:5" x14ac:dyDescent="0.55000000000000004">
      <c r="A364" t="s">
        <v>1451</v>
      </c>
      <c r="B364" t="s">
        <v>1450</v>
      </c>
      <c r="C364" t="s">
        <v>880</v>
      </c>
      <c r="D364">
        <v>987741</v>
      </c>
      <c r="E364" t="s">
        <v>8</v>
      </c>
    </row>
    <row r="365" spans="1:5" x14ac:dyDescent="0.55000000000000004">
      <c r="A365" t="s">
        <v>1453</v>
      </c>
      <c r="B365" t="s">
        <v>1452</v>
      </c>
      <c r="C365" t="s">
        <v>10</v>
      </c>
      <c r="D365">
        <v>834271</v>
      </c>
      <c r="E365" t="s">
        <v>8</v>
      </c>
    </row>
    <row r="366" spans="1:5" x14ac:dyDescent="0.55000000000000004">
      <c r="A366" t="s">
        <v>1455</v>
      </c>
      <c r="B366" t="s">
        <v>1454</v>
      </c>
      <c r="C366" t="s">
        <v>10</v>
      </c>
      <c r="D366">
        <v>322774</v>
      </c>
      <c r="E366" t="s">
        <v>8</v>
      </c>
    </row>
    <row r="367" spans="1:5" x14ac:dyDescent="0.55000000000000004">
      <c r="A367" t="s">
        <v>2042</v>
      </c>
      <c r="B367" t="s">
        <v>2041</v>
      </c>
      <c r="C367" t="s">
        <v>1317</v>
      </c>
      <c r="D367">
        <v>208664</v>
      </c>
      <c r="E367" t="s">
        <v>8</v>
      </c>
    </row>
    <row r="368" spans="1:5" x14ac:dyDescent="0.55000000000000004">
      <c r="A368" t="s">
        <v>1119</v>
      </c>
      <c r="B368" t="s">
        <v>1118</v>
      </c>
      <c r="C368" t="s">
        <v>10</v>
      </c>
      <c r="D368">
        <v>95379</v>
      </c>
      <c r="E368" t="s">
        <v>8</v>
      </c>
    </row>
    <row r="369" spans="1:5" x14ac:dyDescent="0.55000000000000004">
      <c r="A369" t="s">
        <v>2044</v>
      </c>
      <c r="B369" t="s">
        <v>2043</v>
      </c>
      <c r="C369" t="s">
        <v>10</v>
      </c>
      <c r="D369">
        <v>662182</v>
      </c>
      <c r="E369" t="s">
        <v>8</v>
      </c>
    </row>
    <row r="370" spans="1:5" x14ac:dyDescent="0.55000000000000004">
      <c r="A370" t="s">
        <v>1802</v>
      </c>
      <c r="B370" t="s">
        <v>1801</v>
      </c>
      <c r="C370" t="s">
        <v>10</v>
      </c>
      <c r="D370">
        <v>2306076</v>
      </c>
      <c r="E370" t="s">
        <v>8</v>
      </c>
    </row>
    <row r="371" spans="1:5" x14ac:dyDescent="0.55000000000000004">
      <c r="A371" t="s">
        <v>2046</v>
      </c>
      <c r="B371" t="s">
        <v>2045</v>
      </c>
      <c r="C371" t="s">
        <v>10</v>
      </c>
      <c r="D371">
        <v>265530</v>
      </c>
      <c r="E371" t="s">
        <v>8</v>
      </c>
    </row>
    <row r="372" spans="1:5" x14ac:dyDescent="0.55000000000000004">
      <c r="A372" t="s">
        <v>709</v>
      </c>
      <c r="B372" t="s">
        <v>708</v>
      </c>
      <c r="C372" t="s">
        <v>10</v>
      </c>
      <c r="D372">
        <v>1312296</v>
      </c>
      <c r="E372" t="s">
        <v>8</v>
      </c>
    </row>
    <row r="373" spans="1:5" x14ac:dyDescent="0.55000000000000004">
      <c r="A373" t="s">
        <v>1121</v>
      </c>
      <c r="B373" t="s">
        <v>1120</v>
      </c>
      <c r="C373" t="s">
        <v>10</v>
      </c>
      <c r="D373">
        <v>2594564</v>
      </c>
      <c r="E373" t="s">
        <v>8</v>
      </c>
    </row>
    <row r="374" spans="1:5" x14ac:dyDescent="0.55000000000000004">
      <c r="A374" t="s">
        <v>1562</v>
      </c>
      <c r="B374" t="s">
        <v>1561</v>
      </c>
      <c r="C374" t="s">
        <v>1317</v>
      </c>
      <c r="D374">
        <v>862243</v>
      </c>
      <c r="E374" t="s">
        <v>8</v>
      </c>
    </row>
    <row r="375" spans="1:5" x14ac:dyDescent="0.55000000000000004">
      <c r="A375" t="s">
        <v>1804</v>
      </c>
      <c r="B375" t="s">
        <v>1803</v>
      </c>
      <c r="C375" t="s">
        <v>10</v>
      </c>
      <c r="D375">
        <v>253266</v>
      </c>
      <c r="E375" t="s">
        <v>8</v>
      </c>
    </row>
    <row r="376" spans="1:5" x14ac:dyDescent="0.55000000000000004">
      <c r="A376" t="s">
        <v>2048</v>
      </c>
      <c r="B376" t="s">
        <v>2047</v>
      </c>
      <c r="C376" t="s">
        <v>10</v>
      </c>
      <c r="D376">
        <v>1027119</v>
      </c>
      <c r="E376" t="s">
        <v>8</v>
      </c>
    </row>
    <row r="377" spans="1:5" x14ac:dyDescent="0.55000000000000004">
      <c r="A377" t="s">
        <v>2050</v>
      </c>
      <c r="B377" t="s">
        <v>2049</v>
      </c>
      <c r="C377" t="s">
        <v>10</v>
      </c>
      <c r="D377">
        <v>401973</v>
      </c>
      <c r="E377" t="s">
        <v>8</v>
      </c>
    </row>
    <row r="378" spans="1:5" x14ac:dyDescent="0.55000000000000004">
      <c r="A378" t="s">
        <v>2052</v>
      </c>
      <c r="B378" t="s">
        <v>2051</v>
      </c>
      <c r="C378" t="s">
        <v>10</v>
      </c>
      <c r="D378">
        <v>345334</v>
      </c>
      <c r="E378" t="s">
        <v>8</v>
      </c>
    </row>
    <row r="379" spans="1:5" x14ac:dyDescent="0.55000000000000004">
      <c r="A379" t="s">
        <v>1468</v>
      </c>
      <c r="B379" t="s">
        <v>1466</v>
      </c>
      <c r="C379" t="s">
        <v>1467</v>
      </c>
      <c r="D379">
        <v>430333</v>
      </c>
      <c r="E379" t="s">
        <v>8</v>
      </c>
    </row>
    <row r="380" spans="1:5" x14ac:dyDescent="0.55000000000000004">
      <c r="A380" t="s">
        <v>1806</v>
      </c>
      <c r="B380" t="s">
        <v>1805</v>
      </c>
      <c r="C380" t="s">
        <v>10</v>
      </c>
      <c r="D380">
        <v>207096</v>
      </c>
      <c r="E380" t="s">
        <v>8</v>
      </c>
    </row>
    <row r="381" spans="1:5" x14ac:dyDescent="0.55000000000000004">
      <c r="A381" t="s">
        <v>1474</v>
      </c>
      <c r="B381" t="s">
        <v>1473</v>
      </c>
      <c r="C381" t="s">
        <v>10</v>
      </c>
      <c r="D381">
        <v>1628372</v>
      </c>
      <c r="E381" t="s">
        <v>8</v>
      </c>
    </row>
    <row r="382" spans="1:5" x14ac:dyDescent="0.55000000000000004">
      <c r="A382" t="s">
        <v>1476</v>
      </c>
      <c r="B382" t="s">
        <v>1475</v>
      </c>
      <c r="C382" t="s">
        <v>18</v>
      </c>
      <c r="D382">
        <v>420055</v>
      </c>
      <c r="E382" t="s">
        <v>8</v>
      </c>
    </row>
    <row r="383" spans="1:5" x14ac:dyDescent="0.55000000000000004">
      <c r="A383" t="s">
        <v>1808</v>
      </c>
      <c r="B383" t="s">
        <v>1807</v>
      </c>
      <c r="C383" t="s">
        <v>10</v>
      </c>
      <c r="D383">
        <v>231623</v>
      </c>
      <c r="E383" t="s">
        <v>8</v>
      </c>
    </row>
    <row r="384" spans="1:5" x14ac:dyDescent="0.55000000000000004">
      <c r="A384" t="s">
        <v>2054</v>
      </c>
      <c r="B384" t="s">
        <v>2053</v>
      </c>
      <c r="C384" t="s">
        <v>18</v>
      </c>
      <c r="D384">
        <v>822370</v>
      </c>
      <c r="E384" t="s">
        <v>8</v>
      </c>
    </row>
    <row r="385" spans="1:5" x14ac:dyDescent="0.55000000000000004">
      <c r="A385" t="s">
        <v>2056</v>
      </c>
      <c r="B385" t="s">
        <v>2055</v>
      </c>
      <c r="C385" t="s">
        <v>10</v>
      </c>
      <c r="D385">
        <v>468306</v>
      </c>
      <c r="E385" t="s">
        <v>8</v>
      </c>
    </row>
    <row r="386" spans="1:5" x14ac:dyDescent="0.55000000000000004">
      <c r="A386" t="s">
        <v>2058</v>
      </c>
      <c r="B386" t="s">
        <v>2057</v>
      </c>
      <c r="C386" t="s">
        <v>13</v>
      </c>
      <c r="D386">
        <v>1077275</v>
      </c>
      <c r="E386" t="s">
        <v>8</v>
      </c>
    </row>
    <row r="387" spans="1:5" x14ac:dyDescent="0.55000000000000004">
      <c r="A387" t="s">
        <v>1810</v>
      </c>
      <c r="B387" t="s">
        <v>1809</v>
      </c>
      <c r="C387" t="s">
        <v>10</v>
      </c>
      <c r="D387">
        <v>720965</v>
      </c>
      <c r="E387" t="s">
        <v>8</v>
      </c>
    </row>
    <row r="388" spans="1:5" x14ac:dyDescent="0.55000000000000004">
      <c r="A388" t="s">
        <v>482</v>
      </c>
      <c r="B388" t="s">
        <v>481</v>
      </c>
      <c r="C388" t="s">
        <v>13</v>
      </c>
      <c r="D388">
        <v>267857</v>
      </c>
      <c r="E388" t="s">
        <v>8</v>
      </c>
    </row>
    <row r="389" spans="1:5" x14ac:dyDescent="0.55000000000000004">
      <c r="A389" t="s">
        <v>1812</v>
      </c>
      <c r="B389" t="s">
        <v>1811</v>
      </c>
      <c r="C389" t="s">
        <v>18</v>
      </c>
      <c r="D389">
        <v>583898</v>
      </c>
      <c r="E389" t="s">
        <v>8</v>
      </c>
    </row>
    <row r="390" spans="1:5" x14ac:dyDescent="0.55000000000000004">
      <c r="A390" t="s">
        <v>2060</v>
      </c>
      <c r="B390" t="s">
        <v>2059</v>
      </c>
      <c r="C390" t="s">
        <v>13</v>
      </c>
      <c r="D390">
        <v>1224093</v>
      </c>
      <c r="E390" t="s">
        <v>8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B386D-5AD4-43F4-9932-7F4852DC51FB}">
  <dimension ref="A1:E346"/>
  <sheetViews>
    <sheetView topLeftCell="A320" workbookViewId="0">
      <selection activeCell="D2" sqref="D2:D346"/>
    </sheetView>
  </sheetViews>
  <sheetFormatPr defaultRowHeight="18" x14ac:dyDescent="0.55000000000000004"/>
  <cols>
    <col min="1" max="1" width="11.4140625" bestFit="1" customWidth="1"/>
    <col min="2" max="2" width="35.33203125" bestFit="1" customWidth="1"/>
    <col min="3" max="3" width="19" bestFit="1" customWidth="1"/>
    <col min="5" max="5" width="8.25" bestFit="1" customWidth="1"/>
    <col min="6" max="6" width="23.33203125" bestFit="1" customWidth="1"/>
  </cols>
  <sheetData>
    <row r="1" spans="1:5" x14ac:dyDescent="0.55000000000000004">
      <c r="A1" t="s">
        <v>2</v>
      </c>
      <c r="B1" t="s">
        <v>0</v>
      </c>
      <c r="C1" t="s">
        <v>1</v>
      </c>
      <c r="D1" t="s">
        <v>3</v>
      </c>
      <c r="E1" t="s">
        <v>4</v>
      </c>
    </row>
    <row r="2" spans="1:5" x14ac:dyDescent="0.55000000000000004">
      <c r="A2" t="s">
        <v>725</v>
      </c>
      <c r="B2" t="s">
        <v>724</v>
      </c>
      <c r="C2" t="s">
        <v>141</v>
      </c>
      <c r="D2">
        <v>2136429</v>
      </c>
      <c r="E2" t="s">
        <v>8</v>
      </c>
    </row>
    <row r="3" spans="1:5" x14ac:dyDescent="0.55000000000000004">
      <c r="A3" t="s">
        <v>810</v>
      </c>
      <c r="B3" t="s">
        <v>809</v>
      </c>
      <c r="C3" t="s">
        <v>41</v>
      </c>
      <c r="D3">
        <v>114759</v>
      </c>
      <c r="E3" t="s">
        <v>8</v>
      </c>
    </row>
    <row r="4" spans="1:5" x14ac:dyDescent="0.55000000000000004">
      <c r="A4" t="s">
        <v>1148</v>
      </c>
      <c r="B4" t="s">
        <v>1147</v>
      </c>
      <c r="C4" t="s">
        <v>10</v>
      </c>
      <c r="D4">
        <v>2902593</v>
      </c>
      <c r="E4" t="s">
        <v>8</v>
      </c>
    </row>
    <row r="5" spans="1:5" x14ac:dyDescent="0.55000000000000004">
      <c r="A5" t="s">
        <v>1142</v>
      </c>
      <c r="B5" t="s">
        <v>1141</v>
      </c>
      <c r="C5" t="s">
        <v>6</v>
      </c>
      <c r="D5">
        <v>326622</v>
      </c>
      <c r="E5" t="s">
        <v>8</v>
      </c>
    </row>
    <row r="6" spans="1:5" x14ac:dyDescent="0.55000000000000004">
      <c r="A6" t="s">
        <v>935</v>
      </c>
      <c r="B6" t="s">
        <v>934</v>
      </c>
      <c r="C6" t="s">
        <v>10</v>
      </c>
      <c r="D6">
        <v>1238860</v>
      </c>
      <c r="E6" t="s">
        <v>8</v>
      </c>
    </row>
    <row r="7" spans="1:5" x14ac:dyDescent="0.55000000000000004">
      <c r="A7" t="s">
        <v>816</v>
      </c>
      <c r="B7" t="s">
        <v>815</v>
      </c>
      <c r="C7" t="s">
        <v>6</v>
      </c>
      <c r="D7">
        <v>2865018</v>
      </c>
      <c r="E7" t="s">
        <v>8</v>
      </c>
    </row>
    <row r="8" spans="1:5" x14ac:dyDescent="0.55000000000000004">
      <c r="A8" t="s">
        <v>1144</v>
      </c>
      <c r="B8" t="s">
        <v>1143</v>
      </c>
      <c r="C8" t="s">
        <v>10</v>
      </c>
      <c r="D8">
        <v>2659619</v>
      </c>
      <c r="E8" t="s">
        <v>8</v>
      </c>
    </row>
    <row r="9" spans="1:5" x14ac:dyDescent="0.55000000000000004">
      <c r="A9" t="s">
        <v>16</v>
      </c>
      <c r="B9" t="s">
        <v>15</v>
      </c>
      <c r="C9" t="s">
        <v>10</v>
      </c>
      <c r="D9">
        <v>1608323</v>
      </c>
      <c r="E9" t="s">
        <v>8</v>
      </c>
    </row>
    <row r="10" spans="1:5" x14ac:dyDescent="0.55000000000000004">
      <c r="A10" t="s">
        <v>1599</v>
      </c>
      <c r="B10" t="s">
        <v>1598</v>
      </c>
      <c r="C10" t="s">
        <v>10</v>
      </c>
      <c r="D10">
        <v>1284385</v>
      </c>
      <c r="E10" t="s">
        <v>8</v>
      </c>
    </row>
    <row r="11" spans="1:5" x14ac:dyDescent="0.55000000000000004">
      <c r="A11" t="s">
        <v>24</v>
      </c>
      <c r="B11" t="s">
        <v>23</v>
      </c>
      <c r="C11" t="s">
        <v>18</v>
      </c>
      <c r="D11">
        <v>2409960</v>
      </c>
      <c r="E11" t="s">
        <v>8</v>
      </c>
    </row>
    <row r="12" spans="1:5" x14ac:dyDescent="0.55000000000000004">
      <c r="A12" t="s">
        <v>29</v>
      </c>
      <c r="B12" t="s">
        <v>28</v>
      </c>
      <c r="C12" t="s">
        <v>13</v>
      </c>
      <c r="D12">
        <v>1256503</v>
      </c>
      <c r="E12" t="s">
        <v>8</v>
      </c>
    </row>
    <row r="13" spans="1:5" x14ac:dyDescent="0.55000000000000004">
      <c r="A13" t="s">
        <v>1601</v>
      </c>
      <c r="B13" t="s">
        <v>1600</v>
      </c>
      <c r="C13" t="s">
        <v>13</v>
      </c>
      <c r="D13">
        <v>299043</v>
      </c>
      <c r="E13" t="s">
        <v>8</v>
      </c>
    </row>
    <row r="14" spans="1:5" x14ac:dyDescent="0.55000000000000004">
      <c r="A14" t="s">
        <v>1603</v>
      </c>
      <c r="B14" t="s">
        <v>1602</v>
      </c>
      <c r="C14" t="s">
        <v>10</v>
      </c>
      <c r="D14">
        <v>1021068</v>
      </c>
      <c r="E14" t="s">
        <v>8</v>
      </c>
    </row>
    <row r="15" spans="1:5" x14ac:dyDescent="0.55000000000000004">
      <c r="A15" t="s">
        <v>35</v>
      </c>
      <c r="B15" t="s">
        <v>34</v>
      </c>
      <c r="C15" t="s">
        <v>10</v>
      </c>
      <c r="D15">
        <v>318299</v>
      </c>
      <c r="E15" t="s">
        <v>8</v>
      </c>
    </row>
    <row r="16" spans="1:5" x14ac:dyDescent="0.55000000000000004">
      <c r="A16" t="s">
        <v>39</v>
      </c>
      <c r="B16" t="s">
        <v>38</v>
      </c>
      <c r="C16" t="s">
        <v>6</v>
      </c>
      <c r="D16">
        <v>196999</v>
      </c>
      <c r="E16" t="s">
        <v>8</v>
      </c>
    </row>
    <row r="17" spans="1:5" x14ac:dyDescent="0.55000000000000004">
      <c r="A17" t="s">
        <v>731</v>
      </c>
      <c r="B17" t="s">
        <v>730</v>
      </c>
      <c r="C17" t="s">
        <v>10</v>
      </c>
      <c r="D17">
        <v>512004</v>
      </c>
      <c r="E17" t="s">
        <v>8</v>
      </c>
    </row>
    <row r="18" spans="1:5" x14ac:dyDescent="0.55000000000000004">
      <c r="A18" t="s">
        <v>1154</v>
      </c>
      <c r="B18" t="s">
        <v>1153</v>
      </c>
      <c r="C18" t="s">
        <v>10</v>
      </c>
      <c r="D18">
        <v>181107</v>
      </c>
      <c r="E18" t="s">
        <v>8</v>
      </c>
    </row>
    <row r="19" spans="1:5" x14ac:dyDescent="0.55000000000000004">
      <c r="A19" t="s">
        <v>515</v>
      </c>
      <c r="B19" t="s">
        <v>513</v>
      </c>
      <c r="C19" t="s">
        <v>514</v>
      </c>
      <c r="D19">
        <v>1530213</v>
      </c>
      <c r="E19" t="s">
        <v>8</v>
      </c>
    </row>
    <row r="20" spans="1:5" x14ac:dyDescent="0.55000000000000004">
      <c r="A20" t="s">
        <v>1160</v>
      </c>
      <c r="B20" t="s">
        <v>1159</v>
      </c>
      <c r="C20" t="s">
        <v>13</v>
      </c>
      <c r="D20">
        <v>456930</v>
      </c>
      <c r="E20" t="s">
        <v>8</v>
      </c>
    </row>
    <row r="21" spans="1:5" x14ac:dyDescent="0.55000000000000004">
      <c r="A21" t="s">
        <v>1162</v>
      </c>
      <c r="B21" t="s">
        <v>1161</v>
      </c>
      <c r="C21" t="s">
        <v>10</v>
      </c>
      <c r="D21">
        <v>1011947</v>
      </c>
      <c r="E21" t="s">
        <v>8</v>
      </c>
    </row>
    <row r="22" spans="1:5" x14ac:dyDescent="0.55000000000000004">
      <c r="A22" t="s">
        <v>1164</v>
      </c>
      <c r="B22" t="s">
        <v>1163</v>
      </c>
      <c r="C22" t="s">
        <v>10</v>
      </c>
      <c r="D22">
        <v>1358007</v>
      </c>
      <c r="E22" t="s">
        <v>8</v>
      </c>
    </row>
    <row r="23" spans="1:5" x14ac:dyDescent="0.55000000000000004">
      <c r="A23" t="s">
        <v>1166</v>
      </c>
      <c r="B23" t="s">
        <v>1165</v>
      </c>
      <c r="C23" t="s">
        <v>208</v>
      </c>
      <c r="D23">
        <v>461023</v>
      </c>
      <c r="E23" t="s">
        <v>8</v>
      </c>
    </row>
    <row r="24" spans="1:5" x14ac:dyDescent="0.55000000000000004">
      <c r="A24" t="s">
        <v>48</v>
      </c>
      <c r="B24" t="s">
        <v>47</v>
      </c>
      <c r="C24" t="s">
        <v>10</v>
      </c>
      <c r="D24">
        <v>5321280</v>
      </c>
      <c r="E24" t="s">
        <v>8</v>
      </c>
    </row>
    <row r="25" spans="1:5" x14ac:dyDescent="0.55000000000000004">
      <c r="A25" t="s">
        <v>1168</v>
      </c>
      <c r="B25" t="s">
        <v>1167</v>
      </c>
      <c r="C25" t="s">
        <v>10</v>
      </c>
      <c r="D25">
        <v>646091</v>
      </c>
      <c r="E25" t="s">
        <v>8</v>
      </c>
    </row>
    <row r="26" spans="1:5" x14ac:dyDescent="0.55000000000000004">
      <c r="A26" t="s">
        <v>1170</v>
      </c>
      <c r="B26" t="s">
        <v>1169</v>
      </c>
      <c r="C26" t="s">
        <v>6</v>
      </c>
      <c r="D26">
        <v>698780</v>
      </c>
      <c r="E26" t="s">
        <v>8</v>
      </c>
    </row>
    <row r="27" spans="1:5" x14ac:dyDescent="0.55000000000000004">
      <c r="A27" t="s">
        <v>52</v>
      </c>
      <c r="B27" t="s">
        <v>51</v>
      </c>
      <c r="C27" t="s">
        <v>10</v>
      </c>
      <c r="D27">
        <v>2564271</v>
      </c>
      <c r="E27" t="s">
        <v>8</v>
      </c>
    </row>
    <row r="28" spans="1:5" x14ac:dyDescent="0.55000000000000004">
      <c r="A28" t="s">
        <v>1172</v>
      </c>
      <c r="B28" t="s">
        <v>1171</v>
      </c>
      <c r="C28" t="s">
        <v>10</v>
      </c>
      <c r="D28">
        <v>300966</v>
      </c>
      <c r="E28" t="s">
        <v>8</v>
      </c>
    </row>
    <row r="29" spans="1:5" x14ac:dyDescent="0.55000000000000004">
      <c r="A29" t="s">
        <v>1605</v>
      </c>
      <c r="B29" t="s">
        <v>1604</v>
      </c>
      <c r="C29" t="s">
        <v>10</v>
      </c>
      <c r="D29">
        <v>1327762</v>
      </c>
      <c r="E29" t="s">
        <v>8</v>
      </c>
    </row>
    <row r="30" spans="1:5" x14ac:dyDescent="0.55000000000000004">
      <c r="A30" t="s">
        <v>1607</v>
      </c>
      <c r="B30" t="s">
        <v>1606</v>
      </c>
      <c r="C30" t="s">
        <v>10</v>
      </c>
      <c r="D30">
        <v>729866</v>
      </c>
      <c r="E30" t="s">
        <v>8</v>
      </c>
    </row>
    <row r="31" spans="1:5" x14ac:dyDescent="0.55000000000000004">
      <c r="A31" t="s">
        <v>1177</v>
      </c>
      <c r="B31" t="s">
        <v>1176</v>
      </c>
      <c r="C31" t="s">
        <v>10</v>
      </c>
      <c r="D31">
        <v>216290</v>
      </c>
      <c r="E31" t="s">
        <v>8</v>
      </c>
    </row>
    <row r="32" spans="1:5" x14ac:dyDescent="0.55000000000000004">
      <c r="A32" t="s">
        <v>1609</v>
      </c>
      <c r="B32" t="s">
        <v>1608</v>
      </c>
      <c r="C32" t="s">
        <v>1317</v>
      </c>
      <c r="D32">
        <v>6133876</v>
      </c>
      <c r="E32" t="s">
        <v>8</v>
      </c>
    </row>
    <row r="33" spans="1:5" x14ac:dyDescent="0.55000000000000004">
      <c r="A33" t="s">
        <v>1179</v>
      </c>
      <c r="B33" t="s">
        <v>1178</v>
      </c>
      <c r="C33" t="s">
        <v>10</v>
      </c>
      <c r="D33">
        <v>569700</v>
      </c>
      <c r="E33" t="s">
        <v>8</v>
      </c>
    </row>
    <row r="34" spans="1:5" x14ac:dyDescent="0.55000000000000004">
      <c r="A34" t="s">
        <v>58</v>
      </c>
      <c r="B34" t="s">
        <v>57</v>
      </c>
      <c r="C34" t="s">
        <v>10</v>
      </c>
      <c r="D34">
        <v>3723347</v>
      </c>
      <c r="E34" t="s">
        <v>8</v>
      </c>
    </row>
    <row r="35" spans="1:5" x14ac:dyDescent="0.55000000000000004">
      <c r="A35" t="s">
        <v>62</v>
      </c>
      <c r="B35" t="s">
        <v>61</v>
      </c>
      <c r="C35" t="s">
        <v>6</v>
      </c>
      <c r="D35">
        <v>1996957</v>
      </c>
      <c r="E35" t="s">
        <v>8</v>
      </c>
    </row>
    <row r="36" spans="1:5" x14ac:dyDescent="0.55000000000000004">
      <c r="A36" t="s">
        <v>68</v>
      </c>
      <c r="B36" t="s">
        <v>67</v>
      </c>
      <c r="C36" t="s">
        <v>10</v>
      </c>
      <c r="D36">
        <v>2750047</v>
      </c>
      <c r="E36" t="s">
        <v>8</v>
      </c>
    </row>
    <row r="37" spans="1:5" x14ac:dyDescent="0.55000000000000004">
      <c r="A37" t="s">
        <v>1611</v>
      </c>
      <c r="B37" t="s">
        <v>1610</v>
      </c>
      <c r="C37" t="s">
        <v>10</v>
      </c>
      <c r="D37">
        <v>1649342</v>
      </c>
      <c r="E37" t="s">
        <v>8</v>
      </c>
    </row>
    <row r="38" spans="1:5" x14ac:dyDescent="0.55000000000000004">
      <c r="A38" t="s">
        <v>1181</v>
      </c>
      <c r="B38" t="s">
        <v>1180</v>
      </c>
      <c r="C38" t="s">
        <v>10</v>
      </c>
      <c r="D38">
        <v>225274</v>
      </c>
      <c r="E38" t="s">
        <v>8</v>
      </c>
    </row>
    <row r="39" spans="1:5" x14ac:dyDescent="0.55000000000000004">
      <c r="A39" t="s">
        <v>1613</v>
      </c>
      <c r="B39" t="s">
        <v>1612</v>
      </c>
      <c r="C39" t="s">
        <v>10</v>
      </c>
      <c r="D39">
        <v>220813</v>
      </c>
      <c r="E39" t="s">
        <v>8</v>
      </c>
    </row>
    <row r="40" spans="1:5" x14ac:dyDescent="0.55000000000000004">
      <c r="A40" t="s">
        <v>1183</v>
      </c>
      <c r="B40" t="s">
        <v>1182</v>
      </c>
      <c r="C40" t="s">
        <v>10</v>
      </c>
      <c r="D40">
        <v>1066113</v>
      </c>
      <c r="E40" t="s">
        <v>8</v>
      </c>
    </row>
    <row r="41" spans="1:5" x14ac:dyDescent="0.55000000000000004">
      <c r="A41" t="s">
        <v>1185</v>
      </c>
      <c r="B41" t="s">
        <v>1184</v>
      </c>
      <c r="C41" t="s">
        <v>10</v>
      </c>
      <c r="D41">
        <v>534144</v>
      </c>
      <c r="E41" t="s">
        <v>8</v>
      </c>
    </row>
    <row r="42" spans="1:5" x14ac:dyDescent="0.55000000000000004">
      <c r="A42" t="s">
        <v>1187</v>
      </c>
      <c r="B42" t="s">
        <v>1186</v>
      </c>
      <c r="C42" t="s">
        <v>10</v>
      </c>
      <c r="D42">
        <v>857444</v>
      </c>
      <c r="E42" t="s">
        <v>8</v>
      </c>
    </row>
    <row r="43" spans="1:5" x14ac:dyDescent="0.55000000000000004">
      <c r="A43" t="s">
        <v>1615</v>
      </c>
      <c r="B43" t="s">
        <v>1614</v>
      </c>
      <c r="C43" t="s">
        <v>10</v>
      </c>
      <c r="D43">
        <v>905698</v>
      </c>
      <c r="E43" t="s">
        <v>8</v>
      </c>
    </row>
    <row r="44" spans="1:5" x14ac:dyDescent="0.55000000000000004">
      <c r="A44" t="s">
        <v>1617</v>
      </c>
      <c r="B44" t="s">
        <v>1616</v>
      </c>
      <c r="C44" t="s">
        <v>10</v>
      </c>
      <c r="D44">
        <v>294409</v>
      </c>
      <c r="E44" t="s">
        <v>8</v>
      </c>
    </row>
    <row r="45" spans="1:5" x14ac:dyDescent="0.55000000000000004">
      <c r="A45" t="s">
        <v>959</v>
      </c>
      <c r="B45" t="s">
        <v>958</v>
      </c>
      <c r="C45" t="s">
        <v>41</v>
      </c>
      <c r="D45">
        <v>1227048</v>
      </c>
      <c r="E45" t="s">
        <v>8</v>
      </c>
    </row>
    <row r="46" spans="1:5" x14ac:dyDescent="0.55000000000000004">
      <c r="A46" t="s">
        <v>1619</v>
      </c>
      <c r="B46" t="s">
        <v>1618</v>
      </c>
      <c r="C46" t="s">
        <v>41</v>
      </c>
      <c r="D46">
        <v>638876</v>
      </c>
      <c r="E46" t="s">
        <v>8</v>
      </c>
    </row>
    <row r="47" spans="1:5" x14ac:dyDescent="0.55000000000000004">
      <c r="A47" t="s">
        <v>961</v>
      </c>
      <c r="B47" t="s">
        <v>960</v>
      </c>
      <c r="C47" t="s">
        <v>10</v>
      </c>
      <c r="D47">
        <v>891303</v>
      </c>
      <c r="E47" t="s">
        <v>8</v>
      </c>
    </row>
    <row r="48" spans="1:5" x14ac:dyDescent="0.55000000000000004">
      <c r="A48" t="s">
        <v>1190</v>
      </c>
      <c r="B48" t="s">
        <v>1189</v>
      </c>
      <c r="C48" t="s">
        <v>10</v>
      </c>
      <c r="D48">
        <v>1259177</v>
      </c>
      <c r="E48" t="s">
        <v>8</v>
      </c>
    </row>
    <row r="49" spans="1:5" x14ac:dyDescent="0.55000000000000004">
      <c r="A49" t="s">
        <v>963</v>
      </c>
      <c r="B49" t="s">
        <v>962</v>
      </c>
      <c r="C49" t="s">
        <v>6</v>
      </c>
      <c r="D49">
        <v>682150</v>
      </c>
      <c r="E49" t="s">
        <v>8</v>
      </c>
    </row>
    <row r="50" spans="1:5" x14ac:dyDescent="0.55000000000000004">
      <c r="A50" t="s">
        <v>1621</v>
      </c>
      <c r="B50" t="s">
        <v>1620</v>
      </c>
      <c r="C50" t="s">
        <v>13</v>
      </c>
      <c r="D50">
        <v>664615</v>
      </c>
      <c r="E50" t="s">
        <v>8</v>
      </c>
    </row>
    <row r="51" spans="1:5" x14ac:dyDescent="0.55000000000000004">
      <c r="A51" t="s">
        <v>83</v>
      </c>
      <c r="B51" t="s">
        <v>82</v>
      </c>
      <c r="C51" t="s">
        <v>6</v>
      </c>
      <c r="D51">
        <v>246398</v>
      </c>
      <c r="E51" t="s">
        <v>8</v>
      </c>
    </row>
    <row r="52" spans="1:5" x14ac:dyDescent="0.55000000000000004">
      <c r="A52" t="s">
        <v>965</v>
      </c>
      <c r="B52" t="s">
        <v>964</v>
      </c>
      <c r="C52" t="s">
        <v>10</v>
      </c>
      <c r="D52">
        <v>706373</v>
      </c>
      <c r="E52" t="s">
        <v>8</v>
      </c>
    </row>
    <row r="53" spans="1:5" x14ac:dyDescent="0.55000000000000004">
      <c r="A53" t="s">
        <v>89</v>
      </c>
      <c r="B53" t="s">
        <v>88</v>
      </c>
      <c r="C53" t="s">
        <v>10</v>
      </c>
      <c r="D53">
        <v>770098</v>
      </c>
      <c r="E53" t="s">
        <v>8</v>
      </c>
    </row>
    <row r="54" spans="1:5" x14ac:dyDescent="0.55000000000000004">
      <c r="A54" t="s">
        <v>1623</v>
      </c>
      <c r="B54" t="s">
        <v>1622</v>
      </c>
      <c r="C54" t="s">
        <v>10</v>
      </c>
      <c r="D54">
        <v>288075</v>
      </c>
      <c r="E54" t="s">
        <v>8</v>
      </c>
    </row>
    <row r="55" spans="1:5" x14ac:dyDescent="0.55000000000000004">
      <c r="A55" t="s">
        <v>824</v>
      </c>
      <c r="B55" t="s">
        <v>823</v>
      </c>
      <c r="C55" t="s">
        <v>10</v>
      </c>
      <c r="D55">
        <v>2132573</v>
      </c>
      <c r="E55" t="s">
        <v>8</v>
      </c>
    </row>
    <row r="56" spans="1:5" x14ac:dyDescent="0.55000000000000004">
      <c r="A56" t="s">
        <v>1196</v>
      </c>
      <c r="B56" t="s">
        <v>1195</v>
      </c>
      <c r="C56" t="s">
        <v>10</v>
      </c>
      <c r="D56">
        <v>1257854</v>
      </c>
      <c r="E56" t="s">
        <v>8</v>
      </c>
    </row>
    <row r="57" spans="1:5" x14ac:dyDescent="0.55000000000000004">
      <c r="A57" t="s">
        <v>543</v>
      </c>
      <c r="B57" t="s">
        <v>542</v>
      </c>
      <c r="C57" t="s">
        <v>10</v>
      </c>
      <c r="D57">
        <v>1003800</v>
      </c>
      <c r="E57" t="s">
        <v>8</v>
      </c>
    </row>
    <row r="58" spans="1:5" x14ac:dyDescent="0.55000000000000004">
      <c r="A58" t="s">
        <v>826</v>
      </c>
      <c r="B58" t="s">
        <v>825</v>
      </c>
      <c r="C58" t="s">
        <v>10</v>
      </c>
      <c r="D58">
        <v>1096407</v>
      </c>
      <c r="E58" t="s">
        <v>8</v>
      </c>
    </row>
    <row r="59" spans="1:5" x14ac:dyDescent="0.55000000000000004">
      <c r="A59" t="s">
        <v>1625</v>
      </c>
      <c r="B59" t="s">
        <v>1624</v>
      </c>
      <c r="C59" t="s">
        <v>10</v>
      </c>
      <c r="D59">
        <v>469594</v>
      </c>
      <c r="E59" t="s">
        <v>8</v>
      </c>
    </row>
    <row r="60" spans="1:5" x14ac:dyDescent="0.55000000000000004">
      <c r="A60" t="s">
        <v>95</v>
      </c>
      <c r="B60" t="s">
        <v>94</v>
      </c>
      <c r="C60" t="s">
        <v>10</v>
      </c>
      <c r="D60">
        <v>695646</v>
      </c>
      <c r="E60" t="s">
        <v>8</v>
      </c>
    </row>
    <row r="61" spans="1:5" x14ac:dyDescent="0.55000000000000004">
      <c r="A61" t="s">
        <v>1198</v>
      </c>
      <c r="B61" t="s">
        <v>1197</v>
      </c>
      <c r="C61" t="s">
        <v>13</v>
      </c>
      <c r="D61">
        <v>655872</v>
      </c>
      <c r="E61" t="s">
        <v>8</v>
      </c>
    </row>
    <row r="62" spans="1:5" x14ac:dyDescent="0.55000000000000004">
      <c r="A62" t="s">
        <v>978</v>
      </c>
      <c r="B62" t="s">
        <v>977</v>
      </c>
      <c r="C62" t="s">
        <v>10</v>
      </c>
      <c r="D62">
        <v>2125266</v>
      </c>
      <c r="E62" t="s">
        <v>8</v>
      </c>
    </row>
    <row r="63" spans="1:5" x14ac:dyDescent="0.55000000000000004">
      <c r="A63" t="s">
        <v>1200</v>
      </c>
      <c r="B63" t="s">
        <v>1199</v>
      </c>
      <c r="C63" t="s">
        <v>138</v>
      </c>
      <c r="D63">
        <v>435432</v>
      </c>
      <c r="E63" t="s">
        <v>8</v>
      </c>
    </row>
    <row r="64" spans="1:5" x14ac:dyDescent="0.55000000000000004">
      <c r="A64" t="s">
        <v>106</v>
      </c>
      <c r="B64" t="s">
        <v>105</v>
      </c>
      <c r="C64" t="s">
        <v>10</v>
      </c>
      <c r="D64">
        <v>359181</v>
      </c>
      <c r="E64" t="s">
        <v>8</v>
      </c>
    </row>
    <row r="65" spans="1:5" x14ac:dyDescent="0.55000000000000004">
      <c r="A65" t="s">
        <v>1628</v>
      </c>
      <c r="B65" t="s">
        <v>1626</v>
      </c>
      <c r="C65" t="s">
        <v>1627</v>
      </c>
      <c r="D65">
        <v>1605072</v>
      </c>
      <c r="E65" t="s">
        <v>8</v>
      </c>
    </row>
    <row r="66" spans="1:5" x14ac:dyDescent="0.55000000000000004">
      <c r="A66" t="s">
        <v>1630</v>
      </c>
      <c r="B66" t="s">
        <v>1629</v>
      </c>
      <c r="C66" t="s">
        <v>10</v>
      </c>
      <c r="D66">
        <v>281383</v>
      </c>
      <c r="E66" t="s">
        <v>8</v>
      </c>
    </row>
    <row r="67" spans="1:5" x14ac:dyDescent="0.55000000000000004">
      <c r="A67" t="s">
        <v>1632</v>
      </c>
      <c r="B67" t="s">
        <v>1631</v>
      </c>
      <c r="C67" t="s">
        <v>10</v>
      </c>
      <c r="D67">
        <v>245730</v>
      </c>
      <c r="E67" t="s">
        <v>8</v>
      </c>
    </row>
    <row r="68" spans="1:5" x14ac:dyDescent="0.55000000000000004">
      <c r="A68" t="s">
        <v>1634</v>
      </c>
      <c r="B68" t="s">
        <v>1633</v>
      </c>
      <c r="C68" t="s">
        <v>10</v>
      </c>
      <c r="D68">
        <v>464648</v>
      </c>
      <c r="E68" t="s">
        <v>8</v>
      </c>
    </row>
    <row r="69" spans="1:5" x14ac:dyDescent="0.55000000000000004">
      <c r="A69" t="s">
        <v>1636</v>
      </c>
      <c r="B69" t="s">
        <v>1635</v>
      </c>
      <c r="C69" t="s">
        <v>10</v>
      </c>
      <c r="D69">
        <v>570721</v>
      </c>
      <c r="E69" t="s">
        <v>8</v>
      </c>
    </row>
    <row r="70" spans="1:5" x14ac:dyDescent="0.55000000000000004">
      <c r="A70" t="s">
        <v>1638</v>
      </c>
      <c r="B70" t="s">
        <v>1637</v>
      </c>
      <c r="C70" t="s">
        <v>10</v>
      </c>
      <c r="D70">
        <v>556416</v>
      </c>
      <c r="E70" t="s">
        <v>8</v>
      </c>
    </row>
    <row r="71" spans="1:5" x14ac:dyDescent="0.55000000000000004">
      <c r="A71" t="s">
        <v>1640</v>
      </c>
      <c r="B71" t="s">
        <v>1639</v>
      </c>
      <c r="C71" t="s">
        <v>6</v>
      </c>
      <c r="D71">
        <v>2056470</v>
      </c>
      <c r="E71" t="s">
        <v>8</v>
      </c>
    </row>
    <row r="72" spans="1:5" x14ac:dyDescent="0.55000000000000004">
      <c r="A72" t="s">
        <v>1642</v>
      </c>
      <c r="B72" t="s">
        <v>1641</v>
      </c>
      <c r="C72" t="s">
        <v>10</v>
      </c>
      <c r="D72">
        <v>1066272</v>
      </c>
      <c r="E72" t="s">
        <v>8</v>
      </c>
    </row>
    <row r="73" spans="1:5" x14ac:dyDescent="0.55000000000000004">
      <c r="A73" t="s">
        <v>1206</v>
      </c>
      <c r="B73" t="s">
        <v>1205</v>
      </c>
      <c r="C73" t="s">
        <v>10</v>
      </c>
      <c r="D73">
        <v>2277549</v>
      </c>
      <c r="E73" t="s">
        <v>8</v>
      </c>
    </row>
    <row r="74" spans="1:5" x14ac:dyDescent="0.55000000000000004">
      <c r="A74" t="s">
        <v>1644</v>
      </c>
      <c r="B74" t="s">
        <v>1643</v>
      </c>
      <c r="C74" t="s">
        <v>10</v>
      </c>
      <c r="D74">
        <v>447595</v>
      </c>
      <c r="E74" t="s">
        <v>8</v>
      </c>
    </row>
    <row r="75" spans="1:5" x14ac:dyDescent="0.55000000000000004">
      <c r="A75" t="s">
        <v>1646</v>
      </c>
      <c r="B75" t="s">
        <v>1645</v>
      </c>
      <c r="C75" t="s">
        <v>41</v>
      </c>
      <c r="D75">
        <v>345245</v>
      </c>
      <c r="E75" t="s">
        <v>8</v>
      </c>
    </row>
    <row r="76" spans="1:5" x14ac:dyDescent="0.55000000000000004">
      <c r="A76" t="s">
        <v>120</v>
      </c>
      <c r="B76" t="s">
        <v>119</v>
      </c>
      <c r="C76" t="s">
        <v>10</v>
      </c>
      <c r="D76">
        <v>326673</v>
      </c>
      <c r="E76" t="s">
        <v>8</v>
      </c>
    </row>
    <row r="77" spans="1:5" x14ac:dyDescent="0.55000000000000004">
      <c r="A77" t="s">
        <v>1208</v>
      </c>
      <c r="B77" t="s">
        <v>1207</v>
      </c>
      <c r="C77" t="s">
        <v>10</v>
      </c>
      <c r="D77">
        <v>903124</v>
      </c>
      <c r="E77" t="s">
        <v>8</v>
      </c>
    </row>
    <row r="78" spans="1:5" x14ac:dyDescent="0.55000000000000004">
      <c r="A78" t="s">
        <v>1648</v>
      </c>
      <c r="B78" t="s">
        <v>1647</v>
      </c>
      <c r="C78" t="s">
        <v>10</v>
      </c>
      <c r="D78">
        <v>286907</v>
      </c>
      <c r="E78" t="s">
        <v>8</v>
      </c>
    </row>
    <row r="79" spans="1:5" x14ac:dyDescent="0.55000000000000004">
      <c r="A79" t="s">
        <v>126</v>
      </c>
      <c r="B79" t="s">
        <v>125</v>
      </c>
      <c r="C79" t="s">
        <v>10</v>
      </c>
      <c r="D79">
        <v>285897</v>
      </c>
      <c r="E79" t="s">
        <v>8</v>
      </c>
    </row>
    <row r="80" spans="1:5" x14ac:dyDescent="0.55000000000000004">
      <c r="A80" t="s">
        <v>1213</v>
      </c>
      <c r="B80" t="s">
        <v>1212</v>
      </c>
      <c r="C80" t="s">
        <v>13</v>
      </c>
      <c r="D80">
        <v>2821934</v>
      </c>
      <c r="E80" t="s">
        <v>8</v>
      </c>
    </row>
    <row r="81" spans="1:5" x14ac:dyDescent="0.55000000000000004">
      <c r="A81" t="s">
        <v>1650</v>
      </c>
      <c r="B81" t="s">
        <v>1649</v>
      </c>
      <c r="C81" t="s">
        <v>6</v>
      </c>
      <c r="D81">
        <v>4111996</v>
      </c>
      <c r="E81" t="s">
        <v>8</v>
      </c>
    </row>
    <row r="82" spans="1:5" x14ac:dyDescent="0.55000000000000004">
      <c r="A82" t="s">
        <v>1215</v>
      </c>
      <c r="B82" t="s">
        <v>1214</v>
      </c>
      <c r="C82" t="s">
        <v>10</v>
      </c>
      <c r="D82">
        <v>459678</v>
      </c>
      <c r="E82" t="s">
        <v>8</v>
      </c>
    </row>
    <row r="83" spans="1:5" x14ac:dyDescent="0.55000000000000004">
      <c r="A83" t="s">
        <v>1652</v>
      </c>
      <c r="B83" t="s">
        <v>1651</v>
      </c>
      <c r="C83" t="s">
        <v>10</v>
      </c>
      <c r="D83">
        <v>486017</v>
      </c>
      <c r="E83" t="s">
        <v>8</v>
      </c>
    </row>
    <row r="84" spans="1:5" x14ac:dyDescent="0.55000000000000004">
      <c r="A84" t="s">
        <v>990</v>
      </c>
      <c r="B84" t="s">
        <v>989</v>
      </c>
      <c r="C84" t="s">
        <v>10</v>
      </c>
      <c r="D84">
        <v>313776</v>
      </c>
      <c r="E84" t="s">
        <v>8</v>
      </c>
    </row>
    <row r="85" spans="1:5" x14ac:dyDescent="0.55000000000000004">
      <c r="A85" t="s">
        <v>1217</v>
      </c>
      <c r="B85" t="s">
        <v>1216</v>
      </c>
      <c r="C85" t="s">
        <v>13</v>
      </c>
      <c r="D85">
        <v>975789</v>
      </c>
      <c r="E85" t="s">
        <v>8</v>
      </c>
    </row>
    <row r="86" spans="1:5" x14ac:dyDescent="0.55000000000000004">
      <c r="A86" t="s">
        <v>136</v>
      </c>
      <c r="B86" t="s">
        <v>135</v>
      </c>
      <c r="C86" t="s">
        <v>10</v>
      </c>
      <c r="D86">
        <v>1076640</v>
      </c>
      <c r="E86" t="s">
        <v>8</v>
      </c>
    </row>
    <row r="87" spans="1:5" x14ac:dyDescent="0.55000000000000004">
      <c r="A87" t="s">
        <v>139</v>
      </c>
      <c r="B87" t="s">
        <v>137</v>
      </c>
      <c r="C87" t="s">
        <v>138</v>
      </c>
      <c r="D87">
        <v>3818461</v>
      </c>
      <c r="E87" t="s">
        <v>8</v>
      </c>
    </row>
    <row r="88" spans="1:5" x14ac:dyDescent="0.55000000000000004">
      <c r="A88" t="s">
        <v>1654</v>
      </c>
      <c r="B88" t="s">
        <v>1653</v>
      </c>
      <c r="C88" t="s">
        <v>6</v>
      </c>
      <c r="D88">
        <v>195620</v>
      </c>
      <c r="E88" t="s">
        <v>8</v>
      </c>
    </row>
    <row r="89" spans="1:5" x14ac:dyDescent="0.55000000000000004">
      <c r="A89" t="s">
        <v>1223</v>
      </c>
      <c r="B89" t="s">
        <v>1222</v>
      </c>
      <c r="C89" t="s">
        <v>18</v>
      </c>
      <c r="D89">
        <v>251659</v>
      </c>
      <c r="E89" t="s">
        <v>8</v>
      </c>
    </row>
    <row r="90" spans="1:5" x14ac:dyDescent="0.55000000000000004">
      <c r="A90" t="s">
        <v>154</v>
      </c>
      <c r="B90" t="s">
        <v>153</v>
      </c>
      <c r="C90" t="s">
        <v>141</v>
      </c>
      <c r="D90">
        <v>367847</v>
      </c>
      <c r="E90" t="s">
        <v>8</v>
      </c>
    </row>
    <row r="91" spans="1:5" x14ac:dyDescent="0.55000000000000004">
      <c r="A91" t="s">
        <v>1225</v>
      </c>
      <c r="B91" t="s">
        <v>1224</v>
      </c>
      <c r="C91" t="s">
        <v>10</v>
      </c>
      <c r="D91">
        <v>1180568</v>
      </c>
      <c r="E91" t="s">
        <v>8</v>
      </c>
    </row>
    <row r="92" spans="1:5" x14ac:dyDescent="0.55000000000000004">
      <c r="A92" t="s">
        <v>1229</v>
      </c>
      <c r="B92" t="s">
        <v>1228</v>
      </c>
      <c r="C92" t="s">
        <v>10</v>
      </c>
      <c r="D92">
        <v>1516524</v>
      </c>
      <c r="E92" t="s">
        <v>8</v>
      </c>
    </row>
    <row r="93" spans="1:5" x14ac:dyDescent="0.55000000000000004">
      <c r="A93" t="s">
        <v>1231</v>
      </c>
      <c r="B93" t="s">
        <v>1230</v>
      </c>
      <c r="C93" t="s">
        <v>13</v>
      </c>
      <c r="D93">
        <v>254455</v>
      </c>
      <c r="E93" t="s">
        <v>8</v>
      </c>
    </row>
    <row r="94" spans="1:5" x14ac:dyDescent="0.55000000000000004">
      <c r="A94" t="s">
        <v>1234</v>
      </c>
      <c r="B94" t="s">
        <v>1232</v>
      </c>
      <c r="C94" t="s">
        <v>1233</v>
      </c>
      <c r="D94">
        <v>187363</v>
      </c>
      <c r="E94" t="s">
        <v>8</v>
      </c>
    </row>
    <row r="95" spans="1:5" x14ac:dyDescent="0.55000000000000004">
      <c r="A95" t="s">
        <v>992</v>
      </c>
      <c r="B95" t="s">
        <v>991</v>
      </c>
      <c r="C95" t="s">
        <v>10</v>
      </c>
      <c r="D95">
        <v>841218</v>
      </c>
      <c r="E95" t="s">
        <v>8</v>
      </c>
    </row>
    <row r="96" spans="1:5" x14ac:dyDescent="0.55000000000000004">
      <c r="A96" t="s">
        <v>1657</v>
      </c>
      <c r="B96" t="s">
        <v>1655</v>
      </c>
      <c r="C96" t="s">
        <v>1656</v>
      </c>
      <c r="D96">
        <v>158284</v>
      </c>
      <c r="E96" t="s">
        <v>8</v>
      </c>
    </row>
    <row r="97" spans="1:5" x14ac:dyDescent="0.55000000000000004">
      <c r="A97" t="s">
        <v>1659</v>
      </c>
      <c r="B97" t="s">
        <v>1658</v>
      </c>
      <c r="C97" t="s">
        <v>10</v>
      </c>
      <c r="D97">
        <v>1079925</v>
      </c>
      <c r="E97" t="s">
        <v>8</v>
      </c>
    </row>
    <row r="98" spans="1:5" x14ac:dyDescent="0.55000000000000004">
      <c r="A98" t="s">
        <v>999</v>
      </c>
      <c r="B98" t="s">
        <v>998</v>
      </c>
      <c r="C98" t="s">
        <v>10</v>
      </c>
      <c r="D98">
        <v>321794</v>
      </c>
      <c r="E98" t="s">
        <v>8</v>
      </c>
    </row>
    <row r="99" spans="1:5" x14ac:dyDescent="0.55000000000000004">
      <c r="A99" t="s">
        <v>1661</v>
      </c>
      <c r="B99" t="s">
        <v>1660</v>
      </c>
      <c r="C99" t="s">
        <v>6</v>
      </c>
      <c r="D99">
        <v>2039754</v>
      </c>
      <c r="E99" t="s">
        <v>8</v>
      </c>
    </row>
    <row r="100" spans="1:5" x14ac:dyDescent="0.55000000000000004">
      <c r="A100" t="s">
        <v>841</v>
      </c>
      <c r="B100" t="s">
        <v>840</v>
      </c>
      <c r="C100" t="s">
        <v>10</v>
      </c>
      <c r="D100">
        <v>1009935</v>
      </c>
      <c r="E100" t="s">
        <v>8</v>
      </c>
    </row>
    <row r="101" spans="1:5" x14ac:dyDescent="0.55000000000000004">
      <c r="A101" t="s">
        <v>162</v>
      </c>
      <c r="B101" t="s">
        <v>161</v>
      </c>
      <c r="C101" t="s">
        <v>13</v>
      </c>
      <c r="D101">
        <v>1776132</v>
      </c>
      <c r="E101" t="s">
        <v>8</v>
      </c>
    </row>
    <row r="102" spans="1:5" x14ac:dyDescent="0.55000000000000004">
      <c r="A102" t="s">
        <v>1663</v>
      </c>
      <c r="B102" t="s">
        <v>1662</v>
      </c>
      <c r="C102" t="s">
        <v>10</v>
      </c>
      <c r="D102">
        <v>660179</v>
      </c>
      <c r="E102" t="s">
        <v>8</v>
      </c>
    </row>
    <row r="103" spans="1:5" x14ac:dyDescent="0.55000000000000004">
      <c r="A103" t="s">
        <v>166</v>
      </c>
      <c r="B103" t="s">
        <v>165</v>
      </c>
      <c r="C103" t="s">
        <v>6</v>
      </c>
      <c r="D103">
        <v>420362</v>
      </c>
      <c r="E103" t="s">
        <v>8</v>
      </c>
    </row>
    <row r="104" spans="1:5" x14ac:dyDescent="0.55000000000000004">
      <c r="A104" t="s">
        <v>170</v>
      </c>
      <c r="B104" t="s">
        <v>169</v>
      </c>
      <c r="C104" t="s">
        <v>10</v>
      </c>
      <c r="D104">
        <v>218311</v>
      </c>
      <c r="E104" t="s">
        <v>8</v>
      </c>
    </row>
    <row r="105" spans="1:5" x14ac:dyDescent="0.55000000000000004">
      <c r="A105" t="s">
        <v>172</v>
      </c>
      <c r="B105" t="s">
        <v>171</v>
      </c>
      <c r="C105" t="s">
        <v>141</v>
      </c>
      <c r="D105">
        <v>270175</v>
      </c>
      <c r="E105" t="s">
        <v>8</v>
      </c>
    </row>
    <row r="106" spans="1:5" x14ac:dyDescent="0.55000000000000004">
      <c r="A106" t="s">
        <v>1665</v>
      </c>
      <c r="B106" t="s">
        <v>1664</v>
      </c>
      <c r="C106" t="s">
        <v>13</v>
      </c>
      <c r="D106">
        <v>548193</v>
      </c>
      <c r="E106" t="s">
        <v>8</v>
      </c>
    </row>
    <row r="107" spans="1:5" x14ac:dyDescent="0.55000000000000004">
      <c r="A107" t="s">
        <v>174</v>
      </c>
      <c r="B107" t="s">
        <v>173</v>
      </c>
      <c r="C107" t="s">
        <v>13</v>
      </c>
      <c r="D107">
        <v>582004</v>
      </c>
      <c r="E107" t="s">
        <v>8</v>
      </c>
    </row>
    <row r="108" spans="1:5" x14ac:dyDescent="0.55000000000000004">
      <c r="A108" t="s">
        <v>1667</v>
      </c>
      <c r="B108" t="s">
        <v>1666</v>
      </c>
      <c r="C108" t="s">
        <v>926</v>
      </c>
      <c r="D108">
        <v>1246429</v>
      </c>
      <c r="E108" t="s">
        <v>8</v>
      </c>
    </row>
    <row r="109" spans="1:5" x14ac:dyDescent="0.55000000000000004">
      <c r="A109" t="s">
        <v>1669</v>
      </c>
      <c r="B109" t="s">
        <v>1668</v>
      </c>
      <c r="C109" t="s">
        <v>10</v>
      </c>
      <c r="D109">
        <v>3106874</v>
      </c>
      <c r="E109" t="s">
        <v>8</v>
      </c>
    </row>
    <row r="110" spans="1:5" x14ac:dyDescent="0.55000000000000004">
      <c r="A110" t="s">
        <v>178</v>
      </c>
      <c r="B110" t="s">
        <v>177</v>
      </c>
      <c r="C110" t="s">
        <v>10</v>
      </c>
      <c r="D110">
        <v>418376</v>
      </c>
      <c r="E110" t="s">
        <v>8</v>
      </c>
    </row>
    <row r="111" spans="1:5" x14ac:dyDescent="0.55000000000000004">
      <c r="A111" t="s">
        <v>180</v>
      </c>
      <c r="B111" t="s">
        <v>179</v>
      </c>
      <c r="C111" t="s">
        <v>41</v>
      </c>
      <c r="D111">
        <v>50843</v>
      </c>
      <c r="E111" t="s">
        <v>8</v>
      </c>
    </row>
    <row r="112" spans="1:5" x14ac:dyDescent="0.55000000000000004">
      <c r="A112" t="s">
        <v>1236</v>
      </c>
      <c r="B112" t="s">
        <v>1235</v>
      </c>
      <c r="C112" t="s">
        <v>10</v>
      </c>
      <c r="D112">
        <v>327104</v>
      </c>
      <c r="E112" t="s">
        <v>8</v>
      </c>
    </row>
    <row r="113" spans="1:5" x14ac:dyDescent="0.55000000000000004">
      <c r="A113" t="s">
        <v>1007</v>
      </c>
      <c r="B113" t="s">
        <v>1006</v>
      </c>
      <c r="C113" t="s">
        <v>10</v>
      </c>
      <c r="D113">
        <v>1067052</v>
      </c>
      <c r="E113" t="s">
        <v>8</v>
      </c>
    </row>
    <row r="114" spans="1:5" x14ac:dyDescent="0.55000000000000004">
      <c r="A114" t="s">
        <v>1671</v>
      </c>
      <c r="B114" t="s">
        <v>1670</v>
      </c>
      <c r="C114" t="s">
        <v>10</v>
      </c>
      <c r="D114">
        <v>538765</v>
      </c>
      <c r="E114" t="s">
        <v>8</v>
      </c>
    </row>
    <row r="115" spans="1:5" x14ac:dyDescent="0.55000000000000004">
      <c r="A115" t="s">
        <v>1240</v>
      </c>
      <c r="B115" t="s">
        <v>1239</v>
      </c>
      <c r="C115" t="s">
        <v>10</v>
      </c>
      <c r="D115">
        <v>510638</v>
      </c>
      <c r="E115" t="s">
        <v>8</v>
      </c>
    </row>
    <row r="116" spans="1:5" x14ac:dyDescent="0.55000000000000004">
      <c r="A116" t="s">
        <v>1242</v>
      </c>
      <c r="B116" t="s">
        <v>1241</v>
      </c>
      <c r="C116" t="s">
        <v>6</v>
      </c>
      <c r="D116">
        <v>1663326</v>
      </c>
      <c r="E116" t="s">
        <v>8</v>
      </c>
    </row>
    <row r="117" spans="1:5" x14ac:dyDescent="0.55000000000000004">
      <c r="A117" t="s">
        <v>1009</v>
      </c>
      <c r="B117" t="s">
        <v>1008</v>
      </c>
      <c r="C117" t="s">
        <v>10</v>
      </c>
      <c r="D117">
        <v>707908</v>
      </c>
      <c r="E117" t="s">
        <v>8</v>
      </c>
    </row>
    <row r="118" spans="1:5" x14ac:dyDescent="0.55000000000000004">
      <c r="A118" t="s">
        <v>1246</v>
      </c>
      <c r="B118" t="s">
        <v>1245</v>
      </c>
      <c r="C118" t="s">
        <v>41</v>
      </c>
      <c r="D118">
        <v>297224</v>
      </c>
      <c r="E118" t="s">
        <v>8</v>
      </c>
    </row>
    <row r="119" spans="1:5" x14ac:dyDescent="0.55000000000000004">
      <c r="A119" t="s">
        <v>1673</v>
      </c>
      <c r="B119" t="s">
        <v>1672</v>
      </c>
      <c r="C119" t="s">
        <v>10</v>
      </c>
      <c r="D119">
        <v>2061967</v>
      </c>
      <c r="E119" t="s">
        <v>8</v>
      </c>
    </row>
    <row r="120" spans="1:5" x14ac:dyDescent="0.55000000000000004">
      <c r="A120" t="s">
        <v>190</v>
      </c>
      <c r="B120" t="s">
        <v>189</v>
      </c>
      <c r="C120" t="s">
        <v>10</v>
      </c>
      <c r="D120">
        <v>434459</v>
      </c>
      <c r="E120" t="s">
        <v>8</v>
      </c>
    </row>
    <row r="121" spans="1:5" x14ac:dyDescent="0.55000000000000004">
      <c r="A121" t="s">
        <v>1248</v>
      </c>
      <c r="B121" t="s">
        <v>1247</v>
      </c>
      <c r="C121" t="s">
        <v>10</v>
      </c>
      <c r="D121">
        <v>375955</v>
      </c>
      <c r="E121" t="s">
        <v>8</v>
      </c>
    </row>
    <row r="122" spans="1:5" x14ac:dyDescent="0.55000000000000004">
      <c r="A122" t="s">
        <v>194</v>
      </c>
      <c r="B122" t="s">
        <v>193</v>
      </c>
      <c r="C122" t="s">
        <v>10</v>
      </c>
      <c r="D122">
        <v>655854</v>
      </c>
      <c r="E122" t="s">
        <v>8</v>
      </c>
    </row>
    <row r="123" spans="1:5" x14ac:dyDescent="0.55000000000000004">
      <c r="A123" t="s">
        <v>1015</v>
      </c>
      <c r="B123" t="s">
        <v>1014</v>
      </c>
      <c r="C123" t="s">
        <v>10</v>
      </c>
      <c r="D123">
        <v>373383</v>
      </c>
      <c r="E123" t="s">
        <v>8</v>
      </c>
    </row>
    <row r="124" spans="1:5" x14ac:dyDescent="0.55000000000000004">
      <c r="A124" t="s">
        <v>571</v>
      </c>
      <c r="B124" t="s">
        <v>570</v>
      </c>
      <c r="C124" t="s">
        <v>10</v>
      </c>
      <c r="D124">
        <v>145452</v>
      </c>
      <c r="E124" t="s">
        <v>8</v>
      </c>
    </row>
    <row r="125" spans="1:5" x14ac:dyDescent="0.55000000000000004">
      <c r="A125" t="s">
        <v>1250</v>
      </c>
      <c r="B125" t="s">
        <v>1249</v>
      </c>
      <c r="C125" t="s">
        <v>10</v>
      </c>
      <c r="D125">
        <v>453231</v>
      </c>
      <c r="E125" t="s">
        <v>8</v>
      </c>
    </row>
    <row r="126" spans="1:5" x14ac:dyDescent="0.55000000000000004">
      <c r="A126" t="s">
        <v>573</v>
      </c>
      <c r="B126" t="s">
        <v>572</v>
      </c>
      <c r="C126" t="s">
        <v>10</v>
      </c>
      <c r="D126">
        <v>304940</v>
      </c>
      <c r="E126" t="s">
        <v>8</v>
      </c>
    </row>
    <row r="127" spans="1:5" x14ac:dyDescent="0.55000000000000004">
      <c r="A127" t="s">
        <v>575</v>
      </c>
      <c r="B127" t="s">
        <v>574</v>
      </c>
      <c r="C127" t="s">
        <v>10</v>
      </c>
      <c r="D127">
        <v>1001230</v>
      </c>
      <c r="E127" t="s">
        <v>8</v>
      </c>
    </row>
    <row r="128" spans="1:5" x14ac:dyDescent="0.55000000000000004">
      <c r="A128" t="s">
        <v>1675</v>
      </c>
      <c r="B128" t="s">
        <v>1674</v>
      </c>
      <c r="C128" t="s">
        <v>10</v>
      </c>
      <c r="D128">
        <v>1588457</v>
      </c>
      <c r="E128" t="s">
        <v>8</v>
      </c>
    </row>
    <row r="129" spans="1:5" x14ac:dyDescent="0.55000000000000004">
      <c r="A129" t="s">
        <v>1252</v>
      </c>
      <c r="B129" t="s">
        <v>1251</v>
      </c>
      <c r="C129" t="s">
        <v>10</v>
      </c>
      <c r="D129">
        <v>3107001</v>
      </c>
      <c r="E129" t="s">
        <v>8</v>
      </c>
    </row>
    <row r="130" spans="1:5" x14ac:dyDescent="0.55000000000000004">
      <c r="A130" t="s">
        <v>1254</v>
      </c>
      <c r="B130" t="s">
        <v>1253</v>
      </c>
      <c r="C130" t="s">
        <v>41</v>
      </c>
      <c r="D130">
        <v>555665</v>
      </c>
      <c r="E130" t="s">
        <v>8</v>
      </c>
    </row>
    <row r="131" spans="1:5" x14ac:dyDescent="0.55000000000000004">
      <c r="A131" t="s">
        <v>204</v>
      </c>
      <c r="B131" t="s">
        <v>203</v>
      </c>
      <c r="C131" t="s">
        <v>10</v>
      </c>
      <c r="D131">
        <v>580620</v>
      </c>
      <c r="E131" t="s">
        <v>8</v>
      </c>
    </row>
    <row r="132" spans="1:5" x14ac:dyDescent="0.55000000000000004">
      <c r="A132" t="s">
        <v>1256</v>
      </c>
      <c r="B132" t="s">
        <v>1255</v>
      </c>
      <c r="C132" t="s">
        <v>10</v>
      </c>
      <c r="D132">
        <v>342772</v>
      </c>
      <c r="E132" t="s">
        <v>8</v>
      </c>
    </row>
    <row r="133" spans="1:5" x14ac:dyDescent="0.55000000000000004">
      <c r="A133" t="s">
        <v>1258</v>
      </c>
      <c r="B133" t="s">
        <v>1257</v>
      </c>
      <c r="C133" t="s">
        <v>10</v>
      </c>
      <c r="D133">
        <v>2630771</v>
      </c>
      <c r="E133" t="s">
        <v>8</v>
      </c>
    </row>
    <row r="134" spans="1:5" x14ac:dyDescent="0.55000000000000004">
      <c r="A134" t="s">
        <v>209</v>
      </c>
      <c r="B134" t="s">
        <v>207</v>
      </c>
      <c r="C134" t="s">
        <v>208</v>
      </c>
      <c r="D134">
        <v>3823667</v>
      </c>
      <c r="E134" t="s">
        <v>8</v>
      </c>
    </row>
    <row r="135" spans="1:5" x14ac:dyDescent="0.55000000000000004">
      <c r="A135" t="s">
        <v>1264</v>
      </c>
      <c r="B135" t="s">
        <v>1263</v>
      </c>
      <c r="C135" t="s">
        <v>18</v>
      </c>
      <c r="D135">
        <v>598630</v>
      </c>
      <c r="E135" t="s">
        <v>8</v>
      </c>
    </row>
    <row r="136" spans="1:5" x14ac:dyDescent="0.55000000000000004">
      <c r="A136" t="s">
        <v>1023</v>
      </c>
      <c r="B136" t="s">
        <v>1022</v>
      </c>
      <c r="C136" t="s">
        <v>10</v>
      </c>
      <c r="D136">
        <v>284599</v>
      </c>
      <c r="E136" t="s">
        <v>8</v>
      </c>
    </row>
    <row r="137" spans="1:5" x14ac:dyDescent="0.55000000000000004">
      <c r="A137" t="s">
        <v>1267</v>
      </c>
      <c r="B137" t="s">
        <v>1265</v>
      </c>
      <c r="C137" t="s">
        <v>1266</v>
      </c>
      <c r="D137">
        <v>125865</v>
      </c>
      <c r="E137" t="s">
        <v>8</v>
      </c>
    </row>
    <row r="138" spans="1:5" x14ac:dyDescent="0.55000000000000004">
      <c r="A138" t="s">
        <v>851</v>
      </c>
      <c r="B138" t="s">
        <v>850</v>
      </c>
      <c r="C138" t="s">
        <v>208</v>
      </c>
      <c r="D138">
        <v>552560</v>
      </c>
      <c r="E138" t="s">
        <v>8</v>
      </c>
    </row>
    <row r="139" spans="1:5" x14ac:dyDescent="0.55000000000000004">
      <c r="A139" t="s">
        <v>1272</v>
      </c>
      <c r="B139" t="s">
        <v>1271</v>
      </c>
      <c r="C139" t="s">
        <v>6</v>
      </c>
      <c r="D139">
        <v>334058</v>
      </c>
      <c r="E139" t="s">
        <v>8</v>
      </c>
    </row>
    <row r="140" spans="1:5" x14ac:dyDescent="0.55000000000000004">
      <c r="A140" t="s">
        <v>1278</v>
      </c>
      <c r="B140" t="s">
        <v>1277</v>
      </c>
      <c r="C140" t="s">
        <v>13</v>
      </c>
      <c r="D140">
        <v>1016875</v>
      </c>
      <c r="E140" t="s">
        <v>8</v>
      </c>
    </row>
    <row r="141" spans="1:5" x14ac:dyDescent="0.55000000000000004">
      <c r="A141" t="s">
        <v>1280</v>
      </c>
      <c r="B141" t="s">
        <v>1279</v>
      </c>
      <c r="C141" t="s">
        <v>10</v>
      </c>
      <c r="D141">
        <v>315604</v>
      </c>
      <c r="E141" t="s">
        <v>8</v>
      </c>
    </row>
    <row r="142" spans="1:5" x14ac:dyDescent="0.55000000000000004">
      <c r="A142" t="s">
        <v>216</v>
      </c>
      <c r="B142" t="s">
        <v>214</v>
      </c>
      <c r="C142" t="s">
        <v>215</v>
      </c>
      <c r="D142">
        <v>2566311</v>
      </c>
      <c r="E142" t="s">
        <v>8</v>
      </c>
    </row>
    <row r="143" spans="1:5" x14ac:dyDescent="0.55000000000000004">
      <c r="A143" t="s">
        <v>222</v>
      </c>
      <c r="B143" t="s">
        <v>221</v>
      </c>
      <c r="C143" t="s">
        <v>10</v>
      </c>
      <c r="D143">
        <v>2551703</v>
      </c>
      <c r="E143" t="s">
        <v>8</v>
      </c>
    </row>
    <row r="144" spans="1:5" x14ac:dyDescent="0.55000000000000004">
      <c r="A144" t="s">
        <v>1677</v>
      </c>
      <c r="B144" t="s">
        <v>1676</v>
      </c>
      <c r="C144" t="s">
        <v>13</v>
      </c>
      <c r="D144">
        <v>121327</v>
      </c>
      <c r="E144" t="s">
        <v>8</v>
      </c>
    </row>
    <row r="145" spans="1:5" x14ac:dyDescent="0.55000000000000004">
      <c r="A145" t="s">
        <v>585</v>
      </c>
      <c r="B145" t="s">
        <v>584</v>
      </c>
      <c r="C145" t="s">
        <v>10</v>
      </c>
      <c r="D145">
        <v>940488</v>
      </c>
      <c r="E145" t="s">
        <v>8</v>
      </c>
    </row>
    <row r="146" spans="1:5" x14ac:dyDescent="0.55000000000000004">
      <c r="A146" t="s">
        <v>224</v>
      </c>
      <c r="B146" t="s">
        <v>223</v>
      </c>
      <c r="C146" t="s">
        <v>10</v>
      </c>
      <c r="D146">
        <v>357248</v>
      </c>
      <c r="E146" t="s">
        <v>8</v>
      </c>
    </row>
    <row r="147" spans="1:5" x14ac:dyDescent="0.55000000000000004">
      <c r="A147" t="s">
        <v>1285</v>
      </c>
      <c r="B147" t="s">
        <v>1284</v>
      </c>
      <c r="C147" t="s">
        <v>10</v>
      </c>
      <c r="D147">
        <v>4145651</v>
      </c>
      <c r="E147" t="s">
        <v>8</v>
      </c>
    </row>
    <row r="148" spans="1:5" x14ac:dyDescent="0.55000000000000004">
      <c r="A148" t="s">
        <v>587</v>
      </c>
      <c r="B148" t="s">
        <v>586</v>
      </c>
      <c r="C148" t="s">
        <v>10</v>
      </c>
      <c r="D148">
        <v>1183186</v>
      </c>
      <c r="E148" t="s">
        <v>8</v>
      </c>
    </row>
    <row r="149" spans="1:5" x14ac:dyDescent="0.55000000000000004">
      <c r="A149" t="s">
        <v>1287</v>
      </c>
      <c r="B149" t="s">
        <v>1286</v>
      </c>
      <c r="C149" t="s">
        <v>10</v>
      </c>
      <c r="D149">
        <v>224463</v>
      </c>
      <c r="E149" t="s">
        <v>8</v>
      </c>
    </row>
    <row r="150" spans="1:5" x14ac:dyDescent="0.55000000000000004">
      <c r="A150" t="s">
        <v>1289</v>
      </c>
      <c r="B150" t="s">
        <v>1288</v>
      </c>
      <c r="C150" t="s">
        <v>10</v>
      </c>
      <c r="D150">
        <v>1212050</v>
      </c>
      <c r="E150" t="s">
        <v>8</v>
      </c>
    </row>
    <row r="151" spans="1:5" x14ac:dyDescent="0.55000000000000004">
      <c r="A151" t="s">
        <v>1679</v>
      </c>
      <c r="B151" t="s">
        <v>1678</v>
      </c>
      <c r="C151" t="s">
        <v>10</v>
      </c>
      <c r="D151">
        <v>281088</v>
      </c>
      <c r="E151" t="s">
        <v>8</v>
      </c>
    </row>
    <row r="152" spans="1:5" x14ac:dyDescent="0.55000000000000004">
      <c r="A152" t="s">
        <v>235</v>
      </c>
      <c r="B152" t="s">
        <v>234</v>
      </c>
      <c r="C152" t="s">
        <v>41</v>
      </c>
      <c r="D152">
        <v>228650</v>
      </c>
      <c r="E152" t="s">
        <v>8</v>
      </c>
    </row>
    <row r="153" spans="1:5" x14ac:dyDescent="0.55000000000000004">
      <c r="A153" t="s">
        <v>1681</v>
      </c>
      <c r="B153" t="s">
        <v>1680</v>
      </c>
      <c r="C153" t="s">
        <v>10</v>
      </c>
      <c r="D153">
        <v>704568</v>
      </c>
      <c r="E153" t="s">
        <v>8</v>
      </c>
    </row>
    <row r="154" spans="1:5" x14ac:dyDescent="0.55000000000000004">
      <c r="A154" t="s">
        <v>241</v>
      </c>
      <c r="B154" t="s">
        <v>240</v>
      </c>
      <c r="C154" t="s">
        <v>10</v>
      </c>
      <c r="D154">
        <v>743929</v>
      </c>
      <c r="E154" t="s">
        <v>8</v>
      </c>
    </row>
    <row r="155" spans="1:5" x14ac:dyDescent="0.55000000000000004">
      <c r="A155" t="s">
        <v>1027</v>
      </c>
      <c r="B155" t="s">
        <v>1026</v>
      </c>
      <c r="C155" t="s">
        <v>10</v>
      </c>
      <c r="D155">
        <v>437554</v>
      </c>
      <c r="E155" t="s">
        <v>8</v>
      </c>
    </row>
    <row r="156" spans="1:5" x14ac:dyDescent="0.55000000000000004">
      <c r="A156" t="s">
        <v>243</v>
      </c>
      <c r="B156" t="s">
        <v>242</v>
      </c>
      <c r="C156" t="s">
        <v>10</v>
      </c>
      <c r="D156">
        <v>1564962</v>
      </c>
      <c r="E156" t="s">
        <v>8</v>
      </c>
    </row>
    <row r="157" spans="1:5" x14ac:dyDescent="0.55000000000000004">
      <c r="A157" t="s">
        <v>247</v>
      </c>
      <c r="B157" t="s">
        <v>246</v>
      </c>
      <c r="C157" t="s">
        <v>10</v>
      </c>
      <c r="D157">
        <v>586761</v>
      </c>
      <c r="E157" t="s">
        <v>8</v>
      </c>
    </row>
    <row r="158" spans="1:5" x14ac:dyDescent="0.55000000000000004">
      <c r="A158" t="s">
        <v>249</v>
      </c>
      <c r="B158" t="s">
        <v>248</v>
      </c>
      <c r="C158" t="s">
        <v>10</v>
      </c>
      <c r="D158">
        <v>1656526</v>
      </c>
      <c r="E158" t="s">
        <v>8</v>
      </c>
    </row>
    <row r="159" spans="1:5" x14ac:dyDescent="0.55000000000000004">
      <c r="A159" t="s">
        <v>1297</v>
      </c>
      <c r="B159" t="s">
        <v>1296</v>
      </c>
      <c r="C159" t="s">
        <v>10</v>
      </c>
      <c r="D159">
        <v>1063414</v>
      </c>
      <c r="E159" t="s">
        <v>8</v>
      </c>
    </row>
    <row r="160" spans="1:5" x14ac:dyDescent="0.55000000000000004">
      <c r="A160" t="s">
        <v>1683</v>
      </c>
      <c r="B160" t="s">
        <v>1682</v>
      </c>
      <c r="C160" t="s">
        <v>10</v>
      </c>
      <c r="D160">
        <v>561488</v>
      </c>
      <c r="E160" t="s">
        <v>8</v>
      </c>
    </row>
    <row r="161" spans="1:5" x14ac:dyDescent="0.55000000000000004">
      <c r="A161" t="s">
        <v>1685</v>
      </c>
      <c r="B161" t="s">
        <v>1684</v>
      </c>
      <c r="C161" t="s">
        <v>10</v>
      </c>
      <c r="D161">
        <v>401738</v>
      </c>
      <c r="E161" t="s">
        <v>8</v>
      </c>
    </row>
    <row r="162" spans="1:5" x14ac:dyDescent="0.55000000000000004">
      <c r="A162" t="s">
        <v>1299</v>
      </c>
      <c r="B162" t="s">
        <v>1298</v>
      </c>
      <c r="C162" t="s">
        <v>10</v>
      </c>
      <c r="D162">
        <v>239817</v>
      </c>
      <c r="E162" t="s">
        <v>8</v>
      </c>
    </row>
    <row r="163" spans="1:5" x14ac:dyDescent="0.55000000000000004">
      <c r="A163" t="s">
        <v>597</v>
      </c>
      <c r="B163" t="s">
        <v>596</v>
      </c>
      <c r="C163" t="s">
        <v>6</v>
      </c>
      <c r="D163">
        <v>1514216</v>
      </c>
      <c r="E163" t="s">
        <v>8</v>
      </c>
    </row>
    <row r="164" spans="1:5" x14ac:dyDescent="0.55000000000000004">
      <c r="A164" t="s">
        <v>1687</v>
      </c>
      <c r="B164" t="s">
        <v>1686</v>
      </c>
      <c r="C164" t="s">
        <v>10</v>
      </c>
      <c r="D164">
        <v>236021</v>
      </c>
      <c r="E164" t="s">
        <v>8</v>
      </c>
    </row>
    <row r="165" spans="1:5" x14ac:dyDescent="0.55000000000000004">
      <c r="A165" t="s">
        <v>1029</v>
      </c>
      <c r="B165" t="s">
        <v>1028</v>
      </c>
      <c r="C165" t="s">
        <v>10</v>
      </c>
      <c r="D165">
        <v>1278614</v>
      </c>
      <c r="E165" t="s">
        <v>8</v>
      </c>
    </row>
    <row r="166" spans="1:5" x14ac:dyDescent="0.55000000000000004">
      <c r="A166" t="s">
        <v>1689</v>
      </c>
      <c r="B166" t="s">
        <v>1688</v>
      </c>
      <c r="C166" t="s">
        <v>10</v>
      </c>
      <c r="D166">
        <v>817378</v>
      </c>
      <c r="E166" t="s">
        <v>8</v>
      </c>
    </row>
    <row r="167" spans="1:5" x14ac:dyDescent="0.55000000000000004">
      <c r="A167" t="s">
        <v>1031</v>
      </c>
      <c r="B167" t="s">
        <v>1030</v>
      </c>
      <c r="C167" t="s">
        <v>10</v>
      </c>
      <c r="D167">
        <v>1610940</v>
      </c>
      <c r="E167" t="s">
        <v>8</v>
      </c>
    </row>
    <row r="168" spans="1:5" x14ac:dyDescent="0.55000000000000004">
      <c r="A168" t="s">
        <v>263</v>
      </c>
      <c r="B168" t="s">
        <v>262</v>
      </c>
      <c r="C168" t="s">
        <v>10</v>
      </c>
      <c r="D168">
        <v>4148859</v>
      </c>
      <c r="E168" t="s">
        <v>8</v>
      </c>
    </row>
    <row r="169" spans="1:5" x14ac:dyDescent="0.55000000000000004">
      <c r="A169" t="s">
        <v>265</v>
      </c>
      <c r="B169" t="s">
        <v>264</v>
      </c>
      <c r="C169" t="s">
        <v>10</v>
      </c>
      <c r="D169">
        <v>876094</v>
      </c>
      <c r="E169" t="s">
        <v>8</v>
      </c>
    </row>
    <row r="170" spans="1:5" x14ac:dyDescent="0.55000000000000004">
      <c r="A170" t="s">
        <v>607</v>
      </c>
      <c r="B170" t="s">
        <v>606</v>
      </c>
      <c r="C170" t="s">
        <v>10</v>
      </c>
      <c r="D170">
        <v>4901363</v>
      </c>
      <c r="E170" t="s">
        <v>8</v>
      </c>
    </row>
    <row r="171" spans="1:5" x14ac:dyDescent="0.55000000000000004">
      <c r="A171" t="s">
        <v>1691</v>
      </c>
      <c r="B171" t="s">
        <v>1690</v>
      </c>
      <c r="C171" t="s">
        <v>10</v>
      </c>
      <c r="D171">
        <v>2456683</v>
      </c>
      <c r="E171" t="s">
        <v>8</v>
      </c>
    </row>
    <row r="172" spans="1:5" x14ac:dyDescent="0.55000000000000004">
      <c r="A172" t="s">
        <v>1693</v>
      </c>
      <c r="B172" t="s">
        <v>1692</v>
      </c>
      <c r="C172" t="s">
        <v>10</v>
      </c>
      <c r="D172">
        <v>1499798</v>
      </c>
      <c r="E172" t="s">
        <v>8</v>
      </c>
    </row>
    <row r="173" spans="1:5" x14ac:dyDescent="0.55000000000000004">
      <c r="A173" t="s">
        <v>1305</v>
      </c>
      <c r="B173" t="s">
        <v>1304</v>
      </c>
      <c r="C173" t="s">
        <v>10</v>
      </c>
      <c r="D173">
        <v>348431</v>
      </c>
      <c r="E173" t="s">
        <v>8</v>
      </c>
    </row>
    <row r="174" spans="1:5" x14ac:dyDescent="0.55000000000000004">
      <c r="A174" t="s">
        <v>1307</v>
      </c>
      <c r="B174" t="s">
        <v>1306</v>
      </c>
      <c r="C174" t="s">
        <v>10</v>
      </c>
      <c r="D174">
        <v>910849</v>
      </c>
      <c r="E174" t="s">
        <v>8</v>
      </c>
    </row>
    <row r="175" spans="1:5" x14ac:dyDescent="0.55000000000000004">
      <c r="A175" t="s">
        <v>1037</v>
      </c>
      <c r="B175" t="s">
        <v>1036</v>
      </c>
      <c r="C175" t="s">
        <v>18</v>
      </c>
      <c r="D175">
        <v>409833</v>
      </c>
      <c r="E175" t="s">
        <v>8</v>
      </c>
    </row>
    <row r="176" spans="1:5" x14ac:dyDescent="0.55000000000000004">
      <c r="A176" t="s">
        <v>271</v>
      </c>
      <c r="B176" t="s">
        <v>270</v>
      </c>
      <c r="C176" t="s">
        <v>10</v>
      </c>
      <c r="D176">
        <v>3182531</v>
      </c>
      <c r="E176" t="s">
        <v>8</v>
      </c>
    </row>
    <row r="177" spans="1:5" x14ac:dyDescent="0.55000000000000004">
      <c r="A177" t="s">
        <v>273</v>
      </c>
      <c r="B177" t="s">
        <v>272</v>
      </c>
      <c r="C177" t="s">
        <v>10</v>
      </c>
      <c r="D177">
        <v>2060826</v>
      </c>
      <c r="E177" t="s">
        <v>8</v>
      </c>
    </row>
    <row r="178" spans="1:5" x14ac:dyDescent="0.55000000000000004">
      <c r="A178" t="s">
        <v>1311</v>
      </c>
      <c r="B178" t="s">
        <v>1310</v>
      </c>
      <c r="C178" t="s">
        <v>10</v>
      </c>
      <c r="D178">
        <v>4389493</v>
      </c>
      <c r="E178" t="s">
        <v>8</v>
      </c>
    </row>
    <row r="179" spans="1:5" x14ac:dyDescent="0.55000000000000004">
      <c r="A179" t="s">
        <v>1313</v>
      </c>
      <c r="B179" t="s">
        <v>1312</v>
      </c>
      <c r="C179" t="s">
        <v>76</v>
      </c>
      <c r="D179">
        <v>991393</v>
      </c>
      <c r="E179" t="s">
        <v>8</v>
      </c>
    </row>
    <row r="180" spans="1:5" x14ac:dyDescent="0.55000000000000004">
      <c r="A180" t="s">
        <v>1315</v>
      </c>
      <c r="B180" t="s">
        <v>1314</v>
      </c>
      <c r="C180" t="s">
        <v>10</v>
      </c>
      <c r="D180">
        <v>1488191</v>
      </c>
      <c r="E180" t="s">
        <v>8</v>
      </c>
    </row>
    <row r="181" spans="1:5" x14ac:dyDescent="0.55000000000000004">
      <c r="A181" t="s">
        <v>1320</v>
      </c>
      <c r="B181" t="s">
        <v>1319</v>
      </c>
      <c r="C181" t="s">
        <v>10</v>
      </c>
      <c r="D181">
        <v>300325</v>
      </c>
      <c r="E181" t="s">
        <v>8</v>
      </c>
    </row>
    <row r="182" spans="1:5" x14ac:dyDescent="0.55000000000000004">
      <c r="A182" t="s">
        <v>1322</v>
      </c>
      <c r="B182" t="s">
        <v>1321</v>
      </c>
      <c r="C182" t="s">
        <v>10</v>
      </c>
      <c r="D182">
        <v>237307</v>
      </c>
      <c r="E182" t="s">
        <v>8</v>
      </c>
    </row>
    <row r="183" spans="1:5" x14ac:dyDescent="0.55000000000000004">
      <c r="A183" t="s">
        <v>1324</v>
      </c>
      <c r="B183" t="s">
        <v>1323</v>
      </c>
      <c r="C183" t="s">
        <v>10</v>
      </c>
      <c r="D183">
        <v>1534297</v>
      </c>
      <c r="E183" t="s">
        <v>8</v>
      </c>
    </row>
    <row r="184" spans="1:5" x14ac:dyDescent="0.55000000000000004">
      <c r="A184" t="s">
        <v>1695</v>
      </c>
      <c r="B184" t="s">
        <v>1694</v>
      </c>
      <c r="C184" t="s">
        <v>10</v>
      </c>
      <c r="D184">
        <v>787016</v>
      </c>
      <c r="E184" t="s">
        <v>8</v>
      </c>
    </row>
    <row r="185" spans="1:5" x14ac:dyDescent="0.55000000000000004">
      <c r="A185" t="s">
        <v>1328</v>
      </c>
      <c r="B185" t="s">
        <v>1327</v>
      </c>
      <c r="C185" t="s">
        <v>10</v>
      </c>
      <c r="D185">
        <v>442364</v>
      </c>
      <c r="E185" t="s">
        <v>8</v>
      </c>
    </row>
    <row r="186" spans="1:5" x14ac:dyDescent="0.55000000000000004">
      <c r="A186" t="s">
        <v>1330</v>
      </c>
      <c r="B186" t="s">
        <v>1329</v>
      </c>
      <c r="C186" t="s">
        <v>13</v>
      </c>
      <c r="D186">
        <v>3909941</v>
      </c>
      <c r="E186" t="s">
        <v>8</v>
      </c>
    </row>
    <row r="187" spans="1:5" x14ac:dyDescent="0.55000000000000004">
      <c r="A187" t="s">
        <v>1043</v>
      </c>
      <c r="B187" t="s">
        <v>1042</v>
      </c>
      <c r="C187" t="s">
        <v>10</v>
      </c>
      <c r="D187">
        <v>555591</v>
      </c>
      <c r="E187" t="s">
        <v>8</v>
      </c>
    </row>
    <row r="188" spans="1:5" x14ac:dyDescent="0.55000000000000004">
      <c r="A188" t="s">
        <v>285</v>
      </c>
      <c r="B188" t="s">
        <v>284</v>
      </c>
      <c r="C188" t="s">
        <v>10</v>
      </c>
      <c r="D188">
        <v>2477497</v>
      </c>
      <c r="E188" t="s">
        <v>8</v>
      </c>
    </row>
    <row r="189" spans="1:5" x14ac:dyDescent="0.55000000000000004">
      <c r="A189" t="s">
        <v>1697</v>
      </c>
      <c r="B189" t="s">
        <v>1696</v>
      </c>
      <c r="C189" t="s">
        <v>10</v>
      </c>
      <c r="D189">
        <v>212506</v>
      </c>
      <c r="E189" t="s">
        <v>8</v>
      </c>
    </row>
    <row r="190" spans="1:5" x14ac:dyDescent="0.55000000000000004">
      <c r="A190" t="s">
        <v>1699</v>
      </c>
      <c r="B190" t="s">
        <v>1698</v>
      </c>
      <c r="C190" t="s">
        <v>6</v>
      </c>
      <c r="D190">
        <v>198689</v>
      </c>
      <c r="E190" t="s">
        <v>8</v>
      </c>
    </row>
    <row r="191" spans="1:5" x14ac:dyDescent="0.55000000000000004">
      <c r="A191" t="s">
        <v>1702</v>
      </c>
      <c r="B191" t="s">
        <v>1700</v>
      </c>
      <c r="C191" t="s">
        <v>1701</v>
      </c>
      <c r="D191">
        <v>11985</v>
      </c>
      <c r="E191" t="s">
        <v>8</v>
      </c>
    </row>
    <row r="192" spans="1:5" x14ac:dyDescent="0.55000000000000004">
      <c r="A192" t="s">
        <v>1332</v>
      </c>
      <c r="B192" t="s">
        <v>1331</v>
      </c>
      <c r="C192" t="s">
        <v>10</v>
      </c>
      <c r="D192">
        <v>496976</v>
      </c>
      <c r="E192" t="s">
        <v>8</v>
      </c>
    </row>
    <row r="193" spans="1:5" x14ac:dyDescent="0.55000000000000004">
      <c r="A193" t="s">
        <v>629</v>
      </c>
      <c r="B193" t="s">
        <v>628</v>
      </c>
      <c r="C193" t="s">
        <v>10</v>
      </c>
      <c r="D193">
        <v>937229</v>
      </c>
      <c r="E193" t="s">
        <v>8</v>
      </c>
    </row>
    <row r="194" spans="1:5" x14ac:dyDescent="0.55000000000000004">
      <c r="A194" t="s">
        <v>1334</v>
      </c>
      <c r="B194" t="s">
        <v>1333</v>
      </c>
      <c r="C194" t="s">
        <v>10</v>
      </c>
      <c r="D194">
        <v>581834</v>
      </c>
      <c r="E194" t="s">
        <v>8</v>
      </c>
    </row>
    <row r="195" spans="1:5" x14ac:dyDescent="0.55000000000000004">
      <c r="A195" t="s">
        <v>1336</v>
      </c>
      <c r="B195" t="s">
        <v>1335</v>
      </c>
      <c r="C195" t="s">
        <v>18</v>
      </c>
      <c r="D195">
        <v>193331</v>
      </c>
      <c r="E195" t="s">
        <v>8</v>
      </c>
    </row>
    <row r="196" spans="1:5" x14ac:dyDescent="0.55000000000000004">
      <c r="A196" t="s">
        <v>1338</v>
      </c>
      <c r="B196" t="s">
        <v>1337</v>
      </c>
      <c r="C196" t="s">
        <v>10</v>
      </c>
      <c r="D196">
        <v>213654</v>
      </c>
      <c r="E196" t="s">
        <v>8</v>
      </c>
    </row>
    <row r="197" spans="1:5" x14ac:dyDescent="0.55000000000000004">
      <c r="A197" t="s">
        <v>1704</v>
      </c>
      <c r="B197" t="s">
        <v>1703</v>
      </c>
      <c r="C197" t="s">
        <v>6</v>
      </c>
      <c r="D197">
        <v>711232</v>
      </c>
      <c r="E197" t="s">
        <v>8</v>
      </c>
    </row>
    <row r="198" spans="1:5" x14ac:dyDescent="0.55000000000000004">
      <c r="A198" t="s">
        <v>1706</v>
      </c>
      <c r="B198" t="s">
        <v>1705</v>
      </c>
      <c r="C198" t="s">
        <v>10</v>
      </c>
      <c r="D198">
        <v>1159786</v>
      </c>
      <c r="E198" t="s">
        <v>8</v>
      </c>
    </row>
    <row r="199" spans="1:5" x14ac:dyDescent="0.55000000000000004">
      <c r="A199" t="s">
        <v>1708</v>
      </c>
      <c r="B199" t="s">
        <v>1707</v>
      </c>
      <c r="C199" t="s">
        <v>10</v>
      </c>
      <c r="D199">
        <v>206688</v>
      </c>
      <c r="E199" t="s">
        <v>8</v>
      </c>
    </row>
    <row r="200" spans="1:5" x14ac:dyDescent="0.55000000000000004">
      <c r="A200" t="s">
        <v>1340</v>
      </c>
      <c r="B200" t="s">
        <v>1339</v>
      </c>
      <c r="C200" t="s">
        <v>10</v>
      </c>
      <c r="D200">
        <v>256540</v>
      </c>
      <c r="E200" t="s">
        <v>8</v>
      </c>
    </row>
    <row r="201" spans="1:5" x14ac:dyDescent="0.55000000000000004">
      <c r="A201" t="s">
        <v>1342</v>
      </c>
      <c r="B201" t="s">
        <v>1341</v>
      </c>
      <c r="C201" t="s">
        <v>13</v>
      </c>
      <c r="D201">
        <v>1277926</v>
      </c>
      <c r="E201" t="s">
        <v>8</v>
      </c>
    </row>
    <row r="202" spans="1:5" x14ac:dyDescent="0.55000000000000004">
      <c r="A202" t="s">
        <v>303</v>
      </c>
      <c r="B202" t="s">
        <v>302</v>
      </c>
      <c r="C202" t="s">
        <v>10</v>
      </c>
      <c r="D202">
        <v>2404882</v>
      </c>
      <c r="E202" t="s">
        <v>8</v>
      </c>
    </row>
    <row r="203" spans="1:5" x14ac:dyDescent="0.55000000000000004">
      <c r="A203" t="s">
        <v>1061</v>
      </c>
      <c r="B203" t="s">
        <v>1060</v>
      </c>
      <c r="C203" t="s">
        <v>76</v>
      </c>
      <c r="D203">
        <v>282159</v>
      </c>
      <c r="E203" t="s">
        <v>8</v>
      </c>
    </row>
    <row r="204" spans="1:5" x14ac:dyDescent="0.55000000000000004">
      <c r="A204" t="s">
        <v>1344</v>
      </c>
      <c r="B204" t="s">
        <v>1343</v>
      </c>
      <c r="C204" t="s">
        <v>10</v>
      </c>
      <c r="D204">
        <v>446119</v>
      </c>
      <c r="E204" t="s">
        <v>8</v>
      </c>
    </row>
    <row r="205" spans="1:5" x14ac:dyDescent="0.55000000000000004">
      <c r="A205" t="s">
        <v>309</v>
      </c>
      <c r="B205" t="s">
        <v>308</v>
      </c>
      <c r="C205" t="s">
        <v>10</v>
      </c>
      <c r="D205">
        <v>2444732</v>
      </c>
      <c r="E205" t="s">
        <v>8</v>
      </c>
    </row>
    <row r="206" spans="1:5" x14ac:dyDescent="0.55000000000000004">
      <c r="A206" t="s">
        <v>1710</v>
      </c>
      <c r="B206" t="s">
        <v>1709</v>
      </c>
      <c r="C206" t="s">
        <v>10</v>
      </c>
      <c r="D206">
        <v>260948</v>
      </c>
      <c r="E206" t="s">
        <v>8</v>
      </c>
    </row>
    <row r="207" spans="1:5" x14ac:dyDescent="0.55000000000000004">
      <c r="A207" t="s">
        <v>1712</v>
      </c>
      <c r="B207" t="s">
        <v>1711</v>
      </c>
      <c r="C207" t="s">
        <v>10</v>
      </c>
      <c r="D207">
        <v>532403</v>
      </c>
      <c r="E207" t="s">
        <v>8</v>
      </c>
    </row>
    <row r="208" spans="1:5" x14ac:dyDescent="0.55000000000000004">
      <c r="A208" t="s">
        <v>1346</v>
      </c>
      <c r="B208" t="s">
        <v>1345</v>
      </c>
      <c r="C208" t="s">
        <v>10</v>
      </c>
      <c r="D208">
        <v>467214</v>
      </c>
      <c r="E208" t="s">
        <v>8</v>
      </c>
    </row>
    <row r="209" spans="1:5" x14ac:dyDescent="0.55000000000000004">
      <c r="A209" t="s">
        <v>1714</v>
      </c>
      <c r="B209" t="s">
        <v>1713</v>
      </c>
      <c r="C209" t="s">
        <v>41</v>
      </c>
      <c r="D209">
        <v>765123</v>
      </c>
      <c r="E209" t="s">
        <v>8</v>
      </c>
    </row>
    <row r="210" spans="1:5" x14ac:dyDescent="0.55000000000000004">
      <c r="A210" t="s">
        <v>1716</v>
      </c>
      <c r="B210" t="s">
        <v>1715</v>
      </c>
      <c r="C210" t="s">
        <v>41</v>
      </c>
      <c r="D210">
        <v>285945</v>
      </c>
      <c r="E210" t="s">
        <v>8</v>
      </c>
    </row>
    <row r="211" spans="1:5" x14ac:dyDescent="0.55000000000000004">
      <c r="A211" t="s">
        <v>1718</v>
      </c>
      <c r="B211" t="s">
        <v>1717</v>
      </c>
      <c r="C211" t="s">
        <v>18</v>
      </c>
      <c r="D211">
        <v>1624121</v>
      </c>
      <c r="E211" t="s">
        <v>8</v>
      </c>
    </row>
    <row r="212" spans="1:5" x14ac:dyDescent="0.55000000000000004">
      <c r="A212" t="s">
        <v>1063</v>
      </c>
      <c r="B212" t="s">
        <v>1062</v>
      </c>
      <c r="C212" t="s">
        <v>10</v>
      </c>
      <c r="D212">
        <v>72367</v>
      </c>
      <c r="E212" t="s">
        <v>8</v>
      </c>
    </row>
    <row r="213" spans="1:5" x14ac:dyDescent="0.55000000000000004">
      <c r="A213" t="s">
        <v>1354</v>
      </c>
      <c r="B213" t="s">
        <v>1353</v>
      </c>
      <c r="C213" t="s">
        <v>13</v>
      </c>
      <c r="D213">
        <v>1274290</v>
      </c>
      <c r="E213" t="s">
        <v>8</v>
      </c>
    </row>
    <row r="214" spans="1:5" x14ac:dyDescent="0.55000000000000004">
      <c r="A214" t="s">
        <v>315</v>
      </c>
      <c r="B214" t="s">
        <v>314</v>
      </c>
      <c r="C214" t="s">
        <v>10</v>
      </c>
      <c r="D214">
        <v>706283</v>
      </c>
      <c r="E214" t="s">
        <v>8</v>
      </c>
    </row>
    <row r="215" spans="1:5" x14ac:dyDescent="0.55000000000000004">
      <c r="A215" t="s">
        <v>637</v>
      </c>
      <c r="B215" t="s">
        <v>636</v>
      </c>
      <c r="C215" t="s">
        <v>10</v>
      </c>
      <c r="D215">
        <v>6062443</v>
      </c>
      <c r="E215" t="s">
        <v>8</v>
      </c>
    </row>
    <row r="216" spans="1:5" x14ac:dyDescent="0.55000000000000004">
      <c r="A216" t="s">
        <v>1358</v>
      </c>
      <c r="B216" t="s">
        <v>1357</v>
      </c>
      <c r="C216" t="s">
        <v>10</v>
      </c>
      <c r="D216">
        <v>964873</v>
      </c>
      <c r="E216" t="s">
        <v>8</v>
      </c>
    </row>
    <row r="217" spans="1:5" x14ac:dyDescent="0.55000000000000004">
      <c r="A217" t="s">
        <v>1360</v>
      </c>
      <c r="B217" t="s">
        <v>1359</v>
      </c>
      <c r="C217" t="s">
        <v>18</v>
      </c>
      <c r="D217">
        <v>1206841</v>
      </c>
      <c r="E217" t="s">
        <v>8</v>
      </c>
    </row>
    <row r="218" spans="1:5" x14ac:dyDescent="0.55000000000000004">
      <c r="A218" t="s">
        <v>1720</v>
      </c>
      <c r="B218" t="s">
        <v>1719</v>
      </c>
      <c r="C218" t="s">
        <v>10</v>
      </c>
      <c r="D218">
        <v>98078</v>
      </c>
      <c r="E218" t="s">
        <v>8</v>
      </c>
    </row>
    <row r="219" spans="1:5" x14ac:dyDescent="0.55000000000000004">
      <c r="A219" t="s">
        <v>1364</v>
      </c>
      <c r="B219" t="s">
        <v>1363</v>
      </c>
      <c r="C219" t="s">
        <v>10</v>
      </c>
      <c r="D219">
        <v>630727</v>
      </c>
      <c r="E219" t="s">
        <v>8</v>
      </c>
    </row>
    <row r="220" spans="1:5" x14ac:dyDescent="0.55000000000000004">
      <c r="A220" t="s">
        <v>1722</v>
      </c>
      <c r="B220" t="s">
        <v>1721</v>
      </c>
      <c r="C220" t="s">
        <v>10</v>
      </c>
      <c r="D220">
        <v>465507</v>
      </c>
      <c r="E220" t="s">
        <v>8</v>
      </c>
    </row>
    <row r="221" spans="1:5" x14ac:dyDescent="0.55000000000000004">
      <c r="A221" t="s">
        <v>1065</v>
      </c>
      <c r="B221" t="s">
        <v>1064</v>
      </c>
      <c r="C221" t="s">
        <v>10</v>
      </c>
      <c r="D221">
        <v>362670</v>
      </c>
      <c r="E221" t="s">
        <v>8</v>
      </c>
    </row>
    <row r="222" spans="1:5" x14ac:dyDescent="0.55000000000000004">
      <c r="A222" t="s">
        <v>1067</v>
      </c>
      <c r="B222" t="s">
        <v>1066</v>
      </c>
      <c r="C222" t="s">
        <v>6</v>
      </c>
      <c r="D222">
        <v>108254</v>
      </c>
      <c r="E222" t="s">
        <v>8</v>
      </c>
    </row>
    <row r="223" spans="1:5" x14ac:dyDescent="0.55000000000000004">
      <c r="A223" t="s">
        <v>881</v>
      </c>
      <c r="B223" t="s">
        <v>879</v>
      </c>
      <c r="C223" t="s">
        <v>880</v>
      </c>
      <c r="D223">
        <v>316207</v>
      </c>
      <c r="E223" t="s">
        <v>8</v>
      </c>
    </row>
    <row r="224" spans="1:5" x14ac:dyDescent="0.55000000000000004">
      <c r="A224" t="s">
        <v>1366</v>
      </c>
      <c r="B224" t="s">
        <v>1365</v>
      </c>
      <c r="C224" t="s">
        <v>10</v>
      </c>
      <c r="D224">
        <v>1607135</v>
      </c>
      <c r="E224" t="s">
        <v>8</v>
      </c>
    </row>
    <row r="225" spans="1:5" x14ac:dyDescent="0.55000000000000004">
      <c r="A225" t="s">
        <v>327</v>
      </c>
      <c r="B225" t="s">
        <v>326</v>
      </c>
      <c r="C225" t="s">
        <v>10</v>
      </c>
      <c r="D225">
        <v>2709911</v>
      </c>
      <c r="E225" t="s">
        <v>8</v>
      </c>
    </row>
    <row r="226" spans="1:5" x14ac:dyDescent="0.55000000000000004">
      <c r="A226" t="s">
        <v>1724</v>
      </c>
      <c r="B226" t="s">
        <v>1723</v>
      </c>
      <c r="C226" t="s">
        <v>10</v>
      </c>
      <c r="D226">
        <v>402284</v>
      </c>
      <c r="E226" t="s">
        <v>8</v>
      </c>
    </row>
    <row r="227" spans="1:5" x14ac:dyDescent="0.55000000000000004">
      <c r="A227" t="s">
        <v>651</v>
      </c>
      <c r="B227" t="s">
        <v>650</v>
      </c>
      <c r="C227" t="s">
        <v>10</v>
      </c>
      <c r="D227">
        <v>894249</v>
      </c>
      <c r="E227" t="s">
        <v>8</v>
      </c>
    </row>
    <row r="228" spans="1:5" x14ac:dyDescent="0.55000000000000004">
      <c r="A228" t="s">
        <v>333</v>
      </c>
      <c r="B228" t="s">
        <v>332</v>
      </c>
      <c r="C228" t="s">
        <v>13</v>
      </c>
      <c r="D228">
        <v>1329285</v>
      </c>
      <c r="E228" t="s">
        <v>8</v>
      </c>
    </row>
    <row r="229" spans="1:5" x14ac:dyDescent="0.55000000000000004">
      <c r="A229" t="s">
        <v>1369</v>
      </c>
      <c r="B229" t="s">
        <v>1367</v>
      </c>
      <c r="C229" t="s">
        <v>1368</v>
      </c>
      <c r="D229">
        <v>4078700</v>
      </c>
      <c r="E229" t="s">
        <v>8</v>
      </c>
    </row>
    <row r="230" spans="1:5" x14ac:dyDescent="0.55000000000000004">
      <c r="A230" t="s">
        <v>1077</v>
      </c>
      <c r="B230" t="s">
        <v>1076</v>
      </c>
      <c r="C230" t="s">
        <v>10</v>
      </c>
      <c r="D230">
        <v>345802</v>
      </c>
      <c r="E230" t="s">
        <v>8</v>
      </c>
    </row>
    <row r="231" spans="1:5" x14ac:dyDescent="0.55000000000000004">
      <c r="A231" t="s">
        <v>1371</v>
      </c>
      <c r="B231" t="s">
        <v>1370</v>
      </c>
      <c r="C231" t="s">
        <v>10</v>
      </c>
      <c r="D231">
        <v>1709660</v>
      </c>
      <c r="E231" t="s">
        <v>8</v>
      </c>
    </row>
    <row r="232" spans="1:5" x14ac:dyDescent="0.55000000000000004">
      <c r="A232" t="s">
        <v>657</v>
      </c>
      <c r="B232" t="s">
        <v>1725</v>
      </c>
      <c r="C232" t="s">
        <v>10</v>
      </c>
      <c r="D232">
        <v>473550</v>
      </c>
      <c r="E232" t="s">
        <v>8</v>
      </c>
    </row>
    <row r="233" spans="1:5" x14ac:dyDescent="0.55000000000000004">
      <c r="A233" t="s">
        <v>1727</v>
      </c>
      <c r="B233" t="s">
        <v>1726</v>
      </c>
      <c r="C233" t="s">
        <v>10</v>
      </c>
      <c r="D233">
        <v>55892</v>
      </c>
      <c r="E233" t="s">
        <v>8</v>
      </c>
    </row>
    <row r="234" spans="1:5" x14ac:dyDescent="0.55000000000000004">
      <c r="A234" t="s">
        <v>1729</v>
      </c>
      <c r="B234" t="s">
        <v>1728</v>
      </c>
      <c r="C234" t="s">
        <v>10</v>
      </c>
      <c r="D234">
        <v>4405371</v>
      </c>
      <c r="E234" t="s">
        <v>8</v>
      </c>
    </row>
    <row r="235" spans="1:5" x14ac:dyDescent="0.55000000000000004">
      <c r="A235" t="s">
        <v>341</v>
      </c>
      <c r="B235" t="s">
        <v>340</v>
      </c>
      <c r="C235" t="s">
        <v>10</v>
      </c>
      <c r="D235">
        <v>246643</v>
      </c>
      <c r="E235" t="s">
        <v>8</v>
      </c>
    </row>
    <row r="236" spans="1:5" x14ac:dyDescent="0.55000000000000004">
      <c r="A236" t="s">
        <v>1731</v>
      </c>
      <c r="B236" t="s">
        <v>1730</v>
      </c>
      <c r="C236" t="s">
        <v>13</v>
      </c>
      <c r="D236">
        <v>513918</v>
      </c>
      <c r="E236" t="s">
        <v>8</v>
      </c>
    </row>
    <row r="237" spans="1:5" x14ac:dyDescent="0.55000000000000004">
      <c r="A237" t="s">
        <v>1375</v>
      </c>
      <c r="B237" t="s">
        <v>1374</v>
      </c>
      <c r="C237" t="s">
        <v>10</v>
      </c>
      <c r="D237">
        <v>1062008</v>
      </c>
      <c r="E237" t="s">
        <v>8</v>
      </c>
    </row>
    <row r="238" spans="1:5" x14ac:dyDescent="0.55000000000000004">
      <c r="A238" t="s">
        <v>663</v>
      </c>
      <c r="B238" t="s">
        <v>662</v>
      </c>
      <c r="C238" t="s">
        <v>41</v>
      </c>
      <c r="D238">
        <v>913598</v>
      </c>
      <c r="E238" t="s">
        <v>8</v>
      </c>
    </row>
    <row r="239" spans="1:5" x14ac:dyDescent="0.55000000000000004">
      <c r="A239" t="s">
        <v>1733</v>
      </c>
      <c r="B239" t="s">
        <v>1732</v>
      </c>
      <c r="C239" t="s">
        <v>10</v>
      </c>
      <c r="D239">
        <v>373202</v>
      </c>
      <c r="E239" t="s">
        <v>8</v>
      </c>
    </row>
    <row r="240" spans="1:5" x14ac:dyDescent="0.55000000000000004">
      <c r="A240" t="s">
        <v>346</v>
      </c>
      <c r="B240" t="s">
        <v>345</v>
      </c>
      <c r="C240" t="s">
        <v>10</v>
      </c>
      <c r="D240">
        <v>464564</v>
      </c>
      <c r="E240" t="s">
        <v>8</v>
      </c>
    </row>
    <row r="241" spans="1:5" x14ac:dyDescent="0.55000000000000004">
      <c r="A241" t="s">
        <v>1377</v>
      </c>
      <c r="B241" t="s">
        <v>1376</v>
      </c>
      <c r="C241" t="s">
        <v>10</v>
      </c>
      <c r="D241">
        <v>511862</v>
      </c>
      <c r="E241" t="s">
        <v>8</v>
      </c>
    </row>
    <row r="242" spans="1:5" x14ac:dyDescent="0.55000000000000004">
      <c r="A242" t="s">
        <v>1379</v>
      </c>
      <c r="B242" t="s">
        <v>1378</v>
      </c>
      <c r="C242" t="s">
        <v>18</v>
      </c>
      <c r="D242">
        <v>861267</v>
      </c>
      <c r="E242" t="s">
        <v>8</v>
      </c>
    </row>
    <row r="243" spans="1:5" x14ac:dyDescent="0.55000000000000004">
      <c r="A243" t="s">
        <v>1735</v>
      </c>
      <c r="B243" t="s">
        <v>1734</v>
      </c>
      <c r="C243" t="s">
        <v>13</v>
      </c>
      <c r="D243">
        <v>268894</v>
      </c>
      <c r="E243" t="s">
        <v>8</v>
      </c>
    </row>
    <row r="244" spans="1:5" x14ac:dyDescent="0.55000000000000004">
      <c r="A244" t="s">
        <v>894</v>
      </c>
      <c r="B244" t="s">
        <v>893</v>
      </c>
      <c r="C244" t="s">
        <v>141</v>
      </c>
      <c r="D244">
        <v>838375</v>
      </c>
      <c r="E244" t="s">
        <v>8</v>
      </c>
    </row>
    <row r="245" spans="1:5" x14ac:dyDescent="0.55000000000000004">
      <c r="A245" t="s">
        <v>1737</v>
      </c>
      <c r="B245" t="s">
        <v>1736</v>
      </c>
      <c r="C245" t="s">
        <v>10</v>
      </c>
      <c r="D245">
        <v>3239267</v>
      </c>
      <c r="E245" t="s">
        <v>8</v>
      </c>
    </row>
    <row r="246" spans="1:5" x14ac:dyDescent="0.55000000000000004">
      <c r="A246" t="s">
        <v>356</v>
      </c>
      <c r="B246" t="s">
        <v>355</v>
      </c>
      <c r="C246" t="s">
        <v>208</v>
      </c>
      <c r="D246">
        <v>183667</v>
      </c>
      <c r="E246" t="s">
        <v>8</v>
      </c>
    </row>
    <row r="247" spans="1:5" x14ac:dyDescent="0.55000000000000004">
      <c r="A247" t="s">
        <v>358</v>
      </c>
      <c r="B247" t="s">
        <v>357</v>
      </c>
      <c r="C247" t="s">
        <v>10</v>
      </c>
      <c r="D247">
        <v>294320</v>
      </c>
      <c r="E247" t="s">
        <v>8</v>
      </c>
    </row>
    <row r="248" spans="1:5" x14ac:dyDescent="0.55000000000000004">
      <c r="A248" t="s">
        <v>1739</v>
      </c>
      <c r="B248" t="s">
        <v>1738</v>
      </c>
      <c r="C248" t="s">
        <v>10</v>
      </c>
      <c r="D248">
        <v>891832</v>
      </c>
      <c r="E248" t="s">
        <v>8</v>
      </c>
    </row>
    <row r="249" spans="1:5" x14ac:dyDescent="0.55000000000000004">
      <c r="A249" t="s">
        <v>1085</v>
      </c>
      <c r="B249" t="s">
        <v>1084</v>
      </c>
      <c r="C249" t="s">
        <v>10</v>
      </c>
      <c r="D249">
        <v>261472</v>
      </c>
      <c r="E249" t="s">
        <v>8</v>
      </c>
    </row>
    <row r="250" spans="1:5" x14ac:dyDescent="0.55000000000000004">
      <c r="A250" t="s">
        <v>1087</v>
      </c>
      <c r="B250" t="s">
        <v>1086</v>
      </c>
      <c r="C250" t="s">
        <v>10</v>
      </c>
      <c r="D250">
        <v>695194</v>
      </c>
      <c r="E250" t="s">
        <v>8</v>
      </c>
    </row>
    <row r="251" spans="1:5" x14ac:dyDescent="0.55000000000000004">
      <c r="A251" t="s">
        <v>1387</v>
      </c>
      <c r="B251" t="s">
        <v>1386</v>
      </c>
      <c r="C251" t="s">
        <v>10</v>
      </c>
      <c r="D251">
        <v>1273808</v>
      </c>
      <c r="E251" t="s">
        <v>8</v>
      </c>
    </row>
    <row r="252" spans="1:5" x14ac:dyDescent="0.55000000000000004">
      <c r="A252" t="s">
        <v>1741</v>
      </c>
      <c r="B252" t="s">
        <v>1740</v>
      </c>
      <c r="C252" t="s">
        <v>10</v>
      </c>
      <c r="D252">
        <v>221473</v>
      </c>
      <c r="E252" t="s">
        <v>8</v>
      </c>
    </row>
    <row r="253" spans="1:5" x14ac:dyDescent="0.55000000000000004">
      <c r="A253" t="s">
        <v>1544</v>
      </c>
      <c r="B253" t="s">
        <v>1543</v>
      </c>
      <c r="C253" t="s">
        <v>10</v>
      </c>
      <c r="D253">
        <v>435502</v>
      </c>
      <c r="E253" t="s">
        <v>8</v>
      </c>
    </row>
    <row r="254" spans="1:5" x14ac:dyDescent="0.55000000000000004">
      <c r="A254" t="s">
        <v>366</v>
      </c>
      <c r="B254" t="s">
        <v>365</v>
      </c>
      <c r="C254" t="s">
        <v>10</v>
      </c>
      <c r="D254">
        <v>651036</v>
      </c>
      <c r="E254" t="s">
        <v>8</v>
      </c>
    </row>
    <row r="255" spans="1:5" x14ac:dyDescent="0.55000000000000004">
      <c r="A255" t="s">
        <v>673</v>
      </c>
      <c r="B255" t="s">
        <v>672</v>
      </c>
      <c r="C255" t="s">
        <v>10</v>
      </c>
      <c r="D255">
        <v>179954</v>
      </c>
      <c r="E255" t="s">
        <v>8</v>
      </c>
    </row>
    <row r="256" spans="1:5" x14ac:dyDescent="0.55000000000000004">
      <c r="A256" t="s">
        <v>368</v>
      </c>
      <c r="B256" t="s">
        <v>367</v>
      </c>
      <c r="C256" t="s">
        <v>10</v>
      </c>
      <c r="D256">
        <v>4548092</v>
      </c>
      <c r="E256" t="s">
        <v>8</v>
      </c>
    </row>
    <row r="257" spans="1:5" x14ac:dyDescent="0.55000000000000004">
      <c r="A257" t="s">
        <v>1743</v>
      </c>
      <c r="B257" t="s">
        <v>1742</v>
      </c>
      <c r="C257" t="s">
        <v>10</v>
      </c>
      <c r="D257">
        <v>1000438</v>
      </c>
      <c r="E257" t="s">
        <v>8</v>
      </c>
    </row>
    <row r="258" spans="1:5" x14ac:dyDescent="0.55000000000000004">
      <c r="A258" t="s">
        <v>1745</v>
      </c>
      <c r="B258" t="s">
        <v>1744</v>
      </c>
      <c r="C258" t="s">
        <v>10</v>
      </c>
      <c r="D258">
        <v>990251</v>
      </c>
      <c r="E258" t="s">
        <v>8</v>
      </c>
    </row>
    <row r="259" spans="1:5" x14ac:dyDescent="0.55000000000000004">
      <c r="A259" t="s">
        <v>1747</v>
      </c>
      <c r="B259" t="s">
        <v>1746</v>
      </c>
      <c r="C259" t="s">
        <v>10</v>
      </c>
      <c r="D259">
        <v>217354</v>
      </c>
      <c r="E259" t="s">
        <v>8</v>
      </c>
    </row>
    <row r="260" spans="1:5" x14ac:dyDescent="0.55000000000000004">
      <c r="A260" t="s">
        <v>1389</v>
      </c>
      <c r="B260" t="s">
        <v>1388</v>
      </c>
      <c r="C260" t="s">
        <v>6</v>
      </c>
      <c r="D260">
        <v>109974</v>
      </c>
      <c r="E260" t="s">
        <v>8</v>
      </c>
    </row>
    <row r="261" spans="1:5" x14ac:dyDescent="0.55000000000000004">
      <c r="A261" t="s">
        <v>1391</v>
      </c>
      <c r="B261" t="s">
        <v>1390</v>
      </c>
      <c r="C261" t="s">
        <v>13</v>
      </c>
      <c r="D261">
        <v>1077526</v>
      </c>
      <c r="E261" t="s">
        <v>8</v>
      </c>
    </row>
    <row r="262" spans="1:5" x14ac:dyDescent="0.55000000000000004">
      <c r="A262" t="s">
        <v>374</v>
      </c>
      <c r="B262" t="s">
        <v>373</v>
      </c>
      <c r="C262" t="s">
        <v>6</v>
      </c>
      <c r="D262">
        <v>432011</v>
      </c>
      <c r="E262" t="s">
        <v>8</v>
      </c>
    </row>
    <row r="263" spans="1:5" x14ac:dyDescent="0.55000000000000004">
      <c r="A263" t="s">
        <v>1749</v>
      </c>
      <c r="B263" t="s">
        <v>1748</v>
      </c>
      <c r="C263" t="s">
        <v>10</v>
      </c>
      <c r="D263">
        <v>1289444</v>
      </c>
      <c r="E263" t="s">
        <v>8</v>
      </c>
    </row>
    <row r="264" spans="1:5" x14ac:dyDescent="0.55000000000000004">
      <c r="A264" t="s">
        <v>1751</v>
      </c>
      <c r="B264" t="s">
        <v>1750</v>
      </c>
      <c r="C264" t="s">
        <v>10</v>
      </c>
      <c r="D264">
        <v>225402</v>
      </c>
      <c r="E264" t="s">
        <v>8</v>
      </c>
    </row>
    <row r="265" spans="1:5" x14ac:dyDescent="0.55000000000000004">
      <c r="A265" t="s">
        <v>1753</v>
      </c>
      <c r="B265" t="s">
        <v>1752</v>
      </c>
      <c r="C265" t="s">
        <v>10</v>
      </c>
      <c r="D265">
        <v>237731</v>
      </c>
      <c r="E265" t="s">
        <v>8</v>
      </c>
    </row>
    <row r="266" spans="1:5" x14ac:dyDescent="0.55000000000000004">
      <c r="A266" t="s">
        <v>902</v>
      </c>
      <c r="B266" t="s">
        <v>901</v>
      </c>
      <c r="C266" t="s">
        <v>10</v>
      </c>
      <c r="D266">
        <v>674259</v>
      </c>
      <c r="E266" t="s">
        <v>8</v>
      </c>
    </row>
    <row r="267" spans="1:5" x14ac:dyDescent="0.55000000000000004">
      <c r="A267" t="s">
        <v>1755</v>
      </c>
      <c r="B267" t="s">
        <v>1754</v>
      </c>
      <c r="C267" t="s">
        <v>10</v>
      </c>
      <c r="D267">
        <v>493301</v>
      </c>
      <c r="E267" t="s">
        <v>8</v>
      </c>
    </row>
    <row r="268" spans="1:5" x14ac:dyDescent="0.55000000000000004">
      <c r="A268" t="s">
        <v>380</v>
      </c>
      <c r="B268" t="s">
        <v>379</v>
      </c>
      <c r="C268" t="s">
        <v>13</v>
      </c>
      <c r="D268">
        <v>497830</v>
      </c>
      <c r="E268" t="s">
        <v>8</v>
      </c>
    </row>
    <row r="269" spans="1:5" x14ac:dyDescent="0.55000000000000004">
      <c r="A269" t="s">
        <v>1757</v>
      </c>
      <c r="B269" t="s">
        <v>1756</v>
      </c>
      <c r="C269" t="s">
        <v>10</v>
      </c>
      <c r="D269">
        <v>2113236</v>
      </c>
      <c r="E269" t="s">
        <v>8</v>
      </c>
    </row>
    <row r="270" spans="1:5" x14ac:dyDescent="0.55000000000000004">
      <c r="A270" t="s">
        <v>1393</v>
      </c>
      <c r="B270" t="s">
        <v>1392</v>
      </c>
      <c r="C270" t="s">
        <v>6</v>
      </c>
      <c r="D270">
        <v>2938109</v>
      </c>
      <c r="E270" t="s">
        <v>8</v>
      </c>
    </row>
    <row r="271" spans="1:5" x14ac:dyDescent="0.55000000000000004">
      <c r="A271" t="s">
        <v>386</v>
      </c>
      <c r="B271" t="s">
        <v>385</v>
      </c>
      <c r="C271" t="s">
        <v>13</v>
      </c>
      <c r="D271">
        <v>1646782</v>
      </c>
      <c r="E271" t="s">
        <v>8</v>
      </c>
    </row>
    <row r="272" spans="1:5" x14ac:dyDescent="0.55000000000000004">
      <c r="A272" t="s">
        <v>1397</v>
      </c>
      <c r="B272" t="s">
        <v>1396</v>
      </c>
      <c r="C272" t="s">
        <v>10</v>
      </c>
      <c r="D272">
        <v>859864</v>
      </c>
      <c r="E272" t="s">
        <v>8</v>
      </c>
    </row>
    <row r="273" spans="1:5" x14ac:dyDescent="0.55000000000000004">
      <c r="A273" t="s">
        <v>1759</v>
      </c>
      <c r="B273" t="s">
        <v>1758</v>
      </c>
      <c r="C273" t="s">
        <v>10</v>
      </c>
      <c r="D273">
        <v>70144</v>
      </c>
      <c r="E273" t="s">
        <v>8</v>
      </c>
    </row>
    <row r="274" spans="1:5" x14ac:dyDescent="0.55000000000000004">
      <c r="A274" t="s">
        <v>1399</v>
      </c>
      <c r="B274" t="s">
        <v>1398</v>
      </c>
      <c r="C274" t="s">
        <v>13</v>
      </c>
      <c r="D274">
        <v>554398</v>
      </c>
      <c r="E274" t="s">
        <v>8</v>
      </c>
    </row>
    <row r="275" spans="1:5" x14ac:dyDescent="0.55000000000000004">
      <c r="A275" t="s">
        <v>1401</v>
      </c>
      <c r="B275" t="s">
        <v>1400</v>
      </c>
      <c r="C275" t="s">
        <v>10</v>
      </c>
      <c r="D275">
        <v>1162556</v>
      </c>
      <c r="E275" t="s">
        <v>8</v>
      </c>
    </row>
    <row r="276" spans="1:5" x14ac:dyDescent="0.55000000000000004">
      <c r="A276" t="s">
        <v>390</v>
      </c>
      <c r="B276" t="s">
        <v>389</v>
      </c>
      <c r="C276" t="s">
        <v>13</v>
      </c>
      <c r="D276">
        <v>1891982</v>
      </c>
      <c r="E276" t="s">
        <v>8</v>
      </c>
    </row>
    <row r="277" spans="1:5" x14ac:dyDescent="0.55000000000000004">
      <c r="A277" t="s">
        <v>1761</v>
      </c>
      <c r="B277" t="s">
        <v>1760</v>
      </c>
      <c r="C277" t="s">
        <v>1483</v>
      </c>
      <c r="D277">
        <v>1217134</v>
      </c>
      <c r="E277" t="s">
        <v>8</v>
      </c>
    </row>
    <row r="278" spans="1:5" x14ac:dyDescent="0.55000000000000004">
      <c r="A278" t="s">
        <v>1763</v>
      </c>
      <c r="B278" t="s">
        <v>1762</v>
      </c>
      <c r="C278" t="s">
        <v>10</v>
      </c>
      <c r="D278">
        <v>529352</v>
      </c>
      <c r="E278" t="s">
        <v>8</v>
      </c>
    </row>
    <row r="279" spans="1:5" x14ac:dyDescent="0.55000000000000004">
      <c r="A279" t="s">
        <v>1765</v>
      </c>
      <c r="B279" t="s">
        <v>1764</v>
      </c>
      <c r="C279" t="s">
        <v>514</v>
      </c>
      <c r="D279">
        <v>767266</v>
      </c>
      <c r="E279" t="s">
        <v>8</v>
      </c>
    </row>
    <row r="280" spans="1:5" x14ac:dyDescent="0.55000000000000004">
      <c r="A280" t="s">
        <v>785</v>
      </c>
      <c r="B280" t="s">
        <v>784</v>
      </c>
      <c r="C280" t="s">
        <v>10</v>
      </c>
      <c r="D280">
        <v>403896</v>
      </c>
      <c r="E280" t="s">
        <v>8</v>
      </c>
    </row>
    <row r="281" spans="1:5" x14ac:dyDescent="0.55000000000000004">
      <c r="A281" t="s">
        <v>906</v>
      </c>
      <c r="B281" t="s">
        <v>905</v>
      </c>
      <c r="C281" t="s">
        <v>18</v>
      </c>
      <c r="D281">
        <v>983512</v>
      </c>
      <c r="E281" t="s">
        <v>8</v>
      </c>
    </row>
    <row r="282" spans="1:5" x14ac:dyDescent="0.55000000000000004">
      <c r="A282" t="s">
        <v>1767</v>
      </c>
      <c r="B282" t="s">
        <v>1766</v>
      </c>
      <c r="C282" t="s">
        <v>13</v>
      </c>
      <c r="D282">
        <v>1077074</v>
      </c>
      <c r="E282" t="s">
        <v>8</v>
      </c>
    </row>
    <row r="283" spans="1:5" x14ac:dyDescent="0.55000000000000004">
      <c r="A283" t="s">
        <v>1404</v>
      </c>
      <c r="B283" t="s">
        <v>1402</v>
      </c>
      <c r="C283" t="s">
        <v>1403</v>
      </c>
      <c r="D283">
        <v>2350306</v>
      </c>
      <c r="E283" t="s">
        <v>8</v>
      </c>
    </row>
    <row r="284" spans="1:5" x14ac:dyDescent="0.55000000000000004">
      <c r="A284" t="s">
        <v>398</v>
      </c>
      <c r="B284" t="s">
        <v>397</v>
      </c>
      <c r="C284" t="s">
        <v>10</v>
      </c>
      <c r="D284">
        <v>1701885</v>
      </c>
      <c r="E284" t="s">
        <v>8</v>
      </c>
    </row>
    <row r="285" spans="1:5" x14ac:dyDescent="0.55000000000000004">
      <c r="A285" t="s">
        <v>1769</v>
      </c>
      <c r="B285" t="s">
        <v>1768</v>
      </c>
      <c r="C285" t="s">
        <v>10</v>
      </c>
      <c r="D285">
        <v>945410</v>
      </c>
      <c r="E285" t="s">
        <v>8</v>
      </c>
    </row>
    <row r="286" spans="1:5" x14ac:dyDescent="0.55000000000000004">
      <c r="A286" t="s">
        <v>789</v>
      </c>
      <c r="B286" t="s">
        <v>788</v>
      </c>
      <c r="C286" t="s">
        <v>13</v>
      </c>
      <c r="D286">
        <v>1196307</v>
      </c>
      <c r="E286" t="s">
        <v>8</v>
      </c>
    </row>
    <row r="287" spans="1:5" x14ac:dyDescent="0.55000000000000004">
      <c r="A287" t="s">
        <v>1406</v>
      </c>
      <c r="B287" t="s">
        <v>1405</v>
      </c>
      <c r="C287" t="s">
        <v>10</v>
      </c>
      <c r="D287">
        <v>1043648</v>
      </c>
      <c r="E287" t="s">
        <v>8</v>
      </c>
    </row>
    <row r="288" spans="1:5" x14ac:dyDescent="0.55000000000000004">
      <c r="A288" t="s">
        <v>1771</v>
      </c>
      <c r="B288" t="s">
        <v>1770</v>
      </c>
      <c r="C288" t="s">
        <v>18</v>
      </c>
      <c r="D288">
        <v>768850</v>
      </c>
      <c r="E288" t="s">
        <v>8</v>
      </c>
    </row>
    <row r="289" spans="1:5" x14ac:dyDescent="0.55000000000000004">
      <c r="A289" t="s">
        <v>1773</v>
      </c>
      <c r="B289" t="s">
        <v>1772</v>
      </c>
      <c r="C289" t="s">
        <v>6</v>
      </c>
      <c r="D289">
        <v>41456</v>
      </c>
      <c r="E289" t="s">
        <v>8</v>
      </c>
    </row>
    <row r="290" spans="1:5" x14ac:dyDescent="0.55000000000000004">
      <c r="A290" t="s">
        <v>1412</v>
      </c>
      <c r="B290" t="s">
        <v>1411</v>
      </c>
      <c r="C290" t="s">
        <v>10</v>
      </c>
      <c r="D290">
        <v>270299</v>
      </c>
      <c r="E290" t="s">
        <v>8</v>
      </c>
    </row>
    <row r="291" spans="1:5" x14ac:dyDescent="0.55000000000000004">
      <c r="A291" t="s">
        <v>1414</v>
      </c>
      <c r="B291" t="s">
        <v>1413</v>
      </c>
      <c r="C291" t="s">
        <v>13</v>
      </c>
      <c r="D291">
        <v>4357329</v>
      </c>
      <c r="E291" t="s">
        <v>8</v>
      </c>
    </row>
    <row r="292" spans="1:5" x14ac:dyDescent="0.55000000000000004">
      <c r="A292" t="s">
        <v>795</v>
      </c>
      <c r="B292" t="s">
        <v>794</v>
      </c>
      <c r="C292" t="s">
        <v>18</v>
      </c>
      <c r="D292">
        <v>868625</v>
      </c>
      <c r="E292" t="s">
        <v>8</v>
      </c>
    </row>
    <row r="293" spans="1:5" x14ac:dyDescent="0.55000000000000004">
      <c r="A293" t="s">
        <v>1775</v>
      </c>
      <c r="B293" t="s">
        <v>1774</v>
      </c>
      <c r="C293" t="s">
        <v>13</v>
      </c>
      <c r="D293">
        <v>2170128</v>
      </c>
      <c r="E293" t="s">
        <v>8</v>
      </c>
    </row>
    <row r="294" spans="1:5" x14ac:dyDescent="0.55000000000000004">
      <c r="A294" t="s">
        <v>1416</v>
      </c>
      <c r="B294" t="s">
        <v>1415</v>
      </c>
      <c r="C294" t="s">
        <v>10</v>
      </c>
      <c r="D294">
        <v>262324</v>
      </c>
      <c r="E294" t="s">
        <v>8</v>
      </c>
    </row>
    <row r="295" spans="1:5" x14ac:dyDescent="0.55000000000000004">
      <c r="A295" t="s">
        <v>1111</v>
      </c>
      <c r="B295" t="s">
        <v>1110</v>
      </c>
      <c r="C295" t="s">
        <v>10</v>
      </c>
      <c r="D295">
        <v>405194</v>
      </c>
      <c r="E295" t="s">
        <v>8</v>
      </c>
    </row>
    <row r="296" spans="1:5" x14ac:dyDescent="0.55000000000000004">
      <c r="A296" t="s">
        <v>1777</v>
      </c>
      <c r="B296" t="s">
        <v>1776</v>
      </c>
      <c r="C296" t="s">
        <v>10</v>
      </c>
      <c r="D296">
        <v>1818392</v>
      </c>
      <c r="E296" t="s">
        <v>8</v>
      </c>
    </row>
    <row r="297" spans="1:5" x14ac:dyDescent="0.55000000000000004">
      <c r="A297" t="s">
        <v>1779</v>
      </c>
      <c r="B297" t="s">
        <v>1778</v>
      </c>
      <c r="C297" t="s">
        <v>10</v>
      </c>
      <c r="D297">
        <v>1525946</v>
      </c>
      <c r="E297" t="s">
        <v>8</v>
      </c>
    </row>
    <row r="298" spans="1:5" x14ac:dyDescent="0.55000000000000004">
      <c r="A298" t="s">
        <v>912</v>
      </c>
      <c r="B298" t="s">
        <v>911</v>
      </c>
      <c r="C298" t="s">
        <v>10</v>
      </c>
      <c r="D298">
        <v>1807176</v>
      </c>
      <c r="E298" t="s">
        <v>8</v>
      </c>
    </row>
    <row r="299" spans="1:5" x14ac:dyDescent="0.55000000000000004">
      <c r="A299" t="s">
        <v>1427</v>
      </c>
      <c r="B299" t="s">
        <v>1426</v>
      </c>
      <c r="C299" t="s">
        <v>6</v>
      </c>
      <c r="D299">
        <v>3244561</v>
      </c>
      <c r="E299" t="s">
        <v>8</v>
      </c>
    </row>
    <row r="300" spans="1:5" x14ac:dyDescent="0.55000000000000004">
      <c r="A300" t="s">
        <v>695</v>
      </c>
      <c r="B300" t="s">
        <v>694</v>
      </c>
      <c r="C300" t="s">
        <v>10</v>
      </c>
      <c r="D300">
        <v>572712</v>
      </c>
      <c r="E300" t="s">
        <v>8</v>
      </c>
    </row>
    <row r="301" spans="1:5" x14ac:dyDescent="0.55000000000000004">
      <c r="A301" t="s">
        <v>1429</v>
      </c>
      <c r="B301" t="s">
        <v>1428</v>
      </c>
      <c r="C301" t="s">
        <v>1317</v>
      </c>
      <c r="D301">
        <v>327956</v>
      </c>
      <c r="E301" t="s">
        <v>8</v>
      </c>
    </row>
    <row r="302" spans="1:5" x14ac:dyDescent="0.55000000000000004">
      <c r="A302" t="s">
        <v>1781</v>
      </c>
      <c r="B302" t="s">
        <v>1780</v>
      </c>
      <c r="C302" t="s">
        <v>10</v>
      </c>
      <c r="D302">
        <v>847310</v>
      </c>
      <c r="E302" t="s">
        <v>8</v>
      </c>
    </row>
    <row r="303" spans="1:5" x14ac:dyDescent="0.55000000000000004">
      <c r="A303" t="s">
        <v>1115</v>
      </c>
      <c r="B303" t="s">
        <v>1114</v>
      </c>
      <c r="C303" t="s">
        <v>10</v>
      </c>
      <c r="D303">
        <v>920903</v>
      </c>
      <c r="E303" t="s">
        <v>8</v>
      </c>
    </row>
    <row r="304" spans="1:5" x14ac:dyDescent="0.55000000000000004">
      <c r="A304" t="s">
        <v>1784</v>
      </c>
      <c r="B304" t="s">
        <v>1782</v>
      </c>
      <c r="C304" t="s">
        <v>1783</v>
      </c>
      <c r="D304">
        <v>3081016</v>
      </c>
      <c r="E304" t="s">
        <v>8</v>
      </c>
    </row>
    <row r="305" spans="1:5" x14ac:dyDescent="0.55000000000000004">
      <c r="A305" t="s">
        <v>1786</v>
      </c>
      <c r="B305" t="s">
        <v>1785</v>
      </c>
      <c r="C305" t="s">
        <v>1317</v>
      </c>
      <c r="D305">
        <v>642788</v>
      </c>
      <c r="E305" t="s">
        <v>8</v>
      </c>
    </row>
    <row r="306" spans="1:5" x14ac:dyDescent="0.55000000000000004">
      <c r="A306" t="s">
        <v>1431</v>
      </c>
      <c r="B306" t="s">
        <v>1430</v>
      </c>
      <c r="C306" t="s">
        <v>10</v>
      </c>
      <c r="D306">
        <v>523089</v>
      </c>
      <c r="E306" t="s">
        <v>8</v>
      </c>
    </row>
    <row r="307" spans="1:5" x14ac:dyDescent="0.55000000000000004">
      <c r="A307" t="s">
        <v>1788</v>
      </c>
      <c r="B307" t="s">
        <v>1787</v>
      </c>
      <c r="C307" t="s">
        <v>41</v>
      </c>
      <c r="D307">
        <v>2810631</v>
      </c>
      <c r="E307" t="s">
        <v>8</v>
      </c>
    </row>
    <row r="308" spans="1:5" x14ac:dyDescent="0.55000000000000004">
      <c r="A308" t="s">
        <v>421</v>
      </c>
      <c r="B308" t="s">
        <v>420</v>
      </c>
      <c r="C308" t="s">
        <v>10</v>
      </c>
      <c r="D308">
        <v>588097</v>
      </c>
      <c r="E308" t="s">
        <v>8</v>
      </c>
    </row>
    <row r="309" spans="1:5" x14ac:dyDescent="0.55000000000000004">
      <c r="A309" t="s">
        <v>1790</v>
      </c>
      <c r="B309" t="s">
        <v>1789</v>
      </c>
      <c r="C309" t="s">
        <v>13</v>
      </c>
      <c r="D309">
        <v>362099</v>
      </c>
      <c r="E309" t="s">
        <v>8</v>
      </c>
    </row>
    <row r="310" spans="1:5" x14ac:dyDescent="0.55000000000000004">
      <c r="A310" t="s">
        <v>705</v>
      </c>
      <c r="B310" t="s">
        <v>704</v>
      </c>
      <c r="C310" t="s">
        <v>10</v>
      </c>
      <c r="D310">
        <v>228491</v>
      </c>
      <c r="E310" t="s">
        <v>8</v>
      </c>
    </row>
    <row r="311" spans="1:5" x14ac:dyDescent="0.55000000000000004">
      <c r="A311" t="s">
        <v>1437</v>
      </c>
      <c r="B311" t="s">
        <v>1436</v>
      </c>
      <c r="C311" t="s">
        <v>41</v>
      </c>
      <c r="D311">
        <v>474134</v>
      </c>
      <c r="E311" t="s">
        <v>8</v>
      </c>
    </row>
    <row r="312" spans="1:5" x14ac:dyDescent="0.55000000000000004">
      <c r="A312" t="s">
        <v>1792</v>
      </c>
      <c r="B312" t="s">
        <v>1791</v>
      </c>
      <c r="C312" t="s">
        <v>10</v>
      </c>
      <c r="D312">
        <v>206934</v>
      </c>
      <c r="E312" t="s">
        <v>8</v>
      </c>
    </row>
    <row r="313" spans="1:5" x14ac:dyDescent="0.55000000000000004">
      <c r="A313" t="s">
        <v>427</v>
      </c>
      <c r="B313" t="s">
        <v>426</v>
      </c>
      <c r="C313" t="s">
        <v>10</v>
      </c>
      <c r="D313">
        <v>849527</v>
      </c>
      <c r="E313" t="s">
        <v>8</v>
      </c>
    </row>
    <row r="314" spans="1:5" x14ac:dyDescent="0.55000000000000004">
      <c r="A314" t="s">
        <v>431</v>
      </c>
      <c r="B314" t="s">
        <v>430</v>
      </c>
      <c r="C314" t="s">
        <v>10</v>
      </c>
      <c r="D314">
        <v>658762</v>
      </c>
      <c r="E314" t="s">
        <v>8</v>
      </c>
    </row>
    <row r="315" spans="1:5" x14ac:dyDescent="0.55000000000000004">
      <c r="A315" t="s">
        <v>1794</v>
      </c>
      <c r="B315" t="s">
        <v>1793</v>
      </c>
      <c r="C315" t="s">
        <v>10</v>
      </c>
      <c r="D315">
        <v>1413241</v>
      </c>
      <c r="E315" t="s">
        <v>8</v>
      </c>
    </row>
    <row r="316" spans="1:5" x14ac:dyDescent="0.55000000000000004">
      <c r="A316" t="s">
        <v>1117</v>
      </c>
      <c r="B316" t="s">
        <v>1116</v>
      </c>
      <c r="C316" t="s">
        <v>10</v>
      </c>
      <c r="D316">
        <v>999723</v>
      </c>
      <c r="E316" t="s">
        <v>8</v>
      </c>
    </row>
    <row r="317" spans="1:5" x14ac:dyDescent="0.55000000000000004">
      <c r="A317" t="s">
        <v>1796</v>
      </c>
      <c r="B317" t="s">
        <v>1795</v>
      </c>
      <c r="C317" t="s">
        <v>18</v>
      </c>
      <c r="D317">
        <v>552107</v>
      </c>
      <c r="E317" t="s">
        <v>8</v>
      </c>
    </row>
    <row r="318" spans="1:5" x14ac:dyDescent="0.55000000000000004">
      <c r="A318" t="s">
        <v>433</v>
      </c>
      <c r="B318" t="s">
        <v>432</v>
      </c>
      <c r="C318" t="s">
        <v>10</v>
      </c>
      <c r="D318">
        <v>1844714</v>
      </c>
      <c r="E318" t="s">
        <v>8</v>
      </c>
    </row>
    <row r="319" spans="1:5" x14ac:dyDescent="0.55000000000000004">
      <c r="A319" t="s">
        <v>1439</v>
      </c>
      <c r="B319" t="s">
        <v>1438</v>
      </c>
      <c r="C319" t="s">
        <v>10</v>
      </c>
      <c r="D319">
        <v>2015880</v>
      </c>
      <c r="E319" t="s">
        <v>8</v>
      </c>
    </row>
    <row r="320" spans="1:5" x14ac:dyDescent="0.55000000000000004">
      <c r="A320" t="s">
        <v>1441</v>
      </c>
      <c r="B320" t="s">
        <v>1440</v>
      </c>
      <c r="C320" t="s">
        <v>41</v>
      </c>
      <c r="D320">
        <v>444659</v>
      </c>
      <c r="E320" t="s">
        <v>8</v>
      </c>
    </row>
    <row r="321" spans="1:5" x14ac:dyDescent="0.55000000000000004">
      <c r="A321" t="s">
        <v>1798</v>
      </c>
      <c r="B321" t="s">
        <v>1797</v>
      </c>
      <c r="C321" t="s">
        <v>10</v>
      </c>
      <c r="D321">
        <v>1092827</v>
      </c>
      <c r="E321" t="s">
        <v>8</v>
      </c>
    </row>
    <row r="322" spans="1:5" x14ac:dyDescent="0.55000000000000004">
      <c r="A322" t="s">
        <v>443</v>
      </c>
      <c r="B322" t="s">
        <v>442</v>
      </c>
      <c r="C322" t="s">
        <v>10</v>
      </c>
      <c r="D322">
        <v>195791</v>
      </c>
      <c r="E322" t="s">
        <v>8</v>
      </c>
    </row>
    <row r="323" spans="1:5" x14ac:dyDescent="0.55000000000000004">
      <c r="A323" t="s">
        <v>1447</v>
      </c>
      <c r="B323" t="s">
        <v>1446</v>
      </c>
      <c r="C323" t="s">
        <v>10</v>
      </c>
      <c r="D323">
        <v>282480</v>
      </c>
      <c r="E323" t="s">
        <v>8</v>
      </c>
    </row>
    <row r="324" spans="1:5" x14ac:dyDescent="0.55000000000000004">
      <c r="A324" t="s">
        <v>1800</v>
      </c>
      <c r="B324" t="s">
        <v>1799</v>
      </c>
      <c r="C324" t="s">
        <v>10</v>
      </c>
      <c r="D324">
        <v>982973</v>
      </c>
      <c r="E324" t="s">
        <v>8</v>
      </c>
    </row>
    <row r="325" spans="1:5" x14ac:dyDescent="0.55000000000000004">
      <c r="A325" t="s">
        <v>1451</v>
      </c>
      <c r="B325" t="s">
        <v>1450</v>
      </c>
      <c r="C325" t="s">
        <v>880</v>
      </c>
      <c r="D325">
        <v>5708692</v>
      </c>
      <c r="E325" t="s">
        <v>8</v>
      </c>
    </row>
    <row r="326" spans="1:5" x14ac:dyDescent="0.55000000000000004">
      <c r="A326" t="s">
        <v>1453</v>
      </c>
      <c r="B326" t="s">
        <v>1452</v>
      </c>
      <c r="C326" t="s">
        <v>10</v>
      </c>
      <c r="D326">
        <v>1006574</v>
      </c>
      <c r="E326" t="s">
        <v>8</v>
      </c>
    </row>
    <row r="327" spans="1:5" x14ac:dyDescent="0.55000000000000004">
      <c r="A327" t="s">
        <v>1455</v>
      </c>
      <c r="B327" t="s">
        <v>1454</v>
      </c>
      <c r="C327" t="s">
        <v>10</v>
      </c>
      <c r="D327">
        <v>502706</v>
      </c>
      <c r="E327" t="s">
        <v>8</v>
      </c>
    </row>
    <row r="328" spans="1:5" x14ac:dyDescent="0.55000000000000004">
      <c r="A328" t="s">
        <v>1119</v>
      </c>
      <c r="B328" t="s">
        <v>1118</v>
      </c>
      <c r="C328" t="s">
        <v>10</v>
      </c>
      <c r="D328">
        <v>728452</v>
      </c>
      <c r="E328" t="s">
        <v>8</v>
      </c>
    </row>
    <row r="329" spans="1:5" x14ac:dyDescent="0.55000000000000004">
      <c r="A329" t="s">
        <v>1802</v>
      </c>
      <c r="B329" t="s">
        <v>1801</v>
      </c>
      <c r="C329" t="s">
        <v>10</v>
      </c>
      <c r="D329">
        <v>2568397</v>
      </c>
      <c r="E329" t="s">
        <v>8</v>
      </c>
    </row>
    <row r="330" spans="1:5" x14ac:dyDescent="0.55000000000000004">
      <c r="A330" t="s">
        <v>464</v>
      </c>
      <c r="B330" t="s">
        <v>463</v>
      </c>
      <c r="C330" t="s">
        <v>6</v>
      </c>
      <c r="D330">
        <v>650466</v>
      </c>
      <c r="E330" t="s">
        <v>8</v>
      </c>
    </row>
    <row r="331" spans="1:5" x14ac:dyDescent="0.55000000000000004">
      <c r="A331" t="s">
        <v>1461</v>
      </c>
      <c r="B331" t="s">
        <v>1460</v>
      </c>
      <c r="C331" t="s">
        <v>10</v>
      </c>
      <c r="D331">
        <v>555962</v>
      </c>
      <c r="E331" t="s">
        <v>8</v>
      </c>
    </row>
    <row r="332" spans="1:5" x14ac:dyDescent="0.55000000000000004">
      <c r="A332" t="s">
        <v>1804</v>
      </c>
      <c r="B332" t="s">
        <v>1803</v>
      </c>
      <c r="C332" t="s">
        <v>10</v>
      </c>
      <c r="D332">
        <v>2135403</v>
      </c>
      <c r="E332" t="s">
        <v>8</v>
      </c>
    </row>
    <row r="333" spans="1:5" x14ac:dyDescent="0.55000000000000004">
      <c r="A333" t="s">
        <v>713</v>
      </c>
      <c r="B333" t="s">
        <v>712</v>
      </c>
      <c r="C333" t="s">
        <v>10</v>
      </c>
      <c r="D333">
        <v>1658460</v>
      </c>
      <c r="E333" t="s">
        <v>8</v>
      </c>
    </row>
    <row r="334" spans="1:5" x14ac:dyDescent="0.55000000000000004">
      <c r="A334" t="s">
        <v>472</v>
      </c>
      <c r="B334" t="s">
        <v>471</v>
      </c>
      <c r="C334" t="s">
        <v>10</v>
      </c>
      <c r="D334">
        <v>683290</v>
      </c>
      <c r="E334" t="s">
        <v>8</v>
      </c>
    </row>
    <row r="335" spans="1:5" x14ac:dyDescent="0.55000000000000004">
      <c r="A335" t="s">
        <v>1468</v>
      </c>
      <c r="B335" t="s">
        <v>1466</v>
      </c>
      <c r="C335" t="s">
        <v>1467</v>
      </c>
      <c r="D335">
        <v>2225694</v>
      </c>
      <c r="E335" t="s">
        <v>8</v>
      </c>
    </row>
    <row r="336" spans="1:5" x14ac:dyDescent="0.55000000000000004">
      <c r="A336" t="s">
        <v>1470</v>
      </c>
      <c r="B336" t="s">
        <v>1469</v>
      </c>
      <c r="C336" t="s">
        <v>10</v>
      </c>
      <c r="D336">
        <v>208996</v>
      </c>
      <c r="E336" t="s">
        <v>8</v>
      </c>
    </row>
    <row r="337" spans="1:5" x14ac:dyDescent="0.55000000000000004">
      <c r="A337" t="s">
        <v>1806</v>
      </c>
      <c r="B337" t="s">
        <v>1805</v>
      </c>
      <c r="C337" t="s">
        <v>10</v>
      </c>
      <c r="D337">
        <v>230323</v>
      </c>
      <c r="E337" t="s">
        <v>8</v>
      </c>
    </row>
    <row r="338" spans="1:5" x14ac:dyDescent="0.55000000000000004">
      <c r="A338" t="s">
        <v>1476</v>
      </c>
      <c r="B338" t="s">
        <v>1475</v>
      </c>
      <c r="C338" t="s">
        <v>18</v>
      </c>
      <c r="D338">
        <v>230322</v>
      </c>
      <c r="E338" t="s">
        <v>8</v>
      </c>
    </row>
    <row r="339" spans="1:5" x14ac:dyDescent="0.55000000000000004">
      <c r="A339" t="s">
        <v>1808</v>
      </c>
      <c r="B339" t="s">
        <v>1807</v>
      </c>
      <c r="C339" t="s">
        <v>10</v>
      </c>
      <c r="D339">
        <v>705256</v>
      </c>
      <c r="E339" t="s">
        <v>8</v>
      </c>
    </row>
    <row r="340" spans="1:5" x14ac:dyDescent="0.55000000000000004">
      <c r="A340" t="s">
        <v>1810</v>
      </c>
      <c r="B340" t="s">
        <v>1809</v>
      </c>
      <c r="C340" t="s">
        <v>10</v>
      </c>
      <c r="D340">
        <v>296248</v>
      </c>
      <c r="E340" t="s">
        <v>8</v>
      </c>
    </row>
    <row r="341" spans="1:5" x14ac:dyDescent="0.55000000000000004">
      <c r="A341" t="s">
        <v>482</v>
      </c>
      <c r="B341" t="s">
        <v>481</v>
      </c>
      <c r="C341" t="s">
        <v>13</v>
      </c>
      <c r="D341">
        <v>209288</v>
      </c>
      <c r="E341" t="s">
        <v>8</v>
      </c>
    </row>
    <row r="342" spans="1:5" x14ac:dyDescent="0.55000000000000004">
      <c r="A342" t="s">
        <v>484</v>
      </c>
      <c r="B342" t="s">
        <v>483</v>
      </c>
      <c r="C342" t="s">
        <v>13</v>
      </c>
      <c r="D342">
        <v>1026599</v>
      </c>
      <c r="E342" t="s">
        <v>8</v>
      </c>
    </row>
    <row r="343" spans="1:5" x14ac:dyDescent="0.55000000000000004">
      <c r="A343" t="s">
        <v>1812</v>
      </c>
      <c r="B343" t="s">
        <v>1811</v>
      </c>
      <c r="C343" t="s">
        <v>18</v>
      </c>
      <c r="D343">
        <v>2911153</v>
      </c>
      <c r="E343" t="s">
        <v>8</v>
      </c>
    </row>
    <row r="344" spans="1:5" x14ac:dyDescent="0.55000000000000004">
      <c r="A344" t="s">
        <v>486</v>
      </c>
      <c r="B344" t="s">
        <v>485</v>
      </c>
      <c r="C344" t="s">
        <v>76</v>
      </c>
      <c r="D344">
        <v>178237</v>
      </c>
      <c r="E344" t="s">
        <v>8</v>
      </c>
    </row>
    <row r="345" spans="1:5" x14ac:dyDescent="0.55000000000000004">
      <c r="A345" t="s">
        <v>1815</v>
      </c>
      <c r="B345" t="s">
        <v>1813</v>
      </c>
      <c r="C345" t="s">
        <v>1814</v>
      </c>
      <c r="D345">
        <v>322753</v>
      </c>
      <c r="E345" t="s">
        <v>8</v>
      </c>
    </row>
    <row r="346" spans="1:5" x14ac:dyDescent="0.55000000000000004">
      <c r="A346" t="s">
        <v>1817</v>
      </c>
      <c r="B346" t="s">
        <v>1816</v>
      </c>
      <c r="C346" t="s">
        <v>6</v>
      </c>
      <c r="D346">
        <v>1085465</v>
      </c>
      <c r="E346" t="s">
        <v>8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B17F6-2FD9-4968-93E2-06DD93E2BE96}">
  <dimension ref="A1:E312"/>
  <sheetViews>
    <sheetView topLeftCell="A38" workbookViewId="0">
      <selection activeCell="A49" sqref="A49"/>
    </sheetView>
  </sheetViews>
  <sheetFormatPr defaultRowHeight="18" x14ac:dyDescent="0.55000000000000004"/>
  <cols>
    <col min="1" max="1" width="11.25" bestFit="1" customWidth="1"/>
    <col min="2" max="2" width="35.33203125" bestFit="1" customWidth="1"/>
    <col min="3" max="3" width="18.83203125" bestFit="1" customWidth="1"/>
    <col min="5" max="5" width="8.25" bestFit="1" customWidth="1"/>
    <col min="6" max="6" width="23.33203125" bestFit="1" customWidth="1"/>
  </cols>
  <sheetData>
    <row r="1" spans="1:5" x14ac:dyDescent="0.55000000000000004">
      <c r="A1" t="s">
        <v>2</v>
      </c>
      <c r="B1" t="s">
        <v>0</v>
      </c>
      <c r="C1" t="s">
        <v>1</v>
      </c>
      <c r="D1" t="s">
        <v>3</v>
      </c>
      <c r="E1" t="s">
        <v>4</v>
      </c>
    </row>
    <row r="2" spans="1:5" x14ac:dyDescent="0.55000000000000004">
      <c r="A2" t="s">
        <v>1144</v>
      </c>
      <c r="B2" t="s">
        <v>1143</v>
      </c>
      <c r="C2" t="s">
        <v>10</v>
      </c>
      <c r="D2">
        <v>1756123</v>
      </c>
      <c r="E2" t="s">
        <v>8</v>
      </c>
    </row>
    <row r="3" spans="1:5" x14ac:dyDescent="0.55000000000000004">
      <c r="A3" t="s">
        <v>16</v>
      </c>
      <c r="B3" t="s">
        <v>15</v>
      </c>
      <c r="C3" t="s">
        <v>10</v>
      </c>
      <c r="D3">
        <v>1540441</v>
      </c>
      <c r="E3" t="s">
        <v>8</v>
      </c>
    </row>
    <row r="4" spans="1:5" x14ac:dyDescent="0.55000000000000004">
      <c r="A4" t="s">
        <v>965</v>
      </c>
      <c r="B4" t="s">
        <v>964</v>
      </c>
      <c r="C4" t="s">
        <v>10</v>
      </c>
      <c r="D4">
        <v>542919</v>
      </c>
      <c r="E4" t="s">
        <v>8</v>
      </c>
    </row>
    <row r="5" spans="1:5" x14ac:dyDescent="0.55000000000000004">
      <c r="A5" t="s">
        <v>1150</v>
      </c>
      <c r="B5" t="s">
        <v>1149</v>
      </c>
      <c r="C5" t="s">
        <v>10</v>
      </c>
      <c r="D5">
        <v>724024</v>
      </c>
      <c r="E5" t="s">
        <v>8</v>
      </c>
    </row>
    <row r="6" spans="1:5" x14ac:dyDescent="0.55000000000000004">
      <c r="A6" t="s">
        <v>29</v>
      </c>
      <c r="B6" t="s">
        <v>28</v>
      </c>
      <c r="C6" t="s">
        <v>13</v>
      </c>
      <c r="D6">
        <v>826612</v>
      </c>
      <c r="E6" t="s">
        <v>8</v>
      </c>
    </row>
    <row r="7" spans="1:5" x14ac:dyDescent="0.55000000000000004">
      <c r="A7" t="s">
        <v>1152</v>
      </c>
      <c r="B7" t="s">
        <v>1151</v>
      </c>
      <c r="C7" t="s">
        <v>10</v>
      </c>
      <c r="D7">
        <v>354191</v>
      </c>
      <c r="E7" t="s">
        <v>8</v>
      </c>
    </row>
    <row r="8" spans="1:5" x14ac:dyDescent="0.55000000000000004">
      <c r="A8" t="s">
        <v>37</v>
      </c>
      <c r="B8" t="s">
        <v>36</v>
      </c>
      <c r="C8" t="s">
        <v>10</v>
      </c>
      <c r="D8">
        <v>404272</v>
      </c>
      <c r="E8" t="s">
        <v>8</v>
      </c>
    </row>
    <row r="9" spans="1:5" x14ac:dyDescent="0.55000000000000004">
      <c r="A9" t="s">
        <v>1158</v>
      </c>
      <c r="B9" t="s">
        <v>1157</v>
      </c>
      <c r="C9" t="s">
        <v>10</v>
      </c>
      <c r="D9">
        <v>738374</v>
      </c>
      <c r="E9" t="s">
        <v>8</v>
      </c>
    </row>
    <row r="10" spans="1:5" x14ac:dyDescent="0.55000000000000004">
      <c r="A10" t="s">
        <v>48</v>
      </c>
      <c r="B10" t="s">
        <v>47</v>
      </c>
      <c r="C10" t="s">
        <v>10</v>
      </c>
      <c r="D10">
        <v>1441524</v>
      </c>
      <c r="E10" t="s">
        <v>8</v>
      </c>
    </row>
    <row r="11" spans="1:5" x14ac:dyDescent="0.55000000000000004">
      <c r="A11" t="s">
        <v>951</v>
      </c>
      <c r="B11" t="s">
        <v>950</v>
      </c>
      <c r="C11" t="s">
        <v>10</v>
      </c>
      <c r="D11">
        <v>240554</v>
      </c>
      <c r="E11" t="s">
        <v>8</v>
      </c>
    </row>
    <row r="12" spans="1:5" x14ac:dyDescent="0.55000000000000004">
      <c r="A12" t="s">
        <v>52</v>
      </c>
      <c r="B12" t="s">
        <v>51</v>
      </c>
      <c r="C12" t="s">
        <v>10</v>
      </c>
      <c r="D12">
        <v>879300</v>
      </c>
      <c r="E12" t="s">
        <v>8</v>
      </c>
    </row>
    <row r="13" spans="1:5" x14ac:dyDescent="0.55000000000000004">
      <c r="A13" t="s">
        <v>1172</v>
      </c>
      <c r="B13" t="s">
        <v>1171</v>
      </c>
      <c r="C13" t="s">
        <v>10</v>
      </c>
      <c r="D13">
        <v>501371</v>
      </c>
      <c r="E13" t="s">
        <v>8</v>
      </c>
    </row>
    <row r="14" spans="1:5" x14ac:dyDescent="0.55000000000000004">
      <c r="A14" t="s">
        <v>1175</v>
      </c>
      <c r="B14" t="s">
        <v>1173</v>
      </c>
      <c r="C14" t="s">
        <v>1174</v>
      </c>
      <c r="D14">
        <v>553698</v>
      </c>
      <c r="E14" t="s">
        <v>8</v>
      </c>
    </row>
    <row r="15" spans="1:5" x14ac:dyDescent="0.55000000000000004">
      <c r="A15" t="s">
        <v>62</v>
      </c>
      <c r="B15" t="s">
        <v>61</v>
      </c>
      <c r="C15" t="s">
        <v>6</v>
      </c>
      <c r="D15">
        <v>1455695</v>
      </c>
      <c r="E15" t="s">
        <v>8</v>
      </c>
    </row>
    <row r="16" spans="1:5" x14ac:dyDescent="0.55000000000000004">
      <c r="A16" t="s">
        <v>79</v>
      </c>
      <c r="B16" t="s">
        <v>78</v>
      </c>
      <c r="C16" t="s">
        <v>13</v>
      </c>
      <c r="D16">
        <v>348215</v>
      </c>
      <c r="E16" t="s">
        <v>8</v>
      </c>
    </row>
    <row r="17" spans="1:5" x14ac:dyDescent="0.55000000000000004">
      <c r="A17" t="s">
        <v>89</v>
      </c>
      <c r="B17" t="s">
        <v>88</v>
      </c>
      <c r="C17" t="s">
        <v>10</v>
      </c>
      <c r="D17">
        <v>777275</v>
      </c>
      <c r="E17" t="s">
        <v>8</v>
      </c>
    </row>
    <row r="18" spans="1:5" x14ac:dyDescent="0.55000000000000004">
      <c r="A18" t="s">
        <v>1194</v>
      </c>
      <c r="B18" t="s">
        <v>1193</v>
      </c>
      <c r="C18" t="s">
        <v>880</v>
      </c>
      <c r="D18">
        <v>381152</v>
      </c>
      <c r="E18" t="s">
        <v>8</v>
      </c>
    </row>
    <row r="19" spans="1:5" x14ac:dyDescent="0.55000000000000004">
      <c r="A19" t="s">
        <v>1196</v>
      </c>
      <c r="B19" t="s">
        <v>1195</v>
      </c>
      <c r="C19" t="s">
        <v>10</v>
      </c>
      <c r="D19">
        <v>989280</v>
      </c>
      <c r="E19" t="s">
        <v>8</v>
      </c>
    </row>
    <row r="20" spans="1:5" x14ac:dyDescent="0.55000000000000004">
      <c r="A20" t="s">
        <v>1221</v>
      </c>
      <c r="B20" t="s">
        <v>1220</v>
      </c>
      <c r="C20" t="s">
        <v>10</v>
      </c>
      <c r="D20">
        <v>386957</v>
      </c>
      <c r="E20" t="s">
        <v>8</v>
      </c>
    </row>
    <row r="21" spans="1:5" x14ac:dyDescent="0.55000000000000004">
      <c r="A21" t="s">
        <v>543</v>
      </c>
      <c r="B21" t="s">
        <v>542</v>
      </c>
      <c r="C21" t="s">
        <v>10</v>
      </c>
      <c r="D21">
        <v>639913</v>
      </c>
      <c r="E21" t="s">
        <v>8</v>
      </c>
    </row>
    <row r="22" spans="1:5" x14ac:dyDescent="0.55000000000000004">
      <c r="A22" t="s">
        <v>95</v>
      </c>
      <c r="B22" t="s">
        <v>94</v>
      </c>
      <c r="C22" t="s">
        <v>10</v>
      </c>
      <c r="D22">
        <v>853091</v>
      </c>
      <c r="E22" t="s">
        <v>8</v>
      </c>
    </row>
    <row r="23" spans="1:5" x14ac:dyDescent="0.55000000000000004">
      <c r="A23" t="s">
        <v>1198</v>
      </c>
      <c r="B23" t="s">
        <v>1197</v>
      </c>
      <c r="C23" t="s">
        <v>13</v>
      </c>
      <c r="D23">
        <v>642828</v>
      </c>
      <c r="E23" t="s">
        <v>8</v>
      </c>
    </row>
    <row r="24" spans="1:5" x14ac:dyDescent="0.55000000000000004">
      <c r="A24" t="s">
        <v>978</v>
      </c>
      <c r="B24" t="s">
        <v>977</v>
      </c>
      <c r="C24" t="s">
        <v>10</v>
      </c>
      <c r="D24">
        <v>1590570</v>
      </c>
      <c r="E24" t="s">
        <v>8</v>
      </c>
    </row>
    <row r="25" spans="1:5" x14ac:dyDescent="0.55000000000000004">
      <c r="A25" t="s">
        <v>106</v>
      </c>
      <c r="B25" t="s">
        <v>105</v>
      </c>
      <c r="C25" t="s">
        <v>10</v>
      </c>
      <c r="D25">
        <v>1126138</v>
      </c>
      <c r="E25" t="s">
        <v>8</v>
      </c>
    </row>
    <row r="26" spans="1:5" x14ac:dyDescent="0.55000000000000004">
      <c r="A26" t="s">
        <v>980</v>
      </c>
      <c r="B26" t="s">
        <v>979</v>
      </c>
      <c r="C26" t="s">
        <v>10</v>
      </c>
      <c r="D26">
        <v>484276</v>
      </c>
      <c r="E26" t="s">
        <v>8</v>
      </c>
    </row>
    <row r="27" spans="1:5" x14ac:dyDescent="0.55000000000000004">
      <c r="A27" t="s">
        <v>108</v>
      </c>
      <c r="B27" t="s">
        <v>107</v>
      </c>
      <c r="C27" t="s">
        <v>10</v>
      </c>
      <c r="D27">
        <v>282097</v>
      </c>
      <c r="E27" t="s">
        <v>8</v>
      </c>
    </row>
    <row r="28" spans="1:5" x14ac:dyDescent="0.55000000000000004">
      <c r="A28" t="s">
        <v>1208</v>
      </c>
      <c r="B28" t="s">
        <v>1207</v>
      </c>
      <c r="C28" t="s">
        <v>10</v>
      </c>
      <c r="D28">
        <v>243219</v>
      </c>
      <c r="E28" t="s">
        <v>8</v>
      </c>
    </row>
    <row r="29" spans="1:5" x14ac:dyDescent="0.55000000000000004">
      <c r="A29" t="s">
        <v>986</v>
      </c>
      <c r="B29" t="s">
        <v>985</v>
      </c>
      <c r="C29" t="s">
        <v>10</v>
      </c>
      <c r="D29">
        <v>611478</v>
      </c>
      <c r="E29" t="s">
        <v>8</v>
      </c>
    </row>
    <row r="30" spans="1:5" x14ac:dyDescent="0.55000000000000004">
      <c r="A30" t="s">
        <v>1210</v>
      </c>
      <c r="B30" t="s">
        <v>1209</v>
      </c>
      <c r="C30" t="s">
        <v>10</v>
      </c>
      <c r="D30">
        <v>770768</v>
      </c>
      <c r="E30" t="s">
        <v>8</v>
      </c>
    </row>
    <row r="31" spans="1:5" x14ac:dyDescent="0.55000000000000004">
      <c r="A31" t="s">
        <v>124</v>
      </c>
      <c r="B31" t="s">
        <v>1211</v>
      </c>
      <c r="C31" t="s">
        <v>10</v>
      </c>
      <c r="D31">
        <v>388916</v>
      </c>
      <c r="E31" t="s">
        <v>8</v>
      </c>
    </row>
    <row r="32" spans="1:5" x14ac:dyDescent="0.55000000000000004">
      <c r="A32" t="s">
        <v>988</v>
      </c>
      <c r="B32" t="s">
        <v>987</v>
      </c>
      <c r="C32" t="s">
        <v>10</v>
      </c>
      <c r="D32">
        <v>451620</v>
      </c>
      <c r="E32" t="s">
        <v>8</v>
      </c>
    </row>
    <row r="33" spans="1:5" x14ac:dyDescent="0.55000000000000004">
      <c r="A33" t="s">
        <v>1225</v>
      </c>
      <c r="B33" t="s">
        <v>1224</v>
      </c>
      <c r="C33" t="s">
        <v>10</v>
      </c>
      <c r="D33">
        <v>1614541</v>
      </c>
      <c r="E33" t="s">
        <v>8</v>
      </c>
    </row>
    <row r="34" spans="1:5" x14ac:dyDescent="0.55000000000000004">
      <c r="A34" t="s">
        <v>1231</v>
      </c>
      <c r="B34" t="s">
        <v>1230</v>
      </c>
      <c r="C34" t="s">
        <v>13</v>
      </c>
      <c r="D34">
        <v>204777</v>
      </c>
      <c r="E34" t="s">
        <v>8</v>
      </c>
    </row>
    <row r="35" spans="1:5" x14ac:dyDescent="0.55000000000000004">
      <c r="A35" t="s">
        <v>999</v>
      </c>
      <c r="B35" t="s">
        <v>998</v>
      </c>
      <c r="C35" t="s">
        <v>10</v>
      </c>
      <c r="D35">
        <v>558209</v>
      </c>
      <c r="E35" t="s">
        <v>8</v>
      </c>
    </row>
    <row r="36" spans="1:5" x14ac:dyDescent="0.55000000000000004">
      <c r="A36" t="s">
        <v>1236</v>
      </c>
      <c r="B36" t="s">
        <v>1235</v>
      </c>
      <c r="C36" t="s">
        <v>10</v>
      </c>
      <c r="D36">
        <v>365935</v>
      </c>
      <c r="E36" t="s">
        <v>8</v>
      </c>
    </row>
    <row r="37" spans="1:5" x14ac:dyDescent="0.55000000000000004">
      <c r="A37" t="s">
        <v>1007</v>
      </c>
      <c r="B37" t="s">
        <v>1006</v>
      </c>
      <c r="C37" t="s">
        <v>10</v>
      </c>
      <c r="D37">
        <v>970885</v>
      </c>
      <c r="E37" t="s">
        <v>8</v>
      </c>
    </row>
    <row r="38" spans="1:5" x14ac:dyDescent="0.55000000000000004">
      <c r="A38" t="s">
        <v>1240</v>
      </c>
      <c r="B38" t="s">
        <v>1239</v>
      </c>
      <c r="C38" t="s">
        <v>10</v>
      </c>
      <c r="D38">
        <v>386883</v>
      </c>
      <c r="E38" t="s">
        <v>8</v>
      </c>
    </row>
    <row r="39" spans="1:5" x14ac:dyDescent="0.55000000000000004">
      <c r="A39" t="s">
        <v>190</v>
      </c>
      <c r="B39" t="s">
        <v>189</v>
      </c>
      <c r="C39" t="s">
        <v>10</v>
      </c>
      <c r="D39">
        <v>352976</v>
      </c>
      <c r="E39" t="s">
        <v>8</v>
      </c>
    </row>
    <row r="40" spans="1:5" x14ac:dyDescent="0.55000000000000004">
      <c r="A40" t="s">
        <v>1248</v>
      </c>
      <c r="B40" t="s">
        <v>1247</v>
      </c>
      <c r="C40" t="s">
        <v>10</v>
      </c>
      <c r="D40">
        <v>250166</v>
      </c>
      <c r="E40" t="s">
        <v>8</v>
      </c>
    </row>
    <row r="41" spans="1:5" x14ac:dyDescent="0.55000000000000004">
      <c r="A41" t="s">
        <v>1013</v>
      </c>
      <c r="B41" t="s">
        <v>1012</v>
      </c>
      <c r="C41" t="s">
        <v>10</v>
      </c>
      <c r="D41">
        <v>1349791</v>
      </c>
      <c r="E41" t="s">
        <v>8</v>
      </c>
    </row>
    <row r="42" spans="1:5" x14ac:dyDescent="0.55000000000000004">
      <c r="A42" t="s">
        <v>1015</v>
      </c>
      <c r="B42" t="s">
        <v>1014</v>
      </c>
      <c r="C42" t="s">
        <v>10</v>
      </c>
      <c r="D42">
        <v>616191</v>
      </c>
      <c r="E42" t="s">
        <v>8</v>
      </c>
    </row>
    <row r="43" spans="1:5" x14ac:dyDescent="0.55000000000000004">
      <c r="A43" t="s">
        <v>1019</v>
      </c>
      <c r="B43" t="s">
        <v>1018</v>
      </c>
      <c r="C43" t="s">
        <v>10</v>
      </c>
      <c r="D43">
        <v>725122</v>
      </c>
      <c r="E43" t="s">
        <v>8</v>
      </c>
    </row>
    <row r="44" spans="1:5" x14ac:dyDescent="0.55000000000000004">
      <c r="A44" t="s">
        <v>575</v>
      </c>
      <c r="B44" t="s">
        <v>574</v>
      </c>
      <c r="C44" t="s">
        <v>10</v>
      </c>
      <c r="D44">
        <v>724175</v>
      </c>
      <c r="E44" t="s">
        <v>8</v>
      </c>
    </row>
    <row r="45" spans="1:5" x14ac:dyDescent="0.55000000000000004">
      <c r="A45" t="s">
        <v>1254</v>
      </c>
      <c r="B45" t="s">
        <v>1253</v>
      </c>
      <c r="C45" t="s">
        <v>41</v>
      </c>
      <c r="D45">
        <v>496447</v>
      </c>
      <c r="E45" t="s">
        <v>8</v>
      </c>
    </row>
    <row r="46" spans="1:5" x14ac:dyDescent="0.55000000000000004">
      <c r="A46" t="s">
        <v>204</v>
      </c>
      <c r="B46" t="s">
        <v>203</v>
      </c>
      <c r="C46" t="s">
        <v>10</v>
      </c>
      <c r="D46">
        <v>480362</v>
      </c>
      <c r="E46" t="s">
        <v>8</v>
      </c>
    </row>
    <row r="47" spans="1:5" x14ac:dyDescent="0.55000000000000004">
      <c r="A47" t="s">
        <v>1256</v>
      </c>
      <c r="B47" t="s">
        <v>1255</v>
      </c>
      <c r="C47" t="s">
        <v>10</v>
      </c>
      <c r="D47">
        <v>361578</v>
      </c>
      <c r="E47" t="s">
        <v>8</v>
      </c>
    </row>
    <row r="48" spans="1:5" x14ac:dyDescent="0.55000000000000004">
      <c r="A48" t="s">
        <v>1258</v>
      </c>
      <c r="B48" t="s">
        <v>1257</v>
      </c>
      <c r="C48" t="s">
        <v>10</v>
      </c>
      <c r="D48">
        <v>1217948</v>
      </c>
      <c r="E48" t="s">
        <v>8</v>
      </c>
    </row>
    <row r="49" spans="1:5" x14ac:dyDescent="0.55000000000000004">
      <c r="A49" t="s">
        <v>209</v>
      </c>
      <c r="B49" t="s">
        <v>207</v>
      </c>
      <c r="C49" t="s">
        <v>208</v>
      </c>
      <c r="D49">
        <v>3289261</v>
      </c>
      <c r="E49" t="s">
        <v>8</v>
      </c>
    </row>
    <row r="50" spans="1:5" x14ac:dyDescent="0.55000000000000004">
      <c r="A50" t="s">
        <v>1260</v>
      </c>
      <c r="B50" t="s">
        <v>1259</v>
      </c>
      <c r="C50" t="s">
        <v>10</v>
      </c>
      <c r="D50">
        <v>205714</v>
      </c>
      <c r="E50" t="s">
        <v>8</v>
      </c>
    </row>
    <row r="51" spans="1:5" x14ac:dyDescent="0.55000000000000004">
      <c r="A51" t="s">
        <v>1262</v>
      </c>
      <c r="B51" t="s">
        <v>1261</v>
      </c>
      <c r="C51" t="s">
        <v>41</v>
      </c>
      <c r="D51">
        <v>274700</v>
      </c>
      <c r="E51" t="s">
        <v>8</v>
      </c>
    </row>
    <row r="52" spans="1:5" x14ac:dyDescent="0.55000000000000004">
      <c r="A52" t="s">
        <v>1278</v>
      </c>
      <c r="B52" t="s">
        <v>1277</v>
      </c>
      <c r="C52" t="s">
        <v>13</v>
      </c>
      <c r="D52">
        <v>2751309</v>
      </c>
      <c r="E52" t="s">
        <v>8</v>
      </c>
    </row>
    <row r="53" spans="1:5" x14ac:dyDescent="0.55000000000000004">
      <c r="A53" t="s">
        <v>218</v>
      </c>
      <c r="B53" t="s">
        <v>217</v>
      </c>
      <c r="C53" t="s">
        <v>10</v>
      </c>
      <c r="D53">
        <v>595171</v>
      </c>
      <c r="E53" t="s">
        <v>8</v>
      </c>
    </row>
    <row r="54" spans="1:5" x14ac:dyDescent="0.55000000000000004">
      <c r="A54" t="s">
        <v>222</v>
      </c>
      <c r="B54" t="s">
        <v>221</v>
      </c>
      <c r="C54" t="s">
        <v>10</v>
      </c>
      <c r="D54">
        <v>808343</v>
      </c>
      <c r="E54" t="s">
        <v>8</v>
      </c>
    </row>
    <row r="55" spans="1:5" x14ac:dyDescent="0.55000000000000004">
      <c r="A55" t="s">
        <v>585</v>
      </c>
      <c r="B55" t="s">
        <v>584</v>
      </c>
      <c r="C55" t="s">
        <v>10</v>
      </c>
      <c r="D55">
        <v>893996</v>
      </c>
      <c r="E55" t="s">
        <v>8</v>
      </c>
    </row>
    <row r="56" spans="1:5" x14ac:dyDescent="0.55000000000000004">
      <c r="A56" t="s">
        <v>228</v>
      </c>
      <c r="B56" t="s">
        <v>227</v>
      </c>
      <c r="C56" t="s">
        <v>10</v>
      </c>
      <c r="D56">
        <v>314711</v>
      </c>
      <c r="E56" t="s">
        <v>8</v>
      </c>
    </row>
    <row r="57" spans="1:5" x14ac:dyDescent="0.55000000000000004">
      <c r="A57" t="s">
        <v>1287</v>
      </c>
      <c r="B57" t="s">
        <v>1286</v>
      </c>
      <c r="C57" t="s">
        <v>10</v>
      </c>
      <c r="D57">
        <v>685563</v>
      </c>
      <c r="E57" t="s">
        <v>8</v>
      </c>
    </row>
    <row r="58" spans="1:5" x14ac:dyDescent="0.55000000000000004">
      <c r="A58" t="s">
        <v>1289</v>
      </c>
      <c r="B58" t="s">
        <v>1288</v>
      </c>
      <c r="C58" t="s">
        <v>10</v>
      </c>
      <c r="D58">
        <v>314539</v>
      </c>
      <c r="E58" t="s">
        <v>8</v>
      </c>
    </row>
    <row r="59" spans="1:5" x14ac:dyDescent="0.55000000000000004">
      <c r="A59" t="s">
        <v>235</v>
      </c>
      <c r="B59" t="s">
        <v>234</v>
      </c>
      <c r="C59" t="s">
        <v>41</v>
      </c>
      <c r="D59">
        <v>569333</v>
      </c>
      <c r="E59" t="s">
        <v>8</v>
      </c>
    </row>
    <row r="60" spans="1:5" x14ac:dyDescent="0.55000000000000004">
      <c r="A60" t="s">
        <v>1293</v>
      </c>
      <c r="B60" t="s">
        <v>1292</v>
      </c>
      <c r="C60" t="s">
        <v>10</v>
      </c>
      <c r="D60">
        <v>207177</v>
      </c>
      <c r="E60" t="s">
        <v>8</v>
      </c>
    </row>
    <row r="61" spans="1:5" x14ac:dyDescent="0.55000000000000004">
      <c r="A61" t="s">
        <v>241</v>
      </c>
      <c r="B61" t="s">
        <v>240</v>
      </c>
      <c r="C61" t="s">
        <v>10</v>
      </c>
      <c r="D61">
        <v>1244563</v>
      </c>
      <c r="E61" t="s">
        <v>8</v>
      </c>
    </row>
    <row r="62" spans="1:5" x14ac:dyDescent="0.55000000000000004">
      <c r="A62" t="s">
        <v>243</v>
      </c>
      <c r="B62" t="s">
        <v>242</v>
      </c>
      <c r="C62" t="s">
        <v>10</v>
      </c>
      <c r="D62">
        <v>1641254</v>
      </c>
      <c r="E62" t="s">
        <v>8</v>
      </c>
    </row>
    <row r="63" spans="1:5" x14ac:dyDescent="0.55000000000000004">
      <c r="A63" t="s">
        <v>247</v>
      </c>
      <c r="B63" t="s">
        <v>246</v>
      </c>
      <c r="C63" t="s">
        <v>10</v>
      </c>
      <c r="D63">
        <v>503346</v>
      </c>
      <c r="E63" t="s">
        <v>8</v>
      </c>
    </row>
    <row r="64" spans="1:5" x14ac:dyDescent="0.55000000000000004">
      <c r="A64" t="s">
        <v>1295</v>
      </c>
      <c r="B64" t="s">
        <v>1294</v>
      </c>
      <c r="C64" t="s">
        <v>10</v>
      </c>
      <c r="D64">
        <v>209540</v>
      </c>
      <c r="E64" t="s">
        <v>8</v>
      </c>
    </row>
    <row r="65" spans="1:5" x14ac:dyDescent="0.55000000000000004">
      <c r="A65" t="s">
        <v>753</v>
      </c>
      <c r="B65" t="s">
        <v>752</v>
      </c>
      <c r="C65" t="s">
        <v>10</v>
      </c>
      <c r="D65">
        <v>135737</v>
      </c>
      <c r="E65" t="s">
        <v>8</v>
      </c>
    </row>
    <row r="66" spans="1:5" x14ac:dyDescent="0.55000000000000004">
      <c r="A66" t="s">
        <v>1297</v>
      </c>
      <c r="B66" t="s">
        <v>1296</v>
      </c>
      <c r="C66" t="s">
        <v>10</v>
      </c>
      <c r="D66">
        <v>753647</v>
      </c>
      <c r="E66" t="s">
        <v>8</v>
      </c>
    </row>
    <row r="67" spans="1:5" x14ac:dyDescent="0.55000000000000004">
      <c r="A67" t="s">
        <v>1299</v>
      </c>
      <c r="B67" t="s">
        <v>1298</v>
      </c>
      <c r="C67" t="s">
        <v>10</v>
      </c>
      <c r="D67">
        <v>219961</v>
      </c>
      <c r="E67" t="s">
        <v>8</v>
      </c>
    </row>
    <row r="68" spans="1:5" x14ac:dyDescent="0.55000000000000004">
      <c r="A68" t="s">
        <v>597</v>
      </c>
      <c r="B68" t="s">
        <v>596</v>
      </c>
      <c r="C68" t="s">
        <v>6</v>
      </c>
      <c r="D68">
        <v>986867</v>
      </c>
      <c r="E68" t="s">
        <v>8</v>
      </c>
    </row>
    <row r="69" spans="1:5" x14ac:dyDescent="0.55000000000000004">
      <c r="A69" t="s">
        <v>1029</v>
      </c>
      <c r="B69" t="s">
        <v>1028</v>
      </c>
      <c r="C69" t="s">
        <v>10</v>
      </c>
      <c r="D69">
        <v>2600807</v>
      </c>
      <c r="E69" t="s">
        <v>8</v>
      </c>
    </row>
    <row r="70" spans="1:5" x14ac:dyDescent="0.55000000000000004">
      <c r="A70" t="s">
        <v>1301</v>
      </c>
      <c r="B70" t="s">
        <v>1300</v>
      </c>
      <c r="C70" t="s">
        <v>10</v>
      </c>
      <c r="D70">
        <v>1002080</v>
      </c>
      <c r="E70" t="s">
        <v>8</v>
      </c>
    </row>
    <row r="71" spans="1:5" x14ac:dyDescent="0.55000000000000004">
      <c r="A71" t="s">
        <v>1303</v>
      </c>
      <c r="B71" t="s">
        <v>1302</v>
      </c>
      <c r="C71" t="s">
        <v>10</v>
      </c>
      <c r="D71">
        <v>1182877</v>
      </c>
      <c r="E71" t="s">
        <v>8</v>
      </c>
    </row>
    <row r="72" spans="1:5" x14ac:dyDescent="0.55000000000000004">
      <c r="A72" t="s">
        <v>265</v>
      </c>
      <c r="B72" t="s">
        <v>264</v>
      </c>
      <c r="C72" t="s">
        <v>10</v>
      </c>
      <c r="D72">
        <v>1254856</v>
      </c>
      <c r="E72" t="s">
        <v>8</v>
      </c>
    </row>
    <row r="73" spans="1:5" x14ac:dyDescent="0.55000000000000004">
      <c r="A73" t="s">
        <v>607</v>
      </c>
      <c r="B73" t="s">
        <v>606</v>
      </c>
      <c r="C73" t="s">
        <v>10</v>
      </c>
      <c r="D73">
        <v>2959504</v>
      </c>
      <c r="E73" t="s">
        <v>8</v>
      </c>
    </row>
    <row r="74" spans="1:5" x14ac:dyDescent="0.55000000000000004">
      <c r="A74" t="s">
        <v>757</v>
      </c>
      <c r="B74" t="s">
        <v>756</v>
      </c>
      <c r="C74" t="s">
        <v>10</v>
      </c>
      <c r="D74">
        <v>203387</v>
      </c>
      <c r="E74" t="s">
        <v>8</v>
      </c>
    </row>
    <row r="75" spans="1:5" x14ac:dyDescent="0.55000000000000004">
      <c r="A75" t="s">
        <v>1305</v>
      </c>
      <c r="B75" t="s">
        <v>1304</v>
      </c>
      <c r="C75" t="s">
        <v>10</v>
      </c>
      <c r="D75">
        <v>1212862</v>
      </c>
      <c r="E75" t="s">
        <v>8</v>
      </c>
    </row>
    <row r="76" spans="1:5" x14ac:dyDescent="0.55000000000000004">
      <c r="A76" t="s">
        <v>1307</v>
      </c>
      <c r="B76" t="s">
        <v>1306</v>
      </c>
      <c r="C76" t="s">
        <v>10</v>
      </c>
      <c r="D76">
        <v>759918</v>
      </c>
      <c r="E76" t="s">
        <v>8</v>
      </c>
    </row>
    <row r="77" spans="1:5" x14ac:dyDescent="0.55000000000000004">
      <c r="A77" t="s">
        <v>1311</v>
      </c>
      <c r="B77" t="s">
        <v>1310</v>
      </c>
      <c r="C77" t="s">
        <v>10</v>
      </c>
      <c r="D77">
        <v>1893272</v>
      </c>
      <c r="E77" t="s">
        <v>8</v>
      </c>
    </row>
    <row r="78" spans="1:5" x14ac:dyDescent="0.55000000000000004">
      <c r="A78" t="s">
        <v>1315</v>
      </c>
      <c r="B78" t="s">
        <v>1314</v>
      </c>
      <c r="C78" t="s">
        <v>10</v>
      </c>
      <c r="D78">
        <v>211973</v>
      </c>
      <c r="E78" t="s">
        <v>8</v>
      </c>
    </row>
    <row r="79" spans="1:5" x14ac:dyDescent="0.55000000000000004">
      <c r="A79" t="s">
        <v>761</v>
      </c>
      <c r="B79" t="s">
        <v>760</v>
      </c>
      <c r="C79" t="s">
        <v>10</v>
      </c>
      <c r="D79">
        <v>319768</v>
      </c>
      <c r="E79" t="s">
        <v>8</v>
      </c>
    </row>
    <row r="80" spans="1:5" x14ac:dyDescent="0.55000000000000004">
      <c r="A80" t="s">
        <v>1041</v>
      </c>
      <c r="B80" t="s">
        <v>1040</v>
      </c>
      <c r="C80" t="s">
        <v>76</v>
      </c>
      <c r="D80">
        <v>340530</v>
      </c>
      <c r="E80" t="s">
        <v>8</v>
      </c>
    </row>
    <row r="81" spans="1:5" x14ac:dyDescent="0.55000000000000004">
      <c r="A81" t="s">
        <v>1328</v>
      </c>
      <c r="B81" t="s">
        <v>1327</v>
      </c>
      <c r="C81" t="s">
        <v>10</v>
      </c>
      <c r="D81">
        <v>901358</v>
      </c>
      <c r="E81" t="s">
        <v>8</v>
      </c>
    </row>
    <row r="82" spans="1:5" x14ac:dyDescent="0.55000000000000004">
      <c r="A82" t="s">
        <v>1334</v>
      </c>
      <c r="B82" t="s">
        <v>1333</v>
      </c>
      <c r="C82" t="s">
        <v>10</v>
      </c>
      <c r="D82">
        <v>842322</v>
      </c>
      <c r="E82" t="s">
        <v>8</v>
      </c>
    </row>
    <row r="83" spans="1:5" x14ac:dyDescent="0.55000000000000004">
      <c r="A83" t="s">
        <v>1330</v>
      </c>
      <c r="B83" t="s">
        <v>1329</v>
      </c>
      <c r="C83" t="s">
        <v>13</v>
      </c>
      <c r="D83">
        <v>2441135</v>
      </c>
      <c r="E83" t="s">
        <v>8</v>
      </c>
    </row>
    <row r="84" spans="1:5" x14ac:dyDescent="0.55000000000000004">
      <c r="A84" t="s">
        <v>1332</v>
      </c>
      <c r="B84" t="s">
        <v>1331</v>
      </c>
      <c r="C84" t="s">
        <v>10</v>
      </c>
      <c r="D84">
        <v>1298207</v>
      </c>
      <c r="E84" t="s">
        <v>8</v>
      </c>
    </row>
    <row r="85" spans="1:5" x14ac:dyDescent="0.55000000000000004">
      <c r="A85" t="s">
        <v>294</v>
      </c>
      <c r="B85" t="s">
        <v>293</v>
      </c>
      <c r="C85" t="s">
        <v>10</v>
      </c>
      <c r="D85">
        <v>44250</v>
      </c>
      <c r="E85" t="s">
        <v>8</v>
      </c>
    </row>
    <row r="86" spans="1:5" x14ac:dyDescent="0.55000000000000004">
      <c r="A86" t="s">
        <v>1354</v>
      </c>
      <c r="B86" t="s">
        <v>1353</v>
      </c>
      <c r="C86" t="s">
        <v>13</v>
      </c>
      <c r="D86">
        <v>970596</v>
      </c>
      <c r="E86" t="s">
        <v>8</v>
      </c>
    </row>
    <row r="87" spans="1:5" x14ac:dyDescent="0.55000000000000004">
      <c r="A87" t="s">
        <v>1338</v>
      </c>
      <c r="B87" t="s">
        <v>1337</v>
      </c>
      <c r="C87" t="s">
        <v>10</v>
      </c>
      <c r="D87">
        <v>666252</v>
      </c>
      <c r="E87" t="s">
        <v>8</v>
      </c>
    </row>
    <row r="88" spans="1:5" x14ac:dyDescent="0.55000000000000004">
      <c r="A88" t="s">
        <v>1340</v>
      </c>
      <c r="B88" t="s">
        <v>1339</v>
      </c>
      <c r="C88" t="s">
        <v>10</v>
      </c>
      <c r="D88">
        <v>422183</v>
      </c>
      <c r="E88" t="s">
        <v>8</v>
      </c>
    </row>
    <row r="89" spans="1:5" x14ac:dyDescent="0.55000000000000004">
      <c r="A89" t="s">
        <v>1342</v>
      </c>
      <c r="B89" t="s">
        <v>1341</v>
      </c>
      <c r="C89" t="s">
        <v>13</v>
      </c>
      <c r="D89">
        <v>372418</v>
      </c>
      <c r="E89" t="s">
        <v>8</v>
      </c>
    </row>
    <row r="90" spans="1:5" x14ac:dyDescent="0.55000000000000004">
      <c r="A90" t="s">
        <v>1344</v>
      </c>
      <c r="B90" t="s">
        <v>1343</v>
      </c>
      <c r="C90" t="s">
        <v>10</v>
      </c>
      <c r="D90">
        <v>356177</v>
      </c>
      <c r="E90" t="s">
        <v>8</v>
      </c>
    </row>
    <row r="91" spans="1:5" x14ac:dyDescent="0.55000000000000004">
      <c r="A91" t="s">
        <v>309</v>
      </c>
      <c r="B91" t="s">
        <v>308</v>
      </c>
      <c r="C91" t="s">
        <v>10</v>
      </c>
      <c r="D91">
        <v>2625257</v>
      </c>
      <c r="E91" t="s">
        <v>8</v>
      </c>
    </row>
    <row r="92" spans="1:5" x14ac:dyDescent="0.55000000000000004">
      <c r="A92" t="s">
        <v>1346</v>
      </c>
      <c r="B92" t="s">
        <v>1345</v>
      </c>
      <c r="C92" t="s">
        <v>10</v>
      </c>
      <c r="D92">
        <v>279238</v>
      </c>
      <c r="E92" t="s">
        <v>8</v>
      </c>
    </row>
    <row r="93" spans="1:5" x14ac:dyDescent="0.55000000000000004">
      <c r="A93" t="s">
        <v>1348</v>
      </c>
      <c r="B93" t="s">
        <v>1347</v>
      </c>
      <c r="C93" t="s">
        <v>10</v>
      </c>
      <c r="D93">
        <v>222675</v>
      </c>
      <c r="E93" t="s">
        <v>8</v>
      </c>
    </row>
    <row r="94" spans="1:5" x14ac:dyDescent="0.55000000000000004">
      <c r="A94" t="s">
        <v>1350</v>
      </c>
      <c r="B94" t="s">
        <v>1349</v>
      </c>
      <c r="C94" t="s">
        <v>41</v>
      </c>
      <c r="D94">
        <v>232187</v>
      </c>
      <c r="E94" t="s">
        <v>8</v>
      </c>
    </row>
    <row r="95" spans="1:5" x14ac:dyDescent="0.55000000000000004">
      <c r="A95" t="s">
        <v>315</v>
      </c>
      <c r="B95" t="s">
        <v>314</v>
      </c>
      <c r="C95" t="s">
        <v>10</v>
      </c>
      <c r="D95">
        <v>540818</v>
      </c>
      <c r="E95" t="s">
        <v>8</v>
      </c>
    </row>
    <row r="96" spans="1:5" x14ac:dyDescent="0.55000000000000004">
      <c r="A96" t="s">
        <v>1358</v>
      </c>
      <c r="B96" t="s">
        <v>1357</v>
      </c>
      <c r="C96" t="s">
        <v>10</v>
      </c>
      <c r="D96">
        <v>203602</v>
      </c>
      <c r="E96" t="s">
        <v>8</v>
      </c>
    </row>
    <row r="97" spans="1:5" x14ac:dyDescent="0.55000000000000004">
      <c r="A97" t="s">
        <v>1065</v>
      </c>
      <c r="B97" t="s">
        <v>1064</v>
      </c>
      <c r="C97" t="s">
        <v>10</v>
      </c>
      <c r="D97">
        <v>41340</v>
      </c>
      <c r="E97" t="s">
        <v>8</v>
      </c>
    </row>
    <row r="98" spans="1:5" x14ac:dyDescent="0.55000000000000004">
      <c r="A98" t="s">
        <v>881</v>
      </c>
      <c r="B98" t="s">
        <v>879</v>
      </c>
      <c r="C98" t="s">
        <v>880</v>
      </c>
      <c r="D98">
        <v>232064</v>
      </c>
      <c r="E98" t="s">
        <v>8</v>
      </c>
    </row>
    <row r="99" spans="1:5" x14ac:dyDescent="0.55000000000000004">
      <c r="A99" t="s">
        <v>1366</v>
      </c>
      <c r="B99" t="s">
        <v>1365</v>
      </c>
      <c r="C99" t="s">
        <v>10</v>
      </c>
      <c r="D99">
        <v>644334</v>
      </c>
      <c r="E99" t="s">
        <v>8</v>
      </c>
    </row>
    <row r="100" spans="1:5" x14ac:dyDescent="0.55000000000000004">
      <c r="A100" t="s">
        <v>651</v>
      </c>
      <c r="B100" t="s">
        <v>650</v>
      </c>
      <c r="C100" t="s">
        <v>10</v>
      </c>
      <c r="D100">
        <v>188105</v>
      </c>
      <c r="E100" t="s">
        <v>8</v>
      </c>
    </row>
    <row r="101" spans="1:5" x14ac:dyDescent="0.55000000000000004">
      <c r="A101" t="s">
        <v>1371</v>
      </c>
      <c r="B101" t="s">
        <v>1370</v>
      </c>
      <c r="C101" t="s">
        <v>10</v>
      </c>
      <c r="D101">
        <v>3246273</v>
      </c>
      <c r="E101" t="s">
        <v>8</v>
      </c>
    </row>
    <row r="102" spans="1:5" x14ac:dyDescent="0.55000000000000004">
      <c r="A102" t="s">
        <v>659</v>
      </c>
      <c r="B102" t="s">
        <v>1188</v>
      </c>
      <c r="C102" t="s">
        <v>10</v>
      </c>
      <c r="D102">
        <v>230770</v>
      </c>
      <c r="E102" t="s">
        <v>8</v>
      </c>
    </row>
    <row r="103" spans="1:5" x14ac:dyDescent="0.55000000000000004">
      <c r="A103" t="s">
        <v>339</v>
      </c>
      <c r="B103" t="s">
        <v>338</v>
      </c>
      <c r="C103" t="s">
        <v>10</v>
      </c>
      <c r="D103">
        <v>503614</v>
      </c>
      <c r="E103" t="s">
        <v>8</v>
      </c>
    </row>
    <row r="104" spans="1:5" x14ac:dyDescent="0.55000000000000004">
      <c r="A104" t="s">
        <v>358</v>
      </c>
      <c r="B104" t="s">
        <v>357</v>
      </c>
      <c r="C104" t="s">
        <v>10</v>
      </c>
      <c r="D104">
        <v>356801</v>
      </c>
      <c r="E104" t="s">
        <v>8</v>
      </c>
    </row>
    <row r="105" spans="1:5" x14ac:dyDescent="0.55000000000000004">
      <c r="A105" t="s">
        <v>1381</v>
      </c>
      <c r="B105" t="s">
        <v>1380</v>
      </c>
      <c r="C105" t="s">
        <v>1317</v>
      </c>
      <c r="D105">
        <v>4961428</v>
      </c>
      <c r="E105" t="s">
        <v>8</v>
      </c>
    </row>
    <row r="106" spans="1:5" x14ac:dyDescent="0.55000000000000004">
      <c r="A106" t="s">
        <v>1087</v>
      </c>
      <c r="B106" t="s">
        <v>1086</v>
      </c>
      <c r="C106" t="s">
        <v>10</v>
      </c>
      <c r="D106">
        <v>846404</v>
      </c>
      <c r="E106" t="s">
        <v>8</v>
      </c>
    </row>
    <row r="107" spans="1:5" x14ac:dyDescent="0.55000000000000004">
      <c r="A107" t="s">
        <v>1387</v>
      </c>
      <c r="B107" t="s">
        <v>1386</v>
      </c>
      <c r="C107" t="s">
        <v>10</v>
      </c>
      <c r="D107">
        <v>269810</v>
      </c>
      <c r="E107" t="s">
        <v>8</v>
      </c>
    </row>
    <row r="108" spans="1:5" x14ac:dyDescent="0.55000000000000004">
      <c r="A108" t="s">
        <v>902</v>
      </c>
      <c r="B108" t="s">
        <v>901</v>
      </c>
      <c r="C108" t="s">
        <v>10</v>
      </c>
      <c r="D108">
        <v>261288</v>
      </c>
      <c r="E108" t="s">
        <v>8</v>
      </c>
    </row>
    <row r="109" spans="1:5" x14ac:dyDescent="0.55000000000000004">
      <c r="A109" t="s">
        <v>1393</v>
      </c>
      <c r="B109" t="s">
        <v>1392</v>
      </c>
      <c r="C109" t="s">
        <v>6</v>
      </c>
      <c r="D109">
        <v>382709</v>
      </c>
      <c r="E109" t="s">
        <v>8</v>
      </c>
    </row>
    <row r="110" spans="1:5" x14ac:dyDescent="0.55000000000000004">
      <c r="A110" t="s">
        <v>1395</v>
      </c>
      <c r="B110" t="s">
        <v>1394</v>
      </c>
      <c r="C110" t="s">
        <v>10</v>
      </c>
      <c r="D110">
        <v>1643422</v>
      </c>
      <c r="E110" t="s">
        <v>8</v>
      </c>
    </row>
    <row r="111" spans="1:5" x14ac:dyDescent="0.55000000000000004">
      <c r="A111" t="s">
        <v>1397</v>
      </c>
      <c r="B111" t="s">
        <v>1396</v>
      </c>
      <c r="C111" t="s">
        <v>10</v>
      </c>
      <c r="D111">
        <v>1580791</v>
      </c>
      <c r="E111" t="s">
        <v>8</v>
      </c>
    </row>
    <row r="112" spans="1:5" x14ac:dyDescent="0.55000000000000004">
      <c r="A112" t="s">
        <v>1399</v>
      </c>
      <c r="B112" t="s">
        <v>1398</v>
      </c>
      <c r="C112" t="s">
        <v>13</v>
      </c>
      <c r="D112">
        <v>1044991</v>
      </c>
      <c r="E112" t="s">
        <v>8</v>
      </c>
    </row>
    <row r="113" spans="1:5" x14ac:dyDescent="0.55000000000000004">
      <c r="A113" t="s">
        <v>1401</v>
      </c>
      <c r="B113" t="s">
        <v>1400</v>
      </c>
      <c r="C113" t="s">
        <v>10</v>
      </c>
      <c r="D113">
        <v>944327</v>
      </c>
      <c r="E113" t="s">
        <v>8</v>
      </c>
    </row>
    <row r="114" spans="1:5" x14ac:dyDescent="0.55000000000000004">
      <c r="A114" t="s">
        <v>1111</v>
      </c>
      <c r="B114" t="s">
        <v>1110</v>
      </c>
      <c r="C114" t="s">
        <v>10</v>
      </c>
      <c r="D114">
        <v>643225</v>
      </c>
      <c r="E114" t="s">
        <v>8</v>
      </c>
    </row>
    <row r="115" spans="1:5" x14ac:dyDescent="0.55000000000000004">
      <c r="A115" t="s">
        <v>683</v>
      </c>
      <c r="B115" t="s">
        <v>682</v>
      </c>
      <c r="C115" t="s">
        <v>10</v>
      </c>
      <c r="D115">
        <v>288106</v>
      </c>
      <c r="E115" t="s">
        <v>8</v>
      </c>
    </row>
    <row r="116" spans="1:5" x14ac:dyDescent="0.55000000000000004">
      <c r="A116" t="s">
        <v>1391</v>
      </c>
      <c r="B116" t="s">
        <v>1390</v>
      </c>
      <c r="C116" t="s">
        <v>13</v>
      </c>
      <c r="D116">
        <v>839087</v>
      </c>
      <c r="E116" t="s">
        <v>8</v>
      </c>
    </row>
    <row r="117" spans="1:5" x14ac:dyDescent="0.55000000000000004">
      <c r="A117" t="s">
        <v>398</v>
      </c>
      <c r="B117" t="s">
        <v>397</v>
      </c>
      <c r="C117" t="s">
        <v>10</v>
      </c>
      <c r="D117">
        <v>1233656</v>
      </c>
      <c r="E117" t="s">
        <v>8</v>
      </c>
    </row>
    <row r="118" spans="1:5" x14ac:dyDescent="0.55000000000000004">
      <c r="A118" t="s">
        <v>789</v>
      </c>
      <c r="B118" t="s">
        <v>788</v>
      </c>
      <c r="C118" t="s">
        <v>13</v>
      </c>
      <c r="D118">
        <v>1432170</v>
      </c>
      <c r="E118" t="s">
        <v>8</v>
      </c>
    </row>
    <row r="119" spans="1:5" x14ac:dyDescent="0.55000000000000004">
      <c r="A119" t="s">
        <v>1406</v>
      </c>
      <c r="B119" t="s">
        <v>1405</v>
      </c>
      <c r="C119" t="s">
        <v>10</v>
      </c>
      <c r="D119">
        <v>707123</v>
      </c>
      <c r="E119" t="s">
        <v>8</v>
      </c>
    </row>
    <row r="120" spans="1:5" x14ac:dyDescent="0.55000000000000004">
      <c r="A120" t="s">
        <v>1410</v>
      </c>
      <c r="B120" t="s">
        <v>1409</v>
      </c>
      <c r="C120" t="s">
        <v>41</v>
      </c>
      <c r="D120">
        <v>919752</v>
      </c>
      <c r="E120" t="s">
        <v>8</v>
      </c>
    </row>
    <row r="121" spans="1:5" x14ac:dyDescent="0.55000000000000004">
      <c r="A121" t="s">
        <v>1412</v>
      </c>
      <c r="B121" t="s">
        <v>1411</v>
      </c>
      <c r="C121" t="s">
        <v>10</v>
      </c>
      <c r="D121">
        <v>201270</v>
      </c>
      <c r="E121" t="s">
        <v>8</v>
      </c>
    </row>
    <row r="122" spans="1:5" x14ac:dyDescent="0.55000000000000004">
      <c r="A122" t="s">
        <v>1414</v>
      </c>
      <c r="B122" t="s">
        <v>1413</v>
      </c>
      <c r="C122" t="s">
        <v>13</v>
      </c>
      <c r="D122">
        <v>685447</v>
      </c>
      <c r="E122" t="s">
        <v>8</v>
      </c>
    </row>
    <row r="123" spans="1:5" x14ac:dyDescent="0.55000000000000004">
      <c r="A123" t="s">
        <v>693</v>
      </c>
      <c r="B123" t="s">
        <v>692</v>
      </c>
      <c r="C123" t="s">
        <v>10</v>
      </c>
      <c r="D123">
        <v>231202</v>
      </c>
      <c r="E123" t="s">
        <v>8</v>
      </c>
    </row>
    <row r="124" spans="1:5" x14ac:dyDescent="0.55000000000000004">
      <c r="A124" t="s">
        <v>1421</v>
      </c>
      <c r="B124" t="s">
        <v>1420</v>
      </c>
      <c r="C124" t="s">
        <v>10</v>
      </c>
      <c r="D124">
        <v>307557</v>
      </c>
      <c r="E124" t="s">
        <v>8</v>
      </c>
    </row>
    <row r="125" spans="1:5" x14ac:dyDescent="0.55000000000000004">
      <c r="A125" t="s">
        <v>1423</v>
      </c>
      <c r="B125" t="s">
        <v>1422</v>
      </c>
      <c r="C125" t="s">
        <v>10</v>
      </c>
      <c r="D125">
        <v>861622</v>
      </c>
      <c r="E125" t="s">
        <v>8</v>
      </c>
    </row>
    <row r="126" spans="1:5" x14ac:dyDescent="0.55000000000000004">
      <c r="A126" t="s">
        <v>1425</v>
      </c>
      <c r="B126" t="s">
        <v>1424</v>
      </c>
      <c r="C126" t="s">
        <v>10</v>
      </c>
      <c r="D126">
        <v>3356991</v>
      </c>
      <c r="E126" t="s">
        <v>8</v>
      </c>
    </row>
    <row r="127" spans="1:5" x14ac:dyDescent="0.55000000000000004">
      <c r="A127" t="s">
        <v>425</v>
      </c>
      <c r="B127" t="s">
        <v>424</v>
      </c>
      <c r="C127" t="s">
        <v>6</v>
      </c>
      <c r="D127">
        <v>351537</v>
      </c>
      <c r="E127" t="s">
        <v>8</v>
      </c>
    </row>
    <row r="128" spans="1:5" x14ac:dyDescent="0.55000000000000004">
      <c r="A128" t="s">
        <v>1429</v>
      </c>
      <c r="B128" t="s">
        <v>1428</v>
      </c>
      <c r="C128" t="s">
        <v>1317</v>
      </c>
      <c r="D128">
        <v>541993</v>
      </c>
      <c r="E128" t="s">
        <v>8</v>
      </c>
    </row>
    <row r="129" spans="1:5" x14ac:dyDescent="0.55000000000000004">
      <c r="A129" t="s">
        <v>1431</v>
      </c>
      <c r="B129" t="s">
        <v>1430</v>
      </c>
      <c r="C129" t="s">
        <v>10</v>
      </c>
      <c r="D129">
        <v>238849</v>
      </c>
      <c r="E129" t="s">
        <v>8</v>
      </c>
    </row>
    <row r="130" spans="1:5" x14ac:dyDescent="0.55000000000000004">
      <c r="A130" t="s">
        <v>1435</v>
      </c>
      <c r="B130" t="s">
        <v>1434</v>
      </c>
      <c r="C130" t="s">
        <v>13</v>
      </c>
      <c r="D130">
        <v>2743912</v>
      </c>
      <c r="E130" t="s">
        <v>8</v>
      </c>
    </row>
    <row r="131" spans="1:5" x14ac:dyDescent="0.55000000000000004">
      <c r="A131" t="s">
        <v>1437</v>
      </c>
      <c r="B131" t="s">
        <v>1436</v>
      </c>
      <c r="C131" t="s">
        <v>41</v>
      </c>
      <c r="D131">
        <v>896672</v>
      </c>
      <c r="E131" t="s">
        <v>8</v>
      </c>
    </row>
    <row r="132" spans="1:5" x14ac:dyDescent="0.55000000000000004">
      <c r="A132" t="s">
        <v>1117</v>
      </c>
      <c r="B132" t="s">
        <v>1116</v>
      </c>
      <c r="C132" t="s">
        <v>10</v>
      </c>
      <c r="D132">
        <v>1370273</v>
      </c>
      <c r="E132" t="s">
        <v>8</v>
      </c>
    </row>
    <row r="133" spans="1:5" x14ac:dyDescent="0.55000000000000004">
      <c r="A133" t="s">
        <v>1439</v>
      </c>
      <c r="B133" t="s">
        <v>1438</v>
      </c>
      <c r="C133" t="s">
        <v>10</v>
      </c>
      <c r="D133">
        <v>2085136</v>
      </c>
      <c r="E133" t="s">
        <v>8</v>
      </c>
    </row>
    <row r="134" spans="1:5" x14ac:dyDescent="0.55000000000000004">
      <c r="A134" t="s">
        <v>1441</v>
      </c>
      <c r="B134" t="s">
        <v>1440</v>
      </c>
      <c r="C134" t="s">
        <v>41</v>
      </c>
      <c r="D134">
        <v>312816</v>
      </c>
      <c r="E134" t="s">
        <v>8</v>
      </c>
    </row>
    <row r="135" spans="1:5" x14ac:dyDescent="0.55000000000000004">
      <c r="A135" t="s">
        <v>1447</v>
      </c>
      <c r="B135" t="s">
        <v>1446</v>
      </c>
      <c r="C135" t="s">
        <v>10</v>
      </c>
      <c r="D135">
        <v>1564182</v>
      </c>
      <c r="E135" t="s">
        <v>8</v>
      </c>
    </row>
    <row r="136" spans="1:5" x14ac:dyDescent="0.55000000000000004">
      <c r="A136" t="s">
        <v>1449</v>
      </c>
      <c r="B136" t="s">
        <v>1448</v>
      </c>
      <c r="C136" t="s">
        <v>10</v>
      </c>
      <c r="D136">
        <v>276018</v>
      </c>
      <c r="E136" t="s">
        <v>8</v>
      </c>
    </row>
    <row r="137" spans="1:5" x14ac:dyDescent="0.55000000000000004">
      <c r="A137" t="s">
        <v>1451</v>
      </c>
      <c r="B137" t="s">
        <v>1450</v>
      </c>
      <c r="C137" t="s">
        <v>880</v>
      </c>
      <c r="D137">
        <v>281911</v>
      </c>
      <c r="E137" t="s">
        <v>8</v>
      </c>
    </row>
    <row r="138" spans="1:5" x14ac:dyDescent="0.55000000000000004">
      <c r="A138" t="s">
        <v>711</v>
      </c>
      <c r="B138" t="s">
        <v>710</v>
      </c>
      <c r="C138" t="s">
        <v>10</v>
      </c>
      <c r="D138">
        <v>2147110</v>
      </c>
      <c r="E138" t="s">
        <v>8</v>
      </c>
    </row>
    <row r="139" spans="1:5" x14ac:dyDescent="0.55000000000000004">
      <c r="A139" t="s">
        <v>1468</v>
      </c>
      <c r="B139" t="s">
        <v>1466</v>
      </c>
      <c r="C139" t="s">
        <v>1467</v>
      </c>
      <c r="D139">
        <v>1553388</v>
      </c>
      <c r="E139" t="s">
        <v>8</v>
      </c>
    </row>
    <row r="140" spans="1:5" x14ac:dyDescent="0.55000000000000004">
      <c r="A140" t="s">
        <v>1470</v>
      </c>
      <c r="B140" t="s">
        <v>1469</v>
      </c>
      <c r="C140" t="s">
        <v>10</v>
      </c>
      <c r="D140">
        <v>383399</v>
      </c>
      <c r="E140" t="s">
        <v>8</v>
      </c>
    </row>
    <row r="141" spans="1:5" x14ac:dyDescent="0.55000000000000004">
      <c r="A141" t="s">
        <v>476</v>
      </c>
      <c r="B141" t="s">
        <v>475</v>
      </c>
      <c r="C141" t="s">
        <v>10</v>
      </c>
      <c r="D141">
        <v>409764</v>
      </c>
      <c r="E141" t="s">
        <v>8</v>
      </c>
    </row>
    <row r="142" spans="1:5" x14ac:dyDescent="0.55000000000000004">
      <c r="A142" t="s">
        <v>1472</v>
      </c>
      <c r="B142" t="s">
        <v>1471</v>
      </c>
      <c r="C142" t="s">
        <v>10</v>
      </c>
      <c r="D142">
        <v>128774</v>
      </c>
      <c r="E142" t="s">
        <v>8</v>
      </c>
    </row>
    <row r="143" spans="1:5" x14ac:dyDescent="0.55000000000000004">
      <c r="A143" t="s">
        <v>1276</v>
      </c>
      <c r="B143" t="s">
        <v>1275</v>
      </c>
      <c r="C143" t="s">
        <v>10</v>
      </c>
      <c r="D143">
        <v>891751</v>
      </c>
      <c r="E143" t="s">
        <v>8</v>
      </c>
    </row>
    <row r="144" spans="1:5" x14ac:dyDescent="0.55000000000000004">
      <c r="A144" t="s">
        <v>178</v>
      </c>
      <c r="B144" t="s">
        <v>177</v>
      </c>
      <c r="C144" t="s">
        <v>10</v>
      </c>
      <c r="D144">
        <v>436261</v>
      </c>
      <c r="E144" t="s">
        <v>8</v>
      </c>
    </row>
    <row r="145" spans="1:5" x14ac:dyDescent="0.55000000000000004">
      <c r="A145" t="s">
        <v>1250</v>
      </c>
      <c r="B145" t="s">
        <v>1249</v>
      </c>
      <c r="C145" t="s">
        <v>10</v>
      </c>
      <c r="D145">
        <v>399057</v>
      </c>
      <c r="E145" t="s">
        <v>8</v>
      </c>
    </row>
    <row r="146" spans="1:5" x14ac:dyDescent="0.55000000000000004">
      <c r="A146" t="s">
        <v>1142</v>
      </c>
      <c r="B146" t="s">
        <v>1141</v>
      </c>
      <c r="C146" t="s">
        <v>6</v>
      </c>
      <c r="D146">
        <v>235261</v>
      </c>
      <c r="E146" t="s">
        <v>8</v>
      </c>
    </row>
    <row r="147" spans="1:5" x14ac:dyDescent="0.55000000000000004">
      <c r="A147" t="s">
        <v>1148</v>
      </c>
      <c r="B147" t="s">
        <v>1147</v>
      </c>
      <c r="C147" t="s">
        <v>10</v>
      </c>
      <c r="D147">
        <v>302174</v>
      </c>
      <c r="E147" t="s">
        <v>8</v>
      </c>
    </row>
    <row r="148" spans="1:5" x14ac:dyDescent="0.55000000000000004">
      <c r="A148" t="s">
        <v>515</v>
      </c>
      <c r="B148" t="s">
        <v>513</v>
      </c>
      <c r="C148" t="s">
        <v>514</v>
      </c>
      <c r="D148">
        <v>246778</v>
      </c>
      <c r="E148" t="s">
        <v>8</v>
      </c>
    </row>
    <row r="149" spans="1:5" x14ac:dyDescent="0.55000000000000004">
      <c r="A149" t="s">
        <v>1177</v>
      </c>
      <c r="B149" t="s">
        <v>1176</v>
      </c>
      <c r="C149" t="s">
        <v>10</v>
      </c>
      <c r="D149">
        <v>202441</v>
      </c>
      <c r="E149" t="s">
        <v>8</v>
      </c>
    </row>
    <row r="150" spans="1:5" x14ac:dyDescent="0.55000000000000004">
      <c r="A150" t="s">
        <v>1170</v>
      </c>
      <c r="B150" t="s">
        <v>1169</v>
      </c>
      <c r="C150" t="s">
        <v>6</v>
      </c>
      <c r="D150">
        <v>457608</v>
      </c>
      <c r="E150" t="s">
        <v>8</v>
      </c>
    </row>
    <row r="151" spans="1:5" x14ac:dyDescent="0.55000000000000004">
      <c r="A151" t="s">
        <v>1179</v>
      </c>
      <c r="B151" t="s">
        <v>1178</v>
      </c>
      <c r="C151" t="s">
        <v>10</v>
      </c>
      <c r="D151">
        <v>280548</v>
      </c>
      <c r="E151" t="s">
        <v>8</v>
      </c>
    </row>
    <row r="152" spans="1:5" x14ac:dyDescent="0.55000000000000004">
      <c r="A152" t="s">
        <v>935</v>
      </c>
      <c r="B152" t="s">
        <v>934</v>
      </c>
      <c r="C152" t="s">
        <v>10</v>
      </c>
      <c r="D152">
        <v>1109060</v>
      </c>
      <c r="E152" t="s">
        <v>8</v>
      </c>
    </row>
    <row r="153" spans="1:5" x14ac:dyDescent="0.55000000000000004">
      <c r="A153" t="s">
        <v>937</v>
      </c>
      <c r="B153" t="s">
        <v>936</v>
      </c>
      <c r="C153" t="s">
        <v>10</v>
      </c>
      <c r="D153">
        <v>630592</v>
      </c>
      <c r="E153" t="s">
        <v>8</v>
      </c>
    </row>
    <row r="154" spans="1:5" x14ac:dyDescent="0.55000000000000004">
      <c r="A154" t="s">
        <v>11</v>
      </c>
      <c r="B154" t="s">
        <v>9</v>
      </c>
      <c r="C154" t="s">
        <v>10</v>
      </c>
      <c r="D154">
        <v>186968</v>
      </c>
      <c r="E154" t="s">
        <v>8</v>
      </c>
    </row>
    <row r="155" spans="1:5" x14ac:dyDescent="0.55000000000000004">
      <c r="A155" t="s">
        <v>1146</v>
      </c>
      <c r="B155" t="s">
        <v>1145</v>
      </c>
      <c r="C155" t="s">
        <v>10</v>
      </c>
      <c r="D155">
        <v>232823</v>
      </c>
      <c r="E155" t="s">
        <v>8</v>
      </c>
    </row>
    <row r="156" spans="1:5" x14ac:dyDescent="0.55000000000000004">
      <c r="A156" t="s">
        <v>35</v>
      </c>
      <c r="B156" t="s">
        <v>34</v>
      </c>
      <c r="C156" t="s">
        <v>10</v>
      </c>
      <c r="D156">
        <v>935964</v>
      </c>
      <c r="E156" t="s">
        <v>8</v>
      </c>
    </row>
    <row r="157" spans="1:5" x14ac:dyDescent="0.55000000000000004">
      <c r="A157" t="s">
        <v>39</v>
      </c>
      <c r="B157" t="s">
        <v>38</v>
      </c>
      <c r="C157" t="s">
        <v>6</v>
      </c>
      <c r="D157">
        <v>890107</v>
      </c>
      <c r="E157" t="s">
        <v>8</v>
      </c>
    </row>
    <row r="158" spans="1:5" x14ac:dyDescent="0.55000000000000004">
      <c r="A158" t="s">
        <v>1160</v>
      </c>
      <c r="B158" t="s">
        <v>1159</v>
      </c>
      <c r="C158" t="s">
        <v>13</v>
      </c>
      <c r="D158">
        <v>400902</v>
      </c>
      <c r="E158" t="s">
        <v>8</v>
      </c>
    </row>
    <row r="159" spans="1:5" x14ac:dyDescent="0.55000000000000004">
      <c r="A159" t="s">
        <v>44</v>
      </c>
      <c r="B159" t="s">
        <v>43</v>
      </c>
      <c r="C159" t="s">
        <v>6</v>
      </c>
      <c r="D159">
        <v>601930</v>
      </c>
      <c r="E159" t="s">
        <v>8</v>
      </c>
    </row>
    <row r="160" spans="1:5" x14ac:dyDescent="0.55000000000000004">
      <c r="A160" t="s">
        <v>1162</v>
      </c>
      <c r="B160" t="s">
        <v>1161</v>
      </c>
      <c r="C160" t="s">
        <v>10</v>
      </c>
      <c r="D160">
        <v>3517364</v>
      </c>
      <c r="E160" t="s">
        <v>8</v>
      </c>
    </row>
    <row r="161" spans="1:5" x14ac:dyDescent="0.55000000000000004">
      <c r="A161" t="s">
        <v>1166</v>
      </c>
      <c r="B161" t="s">
        <v>1165</v>
      </c>
      <c r="C161" t="s">
        <v>208</v>
      </c>
      <c r="D161">
        <v>320734</v>
      </c>
      <c r="E161" t="s">
        <v>8</v>
      </c>
    </row>
    <row r="162" spans="1:5" x14ac:dyDescent="0.55000000000000004">
      <c r="A162" t="s">
        <v>1168</v>
      </c>
      <c r="B162" t="s">
        <v>1167</v>
      </c>
      <c r="C162" t="s">
        <v>10</v>
      </c>
      <c r="D162">
        <v>740853</v>
      </c>
      <c r="E162" t="s">
        <v>8</v>
      </c>
    </row>
    <row r="163" spans="1:5" x14ac:dyDescent="0.55000000000000004">
      <c r="A163" t="s">
        <v>955</v>
      </c>
      <c r="B163" t="s">
        <v>954</v>
      </c>
      <c r="C163" t="s">
        <v>10</v>
      </c>
      <c r="D163">
        <v>1299760</v>
      </c>
      <c r="E163" t="s">
        <v>8</v>
      </c>
    </row>
    <row r="164" spans="1:5" x14ac:dyDescent="0.55000000000000004">
      <c r="A164" t="s">
        <v>68</v>
      </c>
      <c r="B164" t="s">
        <v>67</v>
      </c>
      <c r="C164" t="s">
        <v>10</v>
      </c>
      <c r="D164">
        <v>3560892</v>
      </c>
      <c r="E164" t="s">
        <v>8</v>
      </c>
    </row>
    <row r="165" spans="1:5" x14ac:dyDescent="0.55000000000000004">
      <c r="A165" t="s">
        <v>70</v>
      </c>
      <c r="B165" t="s">
        <v>69</v>
      </c>
      <c r="C165" t="s">
        <v>13</v>
      </c>
      <c r="D165">
        <v>289391</v>
      </c>
      <c r="E165" t="s">
        <v>8</v>
      </c>
    </row>
    <row r="166" spans="1:5" x14ac:dyDescent="0.55000000000000004">
      <c r="A166" t="s">
        <v>959</v>
      </c>
      <c r="B166" t="s">
        <v>958</v>
      </c>
      <c r="C166" t="s">
        <v>41</v>
      </c>
      <c r="D166">
        <v>635358</v>
      </c>
      <c r="E166" t="s">
        <v>8</v>
      </c>
    </row>
    <row r="167" spans="1:5" x14ac:dyDescent="0.55000000000000004">
      <c r="A167" t="s">
        <v>1192</v>
      </c>
      <c r="B167" t="s">
        <v>1191</v>
      </c>
      <c r="C167" t="s">
        <v>6</v>
      </c>
      <c r="D167">
        <v>188810</v>
      </c>
      <c r="E167" t="s">
        <v>8</v>
      </c>
    </row>
    <row r="168" spans="1:5" x14ac:dyDescent="0.55000000000000004">
      <c r="A168" t="s">
        <v>1185</v>
      </c>
      <c r="B168" t="s">
        <v>1184</v>
      </c>
      <c r="C168" t="s">
        <v>10</v>
      </c>
      <c r="D168">
        <v>442797</v>
      </c>
      <c r="E168" t="s">
        <v>8</v>
      </c>
    </row>
    <row r="169" spans="1:5" x14ac:dyDescent="0.55000000000000004">
      <c r="A169" t="s">
        <v>1187</v>
      </c>
      <c r="B169" t="s">
        <v>1186</v>
      </c>
      <c r="C169" t="s">
        <v>10</v>
      </c>
      <c r="D169">
        <v>881885</v>
      </c>
      <c r="E169" t="s">
        <v>8</v>
      </c>
    </row>
    <row r="170" spans="1:5" x14ac:dyDescent="0.55000000000000004">
      <c r="A170" t="s">
        <v>1183</v>
      </c>
      <c r="B170" t="s">
        <v>1182</v>
      </c>
      <c r="C170" t="s">
        <v>10</v>
      </c>
      <c r="D170">
        <v>709763</v>
      </c>
      <c r="E170" t="s">
        <v>8</v>
      </c>
    </row>
    <row r="171" spans="1:5" x14ac:dyDescent="0.55000000000000004">
      <c r="A171" t="s">
        <v>77</v>
      </c>
      <c r="B171" t="s">
        <v>75</v>
      </c>
      <c r="C171" t="s">
        <v>76</v>
      </c>
      <c r="D171">
        <v>436035</v>
      </c>
      <c r="E171" t="s">
        <v>8</v>
      </c>
    </row>
    <row r="172" spans="1:5" x14ac:dyDescent="0.55000000000000004">
      <c r="A172" t="s">
        <v>961</v>
      </c>
      <c r="B172" t="s">
        <v>960</v>
      </c>
      <c r="C172" t="s">
        <v>10</v>
      </c>
      <c r="D172">
        <v>235635</v>
      </c>
      <c r="E172" t="s">
        <v>8</v>
      </c>
    </row>
    <row r="173" spans="1:5" x14ac:dyDescent="0.55000000000000004">
      <c r="A173" t="s">
        <v>1190</v>
      </c>
      <c r="B173" t="s">
        <v>1189</v>
      </c>
      <c r="C173" t="s">
        <v>10</v>
      </c>
      <c r="D173">
        <v>715074</v>
      </c>
      <c r="E173" t="s">
        <v>8</v>
      </c>
    </row>
    <row r="174" spans="1:5" x14ac:dyDescent="0.55000000000000004">
      <c r="A174" t="s">
        <v>963</v>
      </c>
      <c r="B174" t="s">
        <v>962</v>
      </c>
      <c r="C174" t="s">
        <v>6</v>
      </c>
      <c r="D174">
        <v>957755</v>
      </c>
      <c r="E174" t="s">
        <v>8</v>
      </c>
    </row>
    <row r="175" spans="1:5" x14ac:dyDescent="0.55000000000000004">
      <c r="A175" t="s">
        <v>83</v>
      </c>
      <c r="B175" t="s">
        <v>82</v>
      </c>
      <c r="C175" t="s">
        <v>6</v>
      </c>
      <c r="D175">
        <v>872346</v>
      </c>
      <c r="E175" t="s">
        <v>8</v>
      </c>
    </row>
    <row r="176" spans="1:5" x14ac:dyDescent="0.55000000000000004">
      <c r="A176" t="s">
        <v>1181</v>
      </c>
      <c r="B176" t="s">
        <v>1180</v>
      </c>
      <c r="C176" t="s">
        <v>10</v>
      </c>
      <c r="D176">
        <v>175902</v>
      </c>
      <c r="E176" t="s">
        <v>8</v>
      </c>
    </row>
    <row r="177" spans="1:5" x14ac:dyDescent="0.55000000000000004">
      <c r="A177" t="s">
        <v>1206</v>
      </c>
      <c r="B177" t="s">
        <v>1205</v>
      </c>
      <c r="C177" t="s">
        <v>10</v>
      </c>
      <c r="D177">
        <v>1748560</v>
      </c>
      <c r="E177" t="s">
        <v>8</v>
      </c>
    </row>
    <row r="178" spans="1:5" x14ac:dyDescent="0.55000000000000004">
      <c r="A178" t="s">
        <v>976</v>
      </c>
      <c r="B178" t="s">
        <v>975</v>
      </c>
      <c r="C178" t="s">
        <v>10</v>
      </c>
      <c r="D178">
        <v>393241</v>
      </c>
      <c r="E178" t="s">
        <v>8</v>
      </c>
    </row>
    <row r="179" spans="1:5" x14ac:dyDescent="0.55000000000000004">
      <c r="A179" t="s">
        <v>1202</v>
      </c>
      <c r="B179" t="s">
        <v>1201</v>
      </c>
      <c r="C179" t="s">
        <v>6</v>
      </c>
      <c r="D179">
        <v>99119</v>
      </c>
      <c r="E179" t="s">
        <v>8</v>
      </c>
    </row>
    <row r="180" spans="1:5" x14ac:dyDescent="0.55000000000000004">
      <c r="A180" t="s">
        <v>1204</v>
      </c>
      <c r="B180" t="s">
        <v>1203</v>
      </c>
      <c r="C180" t="s">
        <v>10</v>
      </c>
      <c r="D180">
        <v>1524866</v>
      </c>
      <c r="E180" t="s">
        <v>8</v>
      </c>
    </row>
    <row r="181" spans="1:5" x14ac:dyDescent="0.55000000000000004">
      <c r="A181" t="s">
        <v>833</v>
      </c>
      <c r="B181" t="s">
        <v>832</v>
      </c>
      <c r="C181" t="s">
        <v>141</v>
      </c>
      <c r="D181">
        <v>1605245</v>
      </c>
      <c r="E181" t="s">
        <v>8</v>
      </c>
    </row>
    <row r="182" spans="1:5" x14ac:dyDescent="0.55000000000000004">
      <c r="A182" t="s">
        <v>837</v>
      </c>
      <c r="B182" t="s">
        <v>836</v>
      </c>
      <c r="C182" t="s">
        <v>6</v>
      </c>
      <c r="D182">
        <v>575131</v>
      </c>
      <c r="E182" t="s">
        <v>8</v>
      </c>
    </row>
    <row r="183" spans="1:5" x14ac:dyDescent="0.55000000000000004">
      <c r="A183" t="s">
        <v>1213</v>
      </c>
      <c r="B183" t="s">
        <v>1212</v>
      </c>
      <c r="C183" t="s">
        <v>13</v>
      </c>
      <c r="D183">
        <v>902765</v>
      </c>
      <c r="E183" t="s">
        <v>8</v>
      </c>
    </row>
    <row r="184" spans="1:5" x14ac:dyDescent="0.55000000000000004">
      <c r="A184" t="s">
        <v>1215</v>
      </c>
      <c r="B184" t="s">
        <v>1214</v>
      </c>
      <c r="C184" t="s">
        <v>10</v>
      </c>
      <c r="D184">
        <v>884899</v>
      </c>
      <c r="E184" t="s">
        <v>8</v>
      </c>
    </row>
    <row r="185" spans="1:5" x14ac:dyDescent="0.55000000000000004">
      <c r="A185" t="s">
        <v>990</v>
      </c>
      <c r="B185" t="s">
        <v>989</v>
      </c>
      <c r="C185" t="s">
        <v>10</v>
      </c>
      <c r="D185">
        <v>547380</v>
      </c>
      <c r="E185" t="s">
        <v>8</v>
      </c>
    </row>
    <row r="186" spans="1:5" x14ac:dyDescent="0.55000000000000004">
      <c r="A186" t="s">
        <v>136</v>
      </c>
      <c r="B186" t="s">
        <v>135</v>
      </c>
      <c r="C186" t="s">
        <v>10</v>
      </c>
      <c r="D186">
        <v>1511233</v>
      </c>
      <c r="E186" t="s">
        <v>8</v>
      </c>
    </row>
    <row r="187" spans="1:5" x14ac:dyDescent="0.55000000000000004">
      <c r="A187" t="s">
        <v>1217</v>
      </c>
      <c r="B187" t="s">
        <v>1216</v>
      </c>
      <c r="C187" t="s">
        <v>13</v>
      </c>
      <c r="D187">
        <v>341799</v>
      </c>
      <c r="E187" t="s">
        <v>8</v>
      </c>
    </row>
    <row r="188" spans="1:5" x14ac:dyDescent="0.55000000000000004">
      <c r="A188" t="s">
        <v>1219</v>
      </c>
      <c r="B188" t="s">
        <v>1218</v>
      </c>
      <c r="C188" t="s">
        <v>10</v>
      </c>
      <c r="D188">
        <v>214131</v>
      </c>
      <c r="E188" t="s">
        <v>8</v>
      </c>
    </row>
    <row r="189" spans="1:5" x14ac:dyDescent="0.55000000000000004">
      <c r="A189" t="s">
        <v>146</v>
      </c>
      <c r="B189" t="s">
        <v>145</v>
      </c>
      <c r="C189" t="s">
        <v>13</v>
      </c>
      <c r="D189">
        <v>2735593</v>
      </c>
      <c r="E189" t="s">
        <v>8</v>
      </c>
    </row>
    <row r="190" spans="1:5" x14ac:dyDescent="0.55000000000000004">
      <c r="A190" t="s">
        <v>148</v>
      </c>
      <c r="B190" t="s">
        <v>147</v>
      </c>
      <c r="C190" t="s">
        <v>10</v>
      </c>
      <c r="D190">
        <v>515161</v>
      </c>
      <c r="E190" t="s">
        <v>8</v>
      </c>
    </row>
    <row r="191" spans="1:5" x14ac:dyDescent="0.55000000000000004">
      <c r="A191" t="s">
        <v>152</v>
      </c>
      <c r="B191" t="s">
        <v>151</v>
      </c>
      <c r="C191" t="s">
        <v>10</v>
      </c>
      <c r="D191">
        <v>291443</v>
      </c>
      <c r="E191" t="s">
        <v>8</v>
      </c>
    </row>
    <row r="192" spans="1:5" x14ac:dyDescent="0.55000000000000004">
      <c r="A192" t="s">
        <v>154</v>
      </c>
      <c r="B192" t="s">
        <v>153</v>
      </c>
      <c r="C192" t="s">
        <v>141</v>
      </c>
      <c r="D192">
        <v>2179700</v>
      </c>
      <c r="E192" t="s">
        <v>8</v>
      </c>
    </row>
    <row r="193" spans="1:5" x14ac:dyDescent="0.55000000000000004">
      <c r="A193" t="s">
        <v>1227</v>
      </c>
      <c r="B193" t="s">
        <v>1226</v>
      </c>
      <c r="C193" t="s">
        <v>10</v>
      </c>
      <c r="D193">
        <v>374495</v>
      </c>
      <c r="E193" t="s">
        <v>8</v>
      </c>
    </row>
    <row r="194" spans="1:5" x14ac:dyDescent="0.55000000000000004">
      <c r="A194" t="s">
        <v>1229</v>
      </c>
      <c r="B194" t="s">
        <v>1228</v>
      </c>
      <c r="C194" t="s">
        <v>10</v>
      </c>
      <c r="D194">
        <v>714967</v>
      </c>
      <c r="E194" t="s">
        <v>8</v>
      </c>
    </row>
    <row r="195" spans="1:5" x14ac:dyDescent="0.55000000000000004">
      <c r="A195" t="s">
        <v>162</v>
      </c>
      <c r="B195" t="s">
        <v>161</v>
      </c>
      <c r="C195" t="s">
        <v>13</v>
      </c>
      <c r="D195">
        <v>1023402</v>
      </c>
      <c r="E195" t="s">
        <v>8</v>
      </c>
    </row>
    <row r="196" spans="1:5" x14ac:dyDescent="0.55000000000000004">
      <c r="A196" t="s">
        <v>1001</v>
      </c>
      <c r="B196" t="s">
        <v>1000</v>
      </c>
      <c r="C196" t="s">
        <v>10</v>
      </c>
      <c r="D196">
        <v>960991</v>
      </c>
      <c r="E196" t="s">
        <v>8</v>
      </c>
    </row>
    <row r="197" spans="1:5" x14ac:dyDescent="0.55000000000000004">
      <c r="A197" t="s">
        <v>170</v>
      </c>
      <c r="B197" t="s">
        <v>169</v>
      </c>
      <c r="C197" t="s">
        <v>10</v>
      </c>
      <c r="D197">
        <v>556136</v>
      </c>
      <c r="E197" t="s">
        <v>8</v>
      </c>
    </row>
    <row r="198" spans="1:5" x14ac:dyDescent="0.55000000000000004">
      <c r="A198" t="s">
        <v>180</v>
      </c>
      <c r="B198" t="s">
        <v>179</v>
      </c>
      <c r="C198" t="s">
        <v>41</v>
      </c>
      <c r="D198">
        <v>722131</v>
      </c>
      <c r="E198" t="s">
        <v>8</v>
      </c>
    </row>
    <row r="199" spans="1:5" x14ac:dyDescent="0.55000000000000004">
      <c r="A199" t="s">
        <v>1003</v>
      </c>
      <c r="B199" t="s">
        <v>1002</v>
      </c>
      <c r="C199" t="s">
        <v>10</v>
      </c>
      <c r="D199">
        <v>1305796</v>
      </c>
      <c r="E199" t="s">
        <v>8</v>
      </c>
    </row>
    <row r="200" spans="1:5" x14ac:dyDescent="0.55000000000000004">
      <c r="A200" t="s">
        <v>563</v>
      </c>
      <c r="B200" t="s">
        <v>562</v>
      </c>
      <c r="C200" t="s">
        <v>10</v>
      </c>
      <c r="D200">
        <v>2232301</v>
      </c>
      <c r="E200" t="s">
        <v>8</v>
      </c>
    </row>
    <row r="201" spans="1:5" x14ac:dyDescent="0.55000000000000004">
      <c r="A201" t="s">
        <v>1005</v>
      </c>
      <c r="B201" t="s">
        <v>1004</v>
      </c>
      <c r="C201" t="s">
        <v>10</v>
      </c>
      <c r="D201">
        <v>356131</v>
      </c>
      <c r="E201" t="s">
        <v>8</v>
      </c>
    </row>
    <row r="202" spans="1:5" x14ac:dyDescent="0.55000000000000004">
      <c r="A202" t="s">
        <v>1242</v>
      </c>
      <c r="B202" t="s">
        <v>1241</v>
      </c>
      <c r="C202" t="s">
        <v>6</v>
      </c>
      <c r="D202">
        <v>1036283</v>
      </c>
      <c r="E202" t="s">
        <v>8</v>
      </c>
    </row>
    <row r="203" spans="1:5" x14ac:dyDescent="0.55000000000000004">
      <c r="A203" t="s">
        <v>1009</v>
      </c>
      <c r="B203" t="s">
        <v>1008</v>
      </c>
      <c r="C203" t="s">
        <v>10</v>
      </c>
      <c r="D203">
        <v>553361</v>
      </c>
      <c r="E203" t="s">
        <v>8</v>
      </c>
    </row>
    <row r="204" spans="1:5" x14ac:dyDescent="0.55000000000000004">
      <c r="A204" t="s">
        <v>1246</v>
      </c>
      <c r="B204" t="s">
        <v>1245</v>
      </c>
      <c r="C204" t="s">
        <v>41</v>
      </c>
      <c r="D204">
        <v>225270</v>
      </c>
      <c r="E204" t="s">
        <v>8</v>
      </c>
    </row>
    <row r="205" spans="1:5" x14ac:dyDescent="0.55000000000000004">
      <c r="A205" t="s">
        <v>1244</v>
      </c>
      <c r="B205" t="s">
        <v>1243</v>
      </c>
      <c r="C205" t="s">
        <v>10</v>
      </c>
      <c r="D205">
        <v>1073057</v>
      </c>
      <c r="E205" t="s">
        <v>8</v>
      </c>
    </row>
    <row r="206" spans="1:5" x14ac:dyDescent="0.55000000000000004">
      <c r="A206" t="s">
        <v>569</v>
      </c>
      <c r="B206" t="s">
        <v>568</v>
      </c>
      <c r="C206" t="s">
        <v>13</v>
      </c>
      <c r="D206">
        <v>780151</v>
      </c>
      <c r="E206" t="s">
        <v>8</v>
      </c>
    </row>
    <row r="207" spans="1:5" x14ac:dyDescent="0.55000000000000004">
      <c r="A207" t="s">
        <v>194</v>
      </c>
      <c r="B207" t="s">
        <v>193</v>
      </c>
      <c r="C207" t="s">
        <v>10</v>
      </c>
      <c r="D207">
        <v>579083</v>
      </c>
      <c r="E207" t="s">
        <v>8</v>
      </c>
    </row>
    <row r="208" spans="1:5" x14ac:dyDescent="0.55000000000000004">
      <c r="A208" t="s">
        <v>1252</v>
      </c>
      <c r="B208" t="s">
        <v>1251</v>
      </c>
      <c r="C208" t="s">
        <v>10</v>
      </c>
      <c r="D208">
        <v>601247</v>
      </c>
      <c r="E208" t="s">
        <v>8</v>
      </c>
    </row>
    <row r="209" spans="1:5" x14ac:dyDescent="0.55000000000000004">
      <c r="A209" t="s">
        <v>200</v>
      </c>
      <c r="B209" t="s">
        <v>199</v>
      </c>
      <c r="C209" t="s">
        <v>10</v>
      </c>
      <c r="D209">
        <v>669986</v>
      </c>
      <c r="E209" t="s">
        <v>8</v>
      </c>
    </row>
    <row r="210" spans="1:5" x14ac:dyDescent="0.55000000000000004">
      <c r="A210" t="s">
        <v>1023</v>
      </c>
      <c r="B210" t="s">
        <v>1022</v>
      </c>
      <c r="C210" t="s">
        <v>10</v>
      </c>
      <c r="D210">
        <v>522303</v>
      </c>
      <c r="E210" t="s">
        <v>8</v>
      </c>
    </row>
    <row r="211" spans="1:5" x14ac:dyDescent="0.55000000000000004">
      <c r="A211" t="s">
        <v>1270</v>
      </c>
      <c r="B211" t="s">
        <v>1268</v>
      </c>
      <c r="C211" t="s">
        <v>1269</v>
      </c>
      <c r="D211">
        <v>84091</v>
      </c>
      <c r="E211" t="s">
        <v>8</v>
      </c>
    </row>
    <row r="212" spans="1:5" x14ac:dyDescent="0.55000000000000004">
      <c r="A212" t="s">
        <v>851</v>
      </c>
      <c r="B212" t="s">
        <v>850</v>
      </c>
      <c r="C212" t="s">
        <v>208</v>
      </c>
      <c r="D212">
        <v>2153224</v>
      </c>
      <c r="E212" t="s">
        <v>8</v>
      </c>
    </row>
    <row r="213" spans="1:5" x14ac:dyDescent="0.55000000000000004">
      <c r="A213" t="s">
        <v>1280</v>
      </c>
      <c r="B213" t="s">
        <v>1279</v>
      </c>
      <c r="C213" t="s">
        <v>10</v>
      </c>
      <c r="D213">
        <v>424627</v>
      </c>
      <c r="E213" t="s">
        <v>8</v>
      </c>
    </row>
    <row r="214" spans="1:5" x14ac:dyDescent="0.55000000000000004">
      <c r="A214" t="s">
        <v>1285</v>
      </c>
      <c r="B214" t="s">
        <v>1284</v>
      </c>
      <c r="C214" t="s">
        <v>10</v>
      </c>
      <c r="D214">
        <v>720385</v>
      </c>
      <c r="E214" t="s">
        <v>8</v>
      </c>
    </row>
    <row r="215" spans="1:5" x14ac:dyDescent="0.55000000000000004">
      <c r="A215" t="s">
        <v>259</v>
      </c>
      <c r="B215" t="s">
        <v>258</v>
      </c>
      <c r="C215" t="s">
        <v>10</v>
      </c>
      <c r="D215">
        <v>446505</v>
      </c>
      <c r="E215" t="s">
        <v>8</v>
      </c>
    </row>
    <row r="216" spans="1:5" x14ac:dyDescent="0.55000000000000004">
      <c r="A216" t="s">
        <v>249</v>
      </c>
      <c r="B216" t="s">
        <v>248</v>
      </c>
      <c r="C216" t="s">
        <v>10</v>
      </c>
      <c r="D216">
        <v>649543</v>
      </c>
      <c r="E216" t="s">
        <v>8</v>
      </c>
    </row>
    <row r="217" spans="1:5" x14ac:dyDescent="0.55000000000000004">
      <c r="A217" t="s">
        <v>755</v>
      </c>
      <c r="B217" t="s">
        <v>754</v>
      </c>
      <c r="C217" t="s">
        <v>10</v>
      </c>
      <c r="D217">
        <v>508771</v>
      </c>
      <c r="E217" t="s">
        <v>8</v>
      </c>
    </row>
    <row r="218" spans="1:5" x14ac:dyDescent="0.55000000000000004">
      <c r="A218" t="s">
        <v>142</v>
      </c>
      <c r="B218" t="s">
        <v>140</v>
      </c>
      <c r="C218" t="s">
        <v>141</v>
      </c>
      <c r="D218">
        <v>405780</v>
      </c>
      <c r="E218" t="s">
        <v>8</v>
      </c>
    </row>
    <row r="219" spans="1:5" x14ac:dyDescent="0.55000000000000004">
      <c r="A219" t="s">
        <v>271</v>
      </c>
      <c r="B219" t="s">
        <v>270</v>
      </c>
      <c r="C219" t="s">
        <v>10</v>
      </c>
      <c r="D219">
        <v>2729932</v>
      </c>
      <c r="E219" t="s">
        <v>8</v>
      </c>
    </row>
    <row r="220" spans="1:5" x14ac:dyDescent="0.55000000000000004">
      <c r="A220" t="s">
        <v>263</v>
      </c>
      <c r="B220" t="s">
        <v>262</v>
      </c>
      <c r="C220" t="s">
        <v>10</v>
      </c>
      <c r="D220">
        <v>4009312</v>
      </c>
      <c r="E220" t="s">
        <v>8</v>
      </c>
    </row>
    <row r="221" spans="1:5" x14ac:dyDescent="0.55000000000000004">
      <c r="A221" t="s">
        <v>1309</v>
      </c>
      <c r="B221" t="s">
        <v>1308</v>
      </c>
      <c r="C221" t="s">
        <v>10</v>
      </c>
      <c r="D221">
        <v>679196</v>
      </c>
      <c r="E221" t="s">
        <v>8</v>
      </c>
    </row>
    <row r="222" spans="1:5" x14ac:dyDescent="0.55000000000000004">
      <c r="A222" t="s">
        <v>273</v>
      </c>
      <c r="B222" t="s">
        <v>272</v>
      </c>
      <c r="C222" t="s">
        <v>10</v>
      </c>
      <c r="D222">
        <v>757179</v>
      </c>
      <c r="E222" t="s">
        <v>8</v>
      </c>
    </row>
    <row r="223" spans="1:5" x14ac:dyDescent="0.55000000000000004">
      <c r="A223" t="s">
        <v>275</v>
      </c>
      <c r="B223" t="s">
        <v>274</v>
      </c>
      <c r="C223" t="s">
        <v>76</v>
      </c>
      <c r="D223">
        <v>258700</v>
      </c>
      <c r="E223" t="s">
        <v>8</v>
      </c>
    </row>
    <row r="224" spans="1:5" x14ac:dyDescent="0.55000000000000004">
      <c r="A224" t="s">
        <v>1318</v>
      </c>
      <c r="B224" t="s">
        <v>1316</v>
      </c>
      <c r="C224" t="s">
        <v>1317</v>
      </c>
      <c r="D224">
        <v>3641409</v>
      </c>
      <c r="E224" t="s">
        <v>8</v>
      </c>
    </row>
    <row r="225" spans="1:5" x14ac:dyDescent="0.55000000000000004">
      <c r="A225" t="s">
        <v>1320</v>
      </c>
      <c r="B225" t="s">
        <v>1319</v>
      </c>
      <c r="C225" t="s">
        <v>10</v>
      </c>
      <c r="D225">
        <v>274398</v>
      </c>
      <c r="E225" t="s">
        <v>8</v>
      </c>
    </row>
    <row r="226" spans="1:5" x14ac:dyDescent="0.55000000000000004">
      <c r="A226" t="s">
        <v>1322</v>
      </c>
      <c r="B226" t="s">
        <v>1321</v>
      </c>
      <c r="C226" t="s">
        <v>10</v>
      </c>
      <c r="D226">
        <v>592114</v>
      </c>
      <c r="E226" t="s">
        <v>8</v>
      </c>
    </row>
    <row r="227" spans="1:5" x14ac:dyDescent="0.55000000000000004">
      <c r="A227" t="s">
        <v>1324</v>
      </c>
      <c r="B227" t="s">
        <v>1323</v>
      </c>
      <c r="C227" t="s">
        <v>10</v>
      </c>
      <c r="D227">
        <v>212803</v>
      </c>
      <c r="E227" t="s">
        <v>8</v>
      </c>
    </row>
    <row r="228" spans="1:5" x14ac:dyDescent="0.55000000000000004">
      <c r="A228" t="s">
        <v>1043</v>
      </c>
      <c r="B228" t="s">
        <v>1042</v>
      </c>
      <c r="C228" t="s">
        <v>10</v>
      </c>
      <c r="D228">
        <v>495309</v>
      </c>
      <c r="E228" t="s">
        <v>8</v>
      </c>
    </row>
    <row r="229" spans="1:5" x14ac:dyDescent="0.55000000000000004">
      <c r="A229" t="s">
        <v>631</v>
      </c>
      <c r="B229" t="s">
        <v>630</v>
      </c>
      <c r="C229" t="s">
        <v>141</v>
      </c>
      <c r="D229">
        <v>483912</v>
      </c>
      <c r="E229" t="s">
        <v>8</v>
      </c>
    </row>
    <row r="230" spans="1:5" x14ac:dyDescent="0.55000000000000004">
      <c r="A230" t="s">
        <v>1356</v>
      </c>
      <c r="B230" t="s">
        <v>1355</v>
      </c>
      <c r="C230" t="s">
        <v>10</v>
      </c>
      <c r="D230">
        <v>857515</v>
      </c>
      <c r="E230" t="s">
        <v>8</v>
      </c>
    </row>
    <row r="231" spans="1:5" x14ac:dyDescent="0.55000000000000004">
      <c r="A231" t="s">
        <v>637</v>
      </c>
      <c r="B231" t="s">
        <v>636</v>
      </c>
      <c r="C231" t="s">
        <v>10</v>
      </c>
      <c r="D231">
        <v>1596221</v>
      </c>
      <c r="E231" t="s">
        <v>8</v>
      </c>
    </row>
    <row r="232" spans="1:5" x14ac:dyDescent="0.55000000000000004">
      <c r="A232" t="s">
        <v>1057</v>
      </c>
      <c r="B232" t="s">
        <v>1056</v>
      </c>
      <c r="C232" t="s">
        <v>10</v>
      </c>
      <c r="D232">
        <v>851049</v>
      </c>
      <c r="E232" t="s">
        <v>8</v>
      </c>
    </row>
    <row r="233" spans="1:5" x14ac:dyDescent="0.55000000000000004">
      <c r="A233" t="s">
        <v>303</v>
      </c>
      <c r="B233" t="s">
        <v>302</v>
      </c>
      <c r="C233" t="s">
        <v>10</v>
      </c>
      <c r="D233">
        <v>2219287</v>
      </c>
      <c r="E233" t="s">
        <v>8</v>
      </c>
    </row>
    <row r="234" spans="1:5" x14ac:dyDescent="0.55000000000000004">
      <c r="A234" t="s">
        <v>1061</v>
      </c>
      <c r="B234" t="s">
        <v>1060</v>
      </c>
      <c r="C234" t="s">
        <v>76</v>
      </c>
      <c r="D234">
        <v>486218</v>
      </c>
      <c r="E234" t="s">
        <v>8</v>
      </c>
    </row>
    <row r="235" spans="1:5" x14ac:dyDescent="0.55000000000000004">
      <c r="A235" t="s">
        <v>1063</v>
      </c>
      <c r="B235" t="s">
        <v>1062</v>
      </c>
      <c r="C235" t="s">
        <v>10</v>
      </c>
      <c r="D235">
        <v>79173</v>
      </c>
      <c r="E235" t="s">
        <v>8</v>
      </c>
    </row>
    <row r="236" spans="1:5" x14ac:dyDescent="0.55000000000000004">
      <c r="A236" t="s">
        <v>1352</v>
      </c>
      <c r="B236" t="s">
        <v>1351</v>
      </c>
      <c r="C236" t="s">
        <v>10</v>
      </c>
      <c r="D236">
        <v>589242</v>
      </c>
      <c r="E236" t="s">
        <v>8</v>
      </c>
    </row>
    <row r="237" spans="1:5" x14ac:dyDescent="0.55000000000000004">
      <c r="A237" t="s">
        <v>1362</v>
      </c>
      <c r="B237" t="s">
        <v>1361</v>
      </c>
      <c r="C237" t="s">
        <v>10</v>
      </c>
      <c r="D237">
        <v>1072384</v>
      </c>
      <c r="E237" t="s">
        <v>8</v>
      </c>
    </row>
    <row r="238" spans="1:5" x14ac:dyDescent="0.55000000000000004">
      <c r="A238" t="s">
        <v>1364</v>
      </c>
      <c r="B238" t="s">
        <v>1363</v>
      </c>
      <c r="C238" t="s">
        <v>10</v>
      </c>
      <c r="D238">
        <v>753326</v>
      </c>
      <c r="E238" t="s">
        <v>8</v>
      </c>
    </row>
    <row r="239" spans="1:5" x14ac:dyDescent="0.55000000000000004">
      <c r="A239" t="s">
        <v>333</v>
      </c>
      <c r="B239" t="s">
        <v>332</v>
      </c>
      <c r="C239" t="s">
        <v>13</v>
      </c>
      <c r="D239">
        <v>1044512</v>
      </c>
      <c r="E239" t="s">
        <v>8</v>
      </c>
    </row>
    <row r="240" spans="1:5" x14ac:dyDescent="0.55000000000000004">
      <c r="A240" t="s">
        <v>335</v>
      </c>
      <c r="B240" t="s">
        <v>334</v>
      </c>
      <c r="C240" t="s">
        <v>10</v>
      </c>
      <c r="D240">
        <v>258491</v>
      </c>
      <c r="E240" t="s">
        <v>8</v>
      </c>
    </row>
    <row r="241" spans="1:5" x14ac:dyDescent="0.55000000000000004">
      <c r="A241" t="s">
        <v>1077</v>
      </c>
      <c r="B241" t="s">
        <v>1076</v>
      </c>
      <c r="C241" t="s">
        <v>10</v>
      </c>
      <c r="D241">
        <v>439380</v>
      </c>
      <c r="E241" t="s">
        <v>8</v>
      </c>
    </row>
    <row r="242" spans="1:5" x14ac:dyDescent="0.55000000000000004">
      <c r="A242" t="s">
        <v>1373</v>
      </c>
      <c r="B242" t="s">
        <v>1372</v>
      </c>
      <c r="C242" t="s">
        <v>10</v>
      </c>
      <c r="D242">
        <v>275736</v>
      </c>
      <c r="E242" t="s">
        <v>8</v>
      </c>
    </row>
    <row r="243" spans="1:5" x14ac:dyDescent="0.55000000000000004">
      <c r="A243" t="s">
        <v>341</v>
      </c>
      <c r="B243" t="s">
        <v>340</v>
      </c>
      <c r="C243" t="s">
        <v>10</v>
      </c>
      <c r="D243">
        <v>210635</v>
      </c>
      <c r="E243" t="s">
        <v>8</v>
      </c>
    </row>
    <row r="244" spans="1:5" x14ac:dyDescent="0.55000000000000004">
      <c r="A244" t="s">
        <v>1375</v>
      </c>
      <c r="B244" t="s">
        <v>1374</v>
      </c>
      <c r="C244" t="s">
        <v>10</v>
      </c>
      <c r="D244">
        <v>1426455</v>
      </c>
      <c r="E244" t="s">
        <v>8</v>
      </c>
    </row>
    <row r="245" spans="1:5" x14ac:dyDescent="0.55000000000000004">
      <c r="A245" t="s">
        <v>346</v>
      </c>
      <c r="B245" t="s">
        <v>345</v>
      </c>
      <c r="C245" t="s">
        <v>10</v>
      </c>
      <c r="D245">
        <v>1915306</v>
      </c>
      <c r="E245" t="s">
        <v>8</v>
      </c>
    </row>
    <row r="246" spans="1:5" x14ac:dyDescent="0.55000000000000004">
      <c r="A246" t="s">
        <v>1377</v>
      </c>
      <c r="B246" t="s">
        <v>1376</v>
      </c>
      <c r="C246" t="s">
        <v>10</v>
      </c>
      <c r="D246">
        <v>1543583</v>
      </c>
      <c r="E246" t="s">
        <v>8</v>
      </c>
    </row>
    <row r="247" spans="1:5" x14ac:dyDescent="0.55000000000000004">
      <c r="A247" t="s">
        <v>356</v>
      </c>
      <c r="B247" t="s">
        <v>355</v>
      </c>
      <c r="C247" t="s">
        <v>208</v>
      </c>
      <c r="D247">
        <v>491541</v>
      </c>
      <c r="E247" t="s">
        <v>8</v>
      </c>
    </row>
    <row r="248" spans="1:5" x14ac:dyDescent="0.55000000000000004">
      <c r="A248" t="s">
        <v>1085</v>
      </c>
      <c r="B248" t="s">
        <v>1084</v>
      </c>
      <c r="C248" t="s">
        <v>10</v>
      </c>
      <c r="D248">
        <v>731156</v>
      </c>
      <c r="E248" t="s">
        <v>8</v>
      </c>
    </row>
    <row r="249" spans="1:5" x14ac:dyDescent="0.55000000000000004">
      <c r="A249" t="s">
        <v>1385</v>
      </c>
      <c r="B249" t="s">
        <v>1384</v>
      </c>
      <c r="C249" t="s">
        <v>6</v>
      </c>
      <c r="D249">
        <v>20361</v>
      </c>
      <c r="E249" t="s">
        <v>8</v>
      </c>
    </row>
    <row r="250" spans="1:5" x14ac:dyDescent="0.55000000000000004">
      <c r="A250" t="s">
        <v>368</v>
      </c>
      <c r="B250" t="s">
        <v>367</v>
      </c>
      <c r="C250" t="s">
        <v>10</v>
      </c>
      <c r="D250">
        <v>3631739</v>
      </c>
      <c r="E250" t="s">
        <v>8</v>
      </c>
    </row>
    <row r="251" spans="1:5" x14ac:dyDescent="0.55000000000000004">
      <c r="A251" t="s">
        <v>1093</v>
      </c>
      <c r="B251" t="s">
        <v>1092</v>
      </c>
      <c r="C251" t="s">
        <v>13</v>
      </c>
      <c r="D251">
        <v>823943</v>
      </c>
      <c r="E251" t="s">
        <v>8</v>
      </c>
    </row>
    <row r="252" spans="1:5" x14ac:dyDescent="0.55000000000000004">
      <c r="A252" t="s">
        <v>1389</v>
      </c>
      <c r="B252" t="s">
        <v>1388</v>
      </c>
      <c r="C252" t="s">
        <v>6</v>
      </c>
      <c r="D252">
        <v>940802</v>
      </c>
      <c r="E252" t="s">
        <v>8</v>
      </c>
    </row>
    <row r="253" spans="1:5" x14ac:dyDescent="0.55000000000000004">
      <c r="A253" t="s">
        <v>374</v>
      </c>
      <c r="B253" t="s">
        <v>373</v>
      </c>
      <c r="C253" t="s">
        <v>6</v>
      </c>
      <c r="D253">
        <v>1285525</v>
      </c>
      <c r="E253" t="s">
        <v>8</v>
      </c>
    </row>
    <row r="254" spans="1:5" x14ac:dyDescent="0.55000000000000004">
      <c r="A254" t="s">
        <v>1154</v>
      </c>
      <c r="B254" t="s">
        <v>1153</v>
      </c>
      <c r="C254" t="s">
        <v>10</v>
      </c>
      <c r="D254">
        <v>111653</v>
      </c>
      <c r="E254" t="s">
        <v>8</v>
      </c>
    </row>
    <row r="255" spans="1:5" x14ac:dyDescent="0.55000000000000004">
      <c r="A255" t="s">
        <v>380</v>
      </c>
      <c r="B255" t="s">
        <v>379</v>
      </c>
      <c r="C255" t="s">
        <v>13</v>
      </c>
      <c r="D255">
        <v>309004</v>
      </c>
      <c r="E255" t="s">
        <v>8</v>
      </c>
    </row>
    <row r="256" spans="1:5" x14ac:dyDescent="0.55000000000000004">
      <c r="A256" t="s">
        <v>390</v>
      </c>
      <c r="B256" t="s">
        <v>389</v>
      </c>
      <c r="C256" t="s">
        <v>13</v>
      </c>
      <c r="D256">
        <v>2751536</v>
      </c>
      <c r="E256" t="s">
        <v>8</v>
      </c>
    </row>
    <row r="257" spans="1:5" x14ac:dyDescent="0.55000000000000004">
      <c r="A257" t="s">
        <v>1416</v>
      </c>
      <c r="B257" t="s">
        <v>1415</v>
      </c>
      <c r="C257" t="s">
        <v>10</v>
      </c>
      <c r="D257">
        <v>201143</v>
      </c>
      <c r="E257" t="s">
        <v>8</v>
      </c>
    </row>
    <row r="258" spans="1:5" x14ac:dyDescent="0.55000000000000004">
      <c r="A258" t="s">
        <v>1404</v>
      </c>
      <c r="B258" t="s">
        <v>1402</v>
      </c>
      <c r="C258" t="s">
        <v>1403</v>
      </c>
      <c r="D258">
        <v>398952</v>
      </c>
      <c r="E258" t="s">
        <v>8</v>
      </c>
    </row>
    <row r="259" spans="1:5" x14ac:dyDescent="0.55000000000000004">
      <c r="A259" t="s">
        <v>1408</v>
      </c>
      <c r="B259" t="s">
        <v>1407</v>
      </c>
      <c r="C259" t="s">
        <v>10</v>
      </c>
      <c r="D259">
        <v>231893</v>
      </c>
      <c r="E259" t="s">
        <v>8</v>
      </c>
    </row>
    <row r="260" spans="1:5" x14ac:dyDescent="0.55000000000000004">
      <c r="A260" t="s">
        <v>912</v>
      </c>
      <c r="B260" t="s">
        <v>911</v>
      </c>
      <c r="C260" t="s">
        <v>10</v>
      </c>
      <c r="D260">
        <v>1107761</v>
      </c>
      <c r="E260" t="s">
        <v>8</v>
      </c>
    </row>
    <row r="261" spans="1:5" x14ac:dyDescent="0.55000000000000004">
      <c r="A261" t="s">
        <v>1427</v>
      </c>
      <c r="B261" t="s">
        <v>1426</v>
      </c>
      <c r="C261" t="s">
        <v>6</v>
      </c>
      <c r="D261">
        <v>1845924</v>
      </c>
      <c r="E261" t="s">
        <v>8</v>
      </c>
    </row>
    <row r="262" spans="1:5" x14ac:dyDescent="0.55000000000000004">
      <c r="A262" t="s">
        <v>1433</v>
      </c>
      <c r="B262" t="s">
        <v>1432</v>
      </c>
      <c r="C262" t="s">
        <v>10</v>
      </c>
      <c r="D262">
        <v>1105103</v>
      </c>
      <c r="E262" t="s">
        <v>8</v>
      </c>
    </row>
    <row r="263" spans="1:5" x14ac:dyDescent="0.55000000000000004">
      <c r="A263" t="s">
        <v>415</v>
      </c>
      <c r="B263" t="s">
        <v>414</v>
      </c>
      <c r="C263" t="s">
        <v>10</v>
      </c>
      <c r="D263">
        <v>236021</v>
      </c>
      <c r="E263" t="s">
        <v>8</v>
      </c>
    </row>
    <row r="264" spans="1:5" x14ac:dyDescent="0.55000000000000004">
      <c r="A264" t="s">
        <v>1115</v>
      </c>
      <c r="B264" t="s">
        <v>1114</v>
      </c>
      <c r="C264" t="s">
        <v>10</v>
      </c>
      <c r="D264">
        <v>434018</v>
      </c>
      <c r="E264" t="s">
        <v>8</v>
      </c>
    </row>
    <row r="265" spans="1:5" x14ac:dyDescent="0.55000000000000004">
      <c r="A265" t="s">
        <v>725</v>
      </c>
      <c r="B265" t="s">
        <v>724</v>
      </c>
      <c r="C265" t="s">
        <v>141</v>
      </c>
      <c r="D265">
        <v>905573</v>
      </c>
      <c r="E265" t="s">
        <v>8</v>
      </c>
    </row>
    <row r="266" spans="1:5" x14ac:dyDescent="0.55000000000000004">
      <c r="A266" t="s">
        <v>810</v>
      </c>
      <c r="B266" t="s">
        <v>809</v>
      </c>
      <c r="C266" t="s">
        <v>41</v>
      </c>
      <c r="D266">
        <v>144569</v>
      </c>
      <c r="E266" t="s">
        <v>8</v>
      </c>
    </row>
    <row r="267" spans="1:5" x14ac:dyDescent="0.55000000000000004">
      <c r="A267" t="s">
        <v>421</v>
      </c>
      <c r="B267" t="s">
        <v>420</v>
      </c>
      <c r="C267" t="s">
        <v>10</v>
      </c>
      <c r="D267">
        <v>1162417</v>
      </c>
      <c r="E267" t="s">
        <v>8</v>
      </c>
    </row>
    <row r="268" spans="1:5" x14ac:dyDescent="0.55000000000000004">
      <c r="A268" t="s">
        <v>433</v>
      </c>
      <c r="B268" t="s">
        <v>432</v>
      </c>
      <c r="C268" t="s">
        <v>10</v>
      </c>
      <c r="D268">
        <v>1427292</v>
      </c>
      <c r="E268" t="s">
        <v>8</v>
      </c>
    </row>
    <row r="269" spans="1:5" x14ac:dyDescent="0.55000000000000004">
      <c r="A269" t="s">
        <v>1445</v>
      </c>
      <c r="B269" t="s">
        <v>1444</v>
      </c>
      <c r="C269" t="s">
        <v>13</v>
      </c>
      <c r="D269">
        <v>878521</v>
      </c>
      <c r="E269" t="s">
        <v>8</v>
      </c>
    </row>
    <row r="270" spans="1:5" x14ac:dyDescent="0.55000000000000004">
      <c r="A270" t="s">
        <v>1453</v>
      </c>
      <c r="B270" t="s">
        <v>1452</v>
      </c>
      <c r="C270" t="s">
        <v>10</v>
      </c>
      <c r="D270">
        <v>743815</v>
      </c>
      <c r="E270" t="s">
        <v>8</v>
      </c>
    </row>
    <row r="271" spans="1:5" x14ac:dyDescent="0.55000000000000004">
      <c r="A271" t="s">
        <v>1455</v>
      </c>
      <c r="B271" t="s">
        <v>1454</v>
      </c>
      <c r="C271" t="s">
        <v>10</v>
      </c>
      <c r="D271">
        <v>545854</v>
      </c>
      <c r="E271" t="s">
        <v>8</v>
      </c>
    </row>
    <row r="272" spans="1:5" x14ac:dyDescent="0.55000000000000004">
      <c r="A272" t="s">
        <v>451</v>
      </c>
      <c r="B272" t="s">
        <v>450</v>
      </c>
      <c r="C272" t="s">
        <v>10</v>
      </c>
      <c r="D272">
        <v>116939</v>
      </c>
      <c r="E272" t="s">
        <v>8</v>
      </c>
    </row>
    <row r="273" spans="1:5" x14ac:dyDescent="0.55000000000000004">
      <c r="A273" t="s">
        <v>1457</v>
      </c>
      <c r="B273" t="s">
        <v>1456</v>
      </c>
      <c r="C273" t="s">
        <v>6</v>
      </c>
      <c r="D273">
        <v>117394</v>
      </c>
      <c r="E273" t="s">
        <v>8</v>
      </c>
    </row>
    <row r="274" spans="1:5" x14ac:dyDescent="0.55000000000000004">
      <c r="A274" t="s">
        <v>1459</v>
      </c>
      <c r="B274" t="s">
        <v>1458</v>
      </c>
      <c r="C274" t="s">
        <v>41</v>
      </c>
      <c r="D274">
        <v>154392</v>
      </c>
      <c r="E274" t="s">
        <v>8</v>
      </c>
    </row>
    <row r="275" spans="1:5" x14ac:dyDescent="0.55000000000000004">
      <c r="A275" t="s">
        <v>464</v>
      </c>
      <c r="B275" t="s">
        <v>463</v>
      </c>
      <c r="C275" t="s">
        <v>6</v>
      </c>
      <c r="D275">
        <v>3368006</v>
      </c>
      <c r="E275" t="s">
        <v>8</v>
      </c>
    </row>
    <row r="276" spans="1:5" x14ac:dyDescent="0.55000000000000004">
      <c r="A276" t="s">
        <v>1461</v>
      </c>
      <c r="B276" t="s">
        <v>1460</v>
      </c>
      <c r="C276" t="s">
        <v>10</v>
      </c>
      <c r="D276">
        <v>686029</v>
      </c>
      <c r="E276" t="s">
        <v>8</v>
      </c>
    </row>
    <row r="277" spans="1:5" x14ac:dyDescent="0.55000000000000004">
      <c r="A277" t="s">
        <v>713</v>
      </c>
      <c r="B277" t="s">
        <v>712</v>
      </c>
      <c r="C277" t="s">
        <v>10</v>
      </c>
      <c r="D277">
        <v>2176535</v>
      </c>
      <c r="E277" t="s">
        <v>8</v>
      </c>
    </row>
    <row r="278" spans="1:5" x14ac:dyDescent="0.55000000000000004">
      <c r="A278" t="s">
        <v>1465</v>
      </c>
      <c r="B278" t="s">
        <v>1464</v>
      </c>
      <c r="C278" t="s">
        <v>13</v>
      </c>
      <c r="D278">
        <v>722770</v>
      </c>
      <c r="E278" t="s">
        <v>8</v>
      </c>
    </row>
    <row r="279" spans="1:5" x14ac:dyDescent="0.55000000000000004">
      <c r="A279" t="s">
        <v>472</v>
      </c>
      <c r="B279" t="s">
        <v>471</v>
      </c>
      <c r="C279" t="s">
        <v>10</v>
      </c>
      <c r="D279">
        <v>649711</v>
      </c>
      <c r="E279" t="s">
        <v>8</v>
      </c>
    </row>
    <row r="280" spans="1:5" x14ac:dyDescent="0.55000000000000004">
      <c r="A280" t="s">
        <v>1474</v>
      </c>
      <c r="B280" t="s">
        <v>1473</v>
      </c>
      <c r="C280" t="s">
        <v>10</v>
      </c>
      <c r="D280">
        <v>296355</v>
      </c>
      <c r="E280" t="s">
        <v>8</v>
      </c>
    </row>
    <row r="281" spans="1:5" x14ac:dyDescent="0.55000000000000004">
      <c r="A281" t="s">
        <v>484</v>
      </c>
      <c r="B281" t="s">
        <v>483</v>
      </c>
      <c r="C281" t="s">
        <v>13</v>
      </c>
      <c r="D281">
        <v>1809160</v>
      </c>
      <c r="E281" t="s">
        <v>8</v>
      </c>
    </row>
    <row r="282" spans="1:5" x14ac:dyDescent="0.55000000000000004">
      <c r="A282" t="s">
        <v>1234</v>
      </c>
      <c r="B282" t="s">
        <v>1232</v>
      </c>
      <c r="C282" t="s">
        <v>1233</v>
      </c>
      <c r="D282">
        <v>214855</v>
      </c>
      <c r="E282" t="s">
        <v>8</v>
      </c>
    </row>
    <row r="283" spans="1:5" x14ac:dyDescent="0.55000000000000004">
      <c r="A283" t="s">
        <v>24</v>
      </c>
      <c r="B283" t="s">
        <v>23</v>
      </c>
      <c r="C283" t="s">
        <v>18</v>
      </c>
      <c r="D283">
        <v>2745084</v>
      </c>
      <c r="E283" t="s">
        <v>8</v>
      </c>
    </row>
    <row r="284" spans="1:5" x14ac:dyDescent="0.55000000000000004">
      <c r="A284" t="s">
        <v>1156</v>
      </c>
      <c r="B284" t="s">
        <v>1155</v>
      </c>
      <c r="C284" t="s">
        <v>801</v>
      </c>
      <c r="D284">
        <v>418645</v>
      </c>
      <c r="E284" t="s">
        <v>8</v>
      </c>
    </row>
    <row r="285" spans="1:5" x14ac:dyDescent="0.55000000000000004">
      <c r="A285" t="s">
        <v>1140</v>
      </c>
      <c r="B285" t="s">
        <v>1138</v>
      </c>
      <c r="C285" t="s">
        <v>1139</v>
      </c>
      <c r="D285">
        <v>3721627</v>
      </c>
      <c r="E285" t="s">
        <v>8</v>
      </c>
    </row>
    <row r="286" spans="1:5" x14ac:dyDescent="0.55000000000000004">
      <c r="A286" t="s">
        <v>139</v>
      </c>
      <c r="B286" t="s">
        <v>137</v>
      </c>
      <c r="C286" t="s">
        <v>138</v>
      </c>
      <c r="D286">
        <v>3292247</v>
      </c>
      <c r="E286" t="s">
        <v>8</v>
      </c>
    </row>
    <row r="287" spans="1:5" x14ac:dyDescent="0.55000000000000004">
      <c r="A287" t="s">
        <v>1238</v>
      </c>
      <c r="B287" t="s">
        <v>1237</v>
      </c>
      <c r="C287" t="s">
        <v>18</v>
      </c>
      <c r="D287">
        <v>498597</v>
      </c>
      <c r="E287" t="s">
        <v>8</v>
      </c>
    </row>
    <row r="288" spans="1:5" x14ac:dyDescent="0.55000000000000004">
      <c r="A288" t="s">
        <v>1267</v>
      </c>
      <c r="B288" t="s">
        <v>1265</v>
      </c>
      <c r="C288" t="s">
        <v>1266</v>
      </c>
      <c r="D288">
        <v>302877</v>
      </c>
      <c r="E288" t="s">
        <v>8</v>
      </c>
    </row>
    <row r="289" spans="1:5" x14ac:dyDescent="0.55000000000000004">
      <c r="A289" t="s">
        <v>1274</v>
      </c>
      <c r="B289" t="s">
        <v>1273</v>
      </c>
      <c r="C289" t="s">
        <v>138</v>
      </c>
      <c r="D289">
        <v>414541</v>
      </c>
      <c r="E289" t="s">
        <v>8</v>
      </c>
    </row>
    <row r="290" spans="1:5" x14ac:dyDescent="0.55000000000000004">
      <c r="A290" t="s">
        <v>216</v>
      </c>
      <c r="B290" t="s">
        <v>214</v>
      </c>
      <c r="C290" t="s">
        <v>215</v>
      </c>
      <c r="D290">
        <v>3671642</v>
      </c>
      <c r="E290" t="s">
        <v>8</v>
      </c>
    </row>
    <row r="291" spans="1:5" x14ac:dyDescent="0.55000000000000004">
      <c r="A291" t="s">
        <v>1283</v>
      </c>
      <c r="B291" t="s">
        <v>1281</v>
      </c>
      <c r="C291" t="s">
        <v>1282</v>
      </c>
      <c r="D291">
        <v>73627</v>
      </c>
      <c r="E291" t="s">
        <v>8</v>
      </c>
    </row>
    <row r="292" spans="1:5" x14ac:dyDescent="0.55000000000000004">
      <c r="A292" t="s">
        <v>1291</v>
      </c>
      <c r="B292" t="s">
        <v>1290</v>
      </c>
      <c r="C292" t="s">
        <v>926</v>
      </c>
      <c r="D292">
        <v>185461</v>
      </c>
      <c r="E292" t="s">
        <v>8</v>
      </c>
    </row>
    <row r="293" spans="1:5" x14ac:dyDescent="0.55000000000000004">
      <c r="A293" t="s">
        <v>1037</v>
      </c>
      <c r="B293" t="s">
        <v>1036</v>
      </c>
      <c r="C293" t="s">
        <v>18</v>
      </c>
      <c r="D293">
        <v>400748</v>
      </c>
      <c r="E293" t="s">
        <v>8</v>
      </c>
    </row>
    <row r="294" spans="1:5" x14ac:dyDescent="0.55000000000000004">
      <c r="A294" t="s">
        <v>1336</v>
      </c>
      <c r="B294" t="s">
        <v>1335</v>
      </c>
      <c r="C294" t="s">
        <v>18</v>
      </c>
      <c r="D294">
        <v>191687</v>
      </c>
      <c r="E294" t="s">
        <v>8</v>
      </c>
    </row>
    <row r="295" spans="1:5" x14ac:dyDescent="0.55000000000000004">
      <c r="A295" t="s">
        <v>1313</v>
      </c>
      <c r="B295" t="s">
        <v>1312</v>
      </c>
      <c r="C295" t="s">
        <v>76</v>
      </c>
      <c r="D295">
        <v>84369</v>
      </c>
      <c r="E295" t="s">
        <v>8</v>
      </c>
    </row>
    <row r="296" spans="1:5" x14ac:dyDescent="0.55000000000000004">
      <c r="A296" t="s">
        <v>1379</v>
      </c>
      <c r="B296" t="s">
        <v>1378</v>
      </c>
      <c r="C296" t="s">
        <v>18</v>
      </c>
      <c r="D296">
        <v>541857</v>
      </c>
      <c r="E296" t="s">
        <v>8</v>
      </c>
    </row>
    <row r="297" spans="1:5" x14ac:dyDescent="0.55000000000000004">
      <c r="A297" t="s">
        <v>1443</v>
      </c>
      <c r="B297" t="s">
        <v>1442</v>
      </c>
      <c r="C297" t="s">
        <v>18</v>
      </c>
      <c r="D297">
        <v>1394021</v>
      </c>
      <c r="E297" t="s">
        <v>8</v>
      </c>
    </row>
    <row r="298" spans="1:5" x14ac:dyDescent="0.55000000000000004">
      <c r="A298" t="s">
        <v>1463</v>
      </c>
      <c r="B298" t="s">
        <v>1462</v>
      </c>
      <c r="C298" t="s">
        <v>801</v>
      </c>
      <c r="D298">
        <v>760282</v>
      </c>
      <c r="E298" t="s">
        <v>8</v>
      </c>
    </row>
    <row r="299" spans="1:5" x14ac:dyDescent="0.55000000000000004">
      <c r="A299" t="s">
        <v>1476</v>
      </c>
      <c r="B299" t="s">
        <v>1475</v>
      </c>
      <c r="C299" t="s">
        <v>18</v>
      </c>
      <c r="D299">
        <v>338947</v>
      </c>
      <c r="E299" t="s">
        <v>8</v>
      </c>
    </row>
    <row r="300" spans="1:5" x14ac:dyDescent="0.55000000000000004">
      <c r="A300" t="s">
        <v>482</v>
      </c>
      <c r="B300" t="s">
        <v>481</v>
      </c>
      <c r="C300" t="s">
        <v>13</v>
      </c>
      <c r="D300">
        <v>459292</v>
      </c>
      <c r="E300" t="s">
        <v>8</v>
      </c>
    </row>
    <row r="301" spans="1:5" x14ac:dyDescent="0.55000000000000004">
      <c r="A301" t="s">
        <v>1369</v>
      </c>
      <c r="B301" t="s">
        <v>1367</v>
      </c>
      <c r="C301" t="s">
        <v>1368</v>
      </c>
      <c r="D301">
        <v>2643910</v>
      </c>
      <c r="E301" t="s">
        <v>8</v>
      </c>
    </row>
    <row r="302" spans="1:5" x14ac:dyDescent="0.55000000000000004">
      <c r="A302" t="s">
        <v>795</v>
      </c>
      <c r="B302" t="s">
        <v>794</v>
      </c>
      <c r="C302" t="s">
        <v>18</v>
      </c>
      <c r="D302">
        <v>705714</v>
      </c>
      <c r="E302" t="s">
        <v>8</v>
      </c>
    </row>
    <row r="303" spans="1:5" x14ac:dyDescent="0.55000000000000004">
      <c r="A303" t="s">
        <v>1200</v>
      </c>
      <c r="B303" t="s">
        <v>1199</v>
      </c>
      <c r="C303" t="s">
        <v>138</v>
      </c>
      <c r="D303">
        <v>3071353</v>
      </c>
      <c r="E303" t="s">
        <v>8</v>
      </c>
    </row>
    <row r="304" spans="1:5" x14ac:dyDescent="0.55000000000000004">
      <c r="A304" t="s">
        <v>1223</v>
      </c>
      <c r="B304" t="s">
        <v>1222</v>
      </c>
      <c r="C304" t="s">
        <v>18</v>
      </c>
      <c r="D304">
        <v>508835</v>
      </c>
      <c r="E304" t="s">
        <v>8</v>
      </c>
    </row>
    <row r="305" spans="1:5" x14ac:dyDescent="0.55000000000000004">
      <c r="A305" t="s">
        <v>1326</v>
      </c>
      <c r="B305" t="s">
        <v>1325</v>
      </c>
      <c r="C305" t="s">
        <v>18</v>
      </c>
      <c r="D305">
        <v>533833</v>
      </c>
      <c r="E305" t="s">
        <v>8</v>
      </c>
    </row>
    <row r="306" spans="1:5" x14ac:dyDescent="0.55000000000000004">
      <c r="A306" t="s">
        <v>1383</v>
      </c>
      <c r="B306" t="s">
        <v>1382</v>
      </c>
      <c r="C306" t="s">
        <v>215</v>
      </c>
      <c r="D306">
        <v>170841</v>
      </c>
      <c r="E306" t="s">
        <v>8</v>
      </c>
    </row>
    <row r="307" spans="1:5" x14ac:dyDescent="0.55000000000000004">
      <c r="A307" t="s">
        <v>1164</v>
      </c>
      <c r="B307" t="s">
        <v>1163</v>
      </c>
      <c r="C307" t="s">
        <v>10</v>
      </c>
      <c r="D307">
        <v>1055531</v>
      </c>
      <c r="E307" t="s">
        <v>8</v>
      </c>
    </row>
    <row r="308" spans="1:5" x14ac:dyDescent="0.55000000000000004">
      <c r="A308" t="s">
        <v>1264</v>
      </c>
      <c r="B308" t="s">
        <v>1263</v>
      </c>
      <c r="C308" t="s">
        <v>18</v>
      </c>
      <c r="D308">
        <v>454137</v>
      </c>
      <c r="E308" t="s">
        <v>8</v>
      </c>
    </row>
    <row r="309" spans="1:5" x14ac:dyDescent="0.55000000000000004">
      <c r="A309" t="s">
        <v>1272</v>
      </c>
      <c r="B309" t="s">
        <v>1271</v>
      </c>
      <c r="C309" t="s">
        <v>6</v>
      </c>
      <c r="D309">
        <v>675068</v>
      </c>
      <c r="E309" t="s">
        <v>8</v>
      </c>
    </row>
    <row r="310" spans="1:5" x14ac:dyDescent="0.55000000000000004">
      <c r="A310" t="s">
        <v>1360</v>
      </c>
      <c r="B310" t="s">
        <v>1359</v>
      </c>
      <c r="C310" t="s">
        <v>18</v>
      </c>
      <c r="D310">
        <v>1313359</v>
      </c>
      <c r="E310" t="s">
        <v>8</v>
      </c>
    </row>
    <row r="311" spans="1:5" x14ac:dyDescent="0.55000000000000004">
      <c r="A311" t="s">
        <v>906</v>
      </c>
      <c r="B311" t="s">
        <v>905</v>
      </c>
      <c r="C311" t="s">
        <v>18</v>
      </c>
      <c r="D311">
        <v>266387</v>
      </c>
      <c r="E311" t="s">
        <v>8</v>
      </c>
    </row>
    <row r="312" spans="1:5" x14ac:dyDescent="0.55000000000000004">
      <c r="A312" t="s">
        <v>1419</v>
      </c>
      <c r="B312" t="s">
        <v>1417</v>
      </c>
      <c r="C312" t="s">
        <v>1418</v>
      </c>
      <c r="D312">
        <v>506373</v>
      </c>
      <c r="E312" t="s">
        <v>8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F1459-7204-4D92-87B9-C054E71C399A}">
  <dimension ref="A1:E251"/>
  <sheetViews>
    <sheetView topLeftCell="A39" workbookViewId="0">
      <selection activeCell="A50" sqref="A2:A251"/>
    </sheetView>
  </sheetViews>
  <sheetFormatPr defaultRowHeight="18" x14ac:dyDescent="0.55000000000000004"/>
  <cols>
    <col min="1" max="1" width="11" bestFit="1" customWidth="1"/>
    <col min="2" max="2" width="36.58203125" bestFit="1" customWidth="1"/>
    <col min="3" max="3" width="18.83203125" bestFit="1" customWidth="1"/>
    <col min="4" max="4" width="13.4140625" customWidth="1"/>
    <col min="5" max="5" width="13.75" bestFit="1" customWidth="1"/>
    <col min="6" max="6" width="23.33203125" bestFit="1" customWidth="1"/>
  </cols>
  <sheetData>
    <row r="1" spans="1:5" x14ac:dyDescent="0.55000000000000004">
      <c r="A1" t="s">
        <v>2</v>
      </c>
      <c r="B1" t="s">
        <v>0</v>
      </c>
      <c r="C1" t="s">
        <v>1</v>
      </c>
      <c r="D1" t="s">
        <v>3</v>
      </c>
      <c r="E1" t="s">
        <v>1137</v>
      </c>
    </row>
    <row r="2" spans="1:5" x14ac:dyDescent="0.55000000000000004">
      <c r="A2" t="s">
        <v>933</v>
      </c>
      <c r="B2" t="s">
        <v>932</v>
      </c>
      <c r="C2" t="s">
        <v>10</v>
      </c>
      <c r="D2">
        <v>1882473</v>
      </c>
      <c r="E2" t="s">
        <v>8</v>
      </c>
    </row>
    <row r="3" spans="1:5" x14ac:dyDescent="0.55000000000000004">
      <c r="A3" t="s">
        <v>939</v>
      </c>
      <c r="B3" t="s">
        <v>938</v>
      </c>
      <c r="C3" t="s">
        <v>10</v>
      </c>
      <c r="D3">
        <v>1764107</v>
      </c>
      <c r="E3" t="s">
        <v>8</v>
      </c>
    </row>
    <row r="4" spans="1:5" x14ac:dyDescent="0.55000000000000004">
      <c r="A4" t="s">
        <v>941</v>
      </c>
      <c r="B4" t="s">
        <v>940</v>
      </c>
      <c r="C4" t="s">
        <v>10</v>
      </c>
      <c r="D4">
        <v>446261</v>
      </c>
      <c r="E4" t="s">
        <v>8</v>
      </c>
    </row>
    <row r="5" spans="1:5" x14ac:dyDescent="0.55000000000000004">
      <c r="A5" t="s">
        <v>14</v>
      </c>
      <c r="B5" t="s">
        <v>12</v>
      </c>
      <c r="C5" t="s">
        <v>13</v>
      </c>
      <c r="D5">
        <v>246773</v>
      </c>
      <c r="E5" t="s">
        <v>8</v>
      </c>
    </row>
    <row r="6" spans="1:5" x14ac:dyDescent="0.55000000000000004">
      <c r="A6" t="s">
        <v>965</v>
      </c>
      <c r="B6" t="s">
        <v>964</v>
      </c>
      <c r="C6" t="s">
        <v>10</v>
      </c>
      <c r="D6">
        <v>533277</v>
      </c>
      <c r="E6" t="s">
        <v>8</v>
      </c>
    </row>
    <row r="7" spans="1:5" x14ac:dyDescent="0.55000000000000004">
      <c r="A7" t="s">
        <v>945</v>
      </c>
      <c r="B7" t="s">
        <v>944</v>
      </c>
      <c r="C7" t="s">
        <v>10</v>
      </c>
      <c r="D7">
        <v>1535214</v>
      </c>
      <c r="E7" t="s">
        <v>8</v>
      </c>
    </row>
    <row r="8" spans="1:5" x14ac:dyDescent="0.55000000000000004">
      <c r="A8" t="s">
        <v>29</v>
      </c>
      <c r="B8" t="s">
        <v>28</v>
      </c>
      <c r="C8" t="s">
        <v>13</v>
      </c>
      <c r="D8">
        <v>1140180</v>
      </c>
      <c r="E8" t="s">
        <v>8</v>
      </c>
    </row>
    <row r="9" spans="1:5" x14ac:dyDescent="0.55000000000000004">
      <c r="A9" t="s">
        <v>947</v>
      </c>
      <c r="B9" t="s">
        <v>946</v>
      </c>
      <c r="C9" t="s">
        <v>10</v>
      </c>
      <c r="D9">
        <v>870925</v>
      </c>
      <c r="E9" t="s">
        <v>8</v>
      </c>
    </row>
    <row r="10" spans="1:5" x14ac:dyDescent="0.55000000000000004">
      <c r="A10" t="s">
        <v>33</v>
      </c>
      <c r="B10" t="s">
        <v>32</v>
      </c>
      <c r="C10" t="s">
        <v>10</v>
      </c>
      <c r="D10">
        <v>1107711</v>
      </c>
      <c r="E10" t="s">
        <v>8</v>
      </c>
    </row>
    <row r="11" spans="1:5" x14ac:dyDescent="0.55000000000000004">
      <c r="A11" t="s">
        <v>42</v>
      </c>
      <c r="B11" t="s">
        <v>40</v>
      </c>
      <c r="C11" t="s">
        <v>41</v>
      </c>
      <c r="D11">
        <v>203146</v>
      </c>
      <c r="E11" t="s">
        <v>8</v>
      </c>
    </row>
    <row r="12" spans="1:5" x14ac:dyDescent="0.55000000000000004">
      <c r="A12" t="s">
        <v>48</v>
      </c>
      <c r="B12" t="s">
        <v>47</v>
      </c>
      <c r="C12" t="s">
        <v>10</v>
      </c>
      <c r="D12">
        <v>1344637</v>
      </c>
      <c r="E12" t="s">
        <v>8</v>
      </c>
    </row>
    <row r="13" spans="1:5" x14ac:dyDescent="0.55000000000000004">
      <c r="A13" t="s">
        <v>951</v>
      </c>
      <c r="B13" t="s">
        <v>950</v>
      </c>
      <c r="C13" t="s">
        <v>10</v>
      </c>
      <c r="D13">
        <v>231345</v>
      </c>
      <c r="E13" t="s">
        <v>8</v>
      </c>
    </row>
    <row r="14" spans="1:5" x14ac:dyDescent="0.55000000000000004">
      <c r="A14" t="s">
        <v>52</v>
      </c>
      <c r="B14" t="s">
        <v>51</v>
      </c>
      <c r="C14" t="s">
        <v>10</v>
      </c>
      <c r="D14">
        <v>499474</v>
      </c>
      <c r="E14" t="s">
        <v>8</v>
      </c>
    </row>
    <row r="15" spans="1:5" x14ac:dyDescent="0.55000000000000004">
      <c r="A15" t="s">
        <v>62</v>
      </c>
      <c r="B15" t="s">
        <v>61</v>
      </c>
      <c r="C15" t="s">
        <v>6</v>
      </c>
      <c r="D15">
        <v>2664605</v>
      </c>
      <c r="E15" t="s">
        <v>8</v>
      </c>
    </row>
    <row r="16" spans="1:5" x14ac:dyDescent="0.55000000000000004">
      <c r="A16" t="s">
        <v>957</v>
      </c>
      <c r="B16" t="s">
        <v>956</v>
      </c>
      <c r="C16" t="s">
        <v>10</v>
      </c>
      <c r="D16">
        <v>327030</v>
      </c>
      <c r="E16" t="s">
        <v>8</v>
      </c>
    </row>
    <row r="17" spans="1:5" x14ac:dyDescent="0.55000000000000004">
      <c r="A17" t="s">
        <v>74</v>
      </c>
      <c r="B17" t="s">
        <v>73</v>
      </c>
      <c r="C17" t="s">
        <v>10</v>
      </c>
      <c r="D17">
        <v>129675</v>
      </c>
      <c r="E17" t="s">
        <v>8</v>
      </c>
    </row>
    <row r="18" spans="1:5" x14ac:dyDescent="0.55000000000000004">
      <c r="A18" t="s">
        <v>79</v>
      </c>
      <c r="B18" t="s">
        <v>78</v>
      </c>
      <c r="C18" t="s">
        <v>13</v>
      </c>
      <c r="D18">
        <v>427841</v>
      </c>
      <c r="E18" t="s">
        <v>8</v>
      </c>
    </row>
    <row r="19" spans="1:5" x14ac:dyDescent="0.55000000000000004">
      <c r="A19" t="s">
        <v>81</v>
      </c>
      <c r="B19" t="s">
        <v>80</v>
      </c>
      <c r="C19" t="s">
        <v>10</v>
      </c>
      <c r="D19">
        <v>961451</v>
      </c>
      <c r="E19" t="s">
        <v>8</v>
      </c>
    </row>
    <row r="20" spans="1:5" x14ac:dyDescent="0.55000000000000004">
      <c r="A20" t="s">
        <v>970</v>
      </c>
      <c r="B20" t="s">
        <v>969</v>
      </c>
      <c r="C20" t="s">
        <v>10</v>
      </c>
      <c r="D20">
        <v>385968</v>
      </c>
      <c r="E20" t="s">
        <v>8</v>
      </c>
    </row>
    <row r="21" spans="1:5" x14ac:dyDescent="0.55000000000000004">
      <c r="A21" t="s">
        <v>972</v>
      </c>
      <c r="B21" t="s">
        <v>971</v>
      </c>
      <c r="C21" t="s">
        <v>10</v>
      </c>
      <c r="D21">
        <v>335655</v>
      </c>
      <c r="E21" t="s">
        <v>8</v>
      </c>
    </row>
    <row r="22" spans="1:5" x14ac:dyDescent="0.55000000000000004">
      <c r="A22" t="s">
        <v>974</v>
      </c>
      <c r="B22" t="s">
        <v>973</v>
      </c>
      <c r="C22" t="s">
        <v>10</v>
      </c>
      <c r="D22">
        <v>250392</v>
      </c>
      <c r="E22" t="s">
        <v>8</v>
      </c>
    </row>
    <row r="23" spans="1:5" x14ac:dyDescent="0.55000000000000004">
      <c r="A23" t="s">
        <v>95</v>
      </c>
      <c r="B23" t="s">
        <v>94</v>
      </c>
      <c r="C23" t="s">
        <v>10</v>
      </c>
      <c r="D23">
        <v>334938</v>
      </c>
      <c r="E23" t="s">
        <v>8</v>
      </c>
    </row>
    <row r="24" spans="1:5" x14ac:dyDescent="0.55000000000000004">
      <c r="A24" t="s">
        <v>98</v>
      </c>
      <c r="B24" t="s">
        <v>96</v>
      </c>
      <c r="C24" t="s">
        <v>97</v>
      </c>
      <c r="D24">
        <v>629646</v>
      </c>
      <c r="E24" t="s">
        <v>8</v>
      </c>
    </row>
    <row r="25" spans="1:5" x14ac:dyDescent="0.55000000000000004">
      <c r="A25" t="s">
        <v>978</v>
      </c>
      <c r="B25" t="s">
        <v>977</v>
      </c>
      <c r="C25" t="s">
        <v>10</v>
      </c>
      <c r="D25">
        <v>1379214</v>
      </c>
      <c r="E25" t="s">
        <v>8</v>
      </c>
    </row>
    <row r="26" spans="1:5" x14ac:dyDescent="0.55000000000000004">
      <c r="A26" t="s">
        <v>106</v>
      </c>
      <c r="B26" t="s">
        <v>105</v>
      </c>
      <c r="C26" t="s">
        <v>10</v>
      </c>
      <c r="D26">
        <v>1141652</v>
      </c>
      <c r="E26" t="s">
        <v>8</v>
      </c>
    </row>
    <row r="27" spans="1:5" x14ac:dyDescent="0.55000000000000004">
      <c r="A27" t="s">
        <v>980</v>
      </c>
      <c r="B27" t="s">
        <v>979</v>
      </c>
      <c r="C27" t="s">
        <v>10</v>
      </c>
      <c r="D27">
        <v>811422</v>
      </c>
      <c r="E27" t="s">
        <v>8</v>
      </c>
    </row>
    <row r="28" spans="1:5" x14ac:dyDescent="0.55000000000000004">
      <c r="A28" t="s">
        <v>982</v>
      </c>
      <c r="B28" t="s">
        <v>981</v>
      </c>
      <c r="C28" t="s">
        <v>10</v>
      </c>
      <c r="D28">
        <v>113913</v>
      </c>
      <c r="E28" t="s">
        <v>8</v>
      </c>
    </row>
    <row r="29" spans="1:5" x14ac:dyDescent="0.55000000000000004">
      <c r="A29" t="s">
        <v>984</v>
      </c>
      <c r="B29" t="s">
        <v>983</v>
      </c>
      <c r="C29" t="s">
        <v>10</v>
      </c>
      <c r="D29">
        <v>295643</v>
      </c>
      <c r="E29" t="s">
        <v>8</v>
      </c>
    </row>
    <row r="30" spans="1:5" x14ac:dyDescent="0.55000000000000004">
      <c r="A30" t="s">
        <v>118</v>
      </c>
      <c r="B30" t="s">
        <v>117</v>
      </c>
      <c r="C30" t="s">
        <v>10</v>
      </c>
      <c r="D30">
        <v>2302743</v>
      </c>
      <c r="E30" t="s">
        <v>8</v>
      </c>
    </row>
    <row r="31" spans="1:5" x14ac:dyDescent="0.55000000000000004">
      <c r="A31" t="s">
        <v>120</v>
      </c>
      <c r="B31" t="s">
        <v>119</v>
      </c>
      <c r="C31" t="s">
        <v>10</v>
      </c>
      <c r="D31">
        <v>1286980</v>
      </c>
      <c r="E31" t="s">
        <v>8</v>
      </c>
    </row>
    <row r="32" spans="1:5" x14ac:dyDescent="0.55000000000000004">
      <c r="A32" t="s">
        <v>986</v>
      </c>
      <c r="B32" t="s">
        <v>985</v>
      </c>
      <c r="C32" t="s">
        <v>10</v>
      </c>
      <c r="D32">
        <v>3983081</v>
      </c>
      <c r="E32" t="s">
        <v>8</v>
      </c>
    </row>
    <row r="33" spans="1:5" x14ac:dyDescent="0.55000000000000004">
      <c r="A33" t="s">
        <v>124</v>
      </c>
      <c r="B33" t="s">
        <v>123</v>
      </c>
      <c r="C33" t="s">
        <v>10</v>
      </c>
      <c r="D33">
        <v>2202320</v>
      </c>
      <c r="E33" t="s">
        <v>8</v>
      </c>
    </row>
    <row r="34" spans="1:5" x14ac:dyDescent="0.55000000000000004">
      <c r="A34" t="s">
        <v>988</v>
      </c>
      <c r="B34" t="s">
        <v>987</v>
      </c>
      <c r="C34" t="s">
        <v>10</v>
      </c>
      <c r="D34">
        <v>788628</v>
      </c>
      <c r="E34" t="s">
        <v>8</v>
      </c>
    </row>
    <row r="35" spans="1:5" x14ac:dyDescent="0.55000000000000004">
      <c r="A35" t="s">
        <v>156</v>
      </c>
      <c r="B35" t="s">
        <v>155</v>
      </c>
      <c r="C35" t="s">
        <v>10</v>
      </c>
      <c r="D35">
        <v>359398</v>
      </c>
      <c r="E35" t="s">
        <v>8</v>
      </c>
    </row>
    <row r="36" spans="1:5" x14ac:dyDescent="0.55000000000000004">
      <c r="A36" t="s">
        <v>992</v>
      </c>
      <c r="B36" t="s">
        <v>991</v>
      </c>
      <c r="C36" t="s">
        <v>10</v>
      </c>
      <c r="D36">
        <v>205970</v>
      </c>
      <c r="E36" t="s">
        <v>8</v>
      </c>
    </row>
    <row r="37" spans="1:5" x14ac:dyDescent="0.55000000000000004">
      <c r="A37" t="s">
        <v>996</v>
      </c>
      <c r="B37" t="s">
        <v>995</v>
      </c>
      <c r="C37" t="s">
        <v>10</v>
      </c>
      <c r="D37">
        <v>960351</v>
      </c>
      <c r="E37" t="s">
        <v>8</v>
      </c>
    </row>
    <row r="38" spans="1:5" x14ac:dyDescent="0.55000000000000004">
      <c r="A38" t="s">
        <v>999</v>
      </c>
      <c r="B38" t="s">
        <v>998</v>
      </c>
      <c r="C38" t="s">
        <v>10</v>
      </c>
      <c r="D38">
        <v>1418533</v>
      </c>
      <c r="E38" t="s">
        <v>8</v>
      </c>
    </row>
    <row r="39" spans="1:5" x14ac:dyDescent="0.55000000000000004">
      <c r="A39" t="s">
        <v>494</v>
      </c>
      <c r="B39" t="s">
        <v>1130</v>
      </c>
      <c r="C39" t="s">
        <v>10</v>
      </c>
      <c r="D39">
        <v>116427</v>
      </c>
      <c r="E39" t="s">
        <v>8</v>
      </c>
    </row>
    <row r="40" spans="1:5" x14ac:dyDescent="0.55000000000000004">
      <c r="A40" t="s">
        <v>1007</v>
      </c>
      <c r="B40" t="s">
        <v>1006</v>
      </c>
      <c r="C40" t="s">
        <v>10</v>
      </c>
      <c r="D40">
        <v>929836</v>
      </c>
      <c r="E40" t="s">
        <v>8</v>
      </c>
    </row>
    <row r="41" spans="1:5" x14ac:dyDescent="0.55000000000000004">
      <c r="A41" t="s">
        <v>1013</v>
      </c>
      <c r="B41" t="s">
        <v>1012</v>
      </c>
      <c r="C41" t="s">
        <v>10</v>
      </c>
      <c r="D41">
        <v>1107390</v>
      </c>
      <c r="E41" t="s">
        <v>8</v>
      </c>
    </row>
    <row r="42" spans="1:5" x14ac:dyDescent="0.55000000000000004">
      <c r="A42" t="s">
        <v>1015</v>
      </c>
      <c r="B42" t="s">
        <v>1014</v>
      </c>
      <c r="C42" t="s">
        <v>10</v>
      </c>
      <c r="D42">
        <v>322930</v>
      </c>
      <c r="E42" t="s">
        <v>8</v>
      </c>
    </row>
    <row r="43" spans="1:5" x14ac:dyDescent="0.55000000000000004">
      <c r="A43" t="s">
        <v>1019</v>
      </c>
      <c r="B43" t="s">
        <v>1018</v>
      </c>
      <c r="C43" t="s">
        <v>10</v>
      </c>
      <c r="D43">
        <v>487664</v>
      </c>
      <c r="E43" t="s">
        <v>8</v>
      </c>
    </row>
    <row r="44" spans="1:5" x14ac:dyDescent="0.55000000000000004">
      <c r="A44" t="s">
        <v>196</v>
      </c>
      <c r="B44" t="s">
        <v>195</v>
      </c>
      <c r="C44" t="s">
        <v>10</v>
      </c>
      <c r="D44">
        <v>940526</v>
      </c>
      <c r="E44" t="s">
        <v>8</v>
      </c>
    </row>
    <row r="45" spans="1:5" x14ac:dyDescent="0.55000000000000004">
      <c r="A45" t="s">
        <v>575</v>
      </c>
      <c r="B45" t="s">
        <v>574</v>
      </c>
      <c r="C45" t="s">
        <v>10</v>
      </c>
      <c r="D45">
        <v>205769</v>
      </c>
      <c r="E45" t="s">
        <v>8</v>
      </c>
    </row>
    <row r="46" spans="1:5" x14ac:dyDescent="0.55000000000000004">
      <c r="A46" t="s">
        <v>202</v>
      </c>
      <c r="B46" t="s">
        <v>201</v>
      </c>
      <c r="C46" t="s">
        <v>10</v>
      </c>
      <c r="D46">
        <v>402781</v>
      </c>
      <c r="E46" t="s">
        <v>8</v>
      </c>
    </row>
    <row r="47" spans="1:5" x14ac:dyDescent="0.55000000000000004">
      <c r="A47" t="s">
        <v>198</v>
      </c>
      <c r="B47" t="s">
        <v>197</v>
      </c>
      <c r="C47" t="s">
        <v>10</v>
      </c>
      <c r="D47">
        <v>979181</v>
      </c>
      <c r="E47" t="s">
        <v>8</v>
      </c>
    </row>
    <row r="48" spans="1:5" x14ac:dyDescent="0.55000000000000004">
      <c r="A48" t="s">
        <v>204</v>
      </c>
      <c r="B48" t="s">
        <v>203</v>
      </c>
      <c r="C48" t="s">
        <v>10</v>
      </c>
      <c r="D48">
        <v>1285856</v>
      </c>
      <c r="E48" t="s">
        <v>8</v>
      </c>
    </row>
    <row r="49" spans="1:5" x14ac:dyDescent="0.55000000000000004">
      <c r="A49" t="s">
        <v>206</v>
      </c>
      <c r="B49" t="s">
        <v>205</v>
      </c>
      <c r="C49" t="s">
        <v>10</v>
      </c>
      <c r="D49">
        <v>313594</v>
      </c>
      <c r="E49" t="s">
        <v>8</v>
      </c>
    </row>
    <row r="50" spans="1:5" x14ac:dyDescent="0.55000000000000004">
      <c r="A50" t="s">
        <v>209</v>
      </c>
      <c r="B50" t="s">
        <v>207</v>
      </c>
      <c r="C50" t="s">
        <v>208</v>
      </c>
      <c r="D50">
        <v>1031997</v>
      </c>
      <c r="E50" t="s">
        <v>8</v>
      </c>
    </row>
    <row r="51" spans="1:5" x14ac:dyDescent="0.55000000000000004">
      <c r="A51" t="s">
        <v>213</v>
      </c>
      <c r="B51" t="s">
        <v>212</v>
      </c>
      <c r="C51" t="s">
        <v>10</v>
      </c>
      <c r="D51">
        <v>375240</v>
      </c>
      <c r="E51" t="s">
        <v>8</v>
      </c>
    </row>
    <row r="52" spans="1:5" x14ac:dyDescent="0.55000000000000004">
      <c r="A52" t="s">
        <v>218</v>
      </c>
      <c r="B52" t="s">
        <v>217</v>
      </c>
      <c r="C52" t="s">
        <v>10</v>
      </c>
      <c r="D52">
        <v>163483</v>
      </c>
      <c r="E52" t="s">
        <v>8</v>
      </c>
    </row>
    <row r="53" spans="1:5" x14ac:dyDescent="0.55000000000000004">
      <c r="A53" t="s">
        <v>1025</v>
      </c>
      <c r="B53" t="s">
        <v>1024</v>
      </c>
      <c r="C53" t="s">
        <v>10</v>
      </c>
      <c r="D53">
        <v>536108</v>
      </c>
      <c r="E53" t="s">
        <v>8</v>
      </c>
    </row>
    <row r="54" spans="1:5" x14ac:dyDescent="0.55000000000000004">
      <c r="A54" t="s">
        <v>222</v>
      </c>
      <c r="B54" t="s">
        <v>221</v>
      </c>
      <c r="C54" t="s">
        <v>10</v>
      </c>
      <c r="D54">
        <v>289044</v>
      </c>
      <c r="E54" t="s">
        <v>8</v>
      </c>
    </row>
    <row r="55" spans="1:5" x14ac:dyDescent="0.55000000000000004">
      <c r="A55" t="s">
        <v>226</v>
      </c>
      <c r="B55" t="s">
        <v>225</v>
      </c>
      <c r="C55" t="s">
        <v>10</v>
      </c>
      <c r="D55">
        <v>2391903</v>
      </c>
      <c r="E55" t="s">
        <v>8</v>
      </c>
    </row>
    <row r="56" spans="1:5" x14ac:dyDescent="0.55000000000000004">
      <c r="A56" t="s">
        <v>228</v>
      </c>
      <c r="B56" t="s">
        <v>227</v>
      </c>
      <c r="C56" t="s">
        <v>10</v>
      </c>
      <c r="D56">
        <v>889562</v>
      </c>
      <c r="E56" t="s">
        <v>8</v>
      </c>
    </row>
    <row r="57" spans="1:5" x14ac:dyDescent="0.55000000000000004">
      <c r="A57" t="s">
        <v>233</v>
      </c>
      <c r="B57" t="s">
        <v>232</v>
      </c>
      <c r="C57" t="s">
        <v>10</v>
      </c>
      <c r="D57">
        <v>672494</v>
      </c>
      <c r="E57" t="s">
        <v>8</v>
      </c>
    </row>
    <row r="58" spans="1:5" x14ac:dyDescent="0.55000000000000004">
      <c r="A58" t="s">
        <v>235</v>
      </c>
      <c r="B58" t="s">
        <v>234</v>
      </c>
      <c r="C58" t="s">
        <v>41</v>
      </c>
      <c r="D58">
        <v>949023</v>
      </c>
      <c r="E58" t="s">
        <v>8</v>
      </c>
    </row>
    <row r="59" spans="1:5" x14ac:dyDescent="0.55000000000000004">
      <c r="A59" t="s">
        <v>239</v>
      </c>
      <c r="B59" t="s">
        <v>238</v>
      </c>
      <c r="C59" t="s">
        <v>10</v>
      </c>
      <c r="D59">
        <v>356064</v>
      </c>
      <c r="E59" t="s">
        <v>8</v>
      </c>
    </row>
    <row r="60" spans="1:5" x14ac:dyDescent="0.55000000000000004">
      <c r="A60" t="s">
        <v>241</v>
      </c>
      <c r="B60" t="s">
        <v>240</v>
      </c>
      <c r="C60" t="s">
        <v>10</v>
      </c>
      <c r="D60">
        <v>973609</v>
      </c>
      <c r="E60" t="s">
        <v>8</v>
      </c>
    </row>
    <row r="61" spans="1:5" x14ac:dyDescent="0.55000000000000004">
      <c r="A61" t="s">
        <v>243</v>
      </c>
      <c r="B61" t="s">
        <v>242</v>
      </c>
      <c r="C61" t="s">
        <v>10</v>
      </c>
      <c r="D61">
        <v>3158326</v>
      </c>
      <c r="E61" t="s">
        <v>8</v>
      </c>
    </row>
    <row r="62" spans="1:5" x14ac:dyDescent="0.55000000000000004">
      <c r="A62" t="s">
        <v>753</v>
      </c>
      <c r="B62" t="s">
        <v>752</v>
      </c>
      <c r="C62" t="s">
        <v>10</v>
      </c>
      <c r="D62">
        <v>715572</v>
      </c>
      <c r="E62" t="s">
        <v>8</v>
      </c>
    </row>
    <row r="63" spans="1:5" x14ac:dyDescent="0.55000000000000004">
      <c r="A63" t="s">
        <v>597</v>
      </c>
      <c r="B63" t="s">
        <v>596</v>
      </c>
      <c r="C63" t="s">
        <v>6</v>
      </c>
      <c r="D63">
        <v>210624</v>
      </c>
      <c r="E63" t="s">
        <v>8</v>
      </c>
    </row>
    <row r="64" spans="1:5" x14ac:dyDescent="0.55000000000000004">
      <c r="A64" t="s">
        <v>257</v>
      </c>
      <c r="B64" t="s">
        <v>256</v>
      </c>
      <c r="C64" t="s">
        <v>10</v>
      </c>
      <c r="D64">
        <v>312684</v>
      </c>
      <c r="E64" t="s">
        <v>8</v>
      </c>
    </row>
    <row r="65" spans="1:5" x14ac:dyDescent="0.55000000000000004">
      <c r="A65" t="s">
        <v>1029</v>
      </c>
      <c r="B65" t="s">
        <v>1028</v>
      </c>
      <c r="C65" t="s">
        <v>10</v>
      </c>
      <c r="D65">
        <v>187509</v>
      </c>
      <c r="E65" t="s">
        <v>8</v>
      </c>
    </row>
    <row r="66" spans="1:5" x14ac:dyDescent="0.55000000000000004">
      <c r="A66" t="s">
        <v>1031</v>
      </c>
      <c r="B66" t="s">
        <v>1030</v>
      </c>
      <c r="C66" t="s">
        <v>10</v>
      </c>
      <c r="D66">
        <v>1717651</v>
      </c>
      <c r="E66" t="s">
        <v>8</v>
      </c>
    </row>
    <row r="67" spans="1:5" x14ac:dyDescent="0.55000000000000004">
      <c r="A67" t="s">
        <v>1033</v>
      </c>
      <c r="B67" t="s">
        <v>1032</v>
      </c>
      <c r="C67" t="s">
        <v>10</v>
      </c>
      <c r="D67">
        <v>212249</v>
      </c>
      <c r="E67" t="s">
        <v>8</v>
      </c>
    </row>
    <row r="68" spans="1:5" x14ac:dyDescent="0.55000000000000004">
      <c r="A68" t="s">
        <v>1035</v>
      </c>
      <c r="B68" t="s">
        <v>1034</v>
      </c>
      <c r="C68" t="s">
        <v>10</v>
      </c>
      <c r="D68">
        <v>201936</v>
      </c>
      <c r="E68" t="s">
        <v>8</v>
      </c>
    </row>
    <row r="69" spans="1:5" x14ac:dyDescent="0.55000000000000004">
      <c r="A69" t="s">
        <v>265</v>
      </c>
      <c r="B69" t="s">
        <v>264</v>
      </c>
      <c r="C69" t="s">
        <v>10</v>
      </c>
      <c r="D69">
        <v>4903011</v>
      </c>
      <c r="E69" t="s">
        <v>8</v>
      </c>
    </row>
    <row r="70" spans="1:5" x14ac:dyDescent="0.55000000000000004">
      <c r="A70" t="s">
        <v>757</v>
      </c>
      <c r="B70" t="s">
        <v>756</v>
      </c>
      <c r="C70" t="s">
        <v>10</v>
      </c>
      <c r="D70">
        <v>4189795</v>
      </c>
      <c r="E70" t="s">
        <v>8</v>
      </c>
    </row>
    <row r="71" spans="1:5" x14ac:dyDescent="0.55000000000000004">
      <c r="A71" t="s">
        <v>1041</v>
      </c>
      <c r="B71" t="s">
        <v>1040</v>
      </c>
      <c r="C71" t="s">
        <v>76</v>
      </c>
      <c r="D71">
        <v>2833341</v>
      </c>
      <c r="E71" t="s">
        <v>8</v>
      </c>
    </row>
    <row r="72" spans="1:5" x14ac:dyDescent="0.55000000000000004">
      <c r="A72" t="s">
        <v>1045</v>
      </c>
      <c r="B72" t="s">
        <v>1044</v>
      </c>
      <c r="C72" t="s">
        <v>10</v>
      </c>
      <c r="D72">
        <v>930422</v>
      </c>
      <c r="E72" t="s">
        <v>8</v>
      </c>
    </row>
    <row r="73" spans="1:5" x14ac:dyDescent="0.55000000000000004">
      <c r="A73" t="s">
        <v>1047</v>
      </c>
      <c r="B73" t="s">
        <v>1046</v>
      </c>
      <c r="C73" t="s">
        <v>10</v>
      </c>
      <c r="D73">
        <v>226785</v>
      </c>
      <c r="E73" t="s">
        <v>8</v>
      </c>
    </row>
    <row r="74" spans="1:5" x14ac:dyDescent="0.55000000000000004">
      <c r="A74" t="s">
        <v>292</v>
      </c>
      <c r="B74" t="s">
        <v>291</v>
      </c>
      <c r="C74" t="s">
        <v>10</v>
      </c>
      <c r="D74">
        <v>292135</v>
      </c>
      <c r="E74" t="s">
        <v>8</v>
      </c>
    </row>
    <row r="75" spans="1:5" x14ac:dyDescent="0.55000000000000004">
      <c r="A75" t="s">
        <v>1049</v>
      </c>
      <c r="B75" t="s">
        <v>1048</v>
      </c>
      <c r="C75" t="s">
        <v>10</v>
      </c>
      <c r="D75">
        <v>1057171</v>
      </c>
      <c r="E75" t="s">
        <v>8</v>
      </c>
    </row>
    <row r="76" spans="1:5" x14ac:dyDescent="0.55000000000000004">
      <c r="A76" t="s">
        <v>1051</v>
      </c>
      <c r="B76" t="s">
        <v>1050</v>
      </c>
      <c r="C76" t="s">
        <v>10</v>
      </c>
      <c r="D76">
        <v>315225</v>
      </c>
      <c r="E76" t="s">
        <v>8</v>
      </c>
    </row>
    <row r="77" spans="1:5" x14ac:dyDescent="0.55000000000000004">
      <c r="A77" t="s">
        <v>309</v>
      </c>
      <c r="B77" t="s">
        <v>308</v>
      </c>
      <c r="C77" t="s">
        <v>10</v>
      </c>
      <c r="D77">
        <v>1954269</v>
      </c>
      <c r="E77" t="s">
        <v>8</v>
      </c>
    </row>
    <row r="78" spans="1:5" x14ac:dyDescent="0.55000000000000004">
      <c r="A78" t="s">
        <v>311</v>
      </c>
      <c r="B78" t="s">
        <v>310</v>
      </c>
      <c r="C78" t="s">
        <v>10</v>
      </c>
      <c r="D78">
        <v>336174</v>
      </c>
      <c r="E78" t="s">
        <v>8</v>
      </c>
    </row>
    <row r="79" spans="1:5" x14ac:dyDescent="0.55000000000000004">
      <c r="A79" t="s">
        <v>313</v>
      </c>
      <c r="B79" t="s">
        <v>312</v>
      </c>
      <c r="C79" t="s">
        <v>10</v>
      </c>
      <c r="D79">
        <v>655197</v>
      </c>
      <c r="E79" t="s">
        <v>8</v>
      </c>
    </row>
    <row r="80" spans="1:5" x14ac:dyDescent="0.55000000000000004">
      <c r="A80" t="s">
        <v>315</v>
      </c>
      <c r="B80" t="s">
        <v>314</v>
      </c>
      <c r="C80" t="s">
        <v>10</v>
      </c>
      <c r="D80">
        <v>991827</v>
      </c>
      <c r="E80" t="s">
        <v>8</v>
      </c>
    </row>
    <row r="81" spans="1:5" x14ac:dyDescent="0.55000000000000004">
      <c r="A81" t="s">
        <v>323</v>
      </c>
      <c r="B81" t="s">
        <v>322</v>
      </c>
      <c r="C81" t="s">
        <v>41</v>
      </c>
      <c r="D81">
        <v>5992190</v>
      </c>
      <c r="E81" t="s">
        <v>8</v>
      </c>
    </row>
    <row r="82" spans="1:5" x14ac:dyDescent="0.55000000000000004">
      <c r="A82" t="s">
        <v>1065</v>
      </c>
      <c r="B82" t="s">
        <v>1064</v>
      </c>
      <c r="C82" t="s">
        <v>10</v>
      </c>
      <c r="D82">
        <v>36040</v>
      </c>
      <c r="E82" t="s">
        <v>8</v>
      </c>
    </row>
    <row r="83" spans="1:5" x14ac:dyDescent="0.55000000000000004">
      <c r="A83" t="s">
        <v>1079</v>
      </c>
      <c r="B83" t="s">
        <v>1078</v>
      </c>
      <c r="C83" t="s">
        <v>10</v>
      </c>
      <c r="D83">
        <v>475033</v>
      </c>
      <c r="E83" t="s">
        <v>8</v>
      </c>
    </row>
    <row r="84" spans="1:5" x14ac:dyDescent="0.55000000000000004">
      <c r="A84" t="s">
        <v>339</v>
      </c>
      <c r="B84" t="s">
        <v>338</v>
      </c>
      <c r="C84" t="s">
        <v>10</v>
      </c>
      <c r="D84">
        <v>621997</v>
      </c>
      <c r="E84" t="s">
        <v>8</v>
      </c>
    </row>
    <row r="85" spans="1:5" x14ac:dyDescent="0.55000000000000004">
      <c r="A85" t="s">
        <v>1081</v>
      </c>
      <c r="B85" t="s">
        <v>1080</v>
      </c>
      <c r="C85" t="s">
        <v>10</v>
      </c>
      <c r="D85">
        <v>660621</v>
      </c>
      <c r="E85" t="s">
        <v>8</v>
      </c>
    </row>
    <row r="86" spans="1:5" x14ac:dyDescent="0.55000000000000004">
      <c r="A86" t="s">
        <v>358</v>
      </c>
      <c r="B86" t="s">
        <v>357</v>
      </c>
      <c r="C86" t="s">
        <v>10</v>
      </c>
      <c r="D86">
        <v>1344599</v>
      </c>
      <c r="E86" t="s">
        <v>8</v>
      </c>
    </row>
    <row r="87" spans="1:5" x14ac:dyDescent="0.55000000000000004">
      <c r="A87" t="s">
        <v>360</v>
      </c>
      <c r="B87" t="s">
        <v>359</v>
      </c>
      <c r="C87" t="s">
        <v>10</v>
      </c>
      <c r="D87">
        <v>291328</v>
      </c>
      <c r="E87" t="s">
        <v>8</v>
      </c>
    </row>
    <row r="88" spans="1:5" x14ac:dyDescent="0.55000000000000004">
      <c r="A88" t="s">
        <v>1087</v>
      </c>
      <c r="B88" t="s">
        <v>1086</v>
      </c>
      <c r="C88" t="s">
        <v>10</v>
      </c>
      <c r="D88">
        <v>314589</v>
      </c>
      <c r="E88" t="s">
        <v>8</v>
      </c>
    </row>
    <row r="89" spans="1:5" x14ac:dyDescent="0.55000000000000004">
      <c r="A89" t="s">
        <v>1089</v>
      </c>
      <c r="B89" t="s">
        <v>1088</v>
      </c>
      <c r="C89" t="s">
        <v>41</v>
      </c>
      <c r="D89">
        <v>225473</v>
      </c>
      <c r="E89" t="s">
        <v>8</v>
      </c>
    </row>
    <row r="90" spans="1:5" x14ac:dyDescent="0.55000000000000004">
      <c r="A90" t="s">
        <v>1097</v>
      </c>
      <c r="B90" t="s">
        <v>1096</v>
      </c>
      <c r="C90" t="s">
        <v>10</v>
      </c>
      <c r="D90">
        <v>275192</v>
      </c>
      <c r="E90" t="s">
        <v>8</v>
      </c>
    </row>
    <row r="91" spans="1:5" x14ac:dyDescent="0.55000000000000004">
      <c r="A91" t="s">
        <v>386</v>
      </c>
      <c r="B91" t="s">
        <v>385</v>
      </c>
      <c r="C91" t="s">
        <v>13</v>
      </c>
      <c r="D91">
        <v>557275</v>
      </c>
      <c r="E91" t="s">
        <v>8</v>
      </c>
    </row>
    <row r="92" spans="1:5" x14ac:dyDescent="0.55000000000000004">
      <c r="A92" t="s">
        <v>1103</v>
      </c>
      <c r="B92" t="s">
        <v>1102</v>
      </c>
      <c r="C92" t="s">
        <v>10</v>
      </c>
      <c r="D92">
        <v>308302</v>
      </c>
      <c r="E92" t="s">
        <v>8</v>
      </c>
    </row>
    <row r="93" spans="1:5" x14ac:dyDescent="0.55000000000000004">
      <c r="A93" t="s">
        <v>1111</v>
      </c>
      <c r="B93" t="s">
        <v>1110</v>
      </c>
      <c r="C93" t="s">
        <v>10</v>
      </c>
      <c r="D93">
        <v>1248956</v>
      </c>
      <c r="E93" t="s">
        <v>8</v>
      </c>
    </row>
    <row r="94" spans="1:5" x14ac:dyDescent="0.55000000000000004">
      <c r="A94" t="s">
        <v>396</v>
      </c>
      <c r="B94" t="s">
        <v>395</v>
      </c>
      <c r="C94" t="s">
        <v>10</v>
      </c>
      <c r="D94">
        <v>265757</v>
      </c>
      <c r="E94" t="s">
        <v>8</v>
      </c>
    </row>
    <row r="95" spans="1:5" x14ac:dyDescent="0.55000000000000004">
      <c r="A95" t="s">
        <v>398</v>
      </c>
      <c r="B95" t="s">
        <v>397</v>
      </c>
      <c r="C95" t="s">
        <v>10</v>
      </c>
      <c r="D95">
        <v>1107187</v>
      </c>
      <c r="E95" t="s">
        <v>8</v>
      </c>
    </row>
    <row r="96" spans="1:5" x14ac:dyDescent="0.55000000000000004">
      <c r="A96" t="s">
        <v>789</v>
      </c>
      <c r="B96" t="s">
        <v>788</v>
      </c>
      <c r="C96" t="s">
        <v>13</v>
      </c>
      <c r="D96">
        <v>409566</v>
      </c>
      <c r="E96" t="s">
        <v>8</v>
      </c>
    </row>
    <row r="97" spans="1:5" x14ac:dyDescent="0.55000000000000004">
      <c r="A97" t="s">
        <v>402</v>
      </c>
      <c r="B97" t="s">
        <v>401</v>
      </c>
      <c r="C97" t="s">
        <v>10</v>
      </c>
      <c r="D97">
        <v>510524</v>
      </c>
      <c r="E97" t="s">
        <v>8</v>
      </c>
    </row>
    <row r="98" spans="1:5" x14ac:dyDescent="0.55000000000000004">
      <c r="A98" t="s">
        <v>406</v>
      </c>
      <c r="B98" t="s">
        <v>405</v>
      </c>
      <c r="C98" t="s">
        <v>10</v>
      </c>
      <c r="D98">
        <v>247613</v>
      </c>
      <c r="E98" t="s">
        <v>8</v>
      </c>
    </row>
    <row r="99" spans="1:5" x14ac:dyDescent="0.55000000000000004">
      <c r="A99" t="s">
        <v>1113</v>
      </c>
      <c r="B99" t="s">
        <v>1112</v>
      </c>
      <c r="C99" t="s">
        <v>10</v>
      </c>
      <c r="D99">
        <v>1960955</v>
      </c>
      <c r="E99" t="s">
        <v>8</v>
      </c>
    </row>
    <row r="100" spans="1:5" x14ac:dyDescent="0.55000000000000004">
      <c r="A100" t="s">
        <v>425</v>
      </c>
      <c r="B100" t="s">
        <v>424</v>
      </c>
      <c r="C100" t="s">
        <v>6</v>
      </c>
      <c r="D100">
        <v>1206274</v>
      </c>
      <c r="E100" t="s">
        <v>8</v>
      </c>
    </row>
    <row r="101" spans="1:5" x14ac:dyDescent="0.55000000000000004">
      <c r="A101" t="s">
        <v>423</v>
      </c>
      <c r="B101" t="s">
        <v>422</v>
      </c>
      <c r="C101" t="s">
        <v>10</v>
      </c>
      <c r="D101">
        <v>283837</v>
      </c>
      <c r="E101" t="s">
        <v>8</v>
      </c>
    </row>
    <row r="102" spans="1:5" x14ac:dyDescent="0.55000000000000004">
      <c r="A102" t="s">
        <v>1117</v>
      </c>
      <c r="B102" t="s">
        <v>1116</v>
      </c>
      <c r="C102" t="s">
        <v>10</v>
      </c>
      <c r="D102">
        <v>933758</v>
      </c>
      <c r="E102" t="s">
        <v>8</v>
      </c>
    </row>
    <row r="103" spans="1:5" x14ac:dyDescent="0.55000000000000004">
      <c r="A103" t="s">
        <v>439</v>
      </c>
      <c r="B103" t="s">
        <v>438</v>
      </c>
      <c r="C103" t="s">
        <v>10</v>
      </c>
      <c r="D103">
        <v>1259596</v>
      </c>
      <c r="E103" t="s">
        <v>8</v>
      </c>
    </row>
    <row r="104" spans="1:5" x14ac:dyDescent="0.55000000000000004">
      <c r="A104" t="s">
        <v>445</v>
      </c>
      <c r="B104" t="s">
        <v>444</v>
      </c>
      <c r="C104" t="s">
        <v>10</v>
      </c>
      <c r="D104">
        <v>1699984</v>
      </c>
      <c r="E104" t="s">
        <v>8</v>
      </c>
    </row>
    <row r="105" spans="1:5" x14ac:dyDescent="0.55000000000000004">
      <c r="A105" t="s">
        <v>443</v>
      </c>
      <c r="B105" t="s">
        <v>442</v>
      </c>
      <c r="C105" t="s">
        <v>10</v>
      </c>
      <c r="D105">
        <v>635446</v>
      </c>
      <c r="E105" t="s">
        <v>8</v>
      </c>
    </row>
    <row r="106" spans="1:5" x14ac:dyDescent="0.55000000000000004">
      <c r="A106" t="s">
        <v>447</v>
      </c>
      <c r="B106" t="s">
        <v>446</v>
      </c>
      <c r="C106" t="s">
        <v>41</v>
      </c>
      <c r="D106">
        <v>100901</v>
      </c>
      <c r="E106" t="s">
        <v>8</v>
      </c>
    </row>
    <row r="107" spans="1:5" x14ac:dyDescent="0.55000000000000004">
      <c r="A107" t="s">
        <v>449</v>
      </c>
      <c r="B107" t="s">
        <v>448</v>
      </c>
      <c r="C107" t="s">
        <v>10</v>
      </c>
      <c r="D107">
        <v>268924</v>
      </c>
      <c r="E107" t="s">
        <v>8</v>
      </c>
    </row>
    <row r="108" spans="1:5" x14ac:dyDescent="0.55000000000000004">
      <c r="A108" t="s">
        <v>1119</v>
      </c>
      <c r="B108" t="s">
        <v>1118</v>
      </c>
      <c r="C108" t="s">
        <v>10</v>
      </c>
      <c r="D108">
        <v>234198</v>
      </c>
      <c r="E108" t="s">
        <v>8</v>
      </c>
    </row>
    <row r="109" spans="1:5" x14ac:dyDescent="0.55000000000000004">
      <c r="A109" t="s">
        <v>453</v>
      </c>
      <c r="B109" t="s">
        <v>452</v>
      </c>
      <c r="C109" t="s">
        <v>10</v>
      </c>
      <c r="D109">
        <v>1126790</v>
      </c>
      <c r="E109" t="s">
        <v>8</v>
      </c>
    </row>
    <row r="110" spans="1:5" x14ac:dyDescent="0.55000000000000004">
      <c r="A110" t="s">
        <v>711</v>
      </c>
      <c r="B110" t="s">
        <v>710</v>
      </c>
      <c r="C110" t="s">
        <v>10</v>
      </c>
      <c r="D110">
        <v>1817012</v>
      </c>
      <c r="E110" t="s">
        <v>8</v>
      </c>
    </row>
    <row r="111" spans="1:5" x14ac:dyDescent="0.55000000000000004">
      <c r="A111" t="s">
        <v>1121</v>
      </c>
      <c r="B111" t="s">
        <v>1120</v>
      </c>
      <c r="C111" t="s">
        <v>10</v>
      </c>
      <c r="D111">
        <v>230406</v>
      </c>
      <c r="E111" t="s">
        <v>8</v>
      </c>
    </row>
    <row r="112" spans="1:5" x14ac:dyDescent="0.55000000000000004">
      <c r="A112" t="s">
        <v>1125</v>
      </c>
      <c r="B112" t="s">
        <v>1124</v>
      </c>
      <c r="C112" t="s">
        <v>10</v>
      </c>
      <c r="D112">
        <v>302811</v>
      </c>
      <c r="E112" t="s">
        <v>8</v>
      </c>
    </row>
    <row r="113" spans="1:5" x14ac:dyDescent="0.55000000000000004">
      <c r="A113" t="s">
        <v>1127</v>
      </c>
      <c r="B113" t="s">
        <v>1126</v>
      </c>
      <c r="C113" t="s">
        <v>10</v>
      </c>
      <c r="D113">
        <v>214485</v>
      </c>
      <c r="E113" t="s">
        <v>8</v>
      </c>
    </row>
    <row r="114" spans="1:5" x14ac:dyDescent="0.55000000000000004">
      <c r="A114" t="s">
        <v>476</v>
      </c>
      <c r="B114" t="s">
        <v>475</v>
      </c>
      <c r="C114" t="s">
        <v>10</v>
      </c>
      <c r="D114">
        <v>1660211</v>
      </c>
      <c r="E114" t="s">
        <v>8</v>
      </c>
    </row>
    <row r="115" spans="1:5" x14ac:dyDescent="0.55000000000000004">
      <c r="A115" t="s">
        <v>1129</v>
      </c>
      <c r="B115" t="s">
        <v>1128</v>
      </c>
      <c r="C115" t="s">
        <v>10</v>
      </c>
      <c r="D115">
        <v>220752</v>
      </c>
      <c r="E115" t="s">
        <v>8</v>
      </c>
    </row>
    <row r="116" spans="1:5" x14ac:dyDescent="0.55000000000000004">
      <c r="A116" t="s">
        <v>1071</v>
      </c>
      <c r="B116" t="s">
        <v>1070</v>
      </c>
      <c r="C116" t="s">
        <v>208</v>
      </c>
      <c r="D116">
        <v>2625164</v>
      </c>
      <c r="E116" t="s">
        <v>8</v>
      </c>
    </row>
    <row r="117" spans="1:5" x14ac:dyDescent="0.55000000000000004">
      <c r="A117" t="s">
        <v>1095</v>
      </c>
      <c r="B117" t="s">
        <v>1094</v>
      </c>
      <c r="C117" t="s">
        <v>10</v>
      </c>
      <c r="D117">
        <v>697563</v>
      </c>
      <c r="E117" t="s">
        <v>8</v>
      </c>
    </row>
    <row r="118" spans="1:5" x14ac:dyDescent="0.55000000000000004">
      <c r="A118" t="s">
        <v>1027</v>
      </c>
      <c r="B118" t="s">
        <v>1026</v>
      </c>
      <c r="C118" t="s">
        <v>10</v>
      </c>
      <c r="D118">
        <v>223570</v>
      </c>
      <c r="E118" t="s">
        <v>8</v>
      </c>
    </row>
    <row r="119" spans="1:5" x14ac:dyDescent="0.55000000000000004">
      <c r="A119" t="s">
        <v>178</v>
      </c>
      <c r="B119" t="s">
        <v>177</v>
      </c>
      <c r="C119" t="s">
        <v>10</v>
      </c>
      <c r="D119">
        <v>1085656</v>
      </c>
      <c r="E119" t="s">
        <v>8</v>
      </c>
    </row>
    <row r="120" spans="1:5" x14ac:dyDescent="0.55000000000000004">
      <c r="A120" t="s">
        <v>27</v>
      </c>
      <c r="B120" t="s">
        <v>25</v>
      </c>
      <c r="C120" t="s">
        <v>26</v>
      </c>
      <c r="D120">
        <v>210686</v>
      </c>
      <c r="E120" t="s">
        <v>8</v>
      </c>
    </row>
    <row r="121" spans="1:5" x14ac:dyDescent="0.55000000000000004">
      <c r="A121" t="s">
        <v>935</v>
      </c>
      <c r="B121" t="s">
        <v>934</v>
      </c>
      <c r="C121" t="s">
        <v>10</v>
      </c>
      <c r="D121">
        <v>481516</v>
      </c>
      <c r="E121" t="s">
        <v>8</v>
      </c>
    </row>
    <row r="122" spans="1:5" x14ac:dyDescent="0.55000000000000004">
      <c r="A122" t="s">
        <v>937</v>
      </c>
      <c r="B122" t="s">
        <v>936</v>
      </c>
      <c r="C122" t="s">
        <v>10</v>
      </c>
      <c r="D122">
        <v>682208</v>
      </c>
      <c r="E122" t="s">
        <v>8</v>
      </c>
    </row>
    <row r="123" spans="1:5" x14ac:dyDescent="0.55000000000000004">
      <c r="A123" t="s">
        <v>7</v>
      </c>
      <c r="B123" t="s">
        <v>5</v>
      </c>
      <c r="C123" t="s">
        <v>6</v>
      </c>
      <c r="D123">
        <v>2336873</v>
      </c>
      <c r="E123" t="s">
        <v>8</v>
      </c>
    </row>
    <row r="124" spans="1:5" x14ac:dyDescent="0.55000000000000004">
      <c r="A124" t="s">
        <v>11</v>
      </c>
      <c r="B124" t="s">
        <v>9</v>
      </c>
      <c r="C124" t="s">
        <v>10</v>
      </c>
      <c r="D124">
        <v>1323547</v>
      </c>
      <c r="E124" t="s">
        <v>8</v>
      </c>
    </row>
    <row r="125" spans="1:5" x14ac:dyDescent="0.55000000000000004">
      <c r="A125" t="s">
        <v>943</v>
      </c>
      <c r="B125" t="s">
        <v>942</v>
      </c>
      <c r="C125" t="s">
        <v>10</v>
      </c>
      <c r="D125">
        <v>206560</v>
      </c>
      <c r="E125" t="s">
        <v>8</v>
      </c>
    </row>
    <row r="126" spans="1:5" x14ac:dyDescent="0.55000000000000004">
      <c r="A126" t="s">
        <v>31</v>
      </c>
      <c r="B126" t="s">
        <v>30</v>
      </c>
      <c r="C126" t="s">
        <v>13</v>
      </c>
      <c r="D126">
        <v>89331</v>
      </c>
      <c r="E126" t="s">
        <v>8</v>
      </c>
    </row>
    <row r="127" spans="1:5" x14ac:dyDescent="0.55000000000000004">
      <c r="A127" t="s">
        <v>39</v>
      </c>
      <c r="B127" t="s">
        <v>38</v>
      </c>
      <c r="C127" t="s">
        <v>6</v>
      </c>
      <c r="D127">
        <v>466534</v>
      </c>
      <c r="E127" t="s">
        <v>8</v>
      </c>
    </row>
    <row r="128" spans="1:5" x14ac:dyDescent="0.55000000000000004">
      <c r="A128" t="s">
        <v>44</v>
      </c>
      <c r="B128" t="s">
        <v>43</v>
      </c>
      <c r="C128" t="s">
        <v>6</v>
      </c>
      <c r="D128">
        <v>982993</v>
      </c>
      <c r="E128" t="s">
        <v>8</v>
      </c>
    </row>
    <row r="129" spans="1:5" x14ac:dyDescent="0.55000000000000004">
      <c r="A129" t="s">
        <v>953</v>
      </c>
      <c r="B129" t="s">
        <v>952</v>
      </c>
      <c r="C129" t="s">
        <v>10</v>
      </c>
      <c r="D129">
        <v>91223</v>
      </c>
      <c r="E129" t="s">
        <v>8</v>
      </c>
    </row>
    <row r="130" spans="1:5" x14ac:dyDescent="0.55000000000000004">
      <c r="A130" t="s">
        <v>56</v>
      </c>
      <c r="B130" t="s">
        <v>55</v>
      </c>
      <c r="C130" t="s">
        <v>10</v>
      </c>
      <c r="D130">
        <v>350036</v>
      </c>
      <c r="E130" t="s">
        <v>8</v>
      </c>
    </row>
    <row r="131" spans="1:5" x14ac:dyDescent="0.55000000000000004">
      <c r="A131" t="s">
        <v>955</v>
      </c>
      <c r="B131" t="s">
        <v>954</v>
      </c>
      <c r="C131" t="s">
        <v>10</v>
      </c>
      <c r="D131">
        <v>2424202</v>
      </c>
      <c r="E131" t="s">
        <v>8</v>
      </c>
    </row>
    <row r="132" spans="1:5" x14ac:dyDescent="0.55000000000000004">
      <c r="A132" t="s">
        <v>64</v>
      </c>
      <c r="B132" t="s">
        <v>63</v>
      </c>
      <c r="C132" t="s">
        <v>10</v>
      </c>
      <c r="D132">
        <v>342084</v>
      </c>
      <c r="E132" t="s">
        <v>8</v>
      </c>
    </row>
    <row r="133" spans="1:5" x14ac:dyDescent="0.55000000000000004">
      <c r="A133" t="s">
        <v>68</v>
      </c>
      <c r="B133" t="s">
        <v>67</v>
      </c>
      <c r="C133" t="s">
        <v>10</v>
      </c>
      <c r="D133">
        <v>4497963</v>
      </c>
      <c r="E133" t="s">
        <v>8</v>
      </c>
    </row>
    <row r="134" spans="1:5" x14ac:dyDescent="0.55000000000000004">
      <c r="A134" t="s">
        <v>959</v>
      </c>
      <c r="B134" t="s">
        <v>958</v>
      </c>
      <c r="C134" t="s">
        <v>41</v>
      </c>
      <c r="D134">
        <v>1972335</v>
      </c>
      <c r="E134" t="s">
        <v>8</v>
      </c>
    </row>
    <row r="135" spans="1:5" x14ac:dyDescent="0.55000000000000004">
      <c r="A135" t="s">
        <v>968</v>
      </c>
      <c r="B135" t="s">
        <v>966</v>
      </c>
      <c r="C135" t="s">
        <v>967</v>
      </c>
      <c r="D135">
        <v>286853</v>
      </c>
      <c r="E135" t="s">
        <v>8</v>
      </c>
    </row>
    <row r="136" spans="1:5" x14ac:dyDescent="0.55000000000000004">
      <c r="A136" t="s">
        <v>72</v>
      </c>
      <c r="B136" t="s">
        <v>71</v>
      </c>
      <c r="C136" t="s">
        <v>41</v>
      </c>
      <c r="D136">
        <v>1691760</v>
      </c>
      <c r="E136" t="s">
        <v>8</v>
      </c>
    </row>
    <row r="137" spans="1:5" x14ac:dyDescent="0.55000000000000004">
      <c r="A137" t="s">
        <v>77</v>
      </c>
      <c r="B137" t="s">
        <v>75</v>
      </c>
      <c r="C137" t="s">
        <v>76</v>
      </c>
      <c r="D137">
        <v>1035799</v>
      </c>
      <c r="E137" t="s">
        <v>8</v>
      </c>
    </row>
    <row r="138" spans="1:5" x14ac:dyDescent="0.55000000000000004">
      <c r="A138" t="s">
        <v>961</v>
      </c>
      <c r="B138" t="s">
        <v>960</v>
      </c>
      <c r="C138" t="s">
        <v>10</v>
      </c>
      <c r="D138">
        <v>32339</v>
      </c>
      <c r="E138" t="s">
        <v>8</v>
      </c>
    </row>
    <row r="139" spans="1:5" x14ac:dyDescent="0.55000000000000004">
      <c r="A139" t="s">
        <v>963</v>
      </c>
      <c r="B139" t="s">
        <v>962</v>
      </c>
      <c r="C139" t="s">
        <v>6</v>
      </c>
      <c r="D139">
        <v>1261583</v>
      </c>
      <c r="E139" t="s">
        <v>8</v>
      </c>
    </row>
    <row r="140" spans="1:5" x14ac:dyDescent="0.55000000000000004">
      <c r="A140" t="s">
        <v>83</v>
      </c>
      <c r="B140" t="s">
        <v>82</v>
      </c>
      <c r="C140" t="s">
        <v>6</v>
      </c>
      <c r="D140">
        <v>1000560</v>
      </c>
      <c r="E140" t="s">
        <v>8</v>
      </c>
    </row>
    <row r="141" spans="1:5" x14ac:dyDescent="0.55000000000000004">
      <c r="A141" t="s">
        <v>91</v>
      </c>
      <c r="B141" t="s">
        <v>90</v>
      </c>
      <c r="C141" t="s">
        <v>41</v>
      </c>
      <c r="D141">
        <v>901802</v>
      </c>
      <c r="E141" t="s">
        <v>8</v>
      </c>
    </row>
    <row r="142" spans="1:5" x14ac:dyDescent="0.55000000000000004">
      <c r="A142" t="s">
        <v>976</v>
      </c>
      <c r="B142" t="s">
        <v>975</v>
      </c>
      <c r="C142" t="s">
        <v>10</v>
      </c>
      <c r="D142">
        <v>640069</v>
      </c>
      <c r="E142" t="s">
        <v>8</v>
      </c>
    </row>
    <row r="143" spans="1:5" x14ac:dyDescent="0.55000000000000004">
      <c r="A143" t="s">
        <v>102</v>
      </c>
      <c r="B143" t="s">
        <v>101</v>
      </c>
      <c r="C143" t="s">
        <v>41</v>
      </c>
      <c r="D143">
        <v>1440320</v>
      </c>
      <c r="E143" t="s">
        <v>8</v>
      </c>
    </row>
    <row r="144" spans="1:5" x14ac:dyDescent="0.55000000000000004">
      <c r="A144" t="s">
        <v>104</v>
      </c>
      <c r="B144" t="s">
        <v>103</v>
      </c>
      <c r="C144" t="s">
        <v>10</v>
      </c>
      <c r="D144">
        <v>371838</v>
      </c>
      <c r="E144" t="s">
        <v>8</v>
      </c>
    </row>
    <row r="145" spans="1:5" x14ac:dyDescent="0.55000000000000004">
      <c r="A145" t="s">
        <v>116</v>
      </c>
      <c r="B145" t="s">
        <v>115</v>
      </c>
      <c r="C145" t="s">
        <v>10</v>
      </c>
      <c r="D145">
        <v>802289</v>
      </c>
      <c r="E145" t="s">
        <v>8</v>
      </c>
    </row>
    <row r="146" spans="1:5" x14ac:dyDescent="0.55000000000000004">
      <c r="A146" t="s">
        <v>130</v>
      </c>
      <c r="B146" t="s">
        <v>129</v>
      </c>
      <c r="C146" t="s">
        <v>6</v>
      </c>
      <c r="D146">
        <v>313598</v>
      </c>
      <c r="E146" t="s">
        <v>8</v>
      </c>
    </row>
    <row r="147" spans="1:5" x14ac:dyDescent="0.55000000000000004">
      <c r="A147" t="s">
        <v>990</v>
      </c>
      <c r="B147" t="s">
        <v>989</v>
      </c>
      <c r="C147" t="s">
        <v>10</v>
      </c>
      <c r="D147">
        <v>2003638</v>
      </c>
      <c r="E147" t="s">
        <v>8</v>
      </c>
    </row>
    <row r="148" spans="1:5" x14ac:dyDescent="0.55000000000000004">
      <c r="A148" t="s">
        <v>136</v>
      </c>
      <c r="B148" t="s">
        <v>135</v>
      </c>
      <c r="C148" t="s">
        <v>10</v>
      </c>
      <c r="D148">
        <v>278690</v>
      </c>
      <c r="E148" t="s">
        <v>8</v>
      </c>
    </row>
    <row r="149" spans="1:5" x14ac:dyDescent="0.55000000000000004">
      <c r="A149" t="s">
        <v>146</v>
      </c>
      <c r="B149" t="s">
        <v>145</v>
      </c>
      <c r="C149" t="s">
        <v>13</v>
      </c>
      <c r="D149">
        <v>4088805</v>
      </c>
      <c r="E149" t="s">
        <v>8</v>
      </c>
    </row>
    <row r="150" spans="1:5" x14ac:dyDescent="0.55000000000000004">
      <c r="A150" t="s">
        <v>148</v>
      </c>
      <c r="B150" t="s">
        <v>147</v>
      </c>
      <c r="C150" t="s">
        <v>10</v>
      </c>
      <c r="D150">
        <v>915444</v>
      </c>
      <c r="E150" t="s">
        <v>8</v>
      </c>
    </row>
    <row r="151" spans="1:5" x14ac:dyDescent="0.55000000000000004">
      <c r="A151" t="s">
        <v>152</v>
      </c>
      <c r="B151" t="s">
        <v>151</v>
      </c>
      <c r="C151" t="s">
        <v>10</v>
      </c>
      <c r="D151">
        <v>296355</v>
      </c>
      <c r="E151" t="s">
        <v>8</v>
      </c>
    </row>
    <row r="152" spans="1:5" x14ac:dyDescent="0.55000000000000004">
      <c r="A152" t="s">
        <v>154</v>
      </c>
      <c r="B152" t="s">
        <v>153</v>
      </c>
      <c r="C152" t="s">
        <v>141</v>
      </c>
      <c r="D152">
        <v>3438923</v>
      </c>
      <c r="E152" t="s">
        <v>8</v>
      </c>
    </row>
    <row r="153" spans="1:5" x14ac:dyDescent="0.55000000000000004">
      <c r="A153" t="s">
        <v>994</v>
      </c>
      <c r="B153" t="s">
        <v>993</v>
      </c>
      <c r="C153" t="s">
        <v>41</v>
      </c>
      <c r="D153">
        <v>238486</v>
      </c>
      <c r="E153" t="s">
        <v>8</v>
      </c>
    </row>
    <row r="154" spans="1:5" x14ac:dyDescent="0.55000000000000004">
      <c r="A154" t="s">
        <v>162</v>
      </c>
      <c r="B154" t="s">
        <v>161</v>
      </c>
      <c r="C154" t="s">
        <v>13</v>
      </c>
      <c r="D154">
        <v>3110957</v>
      </c>
      <c r="E154" t="s">
        <v>8</v>
      </c>
    </row>
    <row r="155" spans="1:5" x14ac:dyDescent="0.55000000000000004">
      <c r="A155" t="s">
        <v>1001</v>
      </c>
      <c r="B155" t="s">
        <v>1000</v>
      </c>
      <c r="C155" t="s">
        <v>10</v>
      </c>
      <c r="D155">
        <v>2265688</v>
      </c>
      <c r="E155" t="s">
        <v>8</v>
      </c>
    </row>
    <row r="156" spans="1:5" x14ac:dyDescent="0.55000000000000004">
      <c r="A156" t="s">
        <v>164</v>
      </c>
      <c r="B156" t="s">
        <v>163</v>
      </c>
      <c r="C156" t="s">
        <v>6</v>
      </c>
      <c r="D156">
        <v>409780</v>
      </c>
      <c r="E156" t="s">
        <v>8</v>
      </c>
    </row>
    <row r="157" spans="1:5" x14ac:dyDescent="0.55000000000000004">
      <c r="A157" t="s">
        <v>166</v>
      </c>
      <c r="B157" t="s">
        <v>165</v>
      </c>
      <c r="C157" t="s">
        <v>6</v>
      </c>
      <c r="D157">
        <v>499659</v>
      </c>
      <c r="E157" t="s">
        <v>8</v>
      </c>
    </row>
    <row r="158" spans="1:5" x14ac:dyDescent="0.55000000000000004">
      <c r="A158" t="s">
        <v>168</v>
      </c>
      <c r="B158" t="s">
        <v>167</v>
      </c>
      <c r="C158" t="s">
        <v>10</v>
      </c>
      <c r="D158">
        <v>1040103</v>
      </c>
      <c r="E158" t="s">
        <v>8</v>
      </c>
    </row>
    <row r="159" spans="1:5" x14ac:dyDescent="0.55000000000000004">
      <c r="A159" t="s">
        <v>170</v>
      </c>
      <c r="B159" t="s">
        <v>169</v>
      </c>
      <c r="C159" t="s">
        <v>10</v>
      </c>
      <c r="D159">
        <v>209671</v>
      </c>
      <c r="E159" t="s">
        <v>8</v>
      </c>
    </row>
    <row r="160" spans="1:5" x14ac:dyDescent="0.55000000000000004">
      <c r="A160" t="s">
        <v>172</v>
      </c>
      <c r="B160" t="s">
        <v>171</v>
      </c>
      <c r="C160" t="s">
        <v>141</v>
      </c>
      <c r="D160">
        <v>719753</v>
      </c>
      <c r="E160" t="s">
        <v>8</v>
      </c>
    </row>
    <row r="161" spans="1:5" x14ac:dyDescent="0.55000000000000004">
      <c r="A161" t="s">
        <v>184</v>
      </c>
      <c r="B161" t="s">
        <v>183</v>
      </c>
      <c r="C161" t="s">
        <v>10</v>
      </c>
      <c r="D161">
        <v>354241</v>
      </c>
      <c r="E161" t="s">
        <v>8</v>
      </c>
    </row>
    <row r="162" spans="1:5" x14ac:dyDescent="0.55000000000000004">
      <c r="A162" t="s">
        <v>180</v>
      </c>
      <c r="B162" t="s">
        <v>179</v>
      </c>
      <c r="C162" t="s">
        <v>41</v>
      </c>
      <c r="D162">
        <v>1108850</v>
      </c>
      <c r="E162" t="s">
        <v>8</v>
      </c>
    </row>
    <row r="163" spans="1:5" x14ac:dyDescent="0.55000000000000004">
      <c r="A163" t="s">
        <v>1003</v>
      </c>
      <c r="B163" t="s">
        <v>1002</v>
      </c>
      <c r="C163" t="s">
        <v>10</v>
      </c>
      <c r="D163">
        <v>529549</v>
      </c>
      <c r="E163" t="s">
        <v>8</v>
      </c>
    </row>
    <row r="164" spans="1:5" x14ac:dyDescent="0.55000000000000004">
      <c r="A164" t="s">
        <v>1005</v>
      </c>
      <c r="B164" t="s">
        <v>1004</v>
      </c>
      <c r="C164" t="s">
        <v>10</v>
      </c>
      <c r="D164">
        <v>2170433</v>
      </c>
      <c r="E164" t="s">
        <v>8</v>
      </c>
    </row>
    <row r="165" spans="1:5" x14ac:dyDescent="0.55000000000000004">
      <c r="A165" t="s">
        <v>1009</v>
      </c>
      <c r="B165" t="s">
        <v>1008</v>
      </c>
      <c r="C165" t="s">
        <v>10</v>
      </c>
      <c r="D165">
        <v>182070</v>
      </c>
      <c r="E165" t="s">
        <v>8</v>
      </c>
    </row>
    <row r="166" spans="1:5" x14ac:dyDescent="0.55000000000000004">
      <c r="A166" t="s">
        <v>192</v>
      </c>
      <c r="B166" t="s">
        <v>191</v>
      </c>
      <c r="C166" t="s">
        <v>13</v>
      </c>
      <c r="D166">
        <v>80039</v>
      </c>
      <c r="E166" t="s">
        <v>8</v>
      </c>
    </row>
    <row r="167" spans="1:5" x14ac:dyDescent="0.55000000000000004">
      <c r="A167" t="s">
        <v>1011</v>
      </c>
      <c r="B167" t="s">
        <v>1010</v>
      </c>
      <c r="C167" t="s">
        <v>10</v>
      </c>
      <c r="D167">
        <v>414102</v>
      </c>
      <c r="E167" t="s">
        <v>8</v>
      </c>
    </row>
    <row r="168" spans="1:5" x14ac:dyDescent="0.55000000000000004">
      <c r="A168" t="s">
        <v>194</v>
      </c>
      <c r="B168" t="s">
        <v>193</v>
      </c>
      <c r="C168" t="s">
        <v>10</v>
      </c>
      <c r="D168">
        <v>351231</v>
      </c>
      <c r="E168" t="s">
        <v>8</v>
      </c>
    </row>
    <row r="169" spans="1:5" x14ac:dyDescent="0.55000000000000004">
      <c r="A169" t="s">
        <v>1017</v>
      </c>
      <c r="B169" t="s">
        <v>1016</v>
      </c>
      <c r="C169" t="s">
        <v>10</v>
      </c>
      <c r="D169">
        <v>1018534</v>
      </c>
      <c r="E169" t="s">
        <v>8</v>
      </c>
    </row>
    <row r="170" spans="1:5" x14ac:dyDescent="0.55000000000000004">
      <c r="A170" t="s">
        <v>1021</v>
      </c>
      <c r="B170" t="s">
        <v>1020</v>
      </c>
      <c r="C170" t="s">
        <v>880</v>
      </c>
      <c r="D170">
        <v>1531394</v>
      </c>
      <c r="E170" t="s">
        <v>8</v>
      </c>
    </row>
    <row r="171" spans="1:5" x14ac:dyDescent="0.55000000000000004">
      <c r="A171" t="s">
        <v>1023</v>
      </c>
      <c r="B171" t="s">
        <v>1022</v>
      </c>
      <c r="C171" t="s">
        <v>10</v>
      </c>
      <c r="D171">
        <v>464157</v>
      </c>
      <c r="E171" t="s">
        <v>8</v>
      </c>
    </row>
    <row r="172" spans="1:5" x14ac:dyDescent="0.55000000000000004">
      <c r="A172" t="s">
        <v>851</v>
      </c>
      <c r="B172" t="s">
        <v>850</v>
      </c>
      <c r="C172" t="s">
        <v>208</v>
      </c>
      <c r="D172">
        <v>547100</v>
      </c>
      <c r="E172" t="s">
        <v>8</v>
      </c>
    </row>
    <row r="173" spans="1:5" x14ac:dyDescent="0.55000000000000004">
      <c r="A173" t="s">
        <v>259</v>
      </c>
      <c r="B173" t="s">
        <v>258</v>
      </c>
      <c r="C173" t="s">
        <v>10</v>
      </c>
      <c r="D173">
        <v>476237</v>
      </c>
      <c r="E173" t="s">
        <v>8</v>
      </c>
    </row>
    <row r="174" spans="1:5" x14ac:dyDescent="0.55000000000000004">
      <c r="A174" t="s">
        <v>249</v>
      </c>
      <c r="B174" t="s">
        <v>248</v>
      </c>
      <c r="C174" t="s">
        <v>10</v>
      </c>
      <c r="D174">
        <v>1295742</v>
      </c>
      <c r="E174" t="s">
        <v>8</v>
      </c>
    </row>
    <row r="175" spans="1:5" x14ac:dyDescent="0.55000000000000004">
      <c r="A175" t="s">
        <v>271</v>
      </c>
      <c r="B175" t="s">
        <v>270</v>
      </c>
      <c r="C175" t="s">
        <v>10</v>
      </c>
      <c r="D175">
        <v>2681522</v>
      </c>
      <c r="E175" t="s">
        <v>8</v>
      </c>
    </row>
    <row r="176" spans="1:5" x14ac:dyDescent="0.55000000000000004">
      <c r="A176" t="s">
        <v>263</v>
      </c>
      <c r="B176" t="s">
        <v>262</v>
      </c>
      <c r="C176" t="s">
        <v>10</v>
      </c>
      <c r="D176">
        <v>1513412</v>
      </c>
      <c r="E176" t="s">
        <v>8</v>
      </c>
    </row>
    <row r="177" spans="1:5" x14ac:dyDescent="0.55000000000000004">
      <c r="A177" t="s">
        <v>1039</v>
      </c>
      <c r="B177" t="s">
        <v>1038</v>
      </c>
      <c r="C177" t="s">
        <v>10</v>
      </c>
      <c r="D177">
        <v>368461</v>
      </c>
      <c r="E177" t="s">
        <v>8</v>
      </c>
    </row>
    <row r="178" spans="1:5" x14ac:dyDescent="0.55000000000000004">
      <c r="A178" t="s">
        <v>275</v>
      </c>
      <c r="B178" t="s">
        <v>274</v>
      </c>
      <c r="C178" t="s">
        <v>76</v>
      </c>
      <c r="D178">
        <v>1841139</v>
      </c>
      <c r="E178" t="s">
        <v>8</v>
      </c>
    </row>
    <row r="179" spans="1:5" x14ac:dyDescent="0.55000000000000004">
      <c r="A179" t="s">
        <v>283</v>
      </c>
      <c r="B179" t="s">
        <v>282</v>
      </c>
      <c r="C179" t="s">
        <v>10</v>
      </c>
      <c r="D179">
        <v>608610</v>
      </c>
      <c r="E179" t="s">
        <v>8</v>
      </c>
    </row>
    <row r="180" spans="1:5" x14ac:dyDescent="0.55000000000000004">
      <c r="A180" t="s">
        <v>1043</v>
      </c>
      <c r="B180" t="s">
        <v>1042</v>
      </c>
      <c r="C180" t="s">
        <v>10</v>
      </c>
      <c r="D180">
        <v>725816</v>
      </c>
      <c r="E180" t="s">
        <v>8</v>
      </c>
    </row>
    <row r="181" spans="1:5" x14ac:dyDescent="0.55000000000000004">
      <c r="A181" t="s">
        <v>1053</v>
      </c>
      <c r="B181" t="s">
        <v>1052</v>
      </c>
      <c r="C181" t="s">
        <v>10</v>
      </c>
      <c r="D181">
        <v>266882</v>
      </c>
      <c r="E181" t="s">
        <v>8</v>
      </c>
    </row>
    <row r="182" spans="1:5" x14ac:dyDescent="0.55000000000000004">
      <c r="A182" t="s">
        <v>633</v>
      </c>
      <c r="B182" t="s">
        <v>632</v>
      </c>
      <c r="C182" t="s">
        <v>10</v>
      </c>
      <c r="D182">
        <v>1557230</v>
      </c>
      <c r="E182" t="s">
        <v>8</v>
      </c>
    </row>
    <row r="183" spans="1:5" x14ac:dyDescent="0.55000000000000004">
      <c r="A183" t="s">
        <v>1055</v>
      </c>
      <c r="B183" t="s">
        <v>1054</v>
      </c>
      <c r="C183" t="s">
        <v>10</v>
      </c>
      <c r="D183">
        <v>165701</v>
      </c>
      <c r="E183" t="s">
        <v>8</v>
      </c>
    </row>
    <row r="184" spans="1:5" x14ac:dyDescent="0.55000000000000004">
      <c r="A184" t="s">
        <v>1057</v>
      </c>
      <c r="B184" t="s">
        <v>1056</v>
      </c>
      <c r="C184" t="s">
        <v>10</v>
      </c>
      <c r="D184">
        <v>937732</v>
      </c>
      <c r="E184" t="s">
        <v>8</v>
      </c>
    </row>
    <row r="185" spans="1:5" x14ac:dyDescent="0.55000000000000004">
      <c r="A185" t="s">
        <v>303</v>
      </c>
      <c r="B185" t="s">
        <v>302</v>
      </c>
      <c r="C185" t="s">
        <v>10</v>
      </c>
      <c r="D185">
        <v>775795</v>
      </c>
      <c r="E185" t="s">
        <v>8</v>
      </c>
    </row>
    <row r="186" spans="1:5" x14ac:dyDescent="0.55000000000000004">
      <c r="A186" t="s">
        <v>1059</v>
      </c>
      <c r="B186" t="s">
        <v>1058</v>
      </c>
      <c r="C186" t="s">
        <v>10</v>
      </c>
      <c r="D186">
        <v>849927</v>
      </c>
      <c r="E186" t="s">
        <v>8</v>
      </c>
    </row>
    <row r="187" spans="1:5" x14ac:dyDescent="0.55000000000000004">
      <c r="A187" t="s">
        <v>1061</v>
      </c>
      <c r="B187" t="s">
        <v>1060</v>
      </c>
      <c r="C187" t="s">
        <v>76</v>
      </c>
      <c r="D187">
        <v>613416</v>
      </c>
      <c r="E187" t="s">
        <v>8</v>
      </c>
    </row>
    <row r="188" spans="1:5" x14ac:dyDescent="0.55000000000000004">
      <c r="A188" t="s">
        <v>305</v>
      </c>
      <c r="B188" t="s">
        <v>304</v>
      </c>
      <c r="C188" t="s">
        <v>10</v>
      </c>
      <c r="D188">
        <v>470408</v>
      </c>
      <c r="E188" t="s">
        <v>8</v>
      </c>
    </row>
    <row r="189" spans="1:5" x14ac:dyDescent="0.55000000000000004">
      <c r="A189" t="s">
        <v>1063</v>
      </c>
      <c r="B189" t="s">
        <v>1062</v>
      </c>
      <c r="C189" t="s">
        <v>10</v>
      </c>
      <c r="D189">
        <v>264780</v>
      </c>
      <c r="E189" t="s">
        <v>8</v>
      </c>
    </row>
    <row r="190" spans="1:5" x14ac:dyDescent="0.55000000000000004">
      <c r="A190" t="s">
        <v>329</v>
      </c>
      <c r="B190" t="s">
        <v>328</v>
      </c>
      <c r="C190" t="s">
        <v>10</v>
      </c>
      <c r="D190">
        <v>655099</v>
      </c>
      <c r="E190" t="s">
        <v>8</v>
      </c>
    </row>
    <row r="191" spans="1:5" x14ac:dyDescent="0.55000000000000004">
      <c r="A191" t="s">
        <v>1069</v>
      </c>
      <c r="B191" t="s">
        <v>1068</v>
      </c>
      <c r="C191" t="s">
        <v>10</v>
      </c>
      <c r="D191">
        <v>552310</v>
      </c>
      <c r="E191" t="s">
        <v>8</v>
      </c>
    </row>
    <row r="192" spans="1:5" x14ac:dyDescent="0.55000000000000004">
      <c r="A192" t="s">
        <v>319</v>
      </c>
      <c r="B192" t="s">
        <v>318</v>
      </c>
      <c r="C192" t="s">
        <v>10</v>
      </c>
      <c r="D192">
        <v>268943</v>
      </c>
      <c r="E192" t="s">
        <v>8</v>
      </c>
    </row>
    <row r="193" spans="1:5" x14ac:dyDescent="0.55000000000000004">
      <c r="A193" t="s">
        <v>1067</v>
      </c>
      <c r="B193" t="s">
        <v>1066</v>
      </c>
      <c r="C193" t="s">
        <v>6</v>
      </c>
      <c r="D193">
        <v>63088</v>
      </c>
      <c r="E193" t="s">
        <v>8</v>
      </c>
    </row>
    <row r="194" spans="1:5" x14ac:dyDescent="0.55000000000000004">
      <c r="A194" t="s">
        <v>771</v>
      </c>
      <c r="B194" t="s">
        <v>997</v>
      </c>
      <c r="C194" t="s">
        <v>10</v>
      </c>
      <c r="D194">
        <v>286353</v>
      </c>
      <c r="E194" t="s">
        <v>8</v>
      </c>
    </row>
    <row r="195" spans="1:5" x14ac:dyDescent="0.55000000000000004">
      <c r="A195" t="s">
        <v>1073</v>
      </c>
      <c r="B195" t="s">
        <v>1072</v>
      </c>
      <c r="C195" t="s">
        <v>13</v>
      </c>
      <c r="D195">
        <v>583557</v>
      </c>
      <c r="E195" t="s">
        <v>8</v>
      </c>
    </row>
    <row r="196" spans="1:5" x14ac:dyDescent="0.55000000000000004">
      <c r="A196" t="s">
        <v>325</v>
      </c>
      <c r="B196" t="s">
        <v>324</v>
      </c>
      <c r="C196" t="s">
        <v>13</v>
      </c>
      <c r="D196">
        <v>1609102</v>
      </c>
      <c r="E196" t="s">
        <v>8</v>
      </c>
    </row>
    <row r="197" spans="1:5" x14ac:dyDescent="0.55000000000000004">
      <c r="A197" t="s">
        <v>327</v>
      </c>
      <c r="B197" t="s">
        <v>326</v>
      </c>
      <c r="C197" t="s">
        <v>10</v>
      </c>
      <c r="D197">
        <v>604633</v>
      </c>
      <c r="E197" t="s">
        <v>8</v>
      </c>
    </row>
    <row r="198" spans="1:5" x14ac:dyDescent="0.55000000000000004">
      <c r="A198" t="s">
        <v>1075</v>
      </c>
      <c r="B198" t="s">
        <v>1074</v>
      </c>
      <c r="C198" t="s">
        <v>10</v>
      </c>
      <c r="D198">
        <v>373275</v>
      </c>
      <c r="E198" t="s">
        <v>8</v>
      </c>
    </row>
    <row r="199" spans="1:5" x14ac:dyDescent="0.55000000000000004">
      <c r="A199" t="s">
        <v>333</v>
      </c>
      <c r="B199" t="s">
        <v>332</v>
      </c>
      <c r="C199" t="s">
        <v>13</v>
      </c>
      <c r="D199">
        <v>899767</v>
      </c>
      <c r="E199" t="s">
        <v>8</v>
      </c>
    </row>
    <row r="200" spans="1:5" x14ac:dyDescent="0.55000000000000004">
      <c r="A200" t="s">
        <v>1077</v>
      </c>
      <c r="B200" t="s">
        <v>1076</v>
      </c>
      <c r="C200" t="s">
        <v>10</v>
      </c>
      <c r="D200">
        <v>782118</v>
      </c>
      <c r="E200" t="s">
        <v>8</v>
      </c>
    </row>
    <row r="201" spans="1:5" x14ac:dyDescent="0.55000000000000004">
      <c r="A201" t="s">
        <v>779</v>
      </c>
      <c r="B201" t="s">
        <v>778</v>
      </c>
      <c r="C201" t="s">
        <v>10</v>
      </c>
      <c r="D201">
        <v>96634</v>
      </c>
      <c r="E201" t="s">
        <v>8</v>
      </c>
    </row>
    <row r="202" spans="1:5" x14ac:dyDescent="0.55000000000000004">
      <c r="A202" t="s">
        <v>346</v>
      </c>
      <c r="B202" t="s">
        <v>345</v>
      </c>
      <c r="C202" t="s">
        <v>10</v>
      </c>
      <c r="D202">
        <v>930571</v>
      </c>
      <c r="E202" t="s">
        <v>8</v>
      </c>
    </row>
    <row r="203" spans="1:5" x14ac:dyDescent="0.55000000000000004">
      <c r="A203" t="s">
        <v>1083</v>
      </c>
      <c r="B203" t="s">
        <v>1082</v>
      </c>
      <c r="C203" t="s">
        <v>10</v>
      </c>
      <c r="D203">
        <v>302783</v>
      </c>
      <c r="E203" t="s">
        <v>8</v>
      </c>
    </row>
    <row r="204" spans="1:5" x14ac:dyDescent="0.55000000000000004">
      <c r="A204" t="s">
        <v>356</v>
      </c>
      <c r="B204" t="s">
        <v>355</v>
      </c>
      <c r="C204" t="s">
        <v>208</v>
      </c>
      <c r="D204">
        <v>441518</v>
      </c>
      <c r="E204" t="s">
        <v>8</v>
      </c>
    </row>
    <row r="205" spans="1:5" x14ac:dyDescent="0.55000000000000004">
      <c r="A205" t="s">
        <v>1085</v>
      </c>
      <c r="B205" t="s">
        <v>1084</v>
      </c>
      <c r="C205" t="s">
        <v>10</v>
      </c>
      <c r="D205">
        <v>4235980</v>
      </c>
      <c r="E205" t="s">
        <v>8</v>
      </c>
    </row>
    <row r="206" spans="1:5" x14ac:dyDescent="0.55000000000000004">
      <c r="A206" t="s">
        <v>362</v>
      </c>
      <c r="B206" t="s">
        <v>361</v>
      </c>
      <c r="C206" t="s">
        <v>13</v>
      </c>
      <c r="D206">
        <v>250213</v>
      </c>
      <c r="E206" t="s">
        <v>8</v>
      </c>
    </row>
    <row r="207" spans="1:5" x14ac:dyDescent="0.55000000000000004">
      <c r="A207" t="s">
        <v>364</v>
      </c>
      <c r="B207" t="s">
        <v>363</v>
      </c>
      <c r="C207" t="s">
        <v>13</v>
      </c>
      <c r="D207">
        <v>205442</v>
      </c>
      <c r="E207" t="s">
        <v>8</v>
      </c>
    </row>
    <row r="208" spans="1:5" x14ac:dyDescent="0.55000000000000004">
      <c r="A208" t="s">
        <v>1091</v>
      </c>
      <c r="B208" t="s">
        <v>1090</v>
      </c>
      <c r="C208" t="s">
        <v>10</v>
      </c>
      <c r="D208">
        <v>139286</v>
      </c>
      <c r="E208" t="s">
        <v>8</v>
      </c>
    </row>
    <row r="209" spans="1:5" x14ac:dyDescent="0.55000000000000004">
      <c r="A209" t="s">
        <v>673</v>
      </c>
      <c r="B209" t="s">
        <v>672</v>
      </c>
      <c r="C209" t="s">
        <v>10</v>
      </c>
      <c r="D209">
        <v>433459</v>
      </c>
      <c r="E209" t="s">
        <v>8</v>
      </c>
    </row>
    <row r="210" spans="1:5" x14ac:dyDescent="0.55000000000000004">
      <c r="A210" t="s">
        <v>675</v>
      </c>
      <c r="B210" t="s">
        <v>674</v>
      </c>
      <c r="C210" t="s">
        <v>10</v>
      </c>
      <c r="D210">
        <v>328516</v>
      </c>
      <c r="E210" t="s">
        <v>8</v>
      </c>
    </row>
    <row r="211" spans="1:5" x14ac:dyDescent="0.55000000000000004">
      <c r="A211" t="s">
        <v>368</v>
      </c>
      <c r="B211" t="s">
        <v>367</v>
      </c>
      <c r="C211" t="s">
        <v>10</v>
      </c>
      <c r="D211">
        <v>2601568</v>
      </c>
      <c r="E211" t="s">
        <v>8</v>
      </c>
    </row>
    <row r="212" spans="1:5" x14ac:dyDescent="0.55000000000000004">
      <c r="A212" t="s">
        <v>1093</v>
      </c>
      <c r="B212" t="s">
        <v>1092</v>
      </c>
      <c r="C212" t="s">
        <v>13</v>
      </c>
      <c r="D212">
        <v>216330</v>
      </c>
      <c r="E212" t="s">
        <v>8</v>
      </c>
    </row>
    <row r="213" spans="1:5" x14ac:dyDescent="0.55000000000000004">
      <c r="A213" t="s">
        <v>374</v>
      </c>
      <c r="B213" t="s">
        <v>373</v>
      </c>
      <c r="C213" t="s">
        <v>6</v>
      </c>
      <c r="D213">
        <v>1521073</v>
      </c>
      <c r="E213" t="s">
        <v>8</v>
      </c>
    </row>
    <row r="214" spans="1:5" x14ac:dyDescent="0.55000000000000004">
      <c r="A214" t="s">
        <v>380</v>
      </c>
      <c r="B214" t="s">
        <v>379</v>
      </c>
      <c r="C214" t="s">
        <v>13</v>
      </c>
      <c r="D214">
        <v>430111</v>
      </c>
      <c r="E214" t="s">
        <v>8</v>
      </c>
    </row>
    <row r="215" spans="1:5" x14ac:dyDescent="0.55000000000000004">
      <c r="A215" t="s">
        <v>388</v>
      </c>
      <c r="B215" t="s">
        <v>387</v>
      </c>
      <c r="C215" t="s">
        <v>6</v>
      </c>
      <c r="D215">
        <v>431295</v>
      </c>
      <c r="E215" t="s">
        <v>8</v>
      </c>
    </row>
    <row r="216" spans="1:5" x14ac:dyDescent="0.55000000000000004">
      <c r="A216" t="s">
        <v>390</v>
      </c>
      <c r="B216" t="s">
        <v>389</v>
      </c>
      <c r="C216" t="s">
        <v>13</v>
      </c>
      <c r="D216">
        <v>1038128</v>
      </c>
      <c r="E216" t="s">
        <v>8</v>
      </c>
    </row>
    <row r="217" spans="1:5" x14ac:dyDescent="0.55000000000000004">
      <c r="A217" t="s">
        <v>1105</v>
      </c>
      <c r="B217" t="s">
        <v>1104</v>
      </c>
      <c r="C217" t="s">
        <v>10</v>
      </c>
      <c r="D217">
        <v>451881</v>
      </c>
      <c r="E217" t="s">
        <v>8</v>
      </c>
    </row>
    <row r="218" spans="1:5" x14ac:dyDescent="0.55000000000000004">
      <c r="A218" t="s">
        <v>394</v>
      </c>
      <c r="B218" t="s">
        <v>393</v>
      </c>
      <c r="C218" t="s">
        <v>41</v>
      </c>
      <c r="D218">
        <v>55797</v>
      </c>
      <c r="E218" t="s">
        <v>8</v>
      </c>
    </row>
    <row r="219" spans="1:5" x14ac:dyDescent="0.55000000000000004">
      <c r="A219" t="s">
        <v>1099</v>
      </c>
      <c r="B219" t="s">
        <v>1098</v>
      </c>
      <c r="C219" t="s">
        <v>141</v>
      </c>
      <c r="D219">
        <v>506801</v>
      </c>
      <c r="E219" t="s">
        <v>8</v>
      </c>
    </row>
    <row r="220" spans="1:5" x14ac:dyDescent="0.55000000000000004">
      <c r="A220" t="s">
        <v>1107</v>
      </c>
      <c r="B220" t="s">
        <v>1106</v>
      </c>
      <c r="C220" t="s">
        <v>6</v>
      </c>
      <c r="D220">
        <v>211427</v>
      </c>
      <c r="E220" t="s">
        <v>8</v>
      </c>
    </row>
    <row r="221" spans="1:5" x14ac:dyDescent="0.55000000000000004">
      <c r="A221" t="s">
        <v>1109</v>
      </c>
      <c r="B221" t="s">
        <v>1108</v>
      </c>
      <c r="C221" t="s">
        <v>13</v>
      </c>
      <c r="D221">
        <v>322167</v>
      </c>
      <c r="E221" t="s">
        <v>8</v>
      </c>
    </row>
    <row r="222" spans="1:5" x14ac:dyDescent="0.55000000000000004">
      <c r="A222" t="s">
        <v>411</v>
      </c>
      <c r="B222" t="s">
        <v>409</v>
      </c>
      <c r="C222" t="s">
        <v>410</v>
      </c>
      <c r="D222">
        <v>652932</v>
      </c>
      <c r="E222" t="s">
        <v>8</v>
      </c>
    </row>
    <row r="223" spans="1:5" x14ac:dyDescent="0.55000000000000004">
      <c r="A223" t="s">
        <v>415</v>
      </c>
      <c r="B223" t="s">
        <v>414</v>
      </c>
      <c r="C223" t="s">
        <v>10</v>
      </c>
      <c r="D223">
        <v>277810</v>
      </c>
      <c r="E223" t="s">
        <v>8</v>
      </c>
    </row>
    <row r="224" spans="1:5" x14ac:dyDescent="0.55000000000000004">
      <c r="A224" t="s">
        <v>1115</v>
      </c>
      <c r="B224" t="s">
        <v>1114</v>
      </c>
      <c r="C224" t="s">
        <v>10</v>
      </c>
      <c r="D224">
        <v>298314</v>
      </c>
      <c r="E224" t="s">
        <v>8</v>
      </c>
    </row>
    <row r="225" spans="1:5" x14ac:dyDescent="0.55000000000000004">
      <c r="A225" t="s">
        <v>417</v>
      </c>
      <c r="B225" t="s">
        <v>416</v>
      </c>
      <c r="C225" t="s">
        <v>10</v>
      </c>
      <c r="D225">
        <v>255952</v>
      </c>
      <c r="E225" t="s">
        <v>8</v>
      </c>
    </row>
    <row r="226" spans="1:5" x14ac:dyDescent="0.55000000000000004">
      <c r="A226" t="s">
        <v>419</v>
      </c>
      <c r="B226" t="s">
        <v>418</v>
      </c>
      <c r="C226" t="s">
        <v>6</v>
      </c>
      <c r="D226">
        <v>83561</v>
      </c>
      <c r="E226" t="s">
        <v>8</v>
      </c>
    </row>
    <row r="227" spans="1:5" x14ac:dyDescent="0.55000000000000004">
      <c r="A227" t="s">
        <v>421</v>
      </c>
      <c r="B227" t="s">
        <v>420</v>
      </c>
      <c r="C227" t="s">
        <v>10</v>
      </c>
      <c r="D227">
        <v>2585748</v>
      </c>
      <c r="E227" t="s">
        <v>8</v>
      </c>
    </row>
    <row r="228" spans="1:5" x14ac:dyDescent="0.55000000000000004">
      <c r="A228" t="s">
        <v>433</v>
      </c>
      <c r="B228" t="s">
        <v>432</v>
      </c>
      <c r="C228" t="s">
        <v>10</v>
      </c>
      <c r="D228">
        <v>4258853</v>
      </c>
      <c r="E228" t="s">
        <v>8</v>
      </c>
    </row>
    <row r="229" spans="1:5" x14ac:dyDescent="0.55000000000000004">
      <c r="A229" t="s">
        <v>437</v>
      </c>
      <c r="B229" t="s">
        <v>436</v>
      </c>
      <c r="C229" t="s">
        <v>10</v>
      </c>
      <c r="D229">
        <v>325234</v>
      </c>
      <c r="E229" t="s">
        <v>8</v>
      </c>
    </row>
    <row r="230" spans="1:5" x14ac:dyDescent="0.55000000000000004">
      <c r="A230" t="s">
        <v>464</v>
      </c>
      <c r="B230" t="s">
        <v>463</v>
      </c>
      <c r="C230" t="s">
        <v>6</v>
      </c>
      <c r="D230">
        <v>2747705</v>
      </c>
      <c r="E230" t="s">
        <v>8</v>
      </c>
    </row>
    <row r="231" spans="1:5" x14ac:dyDescent="0.55000000000000004">
      <c r="A231" t="s">
        <v>468</v>
      </c>
      <c r="B231" t="s">
        <v>467</v>
      </c>
      <c r="C231" t="s">
        <v>10</v>
      </c>
      <c r="D231">
        <v>252786</v>
      </c>
      <c r="E231" t="s">
        <v>8</v>
      </c>
    </row>
    <row r="232" spans="1:5" x14ac:dyDescent="0.55000000000000004">
      <c r="A232" t="s">
        <v>1123</v>
      </c>
      <c r="B232" t="s">
        <v>1122</v>
      </c>
      <c r="C232" t="s">
        <v>41</v>
      </c>
      <c r="D232">
        <v>807863</v>
      </c>
      <c r="E232" t="s">
        <v>8</v>
      </c>
    </row>
    <row r="233" spans="1:5" x14ac:dyDescent="0.55000000000000004">
      <c r="A233" t="s">
        <v>472</v>
      </c>
      <c r="B233" t="s">
        <v>471</v>
      </c>
      <c r="C233" t="s">
        <v>10</v>
      </c>
      <c r="D233">
        <v>547470</v>
      </c>
      <c r="E233" t="s">
        <v>8</v>
      </c>
    </row>
    <row r="234" spans="1:5" x14ac:dyDescent="0.55000000000000004">
      <c r="A234" t="s">
        <v>474</v>
      </c>
      <c r="B234" t="s">
        <v>473</v>
      </c>
      <c r="C234" t="s">
        <v>10</v>
      </c>
      <c r="D234">
        <v>1379126</v>
      </c>
      <c r="E234" t="s">
        <v>8</v>
      </c>
    </row>
    <row r="235" spans="1:5" x14ac:dyDescent="0.55000000000000004">
      <c r="A235" t="s">
        <v>478</v>
      </c>
      <c r="B235" t="s">
        <v>477</v>
      </c>
      <c r="C235" t="s">
        <v>6</v>
      </c>
      <c r="D235">
        <v>807635</v>
      </c>
      <c r="E235" t="s">
        <v>8</v>
      </c>
    </row>
    <row r="236" spans="1:5" x14ac:dyDescent="0.55000000000000004">
      <c r="A236" t="s">
        <v>929</v>
      </c>
      <c r="B236" t="s">
        <v>928</v>
      </c>
      <c r="C236" t="s">
        <v>10</v>
      </c>
      <c r="D236">
        <v>211936</v>
      </c>
      <c r="E236" t="s">
        <v>8</v>
      </c>
    </row>
    <row r="237" spans="1:5" x14ac:dyDescent="0.55000000000000004">
      <c r="A237" t="s">
        <v>484</v>
      </c>
      <c r="B237" t="s">
        <v>483</v>
      </c>
      <c r="C237" t="s">
        <v>13</v>
      </c>
      <c r="D237">
        <v>801060</v>
      </c>
      <c r="E237" t="s">
        <v>8</v>
      </c>
    </row>
    <row r="238" spans="1:5" x14ac:dyDescent="0.55000000000000004">
      <c r="A238" t="s">
        <v>486</v>
      </c>
      <c r="B238" t="s">
        <v>485</v>
      </c>
      <c r="C238" t="s">
        <v>76</v>
      </c>
      <c r="D238">
        <v>939679</v>
      </c>
      <c r="E238" t="s">
        <v>8</v>
      </c>
    </row>
    <row r="239" spans="1:5" x14ac:dyDescent="0.55000000000000004">
      <c r="A239" t="s">
        <v>488</v>
      </c>
      <c r="B239" t="s">
        <v>487</v>
      </c>
      <c r="C239" t="s">
        <v>10</v>
      </c>
      <c r="D239">
        <v>1063318</v>
      </c>
      <c r="E239" t="s">
        <v>8</v>
      </c>
    </row>
    <row r="240" spans="1:5" x14ac:dyDescent="0.55000000000000004">
      <c r="A240" t="s">
        <v>24</v>
      </c>
      <c r="B240" t="s">
        <v>23</v>
      </c>
      <c r="C240" t="s">
        <v>18</v>
      </c>
      <c r="D240">
        <v>1635708</v>
      </c>
      <c r="E240" t="s">
        <v>8</v>
      </c>
    </row>
    <row r="241" spans="1:5" x14ac:dyDescent="0.55000000000000004">
      <c r="A241" t="s">
        <v>66</v>
      </c>
      <c r="B241" t="s">
        <v>65</v>
      </c>
      <c r="C241" t="s">
        <v>18</v>
      </c>
      <c r="D241">
        <v>202147</v>
      </c>
      <c r="E241" t="s">
        <v>8</v>
      </c>
    </row>
    <row r="242" spans="1:5" x14ac:dyDescent="0.55000000000000004">
      <c r="A242" t="s">
        <v>139</v>
      </c>
      <c r="B242" t="s">
        <v>137</v>
      </c>
      <c r="C242" t="s">
        <v>138</v>
      </c>
      <c r="D242">
        <v>3572740</v>
      </c>
      <c r="E242" t="s">
        <v>8</v>
      </c>
    </row>
    <row r="243" spans="1:5" x14ac:dyDescent="0.55000000000000004">
      <c r="A243" t="s">
        <v>216</v>
      </c>
      <c r="B243" t="s">
        <v>214</v>
      </c>
      <c r="C243" t="s">
        <v>215</v>
      </c>
      <c r="D243">
        <v>854479</v>
      </c>
      <c r="E243" t="s">
        <v>8</v>
      </c>
    </row>
    <row r="244" spans="1:5" x14ac:dyDescent="0.55000000000000004">
      <c r="A244" t="s">
        <v>1037</v>
      </c>
      <c r="B244" t="s">
        <v>1036</v>
      </c>
      <c r="C244" t="s">
        <v>18</v>
      </c>
      <c r="D244">
        <v>1113371</v>
      </c>
      <c r="E244" t="s">
        <v>8</v>
      </c>
    </row>
    <row r="245" spans="1:5" x14ac:dyDescent="0.55000000000000004">
      <c r="A245" t="s">
        <v>949</v>
      </c>
      <c r="B245" t="s">
        <v>948</v>
      </c>
      <c r="C245" t="s">
        <v>18</v>
      </c>
      <c r="D245">
        <v>550939</v>
      </c>
      <c r="E245" t="s">
        <v>8</v>
      </c>
    </row>
    <row r="246" spans="1:5" x14ac:dyDescent="0.55000000000000004">
      <c r="A246" t="s">
        <v>19</v>
      </c>
      <c r="B246" t="s">
        <v>17</v>
      </c>
      <c r="C246" t="s">
        <v>18</v>
      </c>
      <c r="D246">
        <v>496385</v>
      </c>
      <c r="E246" t="s">
        <v>8</v>
      </c>
    </row>
    <row r="247" spans="1:5" x14ac:dyDescent="0.55000000000000004">
      <c r="A247" t="s">
        <v>888</v>
      </c>
      <c r="B247" t="s">
        <v>886</v>
      </c>
      <c r="C247" t="s">
        <v>887</v>
      </c>
      <c r="D247">
        <v>333121</v>
      </c>
      <c r="E247" t="s">
        <v>8</v>
      </c>
    </row>
    <row r="248" spans="1:5" x14ac:dyDescent="0.55000000000000004">
      <c r="A248" t="s">
        <v>1101</v>
      </c>
      <c r="B248" t="s">
        <v>1100</v>
      </c>
      <c r="C248" t="s">
        <v>18</v>
      </c>
      <c r="D248">
        <v>311041</v>
      </c>
      <c r="E248" t="s">
        <v>8</v>
      </c>
    </row>
    <row r="249" spans="1:5" x14ac:dyDescent="0.55000000000000004">
      <c r="A249" t="s">
        <v>482</v>
      </c>
      <c r="B249" t="s">
        <v>481</v>
      </c>
      <c r="C249" t="s">
        <v>13</v>
      </c>
      <c r="D249">
        <v>258268</v>
      </c>
      <c r="E249" t="s">
        <v>8</v>
      </c>
    </row>
    <row r="250" spans="1:5" x14ac:dyDescent="0.55000000000000004">
      <c r="A250" t="s">
        <v>795</v>
      </c>
      <c r="B250" t="s">
        <v>794</v>
      </c>
      <c r="C250" t="s">
        <v>18</v>
      </c>
      <c r="D250">
        <v>1192828</v>
      </c>
      <c r="E250" t="s">
        <v>8</v>
      </c>
    </row>
    <row r="251" spans="1:5" x14ac:dyDescent="0.55000000000000004">
      <c r="A251" t="s">
        <v>297</v>
      </c>
      <c r="B251" t="s">
        <v>295</v>
      </c>
      <c r="C251" t="s">
        <v>296</v>
      </c>
      <c r="D251">
        <v>689265</v>
      </c>
      <c r="E251" t="s">
        <v>8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A5F00-6D16-48D2-BA0D-7A34B9DDA49D}">
  <dimension ref="A1:E233"/>
  <sheetViews>
    <sheetView workbookViewId="0">
      <selection sqref="A1:E233"/>
    </sheetView>
  </sheetViews>
  <sheetFormatPr defaultRowHeight="18" x14ac:dyDescent="0.55000000000000004"/>
  <cols>
    <col min="1" max="1" width="10.9140625" bestFit="1" customWidth="1"/>
    <col min="2" max="2" width="36.58203125" bestFit="1" customWidth="1"/>
    <col min="3" max="3" width="18.83203125" bestFit="1" customWidth="1"/>
    <col min="5" max="5" width="8.25" bestFit="1" customWidth="1"/>
    <col min="6" max="6" width="23.33203125" bestFit="1" customWidth="1"/>
  </cols>
  <sheetData>
    <row r="1" spans="1:5" x14ac:dyDescent="0.55000000000000004">
      <c r="A1" t="s">
        <v>2</v>
      </c>
      <c r="B1" t="s">
        <v>0</v>
      </c>
      <c r="C1" t="s">
        <v>1</v>
      </c>
      <c r="D1" t="s">
        <v>3</v>
      </c>
      <c r="E1" t="s">
        <v>4</v>
      </c>
    </row>
    <row r="2" spans="1:5" x14ac:dyDescent="0.55000000000000004">
      <c r="A2" t="s">
        <v>14</v>
      </c>
      <c r="B2" t="s">
        <v>12</v>
      </c>
      <c r="C2" t="s">
        <v>13</v>
      </c>
      <c r="D2">
        <v>398871</v>
      </c>
      <c r="E2" t="s">
        <v>8</v>
      </c>
    </row>
    <row r="3" spans="1:5" x14ac:dyDescent="0.55000000000000004">
      <c r="A3" t="s">
        <v>16</v>
      </c>
      <c r="B3" t="s">
        <v>15</v>
      </c>
      <c r="C3" t="s">
        <v>10</v>
      </c>
      <c r="D3">
        <v>278290</v>
      </c>
      <c r="E3" t="s">
        <v>8</v>
      </c>
    </row>
    <row r="4" spans="1:5" x14ac:dyDescent="0.55000000000000004">
      <c r="A4" t="s">
        <v>29</v>
      </c>
      <c r="B4" t="s">
        <v>28</v>
      </c>
      <c r="C4" t="s">
        <v>13</v>
      </c>
      <c r="D4">
        <v>1545919</v>
      </c>
      <c r="E4" t="s">
        <v>8</v>
      </c>
    </row>
    <row r="5" spans="1:5" x14ac:dyDescent="0.55000000000000004">
      <c r="A5" t="s">
        <v>33</v>
      </c>
      <c r="B5" t="s">
        <v>32</v>
      </c>
      <c r="C5" t="s">
        <v>10</v>
      </c>
      <c r="D5">
        <v>260680</v>
      </c>
      <c r="E5" t="s">
        <v>8</v>
      </c>
    </row>
    <row r="6" spans="1:5" x14ac:dyDescent="0.55000000000000004">
      <c r="A6" t="s">
        <v>37</v>
      </c>
      <c r="B6" t="s">
        <v>36</v>
      </c>
      <c r="C6" t="s">
        <v>10</v>
      </c>
      <c r="D6">
        <v>1037158</v>
      </c>
      <c r="E6" t="s">
        <v>8</v>
      </c>
    </row>
    <row r="7" spans="1:5" x14ac:dyDescent="0.55000000000000004">
      <c r="A7" t="s">
        <v>42</v>
      </c>
      <c r="B7" t="s">
        <v>40</v>
      </c>
      <c r="C7" t="s">
        <v>41</v>
      </c>
      <c r="D7">
        <v>319907</v>
      </c>
      <c r="E7" t="s">
        <v>8</v>
      </c>
    </row>
    <row r="8" spans="1:5" x14ac:dyDescent="0.55000000000000004">
      <c r="A8" t="s">
        <v>46</v>
      </c>
      <c r="B8" t="s">
        <v>45</v>
      </c>
      <c r="C8" t="s">
        <v>10</v>
      </c>
      <c r="D8">
        <v>1535325</v>
      </c>
      <c r="E8" t="s">
        <v>8</v>
      </c>
    </row>
    <row r="9" spans="1:5" x14ac:dyDescent="0.55000000000000004">
      <c r="A9" t="s">
        <v>48</v>
      </c>
      <c r="B9" t="s">
        <v>47</v>
      </c>
      <c r="C9" t="s">
        <v>10</v>
      </c>
      <c r="D9">
        <v>519064</v>
      </c>
      <c r="E9" t="s">
        <v>8</v>
      </c>
    </row>
    <row r="10" spans="1:5" x14ac:dyDescent="0.55000000000000004">
      <c r="A10" t="s">
        <v>52</v>
      </c>
      <c r="B10" t="s">
        <v>51</v>
      </c>
      <c r="C10" t="s">
        <v>10</v>
      </c>
      <c r="D10">
        <v>923118</v>
      </c>
      <c r="E10" t="s">
        <v>8</v>
      </c>
    </row>
    <row r="11" spans="1:5" x14ac:dyDescent="0.55000000000000004">
      <c r="A11" t="s">
        <v>54</v>
      </c>
      <c r="B11" t="s">
        <v>53</v>
      </c>
      <c r="C11" t="s">
        <v>10</v>
      </c>
      <c r="D11">
        <v>633212</v>
      </c>
      <c r="E11" t="s">
        <v>8</v>
      </c>
    </row>
    <row r="12" spans="1:5" x14ac:dyDescent="0.55000000000000004">
      <c r="A12" t="s">
        <v>58</v>
      </c>
      <c r="B12" t="s">
        <v>57</v>
      </c>
      <c r="C12" t="s">
        <v>10</v>
      </c>
      <c r="D12">
        <v>1367788</v>
      </c>
      <c r="E12" t="s">
        <v>8</v>
      </c>
    </row>
    <row r="13" spans="1:5" x14ac:dyDescent="0.55000000000000004">
      <c r="A13" t="s">
        <v>62</v>
      </c>
      <c r="B13" t="s">
        <v>61</v>
      </c>
      <c r="C13" t="s">
        <v>6</v>
      </c>
      <c r="D13">
        <v>1806372</v>
      </c>
      <c r="E13" t="s">
        <v>8</v>
      </c>
    </row>
    <row r="14" spans="1:5" x14ac:dyDescent="0.55000000000000004">
      <c r="A14" t="s">
        <v>74</v>
      </c>
      <c r="B14" t="s">
        <v>73</v>
      </c>
      <c r="C14" t="s">
        <v>10</v>
      </c>
      <c r="D14">
        <v>98020</v>
      </c>
      <c r="E14" t="s">
        <v>8</v>
      </c>
    </row>
    <row r="15" spans="1:5" x14ac:dyDescent="0.55000000000000004">
      <c r="A15" t="s">
        <v>79</v>
      </c>
      <c r="B15" t="s">
        <v>78</v>
      </c>
      <c r="C15" t="s">
        <v>13</v>
      </c>
      <c r="D15">
        <v>261218</v>
      </c>
      <c r="E15" t="s">
        <v>8</v>
      </c>
    </row>
    <row r="16" spans="1:5" x14ac:dyDescent="0.55000000000000004">
      <c r="A16" t="s">
        <v>81</v>
      </c>
      <c r="B16" t="s">
        <v>80</v>
      </c>
      <c r="C16" t="s">
        <v>10</v>
      </c>
      <c r="D16">
        <v>977952</v>
      </c>
      <c r="E16" t="s">
        <v>8</v>
      </c>
    </row>
    <row r="17" spans="1:5" x14ac:dyDescent="0.55000000000000004">
      <c r="A17" t="s">
        <v>87</v>
      </c>
      <c r="B17" t="s">
        <v>86</v>
      </c>
      <c r="C17" t="s">
        <v>10</v>
      </c>
      <c r="D17">
        <v>2666667</v>
      </c>
      <c r="E17" t="s">
        <v>8</v>
      </c>
    </row>
    <row r="18" spans="1:5" x14ac:dyDescent="0.55000000000000004">
      <c r="A18" t="s">
        <v>89</v>
      </c>
      <c r="B18" t="s">
        <v>88</v>
      </c>
      <c r="C18" t="s">
        <v>10</v>
      </c>
      <c r="D18">
        <v>746253</v>
      </c>
      <c r="E18" t="s">
        <v>8</v>
      </c>
    </row>
    <row r="19" spans="1:5" x14ac:dyDescent="0.55000000000000004">
      <c r="A19" t="s">
        <v>95</v>
      </c>
      <c r="B19" t="s">
        <v>94</v>
      </c>
      <c r="C19" t="s">
        <v>10</v>
      </c>
      <c r="D19">
        <v>983577</v>
      </c>
      <c r="E19" t="s">
        <v>8</v>
      </c>
    </row>
    <row r="20" spans="1:5" x14ac:dyDescent="0.55000000000000004">
      <c r="A20" t="s">
        <v>98</v>
      </c>
      <c r="B20" t="s">
        <v>96</v>
      </c>
      <c r="C20" t="s">
        <v>97</v>
      </c>
      <c r="D20">
        <v>1945625</v>
      </c>
      <c r="E20" t="s">
        <v>8</v>
      </c>
    </row>
    <row r="21" spans="1:5" x14ac:dyDescent="0.55000000000000004">
      <c r="A21" t="s">
        <v>106</v>
      </c>
      <c r="B21" t="s">
        <v>105</v>
      </c>
      <c r="C21" t="s">
        <v>10</v>
      </c>
      <c r="D21">
        <v>1427199</v>
      </c>
      <c r="E21" t="s">
        <v>8</v>
      </c>
    </row>
    <row r="22" spans="1:5" x14ac:dyDescent="0.55000000000000004">
      <c r="A22" t="s">
        <v>108</v>
      </c>
      <c r="B22" t="s">
        <v>107</v>
      </c>
      <c r="C22" t="s">
        <v>10</v>
      </c>
      <c r="D22">
        <v>1381608</v>
      </c>
      <c r="E22" t="s">
        <v>8</v>
      </c>
    </row>
    <row r="23" spans="1:5" x14ac:dyDescent="0.55000000000000004">
      <c r="A23" t="s">
        <v>110</v>
      </c>
      <c r="B23" t="s">
        <v>109</v>
      </c>
      <c r="C23" t="s">
        <v>10</v>
      </c>
      <c r="D23">
        <v>1464771</v>
      </c>
      <c r="E23" t="s">
        <v>8</v>
      </c>
    </row>
    <row r="24" spans="1:5" x14ac:dyDescent="0.55000000000000004">
      <c r="A24" t="s">
        <v>112</v>
      </c>
      <c r="B24" t="s">
        <v>111</v>
      </c>
      <c r="C24" t="s">
        <v>10</v>
      </c>
      <c r="D24">
        <v>303485</v>
      </c>
      <c r="E24" t="s">
        <v>8</v>
      </c>
    </row>
    <row r="25" spans="1:5" x14ac:dyDescent="0.55000000000000004">
      <c r="A25" t="s">
        <v>118</v>
      </c>
      <c r="B25" t="s">
        <v>117</v>
      </c>
      <c r="C25" t="s">
        <v>10</v>
      </c>
      <c r="D25">
        <v>4299942</v>
      </c>
      <c r="E25" t="s">
        <v>8</v>
      </c>
    </row>
    <row r="26" spans="1:5" x14ac:dyDescent="0.55000000000000004">
      <c r="A26" t="s">
        <v>120</v>
      </c>
      <c r="B26" t="s">
        <v>119</v>
      </c>
      <c r="C26" t="s">
        <v>10</v>
      </c>
      <c r="D26">
        <v>1012445</v>
      </c>
      <c r="E26" t="s">
        <v>8</v>
      </c>
    </row>
    <row r="27" spans="1:5" x14ac:dyDescent="0.55000000000000004">
      <c r="A27" t="s">
        <v>122</v>
      </c>
      <c r="B27" t="s">
        <v>121</v>
      </c>
      <c r="C27" t="s">
        <v>10</v>
      </c>
      <c r="D27">
        <v>429625</v>
      </c>
      <c r="E27" t="s">
        <v>8</v>
      </c>
    </row>
    <row r="28" spans="1:5" x14ac:dyDescent="0.55000000000000004">
      <c r="A28" t="s">
        <v>124</v>
      </c>
      <c r="B28" t="s">
        <v>123</v>
      </c>
      <c r="C28" t="s">
        <v>10</v>
      </c>
      <c r="D28">
        <v>3215500</v>
      </c>
      <c r="E28" t="s">
        <v>8</v>
      </c>
    </row>
    <row r="29" spans="1:5" x14ac:dyDescent="0.55000000000000004">
      <c r="A29" t="s">
        <v>126</v>
      </c>
      <c r="B29" t="s">
        <v>125</v>
      </c>
      <c r="C29" t="s">
        <v>10</v>
      </c>
      <c r="D29">
        <v>319201</v>
      </c>
      <c r="E29" t="s">
        <v>8</v>
      </c>
    </row>
    <row r="30" spans="1:5" x14ac:dyDescent="0.55000000000000004">
      <c r="A30" t="s">
        <v>128</v>
      </c>
      <c r="B30" t="s">
        <v>127</v>
      </c>
      <c r="C30" t="s">
        <v>10</v>
      </c>
      <c r="D30">
        <v>587021</v>
      </c>
      <c r="E30" t="s">
        <v>8</v>
      </c>
    </row>
    <row r="31" spans="1:5" x14ac:dyDescent="0.55000000000000004">
      <c r="A31" t="s">
        <v>144</v>
      </c>
      <c r="B31" t="s">
        <v>143</v>
      </c>
      <c r="C31" t="s">
        <v>10</v>
      </c>
      <c r="D31">
        <v>582038</v>
      </c>
      <c r="E31" t="s">
        <v>8</v>
      </c>
    </row>
    <row r="32" spans="1:5" x14ac:dyDescent="0.55000000000000004">
      <c r="A32" t="s">
        <v>156</v>
      </c>
      <c r="B32" t="s">
        <v>155</v>
      </c>
      <c r="C32" t="s">
        <v>10</v>
      </c>
      <c r="D32">
        <v>453453</v>
      </c>
      <c r="E32" t="s">
        <v>8</v>
      </c>
    </row>
    <row r="33" spans="1:5" x14ac:dyDescent="0.55000000000000004">
      <c r="A33" t="s">
        <v>160</v>
      </c>
      <c r="B33" t="s">
        <v>159</v>
      </c>
      <c r="C33" t="s">
        <v>10</v>
      </c>
      <c r="D33">
        <v>205583</v>
      </c>
      <c r="E33" t="s">
        <v>8</v>
      </c>
    </row>
    <row r="34" spans="1:5" x14ac:dyDescent="0.55000000000000004">
      <c r="A34" t="s">
        <v>174</v>
      </c>
      <c r="B34" t="s">
        <v>173</v>
      </c>
      <c r="C34" t="s">
        <v>13</v>
      </c>
      <c r="D34">
        <v>165783</v>
      </c>
      <c r="E34" t="s">
        <v>8</v>
      </c>
    </row>
    <row r="35" spans="1:5" x14ac:dyDescent="0.55000000000000004">
      <c r="A35" t="s">
        <v>176</v>
      </c>
      <c r="B35" t="s">
        <v>175</v>
      </c>
      <c r="C35" t="s">
        <v>10</v>
      </c>
      <c r="D35">
        <v>274988</v>
      </c>
      <c r="E35" t="s">
        <v>8</v>
      </c>
    </row>
    <row r="36" spans="1:5" x14ac:dyDescent="0.55000000000000004">
      <c r="A36" t="s">
        <v>186</v>
      </c>
      <c r="B36" t="s">
        <v>185</v>
      </c>
      <c r="C36" t="s">
        <v>10</v>
      </c>
      <c r="D36">
        <v>133663</v>
      </c>
      <c r="E36" t="s">
        <v>8</v>
      </c>
    </row>
    <row r="37" spans="1:5" x14ac:dyDescent="0.55000000000000004">
      <c r="A37" t="s">
        <v>190</v>
      </c>
      <c r="B37" t="s">
        <v>189</v>
      </c>
      <c r="C37" t="s">
        <v>10</v>
      </c>
      <c r="D37">
        <v>1611819</v>
      </c>
      <c r="E37" t="s">
        <v>8</v>
      </c>
    </row>
    <row r="38" spans="1:5" x14ac:dyDescent="0.55000000000000004">
      <c r="A38" t="s">
        <v>196</v>
      </c>
      <c r="B38" t="s">
        <v>195</v>
      </c>
      <c r="C38" t="s">
        <v>10</v>
      </c>
      <c r="D38">
        <v>3684858</v>
      </c>
      <c r="E38" t="s">
        <v>8</v>
      </c>
    </row>
    <row r="39" spans="1:5" x14ac:dyDescent="0.55000000000000004">
      <c r="A39" t="s">
        <v>202</v>
      </c>
      <c r="B39" t="s">
        <v>201</v>
      </c>
      <c r="C39" t="s">
        <v>10</v>
      </c>
      <c r="D39">
        <v>3981557</v>
      </c>
      <c r="E39" t="s">
        <v>8</v>
      </c>
    </row>
    <row r="40" spans="1:5" x14ac:dyDescent="0.55000000000000004">
      <c r="A40" t="s">
        <v>198</v>
      </c>
      <c r="B40" t="s">
        <v>197</v>
      </c>
      <c r="C40" t="s">
        <v>10</v>
      </c>
      <c r="D40">
        <v>1161852</v>
      </c>
      <c r="E40" t="s">
        <v>8</v>
      </c>
    </row>
    <row r="41" spans="1:5" x14ac:dyDescent="0.55000000000000004">
      <c r="A41" t="s">
        <v>204</v>
      </c>
      <c r="B41" t="s">
        <v>203</v>
      </c>
      <c r="C41" t="s">
        <v>10</v>
      </c>
      <c r="D41">
        <v>4062405</v>
      </c>
      <c r="E41" t="s">
        <v>8</v>
      </c>
    </row>
    <row r="42" spans="1:5" x14ac:dyDescent="0.55000000000000004">
      <c r="A42" t="s">
        <v>206</v>
      </c>
      <c r="B42" t="s">
        <v>205</v>
      </c>
      <c r="C42" t="s">
        <v>10</v>
      </c>
      <c r="D42">
        <v>285407</v>
      </c>
      <c r="E42" t="s">
        <v>8</v>
      </c>
    </row>
    <row r="43" spans="1:5" x14ac:dyDescent="0.55000000000000004">
      <c r="A43" t="s">
        <v>209</v>
      </c>
      <c r="B43" t="s">
        <v>207</v>
      </c>
      <c r="C43" t="s">
        <v>208</v>
      </c>
      <c r="D43">
        <v>2252456</v>
      </c>
      <c r="E43" t="s">
        <v>8</v>
      </c>
    </row>
    <row r="44" spans="1:5" x14ac:dyDescent="0.55000000000000004">
      <c r="A44" t="s">
        <v>213</v>
      </c>
      <c r="B44" t="s">
        <v>212</v>
      </c>
      <c r="C44" t="s">
        <v>10</v>
      </c>
      <c r="D44">
        <v>2678452</v>
      </c>
      <c r="E44" t="s">
        <v>8</v>
      </c>
    </row>
    <row r="45" spans="1:5" x14ac:dyDescent="0.55000000000000004">
      <c r="A45" t="s">
        <v>218</v>
      </c>
      <c r="B45" t="s">
        <v>217</v>
      </c>
      <c r="C45" t="s">
        <v>10</v>
      </c>
      <c r="D45">
        <v>345069</v>
      </c>
      <c r="E45" t="s">
        <v>8</v>
      </c>
    </row>
    <row r="46" spans="1:5" x14ac:dyDescent="0.55000000000000004">
      <c r="A46" t="s">
        <v>222</v>
      </c>
      <c r="B46" t="s">
        <v>221</v>
      </c>
      <c r="C46" t="s">
        <v>10</v>
      </c>
      <c r="D46">
        <v>687166</v>
      </c>
      <c r="E46" t="s">
        <v>8</v>
      </c>
    </row>
    <row r="47" spans="1:5" x14ac:dyDescent="0.55000000000000004">
      <c r="A47" t="s">
        <v>224</v>
      </c>
      <c r="B47" t="s">
        <v>223</v>
      </c>
      <c r="C47" t="s">
        <v>10</v>
      </c>
      <c r="D47">
        <v>1922360</v>
      </c>
      <c r="E47" t="s">
        <v>8</v>
      </c>
    </row>
    <row r="48" spans="1:5" x14ac:dyDescent="0.55000000000000004">
      <c r="A48" t="s">
        <v>226</v>
      </c>
      <c r="B48" t="s">
        <v>225</v>
      </c>
      <c r="C48" t="s">
        <v>10</v>
      </c>
      <c r="D48">
        <v>2706701</v>
      </c>
      <c r="E48" t="s">
        <v>8</v>
      </c>
    </row>
    <row r="49" spans="1:5" x14ac:dyDescent="0.55000000000000004">
      <c r="A49" t="s">
        <v>228</v>
      </c>
      <c r="B49" t="s">
        <v>227</v>
      </c>
      <c r="C49" t="s">
        <v>10</v>
      </c>
      <c r="D49">
        <v>405026</v>
      </c>
      <c r="E49" t="s">
        <v>8</v>
      </c>
    </row>
    <row r="50" spans="1:5" x14ac:dyDescent="0.55000000000000004">
      <c r="A50" t="s">
        <v>231</v>
      </c>
      <c r="B50" t="s">
        <v>229</v>
      </c>
      <c r="C50" t="s">
        <v>230</v>
      </c>
      <c r="D50">
        <v>440892</v>
      </c>
      <c r="E50" t="s">
        <v>8</v>
      </c>
    </row>
    <row r="51" spans="1:5" x14ac:dyDescent="0.55000000000000004">
      <c r="A51" t="s">
        <v>233</v>
      </c>
      <c r="B51" t="s">
        <v>232</v>
      </c>
      <c r="C51" t="s">
        <v>10</v>
      </c>
      <c r="D51">
        <v>1037173</v>
      </c>
      <c r="E51" t="s">
        <v>8</v>
      </c>
    </row>
    <row r="52" spans="1:5" x14ac:dyDescent="0.55000000000000004">
      <c r="A52" t="s">
        <v>235</v>
      </c>
      <c r="B52" t="s">
        <v>234</v>
      </c>
      <c r="C52" t="s">
        <v>41</v>
      </c>
      <c r="D52">
        <v>684063</v>
      </c>
      <c r="E52" t="s">
        <v>8</v>
      </c>
    </row>
    <row r="53" spans="1:5" x14ac:dyDescent="0.55000000000000004">
      <c r="A53" t="s">
        <v>237</v>
      </c>
      <c r="B53" t="s">
        <v>236</v>
      </c>
      <c r="C53" t="s">
        <v>6</v>
      </c>
      <c r="D53">
        <v>230514</v>
      </c>
      <c r="E53" t="s">
        <v>8</v>
      </c>
    </row>
    <row r="54" spans="1:5" x14ac:dyDescent="0.55000000000000004">
      <c r="A54" t="s">
        <v>239</v>
      </c>
      <c r="B54" t="s">
        <v>238</v>
      </c>
      <c r="C54" t="s">
        <v>10</v>
      </c>
      <c r="D54">
        <v>1886688</v>
      </c>
      <c r="E54" t="s">
        <v>8</v>
      </c>
    </row>
    <row r="55" spans="1:5" x14ac:dyDescent="0.55000000000000004">
      <c r="A55" t="s">
        <v>241</v>
      </c>
      <c r="B55" t="s">
        <v>240</v>
      </c>
      <c r="C55" t="s">
        <v>10</v>
      </c>
      <c r="D55">
        <v>920788</v>
      </c>
      <c r="E55" t="s">
        <v>8</v>
      </c>
    </row>
    <row r="56" spans="1:5" x14ac:dyDescent="0.55000000000000004">
      <c r="A56" t="s">
        <v>243</v>
      </c>
      <c r="B56" t="s">
        <v>242</v>
      </c>
      <c r="C56" t="s">
        <v>10</v>
      </c>
      <c r="D56">
        <v>4176611</v>
      </c>
      <c r="E56" t="s">
        <v>8</v>
      </c>
    </row>
    <row r="57" spans="1:5" x14ac:dyDescent="0.55000000000000004">
      <c r="A57" t="s">
        <v>247</v>
      </c>
      <c r="B57" t="s">
        <v>246</v>
      </c>
      <c r="C57" t="s">
        <v>10</v>
      </c>
      <c r="D57">
        <v>654485</v>
      </c>
      <c r="E57" t="s">
        <v>8</v>
      </c>
    </row>
    <row r="58" spans="1:5" x14ac:dyDescent="0.55000000000000004">
      <c r="A58" t="s">
        <v>253</v>
      </c>
      <c r="B58" t="s">
        <v>252</v>
      </c>
      <c r="C58" t="s">
        <v>10</v>
      </c>
      <c r="D58">
        <v>3921579</v>
      </c>
      <c r="E58" t="s">
        <v>8</v>
      </c>
    </row>
    <row r="59" spans="1:5" x14ac:dyDescent="0.55000000000000004">
      <c r="A59" t="s">
        <v>257</v>
      </c>
      <c r="B59" t="s">
        <v>256</v>
      </c>
      <c r="C59" t="s">
        <v>10</v>
      </c>
      <c r="D59">
        <v>5856029</v>
      </c>
      <c r="E59" t="s">
        <v>8</v>
      </c>
    </row>
    <row r="60" spans="1:5" x14ac:dyDescent="0.55000000000000004">
      <c r="A60" t="s">
        <v>261</v>
      </c>
      <c r="B60" t="s">
        <v>260</v>
      </c>
      <c r="C60" t="s">
        <v>10</v>
      </c>
      <c r="D60">
        <v>649624</v>
      </c>
      <c r="E60" t="s">
        <v>8</v>
      </c>
    </row>
    <row r="61" spans="1:5" x14ac:dyDescent="0.55000000000000004">
      <c r="A61" t="s">
        <v>265</v>
      </c>
      <c r="B61" t="s">
        <v>264</v>
      </c>
      <c r="C61" t="s">
        <v>10</v>
      </c>
      <c r="D61">
        <v>3193469</v>
      </c>
      <c r="E61" t="s">
        <v>8</v>
      </c>
    </row>
    <row r="62" spans="1:5" x14ac:dyDescent="0.55000000000000004">
      <c r="A62" t="s">
        <v>269</v>
      </c>
      <c r="B62" t="s">
        <v>268</v>
      </c>
      <c r="C62" t="s">
        <v>10</v>
      </c>
      <c r="D62">
        <v>872774</v>
      </c>
      <c r="E62" t="s">
        <v>8</v>
      </c>
    </row>
    <row r="63" spans="1:5" x14ac:dyDescent="0.55000000000000004">
      <c r="A63" t="s">
        <v>279</v>
      </c>
      <c r="B63" t="s">
        <v>278</v>
      </c>
      <c r="C63" t="s">
        <v>10</v>
      </c>
      <c r="D63">
        <v>231475</v>
      </c>
      <c r="E63" t="s">
        <v>8</v>
      </c>
    </row>
    <row r="64" spans="1:5" x14ac:dyDescent="0.55000000000000004">
      <c r="A64" t="s">
        <v>290</v>
      </c>
      <c r="B64" t="s">
        <v>288</v>
      </c>
      <c r="C64" t="s">
        <v>289</v>
      </c>
      <c r="D64">
        <v>420413</v>
      </c>
      <c r="E64" t="s">
        <v>8</v>
      </c>
    </row>
    <row r="65" spans="1:5" x14ac:dyDescent="0.55000000000000004">
      <c r="A65" t="s">
        <v>292</v>
      </c>
      <c r="B65" t="s">
        <v>291</v>
      </c>
      <c r="C65" t="s">
        <v>10</v>
      </c>
      <c r="D65">
        <v>771503</v>
      </c>
      <c r="E65" t="s">
        <v>8</v>
      </c>
    </row>
    <row r="66" spans="1:5" x14ac:dyDescent="0.55000000000000004">
      <c r="A66" t="s">
        <v>294</v>
      </c>
      <c r="B66" t="s">
        <v>293</v>
      </c>
      <c r="C66" t="s">
        <v>10</v>
      </c>
      <c r="D66">
        <v>389020</v>
      </c>
      <c r="E66" t="s">
        <v>8</v>
      </c>
    </row>
    <row r="67" spans="1:5" x14ac:dyDescent="0.55000000000000004">
      <c r="A67" t="s">
        <v>299</v>
      </c>
      <c r="B67" t="s">
        <v>298</v>
      </c>
      <c r="C67" t="s">
        <v>41</v>
      </c>
      <c r="D67">
        <v>1361554</v>
      </c>
      <c r="E67" t="s">
        <v>8</v>
      </c>
    </row>
    <row r="68" spans="1:5" x14ac:dyDescent="0.55000000000000004">
      <c r="A68" t="s">
        <v>301</v>
      </c>
      <c r="B68" t="s">
        <v>300</v>
      </c>
      <c r="C68" t="s">
        <v>10</v>
      </c>
      <c r="D68">
        <v>290299</v>
      </c>
      <c r="E68" t="s">
        <v>8</v>
      </c>
    </row>
    <row r="69" spans="1:5" x14ac:dyDescent="0.55000000000000004">
      <c r="A69" t="s">
        <v>309</v>
      </c>
      <c r="B69" t="s">
        <v>308</v>
      </c>
      <c r="C69" t="s">
        <v>10</v>
      </c>
      <c r="D69">
        <v>3402726</v>
      </c>
      <c r="E69" t="s">
        <v>8</v>
      </c>
    </row>
    <row r="70" spans="1:5" x14ac:dyDescent="0.55000000000000004">
      <c r="A70" t="s">
        <v>311</v>
      </c>
      <c r="B70" t="s">
        <v>310</v>
      </c>
      <c r="C70" t="s">
        <v>10</v>
      </c>
      <c r="D70">
        <v>417846</v>
      </c>
      <c r="E70" t="s">
        <v>8</v>
      </c>
    </row>
    <row r="71" spans="1:5" x14ac:dyDescent="0.55000000000000004">
      <c r="A71" t="s">
        <v>313</v>
      </c>
      <c r="B71" t="s">
        <v>312</v>
      </c>
      <c r="C71" t="s">
        <v>10</v>
      </c>
      <c r="D71">
        <v>320175</v>
      </c>
      <c r="E71" t="s">
        <v>8</v>
      </c>
    </row>
    <row r="72" spans="1:5" x14ac:dyDescent="0.55000000000000004">
      <c r="A72" t="s">
        <v>315</v>
      </c>
      <c r="B72" t="s">
        <v>314</v>
      </c>
      <c r="C72" t="s">
        <v>10</v>
      </c>
      <c r="D72">
        <v>1081803</v>
      </c>
      <c r="E72" t="s">
        <v>8</v>
      </c>
    </row>
    <row r="73" spans="1:5" x14ac:dyDescent="0.55000000000000004">
      <c r="A73" t="s">
        <v>323</v>
      </c>
      <c r="B73" t="s">
        <v>322</v>
      </c>
      <c r="C73" t="s">
        <v>41</v>
      </c>
      <c r="D73">
        <v>6755484</v>
      </c>
      <c r="E73" t="s">
        <v>8</v>
      </c>
    </row>
    <row r="74" spans="1:5" x14ac:dyDescent="0.55000000000000004">
      <c r="A74" t="s">
        <v>317</v>
      </c>
      <c r="B74" t="s">
        <v>316</v>
      </c>
      <c r="C74" t="s">
        <v>10</v>
      </c>
      <c r="D74">
        <v>972740</v>
      </c>
      <c r="E74" t="s">
        <v>8</v>
      </c>
    </row>
    <row r="75" spans="1:5" x14ac:dyDescent="0.55000000000000004">
      <c r="A75" t="s">
        <v>114</v>
      </c>
      <c r="B75" t="s">
        <v>113</v>
      </c>
      <c r="C75" t="s">
        <v>41</v>
      </c>
      <c r="D75">
        <v>426214</v>
      </c>
      <c r="E75" t="s">
        <v>8</v>
      </c>
    </row>
    <row r="76" spans="1:5" x14ac:dyDescent="0.55000000000000004">
      <c r="A76" t="s">
        <v>331</v>
      </c>
      <c r="B76" t="s">
        <v>330</v>
      </c>
      <c r="C76" t="s">
        <v>10</v>
      </c>
      <c r="D76">
        <v>625637</v>
      </c>
      <c r="E76" t="s">
        <v>8</v>
      </c>
    </row>
    <row r="77" spans="1:5" x14ac:dyDescent="0.55000000000000004">
      <c r="A77" t="s">
        <v>337</v>
      </c>
      <c r="B77" t="s">
        <v>336</v>
      </c>
      <c r="C77" t="s">
        <v>10</v>
      </c>
      <c r="D77">
        <v>1984349</v>
      </c>
      <c r="E77" t="s">
        <v>8</v>
      </c>
    </row>
    <row r="78" spans="1:5" x14ac:dyDescent="0.55000000000000004">
      <c r="A78" t="s">
        <v>339</v>
      </c>
      <c r="B78" t="s">
        <v>338</v>
      </c>
      <c r="C78" t="s">
        <v>10</v>
      </c>
      <c r="D78">
        <v>273633</v>
      </c>
      <c r="E78" t="s">
        <v>8</v>
      </c>
    </row>
    <row r="79" spans="1:5" x14ac:dyDescent="0.55000000000000004">
      <c r="A79" t="s">
        <v>350</v>
      </c>
      <c r="B79" t="s">
        <v>349</v>
      </c>
      <c r="C79" t="s">
        <v>10</v>
      </c>
      <c r="D79">
        <v>691904</v>
      </c>
      <c r="E79" t="s">
        <v>8</v>
      </c>
    </row>
    <row r="80" spans="1:5" x14ac:dyDescent="0.55000000000000004">
      <c r="A80" t="s">
        <v>358</v>
      </c>
      <c r="B80" t="s">
        <v>357</v>
      </c>
      <c r="C80" t="s">
        <v>10</v>
      </c>
      <c r="D80">
        <v>2876121</v>
      </c>
      <c r="E80" t="s">
        <v>8</v>
      </c>
    </row>
    <row r="81" spans="1:5" x14ac:dyDescent="0.55000000000000004">
      <c r="A81" t="s">
        <v>360</v>
      </c>
      <c r="B81" t="s">
        <v>359</v>
      </c>
      <c r="C81" t="s">
        <v>10</v>
      </c>
      <c r="D81">
        <v>327471</v>
      </c>
      <c r="E81" t="s">
        <v>8</v>
      </c>
    </row>
    <row r="82" spans="1:5" x14ac:dyDescent="0.55000000000000004">
      <c r="A82" t="s">
        <v>370</v>
      </c>
      <c r="B82" t="s">
        <v>369</v>
      </c>
      <c r="C82" t="s">
        <v>10</v>
      </c>
      <c r="D82">
        <v>813485</v>
      </c>
      <c r="E82" t="s">
        <v>8</v>
      </c>
    </row>
    <row r="83" spans="1:5" x14ac:dyDescent="0.55000000000000004">
      <c r="A83" t="s">
        <v>372</v>
      </c>
      <c r="B83" t="s">
        <v>371</v>
      </c>
      <c r="C83" t="s">
        <v>10</v>
      </c>
      <c r="D83">
        <v>617668</v>
      </c>
      <c r="E83" t="s">
        <v>8</v>
      </c>
    </row>
    <row r="84" spans="1:5" x14ac:dyDescent="0.55000000000000004">
      <c r="A84" t="s">
        <v>384</v>
      </c>
      <c r="B84" t="s">
        <v>383</v>
      </c>
      <c r="C84" t="s">
        <v>10</v>
      </c>
      <c r="D84">
        <v>426250</v>
      </c>
      <c r="E84" t="s">
        <v>8</v>
      </c>
    </row>
    <row r="85" spans="1:5" x14ac:dyDescent="0.55000000000000004">
      <c r="A85" t="s">
        <v>386</v>
      </c>
      <c r="B85" t="s">
        <v>385</v>
      </c>
      <c r="C85" t="s">
        <v>13</v>
      </c>
      <c r="D85">
        <v>1070214</v>
      </c>
      <c r="E85" t="s">
        <v>8</v>
      </c>
    </row>
    <row r="86" spans="1:5" x14ac:dyDescent="0.55000000000000004">
      <c r="A86" t="s">
        <v>396</v>
      </c>
      <c r="B86" t="s">
        <v>395</v>
      </c>
      <c r="C86" t="s">
        <v>10</v>
      </c>
      <c r="D86">
        <v>499625</v>
      </c>
      <c r="E86" t="s">
        <v>8</v>
      </c>
    </row>
    <row r="87" spans="1:5" x14ac:dyDescent="0.55000000000000004">
      <c r="A87" t="s">
        <v>251</v>
      </c>
      <c r="B87" t="s">
        <v>250</v>
      </c>
      <c r="C87" t="s">
        <v>10</v>
      </c>
      <c r="D87">
        <v>540342</v>
      </c>
      <c r="E87" t="s">
        <v>8</v>
      </c>
    </row>
    <row r="88" spans="1:5" x14ac:dyDescent="0.55000000000000004">
      <c r="A88" t="s">
        <v>398</v>
      </c>
      <c r="B88" t="s">
        <v>397</v>
      </c>
      <c r="C88" t="s">
        <v>10</v>
      </c>
      <c r="D88">
        <v>209021</v>
      </c>
      <c r="E88" t="s">
        <v>8</v>
      </c>
    </row>
    <row r="89" spans="1:5" x14ac:dyDescent="0.55000000000000004">
      <c r="A89" t="s">
        <v>400</v>
      </c>
      <c r="B89" t="s">
        <v>399</v>
      </c>
      <c r="C89" t="s">
        <v>10</v>
      </c>
      <c r="D89">
        <v>520603</v>
      </c>
      <c r="E89" t="s">
        <v>8</v>
      </c>
    </row>
    <row r="90" spans="1:5" x14ac:dyDescent="0.55000000000000004">
      <c r="A90" t="s">
        <v>402</v>
      </c>
      <c r="B90" t="s">
        <v>401</v>
      </c>
      <c r="C90" t="s">
        <v>10</v>
      </c>
      <c r="D90">
        <v>1696515</v>
      </c>
      <c r="E90" t="s">
        <v>8</v>
      </c>
    </row>
    <row r="91" spans="1:5" x14ac:dyDescent="0.55000000000000004">
      <c r="A91" t="s">
        <v>406</v>
      </c>
      <c r="B91" t="s">
        <v>405</v>
      </c>
      <c r="C91" t="s">
        <v>10</v>
      </c>
      <c r="D91">
        <v>816037</v>
      </c>
      <c r="E91" t="s">
        <v>8</v>
      </c>
    </row>
    <row r="92" spans="1:5" x14ac:dyDescent="0.55000000000000004">
      <c r="A92" t="s">
        <v>408</v>
      </c>
      <c r="B92" t="s">
        <v>407</v>
      </c>
      <c r="C92" t="s">
        <v>10</v>
      </c>
      <c r="D92">
        <v>593464</v>
      </c>
      <c r="E92" t="s">
        <v>8</v>
      </c>
    </row>
    <row r="93" spans="1:5" x14ac:dyDescent="0.55000000000000004">
      <c r="A93" t="s">
        <v>413</v>
      </c>
      <c r="B93" t="s">
        <v>412</v>
      </c>
      <c r="C93" t="s">
        <v>10</v>
      </c>
      <c r="D93">
        <v>241133</v>
      </c>
      <c r="E93" t="s">
        <v>8</v>
      </c>
    </row>
    <row r="94" spans="1:5" x14ac:dyDescent="0.55000000000000004">
      <c r="A94" t="s">
        <v>425</v>
      </c>
      <c r="B94" t="s">
        <v>424</v>
      </c>
      <c r="C94" t="s">
        <v>6</v>
      </c>
      <c r="D94">
        <v>1169389</v>
      </c>
      <c r="E94" t="s">
        <v>8</v>
      </c>
    </row>
    <row r="95" spans="1:5" x14ac:dyDescent="0.55000000000000004">
      <c r="A95" t="s">
        <v>423</v>
      </c>
      <c r="B95" t="s">
        <v>422</v>
      </c>
      <c r="C95" t="s">
        <v>10</v>
      </c>
      <c r="D95">
        <v>353068</v>
      </c>
      <c r="E95" t="s">
        <v>8</v>
      </c>
    </row>
    <row r="96" spans="1:5" x14ac:dyDescent="0.55000000000000004">
      <c r="A96" t="s">
        <v>435</v>
      </c>
      <c r="B96" t="s">
        <v>434</v>
      </c>
      <c r="C96" t="s">
        <v>10</v>
      </c>
      <c r="D96">
        <v>317386</v>
      </c>
      <c r="E96" t="s">
        <v>8</v>
      </c>
    </row>
    <row r="97" spans="1:5" x14ac:dyDescent="0.55000000000000004">
      <c r="A97" t="s">
        <v>439</v>
      </c>
      <c r="B97" t="s">
        <v>438</v>
      </c>
      <c r="C97" t="s">
        <v>10</v>
      </c>
      <c r="D97">
        <v>956264</v>
      </c>
      <c r="E97" t="s">
        <v>8</v>
      </c>
    </row>
    <row r="98" spans="1:5" x14ac:dyDescent="0.55000000000000004">
      <c r="A98" t="s">
        <v>441</v>
      </c>
      <c r="B98" t="s">
        <v>440</v>
      </c>
      <c r="C98" t="s">
        <v>13</v>
      </c>
      <c r="D98">
        <v>636561</v>
      </c>
      <c r="E98" t="s">
        <v>8</v>
      </c>
    </row>
    <row r="99" spans="1:5" x14ac:dyDescent="0.55000000000000004">
      <c r="A99" t="s">
        <v>445</v>
      </c>
      <c r="B99" t="s">
        <v>444</v>
      </c>
      <c r="C99" t="s">
        <v>10</v>
      </c>
      <c r="D99">
        <v>1169336</v>
      </c>
      <c r="E99" t="s">
        <v>8</v>
      </c>
    </row>
    <row r="100" spans="1:5" x14ac:dyDescent="0.55000000000000004">
      <c r="A100" t="s">
        <v>443</v>
      </c>
      <c r="B100" t="s">
        <v>442</v>
      </c>
      <c r="C100" t="s">
        <v>10</v>
      </c>
      <c r="D100">
        <v>531797</v>
      </c>
      <c r="E100" t="s">
        <v>8</v>
      </c>
    </row>
    <row r="101" spans="1:5" x14ac:dyDescent="0.55000000000000004">
      <c r="A101" t="s">
        <v>447</v>
      </c>
      <c r="B101" t="s">
        <v>446</v>
      </c>
      <c r="C101" t="s">
        <v>41</v>
      </c>
      <c r="D101">
        <v>696251</v>
      </c>
      <c r="E101" t="s">
        <v>8</v>
      </c>
    </row>
    <row r="102" spans="1:5" x14ac:dyDescent="0.55000000000000004">
      <c r="A102" t="s">
        <v>449</v>
      </c>
      <c r="B102" t="s">
        <v>448</v>
      </c>
      <c r="C102" t="s">
        <v>10</v>
      </c>
      <c r="D102">
        <v>459822</v>
      </c>
      <c r="E102" t="s">
        <v>8</v>
      </c>
    </row>
    <row r="103" spans="1:5" x14ac:dyDescent="0.55000000000000004">
      <c r="A103" t="s">
        <v>453</v>
      </c>
      <c r="B103" t="s">
        <v>452</v>
      </c>
      <c r="C103" t="s">
        <v>10</v>
      </c>
      <c r="D103">
        <v>6436470</v>
      </c>
      <c r="E103" t="s">
        <v>8</v>
      </c>
    </row>
    <row r="104" spans="1:5" x14ac:dyDescent="0.55000000000000004">
      <c r="A104" t="s">
        <v>459</v>
      </c>
      <c r="B104" t="s">
        <v>458</v>
      </c>
      <c r="C104" t="s">
        <v>10</v>
      </c>
      <c r="D104">
        <v>202891</v>
      </c>
      <c r="E104" t="s">
        <v>8</v>
      </c>
    </row>
    <row r="105" spans="1:5" x14ac:dyDescent="0.55000000000000004">
      <c r="A105" t="s">
        <v>476</v>
      </c>
      <c r="B105" t="s">
        <v>475</v>
      </c>
      <c r="C105" t="s">
        <v>10</v>
      </c>
      <c r="D105">
        <v>777433</v>
      </c>
      <c r="E105" t="s">
        <v>8</v>
      </c>
    </row>
    <row r="106" spans="1:5" x14ac:dyDescent="0.55000000000000004">
      <c r="A106" t="s">
        <v>480</v>
      </c>
      <c r="B106" t="s">
        <v>479</v>
      </c>
      <c r="C106" t="s">
        <v>10</v>
      </c>
      <c r="D106">
        <v>1665309</v>
      </c>
      <c r="E106" t="s">
        <v>8</v>
      </c>
    </row>
    <row r="107" spans="1:5" x14ac:dyDescent="0.55000000000000004">
      <c r="A107" t="s">
        <v>178</v>
      </c>
      <c r="B107" t="s">
        <v>177</v>
      </c>
      <c r="C107" t="s">
        <v>10</v>
      </c>
      <c r="D107">
        <v>295516</v>
      </c>
      <c r="E107" t="s">
        <v>8</v>
      </c>
    </row>
    <row r="108" spans="1:5" x14ac:dyDescent="0.55000000000000004">
      <c r="A108" t="s">
        <v>27</v>
      </c>
      <c r="B108" t="s">
        <v>25</v>
      </c>
      <c r="C108" t="s">
        <v>26</v>
      </c>
      <c r="D108">
        <v>174726</v>
      </c>
      <c r="E108" t="s">
        <v>8</v>
      </c>
    </row>
    <row r="109" spans="1:5" x14ac:dyDescent="0.55000000000000004">
      <c r="A109" t="s">
        <v>7</v>
      </c>
      <c r="B109" t="s">
        <v>5</v>
      </c>
      <c r="C109" t="s">
        <v>6</v>
      </c>
      <c r="D109">
        <v>2452676</v>
      </c>
      <c r="E109" t="s">
        <v>8</v>
      </c>
    </row>
    <row r="110" spans="1:5" x14ac:dyDescent="0.55000000000000004">
      <c r="A110" t="s">
        <v>11</v>
      </c>
      <c r="B110" t="s">
        <v>9</v>
      </c>
      <c r="C110" t="s">
        <v>10</v>
      </c>
      <c r="D110">
        <v>222767</v>
      </c>
      <c r="E110" t="s">
        <v>8</v>
      </c>
    </row>
    <row r="111" spans="1:5" x14ac:dyDescent="0.55000000000000004">
      <c r="A111" t="s">
        <v>457</v>
      </c>
      <c r="B111" t="s">
        <v>456</v>
      </c>
      <c r="C111" t="s">
        <v>10</v>
      </c>
      <c r="D111">
        <v>1735277</v>
      </c>
      <c r="E111" t="s">
        <v>8</v>
      </c>
    </row>
    <row r="112" spans="1:5" x14ac:dyDescent="0.55000000000000004">
      <c r="A112" t="s">
        <v>22</v>
      </c>
      <c r="B112" t="s">
        <v>20</v>
      </c>
      <c r="C112" t="s">
        <v>21</v>
      </c>
      <c r="D112">
        <v>216939</v>
      </c>
      <c r="E112" t="s">
        <v>8</v>
      </c>
    </row>
    <row r="113" spans="1:5" x14ac:dyDescent="0.55000000000000004">
      <c r="A113" t="s">
        <v>31</v>
      </c>
      <c r="B113" t="s">
        <v>30</v>
      </c>
      <c r="C113" t="s">
        <v>13</v>
      </c>
      <c r="D113">
        <v>670189</v>
      </c>
      <c r="E113" t="s">
        <v>8</v>
      </c>
    </row>
    <row r="114" spans="1:5" x14ac:dyDescent="0.55000000000000004">
      <c r="A114" t="s">
        <v>35</v>
      </c>
      <c r="B114" t="s">
        <v>34</v>
      </c>
      <c r="C114" t="s">
        <v>10</v>
      </c>
      <c r="D114">
        <v>394610</v>
      </c>
      <c r="E114" t="s">
        <v>8</v>
      </c>
    </row>
    <row r="115" spans="1:5" x14ac:dyDescent="0.55000000000000004">
      <c r="A115" t="s">
        <v>39</v>
      </c>
      <c r="B115" t="s">
        <v>38</v>
      </c>
      <c r="C115" t="s">
        <v>6</v>
      </c>
      <c r="D115">
        <v>502262</v>
      </c>
      <c r="E115" t="s">
        <v>8</v>
      </c>
    </row>
    <row r="116" spans="1:5" x14ac:dyDescent="0.55000000000000004">
      <c r="A116" t="s">
        <v>44</v>
      </c>
      <c r="B116" t="s">
        <v>43</v>
      </c>
      <c r="C116" t="s">
        <v>6</v>
      </c>
      <c r="D116">
        <v>2543665</v>
      </c>
      <c r="E116" t="s">
        <v>8</v>
      </c>
    </row>
    <row r="117" spans="1:5" x14ac:dyDescent="0.55000000000000004">
      <c r="A117" t="s">
        <v>50</v>
      </c>
      <c r="B117" t="s">
        <v>49</v>
      </c>
      <c r="C117" t="s">
        <v>10</v>
      </c>
      <c r="D117">
        <v>247570</v>
      </c>
      <c r="E117" t="s">
        <v>8</v>
      </c>
    </row>
    <row r="118" spans="1:5" x14ac:dyDescent="0.55000000000000004">
      <c r="A118" t="s">
        <v>56</v>
      </c>
      <c r="B118" t="s">
        <v>55</v>
      </c>
      <c r="C118" t="s">
        <v>10</v>
      </c>
      <c r="D118">
        <v>1067780</v>
      </c>
      <c r="E118" t="s">
        <v>8</v>
      </c>
    </row>
    <row r="119" spans="1:5" x14ac:dyDescent="0.55000000000000004">
      <c r="A119" t="s">
        <v>60</v>
      </c>
      <c r="B119" t="s">
        <v>59</v>
      </c>
      <c r="C119" t="s">
        <v>10</v>
      </c>
      <c r="D119">
        <v>401301</v>
      </c>
      <c r="E119" t="s">
        <v>8</v>
      </c>
    </row>
    <row r="120" spans="1:5" x14ac:dyDescent="0.55000000000000004">
      <c r="A120" t="s">
        <v>64</v>
      </c>
      <c r="B120" t="s">
        <v>63</v>
      </c>
      <c r="C120" t="s">
        <v>10</v>
      </c>
      <c r="D120">
        <v>1096676</v>
      </c>
      <c r="E120" t="s">
        <v>8</v>
      </c>
    </row>
    <row r="121" spans="1:5" x14ac:dyDescent="0.55000000000000004">
      <c r="A121" t="s">
        <v>68</v>
      </c>
      <c r="B121" t="s">
        <v>67</v>
      </c>
      <c r="C121" t="s">
        <v>10</v>
      </c>
      <c r="D121">
        <v>478944</v>
      </c>
      <c r="E121" t="s">
        <v>8</v>
      </c>
    </row>
    <row r="122" spans="1:5" x14ac:dyDescent="0.55000000000000004">
      <c r="A122" t="s">
        <v>70</v>
      </c>
      <c r="B122" t="s">
        <v>69</v>
      </c>
      <c r="C122" t="s">
        <v>13</v>
      </c>
      <c r="D122">
        <v>571226</v>
      </c>
      <c r="E122" t="s">
        <v>8</v>
      </c>
    </row>
    <row r="123" spans="1:5" x14ac:dyDescent="0.55000000000000004">
      <c r="A123" t="s">
        <v>72</v>
      </c>
      <c r="B123" t="s">
        <v>71</v>
      </c>
      <c r="C123" t="s">
        <v>41</v>
      </c>
      <c r="D123">
        <v>2624386</v>
      </c>
      <c r="E123" t="s">
        <v>8</v>
      </c>
    </row>
    <row r="124" spans="1:5" x14ac:dyDescent="0.55000000000000004">
      <c r="A124" t="s">
        <v>77</v>
      </c>
      <c r="B124" t="s">
        <v>75</v>
      </c>
      <c r="C124" t="s">
        <v>76</v>
      </c>
      <c r="D124">
        <v>861770</v>
      </c>
      <c r="E124" t="s">
        <v>8</v>
      </c>
    </row>
    <row r="125" spans="1:5" x14ac:dyDescent="0.55000000000000004">
      <c r="A125" t="s">
        <v>83</v>
      </c>
      <c r="B125" t="s">
        <v>82</v>
      </c>
      <c r="C125" t="s">
        <v>6</v>
      </c>
      <c r="D125">
        <v>5340628</v>
      </c>
      <c r="E125" t="s">
        <v>8</v>
      </c>
    </row>
    <row r="126" spans="1:5" x14ac:dyDescent="0.55000000000000004">
      <c r="A126" t="s">
        <v>85</v>
      </c>
      <c r="B126" t="s">
        <v>84</v>
      </c>
      <c r="C126" t="s">
        <v>10</v>
      </c>
      <c r="D126">
        <v>318102</v>
      </c>
      <c r="E126" t="s">
        <v>8</v>
      </c>
    </row>
    <row r="127" spans="1:5" x14ac:dyDescent="0.55000000000000004">
      <c r="A127" t="s">
        <v>91</v>
      </c>
      <c r="B127" t="s">
        <v>90</v>
      </c>
      <c r="C127" t="s">
        <v>41</v>
      </c>
      <c r="D127">
        <v>1205054</v>
      </c>
      <c r="E127" t="s">
        <v>8</v>
      </c>
    </row>
    <row r="128" spans="1:5" x14ac:dyDescent="0.55000000000000004">
      <c r="A128" t="s">
        <v>150</v>
      </c>
      <c r="B128" t="s">
        <v>149</v>
      </c>
      <c r="C128" t="s">
        <v>10</v>
      </c>
      <c r="D128">
        <v>1704011</v>
      </c>
      <c r="E128" t="s">
        <v>8</v>
      </c>
    </row>
    <row r="129" spans="1:5" x14ac:dyDescent="0.55000000000000004">
      <c r="A129" t="s">
        <v>93</v>
      </c>
      <c r="B129" t="s">
        <v>92</v>
      </c>
      <c r="C129" t="s">
        <v>10</v>
      </c>
      <c r="D129">
        <v>262795</v>
      </c>
      <c r="E129" t="s">
        <v>8</v>
      </c>
    </row>
    <row r="130" spans="1:5" x14ac:dyDescent="0.55000000000000004">
      <c r="A130" t="s">
        <v>100</v>
      </c>
      <c r="B130" t="s">
        <v>99</v>
      </c>
      <c r="C130" t="s">
        <v>10</v>
      </c>
      <c r="D130">
        <v>949067</v>
      </c>
      <c r="E130" t="s">
        <v>8</v>
      </c>
    </row>
    <row r="131" spans="1:5" x14ac:dyDescent="0.55000000000000004">
      <c r="A131" t="s">
        <v>102</v>
      </c>
      <c r="B131" t="s">
        <v>101</v>
      </c>
      <c r="C131" t="s">
        <v>41</v>
      </c>
      <c r="D131">
        <v>2692252</v>
      </c>
      <c r="E131" t="s">
        <v>8</v>
      </c>
    </row>
    <row r="132" spans="1:5" x14ac:dyDescent="0.55000000000000004">
      <c r="A132" t="s">
        <v>104</v>
      </c>
      <c r="B132" t="s">
        <v>103</v>
      </c>
      <c r="C132" t="s">
        <v>10</v>
      </c>
      <c r="D132">
        <v>589302</v>
      </c>
      <c r="E132" t="s">
        <v>8</v>
      </c>
    </row>
    <row r="133" spans="1:5" x14ac:dyDescent="0.55000000000000004">
      <c r="A133" t="s">
        <v>116</v>
      </c>
      <c r="B133" t="s">
        <v>115</v>
      </c>
      <c r="C133" t="s">
        <v>10</v>
      </c>
      <c r="D133">
        <v>2172734</v>
      </c>
      <c r="E133" t="s">
        <v>8</v>
      </c>
    </row>
    <row r="134" spans="1:5" x14ac:dyDescent="0.55000000000000004">
      <c r="A134" t="s">
        <v>130</v>
      </c>
      <c r="B134" t="s">
        <v>129</v>
      </c>
      <c r="C134" t="s">
        <v>6</v>
      </c>
      <c r="D134">
        <v>588913</v>
      </c>
      <c r="E134" t="s">
        <v>8</v>
      </c>
    </row>
    <row r="135" spans="1:5" x14ac:dyDescent="0.55000000000000004">
      <c r="A135" t="s">
        <v>132</v>
      </c>
      <c r="B135" t="s">
        <v>131</v>
      </c>
      <c r="C135" t="s">
        <v>10</v>
      </c>
      <c r="D135">
        <v>279848</v>
      </c>
      <c r="E135" t="s">
        <v>8</v>
      </c>
    </row>
    <row r="136" spans="1:5" x14ac:dyDescent="0.55000000000000004">
      <c r="A136" t="s">
        <v>134</v>
      </c>
      <c r="B136" t="s">
        <v>133</v>
      </c>
      <c r="C136" t="s">
        <v>10</v>
      </c>
      <c r="D136">
        <v>1086492</v>
      </c>
      <c r="E136" t="s">
        <v>8</v>
      </c>
    </row>
    <row r="137" spans="1:5" x14ac:dyDescent="0.55000000000000004">
      <c r="A137" t="s">
        <v>136</v>
      </c>
      <c r="B137" t="s">
        <v>135</v>
      </c>
      <c r="C137" t="s">
        <v>10</v>
      </c>
      <c r="D137">
        <v>599269</v>
      </c>
      <c r="E137" t="s">
        <v>8</v>
      </c>
    </row>
    <row r="138" spans="1:5" x14ac:dyDescent="0.55000000000000004">
      <c r="A138" t="s">
        <v>146</v>
      </c>
      <c r="B138" t="s">
        <v>145</v>
      </c>
      <c r="C138" t="s">
        <v>13</v>
      </c>
      <c r="D138">
        <v>5063506</v>
      </c>
      <c r="E138" t="s">
        <v>8</v>
      </c>
    </row>
    <row r="139" spans="1:5" x14ac:dyDescent="0.55000000000000004">
      <c r="A139" t="s">
        <v>148</v>
      </c>
      <c r="B139" t="s">
        <v>147</v>
      </c>
      <c r="C139" t="s">
        <v>10</v>
      </c>
      <c r="D139">
        <v>1051565</v>
      </c>
      <c r="E139" t="s">
        <v>8</v>
      </c>
    </row>
    <row r="140" spans="1:5" x14ac:dyDescent="0.55000000000000004">
      <c r="A140" t="s">
        <v>152</v>
      </c>
      <c r="B140" t="s">
        <v>151</v>
      </c>
      <c r="C140" t="s">
        <v>10</v>
      </c>
      <c r="D140">
        <v>798807</v>
      </c>
      <c r="E140" t="s">
        <v>8</v>
      </c>
    </row>
    <row r="141" spans="1:5" x14ac:dyDescent="0.55000000000000004">
      <c r="A141" t="s">
        <v>154</v>
      </c>
      <c r="B141" t="s">
        <v>153</v>
      </c>
      <c r="C141" t="s">
        <v>141</v>
      </c>
      <c r="D141">
        <v>3535799</v>
      </c>
      <c r="E141" t="s">
        <v>8</v>
      </c>
    </row>
    <row r="142" spans="1:5" x14ac:dyDescent="0.55000000000000004">
      <c r="A142" t="s">
        <v>158</v>
      </c>
      <c r="B142" t="s">
        <v>157</v>
      </c>
      <c r="C142" t="s">
        <v>10</v>
      </c>
      <c r="D142">
        <v>587677</v>
      </c>
      <c r="E142" t="s">
        <v>8</v>
      </c>
    </row>
    <row r="143" spans="1:5" x14ac:dyDescent="0.55000000000000004">
      <c r="A143" t="s">
        <v>162</v>
      </c>
      <c r="B143" t="s">
        <v>161</v>
      </c>
      <c r="C143" t="s">
        <v>13</v>
      </c>
      <c r="D143">
        <v>2863459</v>
      </c>
      <c r="E143" t="s">
        <v>8</v>
      </c>
    </row>
    <row r="144" spans="1:5" x14ac:dyDescent="0.55000000000000004">
      <c r="A144" t="s">
        <v>164</v>
      </c>
      <c r="B144" t="s">
        <v>163</v>
      </c>
      <c r="C144" t="s">
        <v>6</v>
      </c>
      <c r="D144">
        <v>525754</v>
      </c>
      <c r="E144" t="s">
        <v>8</v>
      </c>
    </row>
    <row r="145" spans="1:5" x14ac:dyDescent="0.55000000000000004">
      <c r="A145" t="s">
        <v>166</v>
      </c>
      <c r="B145" t="s">
        <v>165</v>
      </c>
      <c r="C145" t="s">
        <v>6</v>
      </c>
      <c r="D145">
        <v>952275</v>
      </c>
      <c r="E145" t="s">
        <v>8</v>
      </c>
    </row>
    <row r="146" spans="1:5" x14ac:dyDescent="0.55000000000000004">
      <c r="A146" t="s">
        <v>168</v>
      </c>
      <c r="B146" t="s">
        <v>167</v>
      </c>
      <c r="C146" t="s">
        <v>10</v>
      </c>
      <c r="D146">
        <v>2275297</v>
      </c>
      <c r="E146" t="s">
        <v>8</v>
      </c>
    </row>
    <row r="147" spans="1:5" x14ac:dyDescent="0.55000000000000004">
      <c r="A147" t="s">
        <v>170</v>
      </c>
      <c r="B147" t="s">
        <v>169</v>
      </c>
      <c r="C147" t="s">
        <v>10</v>
      </c>
      <c r="D147">
        <v>407800</v>
      </c>
      <c r="E147" t="s">
        <v>8</v>
      </c>
    </row>
    <row r="148" spans="1:5" x14ac:dyDescent="0.55000000000000004">
      <c r="A148" t="s">
        <v>172</v>
      </c>
      <c r="B148" t="s">
        <v>171</v>
      </c>
      <c r="C148" t="s">
        <v>141</v>
      </c>
      <c r="D148">
        <v>2770519</v>
      </c>
      <c r="E148" t="s">
        <v>8</v>
      </c>
    </row>
    <row r="149" spans="1:5" x14ac:dyDescent="0.55000000000000004">
      <c r="A149" t="s">
        <v>184</v>
      </c>
      <c r="B149" t="s">
        <v>183</v>
      </c>
      <c r="C149" t="s">
        <v>10</v>
      </c>
      <c r="D149">
        <v>603019</v>
      </c>
      <c r="E149" t="s">
        <v>8</v>
      </c>
    </row>
    <row r="150" spans="1:5" x14ac:dyDescent="0.55000000000000004">
      <c r="A150" t="s">
        <v>180</v>
      </c>
      <c r="B150" t="s">
        <v>179</v>
      </c>
      <c r="C150" t="s">
        <v>41</v>
      </c>
      <c r="D150">
        <v>262025</v>
      </c>
      <c r="E150" t="s">
        <v>8</v>
      </c>
    </row>
    <row r="151" spans="1:5" x14ac:dyDescent="0.55000000000000004">
      <c r="A151" t="s">
        <v>182</v>
      </c>
      <c r="B151" t="s">
        <v>181</v>
      </c>
      <c r="C151" t="s">
        <v>10</v>
      </c>
      <c r="D151">
        <v>1708306</v>
      </c>
      <c r="E151" t="s">
        <v>8</v>
      </c>
    </row>
    <row r="152" spans="1:5" x14ac:dyDescent="0.55000000000000004">
      <c r="A152" t="s">
        <v>188</v>
      </c>
      <c r="B152" t="s">
        <v>187</v>
      </c>
      <c r="C152" t="s">
        <v>6</v>
      </c>
      <c r="D152">
        <v>437926</v>
      </c>
      <c r="E152" t="s">
        <v>8</v>
      </c>
    </row>
    <row r="153" spans="1:5" x14ac:dyDescent="0.55000000000000004">
      <c r="A153" t="s">
        <v>192</v>
      </c>
      <c r="B153" t="s">
        <v>191</v>
      </c>
      <c r="C153" t="s">
        <v>13</v>
      </c>
      <c r="D153">
        <v>281468</v>
      </c>
      <c r="E153" t="s">
        <v>8</v>
      </c>
    </row>
    <row r="154" spans="1:5" x14ac:dyDescent="0.55000000000000004">
      <c r="A154" t="s">
        <v>194</v>
      </c>
      <c r="B154" t="s">
        <v>193</v>
      </c>
      <c r="C154" t="s">
        <v>10</v>
      </c>
      <c r="D154">
        <v>3430566</v>
      </c>
      <c r="E154" t="s">
        <v>8</v>
      </c>
    </row>
    <row r="155" spans="1:5" x14ac:dyDescent="0.55000000000000004">
      <c r="A155" t="s">
        <v>200</v>
      </c>
      <c r="B155" t="s">
        <v>199</v>
      </c>
      <c r="C155" t="s">
        <v>10</v>
      </c>
      <c r="D155">
        <v>397755</v>
      </c>
      <c r="E155" t="s">
        <v>8</v>
      </c>
    </row>
    <row r="156" spans="1:5" x14ac:dyDescent="0.55000000000000004">
      <c r="A156" t="s">
        <v>211</v>
      </c>
      <c r="B156" t="s">
        <v>210</v>
      </c>
      <c r="C156" t="s">
        <v>10</v>
      </c>
      <c r="D156">
        <v>5090374</v>
      </c>
      <c r="E156" t="s">
        <v>8</v>
      </c>
    </row>
    <row r="157" spans="1:5" x14ac:dyDescent="0.55000000000000004">
      <c r="A157" t="s">
        <v>220</v>
      </c>
      <c r="B157" t="s">
        <v>219</v>
      </c>
      <c r="C157" t="s">
        <v>13</v>
      </c>
      <c r="D157">
        <v>470081</v>
      </c>
      <c r="E157" t="s">
        <v>8</v>
      </c>
    </row>
    <row r="158" spans="1:5" x14ac:dyDescent="0.55000000000000004">
      <c r="A158" t="s">
        <v>259</v>
      </c>
      <c r="B158" t="s">
        <v>258</v>
      </c>
      <c r="C158" t="s">
        <v>10</v>
      </c>
      <c r="D158">
        <v>559915</v>
      </c>
      <c r="E158" t="s">
        <v>8</v>
      </c>
    </row>
    <row r="159" spans="1:5" x14ac:dyDescent="0.55000000000000004">
      <c r="A159" t="s">
        <v>245</v>
      </c>
      <c r="B159" t="s">
        <v>244</v>
      </c>
      <c r="C159" t="s">
        <v>10</v>
      </c>
      <c r="D159">
        <v>2760724</v>
      </c>
      <c r="E159" t="s">
        <v>8</v>
      </c>
    </row>
    <row r="160" spans="1:5" x14ac:dyDescent="0.55000000000000004">
      <c r="A160" t="s">
        <v>249</v>
      </c>
      <c r="B160" t="s">
        <v>248</v>
      </c>
      <c r="C160" t="s">
        <v>10</v>
      </c>
      <c r="D160">
        <v>216183</v>
      </c>
      <c r="E160" t="s">
        <v>8</v>
      </c>
    </row>
    <row r="161" spans="1:5" x14ac:dyDescent="0.55000000000000004">
      <c r="A161" t="s">
        <v>255</v>
      </c>
      <c r="B161" t="s">
        <v>254</v>
      </c>
      <c r="C161" t="s">
        <v>10</v>
      </c>
      <c r="D161">
        <v>50151</v>
      </c>
      <c r="E161" t="s">
        <v>8</v>
      </c>
    </row>
    <row r="162" spans="1:5" x14ac:dyDescent="0.55000000000000004">
      <c r="A162" t="s">
        <v>142</v>
      </c>
      <c r="B162" t="s">
        <v>140</v>
      </c>
      <c r="C162" t="s">
        <v>141</v>
      </c>
      <c r="D162">
        <v>419312</v>
      </c>
      <c r="E162" t="s">
        <v>8</v>
      </c>
    </row>
    <row r="163" spans="1:5" x14ac:dyDescent="0.55000000000000004">
      <c r="A163" t="s">
        <v>271</v>
      </c>
      <c r="B163" t="s">
        <v>270</v>
      </c>
      <c r="C163" t="s">
        <v>10</v>
      </c>
      <c r="D163">
        <v>467482</v>
      </c>
      <c r="E163" t="s">
        <v>8</v>
      </c>
    </row>
    <row r="164" spans="1:5" x14ac:dyDescent="0.55000000000000004">
      <c r="A164" t="s">
        <v>263</v>
      </c>
      <c r="B164" t="s">
        <v>262</v>
      </c>
      <c r="C164" t="s">
        <v>10</v>
      </c>
      <c r="D164">
        <v>341514</v>
      </c>
      <c r="E164" t="s">
        <v>8</v>
      </c>
    </row>
    <row r="165" spans="1:5" x14ac:dyDescent="0.55000000000000004">
      <c r="A165" t="s">
        <v>267</v>
      </c>
      <c r="B165" t="s">
        <v>266</v>
      </c>
      <c r="C165" t="s">
        <v>10</v>
      </c>
      <c r="D165">
        <v>496991</v>
      </c>
      <c r="E165" t="s">
        <v>8</v>
      </c>
    </row>
    <row r="166" spans="1:5" x14ac:dyDescent="0.55000000000000004">
      <c r="A166" t="s">
        <v>273</v>
      </c>
      <c r="B166" t="s">
        <v>272</v>
      </c>
      <c r="C166" t="s">
        <v>10</v>
      </c>
      <c r="D166">
        <v>252805</v>
      </c>
      <c r="E166" t="s">
        <v>8</v>
      </c>
    </row>
    <row r="167" spans="1:5" x14ac:dyDescent="0.55000000000000004">
      <c r="A167" t="s">
        <v>275</v>
      </c>
      <c r="B167" t="s">
        <v>274</v>
      </c>
      <c r="C167" t="s">
        <v>76</v>
      </c>
      <c r="D167">
        <v>770850</v>
      </c>
      <c r="E167" t="s">
        <v>8</v>
      </c>
    </row>
    <row r="168" spans="1:5" x14ac:dyDescent="0.55000000000000004">
      <c r="A168" t="s">
        <v>283</v>
      </c>
      <c r="B168" t="s">
        <v>282</v>
      </c>
      <c r="C168" t="s">
        <v>10</v>
      </c>
      <c r="D168">
        <v>261723</v>
      </c>
      <c r="E168" t="s">
        <v>8</v>
      </c>
    </row>
    <row r="169" spans="1:5" x14ac:dyDescent="0.55000000000000004">
      <c r="A169" t="s">
        <v>281</v>
      </c>
      <c r="B169" t="s">
        <v>280</v>
      </c>
      <c r="C169" t="s">
        <v>10</v>
      </c>
      <c r="D169">
        <v>1846558</v>
      </c>
      <c r="E169" t="s">
        <v>8</v>
      </c>
    </row>
    <row r="170" spans="1:5" x14ac:dyDescent="0.55000000000000004">
      <c r="A170" t="s">
        <v>285</v>
      </c>
      <c r="B170" t="s">
        <v>284</v>
      </c>
      <c r="C170" t="s">
        <v>10</v>
      </c>
      <c r="D170">
        <v>1046629</v>
      </c>
      <c r="E170" t="s">
        <v>8</v>
      </c>
    </row>
    <row r="171" spans="1:5" x14ac:dyDescent="0.55000000000000004">
      <c r="A171" t="s">
        <v>287</v>
      </c>
      <c r="B171" t="s">
        <v>286</v>
      </c>
      <c r="C171" t="s">
        <v>10</v>
      </c>
      <c r="D171">
        <v>94876</v>
      </c>
      <c r="E171" t="s">
        <v>8</v>
      </c>
    </row>
    <row r="172" spans="1:5" x14ac:dyDescent="0.55000000000000004">
      <c r="A172" t="s">
        <v>303</v>
      </c>
      <c r="B172" t="s">
        <v>302</v>
      </c>
      <c r="C172" t="s">
        <v>10</v>
      </c>
      <c r="D172">
        <v>940722</v>
      </c>
      <c r="E172" t="s">
        <v>8</v>
      </c>
    </row>
    <row r="173" spans="1:5" x14ac:dyDescent="0.55000000000000004">
      <c r="A173" t="s">
        <v>305</v>
      </c>
      <c r="B173" t="s">
        <v>304</v>
      </c>
      <c r="C173" t="s">
        <v>10</v>
      </c>
      <c r="D173">
        <v>798533</v>
      </c>
      <c r="E173" t="s">
        <v>8</v>
      </c>
    </row>
    <row r="174" spans="1:5" x14ac:dyDescent="0.55000000000000004">
      <c r="A174" t="s">
        <v>307</v>
      </c>
      <c r="B174" t="s">
        <v>306</v>
      </c>
      <c r="C174" t="s">
        <v>10</v>
      </c>
      <c r="D174">
        <v>215488</v>
      </c>
      <c r="E174" t="s">
        <v>8</v>
      </c>
    </row>
    <row r="175" spans="1:5" x14ac:dyDescent="0.55000000000000004">
      <c r="A175" t="s">
        <v>329</v>
      </c>
      <c r="B175" t="s">
        <v>328</v>
      </c>
      <c r="C175" t="s">
        <v>10</v>
      </c>
      <c r="D175">
        <v>1420114</v>
      </c>
      <c r="E175" t="s">
        <v>8</v>
      </c>
    </row>
    <row r="176" spans="1:5" x14ac:dyDescent="0.55000000000000004">
      <c r="A176" t="s">
        <v>319</v>
      </c>
      <c r="B176" t="s">
        <v>318</v>
      </c>
      <c r="C176" t="s">
        <v>10</v>
      </c>
      <c r="D176">
        <v>172011</v>
      </c>
      <c r="E176" t="s">
        <v>8</v>
      </c>
    </row>
    <row r="177" spans="1:5" x14ac:dyDescent="0.55000000000000004">
      <c r="A177" t="s">
        <v>325</v>
      </c>
      <c r="B177" t="s">
        <v>324</v>
      </c>
      <c r="C177" t="s">
        <v>13</v>
      </c>
      <c r="D177">
        <v>2603636</v>
      </c>
      <c r="E177" t="s">
        <v>8</v>
      </c>
    </row>
    <row r="178" spans="1:5" x14ac:dyDescent="0.55000000000000004">
      <c r="A178" t="s">
        <v>327</v>
      </c>
      <c r="B178" t="s">
        <v>326</v>
      </c>
      <c r="C178" t="s">
        <v>10</v>
      </c>
      <c r="D178">
        <v>1764650</v>
      </c>
      <c r="E178" t="s">
        <v>8</v>
      </c>
    </row>
    <row r="179" spans="1:5" x14ac:dyDescent="0.55000000000000004">
      <c r="A179" t="s">
        <v>333</v>
      </c>
      <c r="B179" t="s">
        <v>332</v>
      </c>
      <c r="C179" t="s">
        <v>13</v>
      </c>
      <c r="D179">
        <v>2381882</v>
      </c>
      <c r="E179" t="s">
        <v>8</v>
      </c>
    </row>
    <row r="180" spans="1:5" x14ac:dyDescent="0.55000000000000004">
      <c r="A180" t="s">
        <v>335</v>
      </c>
      <c r="B180" t="s">
        <v>334</v>
      </c>
      <c r="C180" t="s">
        <v>10</v>
      </c>
      <c r="D180">
        <v>203654</v>
      </c>
      <c r="E180" t="s">
        <v>8</v>
      </c>
    </row>
    <row r="181" spans="1:5" x14ac:dyDescent="0.55000000000000004">
      <c r="A181" t="s">
        <v>341</v>
      </c>
      <c r="B181" t="s">
        <v>340</v>
      </c>
      <c r="C181" t="s">
        <v>10</v>
      </c>
      <c r="D181">
        <v>945435</v>
      </c>
      <c r="E181" t="s">
        <v>8</v>
      </c>
    </row>
    <row r="182" spans="1:5" x14ac:dyDescent="0.55000000000000004">
      <c r="A182" t="s">
        <v>346</v>
      </c>
      <c r="B182" t="s">
        <v>345</v>
      </c>
      <c r="C182" t="s">
        <v>10</v>
      </c>
      <c r="D182">
        <v>517420</v>
      </c>
      <c r="E182" t="s">
        <v>8</v>
      </c>
    </row>
    <row r="183" spans="1:5" x14ac:dyDescent="0.55000000000000004">
      <c r="A183" t="s">
        <v>348</v>
      </c>
      <c r="B183" t="s">
        <v>347</v>
      </c>
      <c r="C183" t="s">
        <v>10</v>
      </c>
      <c r="D183">
        <v>678212</v>
      </c>
      <c r="E183" t="s">
        <v>8</v>
      </c>
    </row>
    <row r="184" spans="1:5" x14ac:dyDescent="0.55000000000000004">
      <c r="A184" t="s">
        <v>354</v>
      </c>
      <c r="B184" t="s">
        <v>353</v>
      </c>
      <c r="C184" t="s">
        <v>10</v>
      </c>
      <c r="D184">
        <v>356679</v>
      </c>
      <c r="E184" t="s">
        <v>8</v>
      </c>
    </row>
    <row r="185" spans="1:5" x14ac:dyDescent="0.55000000000000004">
      <c r="A185" t="s">
        <v>356</v>
      </c>
      <c r="B185" t="s">
        <v>355</v>
      </c>
      <c r="C185" t="s">
        <v>208</v>
      </c>
      <c r="D185">
        <v>766183</v>
      </c>
      <c r="E185" t="s">
        <v>8</v>
      </c>
    </row>
    <row r="186" spans="1:5" x14ac:dyDescent="0.55000000000000004">
      <c r="A186" t="s">
        <v>362</v>
      </c>
      <c r="B186" t="s">
        <v>361</v>
      </c>
      <c r="C186" t="s">
        <v>13</v>
      </c>
      <c r="D186">
        <v>2527128</v>
      </c>
      <c r="E186" t="s">
        <v>8</v>
      </c>
    </row>
    <row r="187" spans="1:5" x14ac:dyDescent="0.55000000000000004">
      <c r="A187" t="s">
        <v>364</v>
      </c>
      <c r="B187" t="s">
        <v>363</v>
      </c>
      <c r="C187" t="s">
        <v>13</v>
      </c>
      <c r="D187">
        <v>3126867</v>
      </c>
      <c r="E187" t="s">
        <v>8</v>
      </c>
    </row>
    <row r="188" spans="1:5" x14ac:dyDescent="0.55000000000000004">
      <c r="A188" t="s">
        <v>366</v>
      </c>
      <c r="B188" t="s">
        <v>365</v>
      </c>
      <c r="C188" t="s">
        <v>10</v>
      </c>
      <c r="D188">
        <v>1908141</v>
      </c>
      <c r="E188" t="s">
        <v>8</v>
      </c>
    </row>
    <row r="189" spans="1:5" x14ac:dyDescent="0.55000000000000004">
      <c r="A189" t="s">
        <v>368</v>
      </c>
      <c r="B189" t="s">
        <v>367</v>
      </c>
      <c r="C189" t="s">
        <v>10</v>
      </c>
      <c r="D189">
        <v>228326</v>
      </c>
      <c r="E189" t="s">
        <v>8</v>
      </c>
    </row>
    <row r="190" spans="1:5" x14ac:dyDescent="0.55000000000000004">
      <c r="A190" t="s">
        <v>382</v>
      </c>
      <c r="B190" t="s">
        <v>381</v>
      </c>
      <c r="C190" t="s">
        <v>10</v>
      </c>
      <c r="D190">
        <v>1358297</v>
      </c>
      <c r="E190" t="s">
        <v>8</v>
      </c>
    </row>
    <row r="191" spans="1:5" x14ac:dyDescent="0.55000000000000004">
      <c r="A191" t="s">
        <v>374</v>
      </c>
      <c r="B191" t="s">
        <v>373</v>
      </c>
      <c r="C191" t="s">
        <v>6</v>
      </c>
      <c r="D191">
        <v>746213</v>
      </c>
      <c r="E191" t="s">
        <v>8</v>
      </c>
    </row>
    <row r="192" spans="1:5" x14ac:dyDescent="0.55000000000000004">
      <c r="A192" t="s">
        <v>376</v>
      </c>
      <c r="B192" t="s">
        <v>375</v>
      </c>
      <c r="C192" t="s">
        <v>10</v>
      </c>
      <c r="D192">
        <v>960875</v>
      </c>
      <c r="E192" t="s">
        <v>8</v>
      </c>
    </row>
    <row r="193" spans="1:5" x14ac:dyDescent="0.55000000000000004">
      <c r="A193" t="s">
        <v>378</v>
      </c>
      <c r="B193" t="s">
        <v>377</v>
      </c>
      <c r="C193" t="s">
        <v>10</v>
      </c>
      <c r="D193">
        <v>3181460</v>
      </c>
      <c r="E193" t="s">
        <v>8</v>
      </c>
    </row>
    <row r="194" spans="1:5" x14ac:dyDescent="0.55000000000000004">
      <c r="A194" t="s">
        <v>380</v>
      </c>
      <c r="B194" t="s">
        <v>379</v>
      </c>
      <c r="C194" t="s">
        <v>13</v>
      </c>
      <c r="D194">
        <v>1292079</v>
      </c>
      <c r="E194" t="s">
        <v>8</v>
      </c>
    </row>
    <row r="195" spans="1:5" x14ac:dyDescent="0.55000000000000004">
      <c r="A195" t="s">
        <v>388</v>
      </c>
      <c r="B195" t="s">
        <v>387</v>
      </c>
      <c r="C195" t="s">
        <v>6</v>
      </c>
      <c r="D195">
        <v>262606</v>
      </c>
      <c r="E195" t="s">
        <v>8</v>
      </c>
    </row>
    <row r="196" spans="1:5" x14ac:dyDescent="0.55000000000000004">
      <c r="A196" t="s">
        <v>390</v>
      </c>
      <c r="B196" t="s">
        <v>389</v>
      </c>
      <c r="C196" t="s">
        <v>13</v>
      </c>
      <c r="D196">
        <v>2357453</v>
      </c>
      <c r="E196" t="s">
        <v>8</v>
      </c>
    </row>
    <row r="197" spans="1:5" x14ac:dyDescent="0.55000000000000004">
      <c r="A197" t="s">
        <v>392</v>
      </c>
      <c r="B197" t="s">
        <v>391</v>
      </c>
      <c r="C197" t="s">
        <v>10</v>
      </c>
      <c r="D197">
        <v>207165</v>
      </c>
      <c r="E197" t="s">
        <v>8</v>
      </c>
    </row>
    <row r="198" spans="1:5" x14ac:dyDescent="0.55000000000000004">
      <c r="A198" t="s">
        <v>394</v>
      </c>
      <c r="B198" t="s">
        <v>393</v>
      </c>
      <c r="C198" t="s">
        <v>41</v>
      </c>
      <c r="D198">
        <v>53136</v>
      </c>
      <c r="E198" t="s">
        <v>8</v>
      </c>
    </row>
    <row r="199" spans="1:5" x14ac:dyDescent="0.55000000000000004">
      <c r="A199" t="s">
        <v>404</v>
      </c>
      <c r="B199" t="s">
        <v>403</v>
      </c>
      <c r="C199" t="s">
        <v>208</v>
      </c>
      <c r="D199">
        <v>275913</v>
      </c>
      <c r="E199" t="s">
        <v>8</v>
      </c>
    </row>
    <row r="200" spans="1:5" x14ac:dyDescent="0.55000000000000004">
      <c r="A200" t="s">
        <v>411</v>
      </c>
      <c r="B200" t="s">
        <v>409</v>
      </c>
      <c r="C200" t="s">
        <v>410</v>
      </c>
      <c r="D200">
        <v>2490935</v>
      </c>
      <c r="E200" t="s">
        <v>8</v>
      </c>
    </row>
    <row r="201" spans="1:5" x14ac:dyDescent="0.55000000000000004">
      <c r="A201" t="s">
        <v>431</v>
      </c>
      <c r="B201" t="s">
        <v>430</v>
      </c>
      <c r="C201" t="s">
        <v>10</v>
      </c>
      <c r="D201">
        <v>224507</v>
      </c>
      <c r="E201" t="s">
        <v>8</v>
      </c>
    </row>
    <row r="202" spans="1:5" x14ac:dyDescent="0.55000000000000004">
      <c r="A202" t="s">
        <v>415</v>
      </c>
      <c r="B202" t="s">
        <v>414</v>
      </c>
      <c r="C202" t="s">
        <v>10</v>
      </c>
      <c r="D202">
        <v>359756</v>
      </c>
      <c r="E202" t="s">
        <v>8</v>
      </c>
    </row>
    <row r="203" spans="1:5" x14ac:dyDescent="0.55000000000000004">
      <c r="A203" t="s">
        <v>417</v>
      </c>
      <c r="B203" t="s">
        <v>416</v>
      </c>
      <c r="C203" t="s">
        <v>10</v>
      </c>
      <c r="D203">
        <v>650179</v>
      </c>
      <c r="E203" t="s">
        <v>8</v>
      </c>
    </row>
    <row r="204" spans="1:5" x14ac:dyDescent="0.55000000000000004">
      <c r="A204" t="s">
        <v>419</v>
      </c>
      <c r="B204" t="s">
        <v>418</v>
      </c>
      <c r="C204" t="s">
        <v>6</v>
      </c>
      <c r="D204">
        <v>567276</v>
      </c>
      <c r="E204" t="s">
        <v>8</v>
      </c>
    </row>
    <row r="205" spans="1:5" x14ac:dyDescent="0.55000000000000004">
      <c r="A205" t="s">
        <v>421</v>
      </c>
      <c r="B205" t="s">
        <v>420</v>
      </c>
      <c r="C205" t="s">
        <v>10</v>
      </c>
      <c r="D205">
        <v>806849</v>
      </c>
      <c r="E205" t="s">
        <v>8</v>
      </c>
    </row>
    <row r="206" spans="1:5" x14ac:dyDescent="0.55000000000000004">
      <c r="A206" t="s">
        <v>427</v>
      </c>
      <c r="B206" t="s">
        <v>426</v>
      </c>
      <c r="C206" t="s">
        <v>10</v>
      </c>
      <c r="D206">
        <v>814400</v>
      </c>
      <c r="E206" t="s">
        <v>8</v>
      </c>
    </row>
    <row r="207" spans="1:5" x14ac:dyDescent="0.55000000000000004">
      <c r="A207" t="s">
        <v>429</v>
      </c>
      <c r="B207" t="s">
        <v>428</v>
      </c>
      <c r="C207" t="s">
        <v>10</v>
      </c>
      <c r="D207">
        <v>436055</v>
      </c>
      <c r="E207" t="s">
        <v>8</v>
      </c>
    </row>
    <row r="208" spans="1:5" x14ac:dyDescent="0.55000000000000004">
      <c r="A208" t="s">
        <v>433</v>
      </c>
      <c r="B208" t="s">
        <v>432</v>
      </c>
      <c r="C208" t="s">
        <v>10</v>
      </c>
      <c r="D208">
        <v>1184049</v>
      </c>
      <c r="E208" t="s">
        <v>8</v>
      </c>
    </row>
    <row r="209" spans="1:5" x14ac:dyDescent="0.55000000000000004">
      <c r="A209" t="s">
        <v>437</v>
      </c>
      <c r="B209" t="s">
        <v>436</v>
      </c>
      <c r="C209" t="s">
        <v>10</v>
      </c>
      <c r="D209">
        <v>1124738</v>
      </c>
      <c r="E209" t="s">
        <v>8</v>
      </c>
    </row>
    <row r="210" spans="1:5" x14ac:dyDescent="0.55000000000000004">
      <c r="A210" t="s">
        <v>451</v>
      </c>
      <c r="B210" t="s">
        <v>450</v>
      </c>
      <c r="C210" t="s">
        <v>10</v>
      </c>
      <c r="D210">
        <v>501312</v>
      </c>
      <c r="E210" t="s">
        <v>8</v>
      </c>
    </row>
    <row r="211" spans="1:5" x14ac:dyDescent="0.55000000000000004">
      <c r="A211" t="s">
        <v>455</v>
      </c>
      <c r="B211" t="s">
        <v>454</v>
      </c>
      <c r="C211" t="s">
        <v>10</v>
      </c>
      <c r="D211">
        <v>348377</v>
      </c>
      <c r="E211" t="s">
        <v>8</v>
      </c>
    </row>
    <row r="212" spans="1:5" x14ac:dyDescent="0.55000000000000004">
      <c r="A212" t="s">
        <v>462</v>
      </c>
      <c r="B212" t="s">
        <v>460</v>
      </c>
      <c r="C212" t="s">
        <v>461</v>
      </c>
      <c r="D212">
        <v>238453</v>
      </c>
      <c r="E212" t="s">
        <v>8</v>
      </c>
    </row>
    <row r="213" spans="1:5" x14ac:dyDescent="0.55000000000000004">
      <c r="A213" t="s">
        <v>464</v>
      </c>
      <c r="B213" t="s">
        <v>463</v>
      </c>
      <c r="C213" t="s">
        <v>6</v>
      </c>
      <c r="D213">
        <v>2940637</v>
      </c>
      <c r="E213" t="s">
        <v>8</v>
      </c>
    </row>
    <row r="214" spans="1:5" x14ac:dyDescent="0.55000000000000004">
      <c r="A214" t="s">
        <v>344</v>
      </c>
      <c r="B214" t="s">
        <v>342</v>
      </c>
      <c r="C214" t="s">
        <v>343</v>
      </c>
      <c r="D214">
        <v>1736272</v>
      </c>
      <c r="E214" t="s">
        <v>8</v>
      </c>
    </row>
    <row r="215" spans="1:5" x14ac:dyDescent="0.55000000000000004">
      <c r="A215" t="s">
        <v>466</v>
      </c>
      <c r="B215" t="s">
        <v>465</v>
      </c>
      <c r="C215" t="s">
        <v>76</v>
      </c>
      <c r="D215">
        <v>823753</v>
      </c>
      <c r="E215" t="s">
        <v>8</v>
      </c>
    </row>
    <row r="216" spans="1:5" x14ac:dyDescent="0.55000000000000004">
      <c r="A216" t="s">
        <v>468</v>
      </c>
      <c r="B216" t="s">
        <v>467</v>
      </c>
      <c r="C216" t="s">
        <v>10</v>
      </c>
      <c r="D216">
        <v>251641</v>
      </c>
      <c r="E216" t="s">
        <v>8</v>
      </c>
    </row>
    <row r="217" spans="1:5" x14ac:dyDescent="0.55000000000000004">
      <c r="A217" t="s">
        <v>470</v>
      </c>
      <c r="B217" t="s">
        <v>469</v>
      </c>
      <c r="C217" t="s">
        <v>10</v>
      </c>
      <c r="D217">
        <v>2321966</v>
      </c>
      <c r="E217" t="s">
        <v>8</v>
      </c>
    </row>
    <row r="218" spans="1:5" x14ac:dyDescent="0.55000000000000004">
      <c r="A218" t="s">
        <v>472</v>
      </c>
      <c r="B218" t="s">
        <v>471</v>
      </c>
      <c r="C218" t="s">
        <v>10</v>
      </c>
      <c r="D218">
        <v>128854</v>
      </c>
      <c r="E218" t="s">
        <v>8</v>
      </c>
    </row>
    <row r="219" spans="1:5" x14ac:dyDescent="0.55000000000000004">
      <c r="A219" t="s">
        <v>474</v>
      </c>
      <c r="B219" t="s">
        <v>473</v>
      </c>
      <c r="C219" t="s">
        <v>10</v>
      </c>
      <c r="D219">
        <v>240812</v>
      </c>
      <c r="E219" t="s">
        <v>8</v>
      </c>
    </row>
    <row r="220" spans="1:5" x14ac:dyDescent="0.55000000000000004">
      <c r="A220" t="s">
        <v>478</v>
      </c>
      <c r="B220" t="s">
        <v>477</v>
      </c>
      <c r="C220" t="s">
        <v>6</v>
      </c>
      <c r="D220">
        <v>4291978</v>
      </c>
      <c r="E220" t="s">
        <v>8</v>
      </c>
    </row>
    <row r="221" spans="1:5" x14ac:dyDescent="0.55000000000000004">
      <c r="A221" t="s">
        <v>484</v>
      </c>
      <c r="B221" t="s">
        <v>483</v>
      </c>
      <c r="C221" t="s">
        <v>13</v>
      </c>
      <c r="D221">
        <v>3050997</v>
      </c>
      <c r="E221" t="s">
        <v>8</v>
      </c>
    </row>
    <row r="222" spans="1:5" x14ac:dyDescent="0.55000000000000004">
      <c r="A222" t="s">
        <v>486</v>
      </c>
      <c r="B222" t="s">
        <v>485</v>
      </c>
      <c r="C222" t="s">
        <v>76</v>
      </c>
      <c r="D222">
        <v>1692075</v>
      </c>
      <c r="E222" t="s">
        <v>8</v>
      </c>
    </row>
    <row r="223" spans="1:5" x14ac:dyDescent="0.55000000000000004">
      <c r="A223" t="s">
        <v>488</v>
      </c>
      <c r="B223" t="s">
        <v>487</v>
      </c>
      <c r="C223" t="s">
        <v>10</v>
      </c>
      <c r="D223">
        <v>340759</v>
      </c>
      <c r="E223" t="s">
        <v>8</v>
      </c>
    </row>
    <row r="224" spans="1:5" x14ac:dyDescent="0.55000000000000004">
      <c r="A224" t="s">
        <v>24</v>
      </c>
      <c r="B224" t="s">
        <v>23</v>
      </c>
      <c r="C224" t="s">
        <v>18</v>
      </c>
      <c r="D224">
        <v>1324538</v>
      </c>
      <c r="E224" t="s">
        <v>8</v>
      </c>
    </row>
    <row r="225" spans="1:5" x14ac:dyDescent="0.55000000000000004">
      <c r="A225" t="s">
        <v>66</v>
      </c>
      <c r="B225" t="s">
        <v>65</v>
      </c>
      <c r="C225" t="s">
        <v>18</v>
      </c>
      <c r="D225">
        <v>685591</v>
      </c>
      <c r="E225" t="s">
        <v>8</v>
      </c>
    </row>
    <row r="226" spans="1:5" x14ac:dyDescent="0.55000000000000004">
      <c r="A226" t="s">
        <v>139</v>
      </c>
      <c r="B226" t="s">
        <v>137</v>
      </c>
      <c r="C226" t="s">
        <v>138</v>
      </c>
      <c r="D226">
        <v>1354645</v>
      </c>
      <c r="E226" t="s">
        <v>8</v>
      </c>
    </row>
    <row r="227" spans="1:5" x14ac:dyDescent="0.55000000000000004">
      <c r="A227" t="s">
        <v>216</v>
      </c>
      <c r="B227" t="s">
        <v>214</v>
      </c>
      <c r="C227" t="s">
        <v>215</v>
      </c>
      <c r="D227">
        <v>137577</v>
      </c>
      <c r="E227" t="s">
        <v>8</v>
      </c>
    </row>
    <row r="228" spans="1:5" x14ac:dyDescent="0.55000000000000004">
      <c r="A228" t="s">
        <v>277</v>
      </c>
      <c r="B228" t="s">
        <v>276</v>
      </c>
      <c r="C228" t="s">
        <v>18</v>
      </c>
      <c r="D228">
        <v>2899119</v>
      </c>
      <c r="E228" t="s">
        <v>8</v>
      </c>
    </row>
    <row r="229" spans="1:5" x14ac:dyDescent="0.55000000000000004">
      <c r="A229" t="s">
        <v>19</v>
      </c>
      <c r="B229" t="s">
        <v>17</v>
      </c>
      <c r="C229" t="s">
        <v>18</v>
      </c>
      <c r="D229">
        <v>411826</v>
      </c>
      <c r="E229" t="s">
        <v>8</v>
      </c>
    </row>
    <row r="230" spans="1:5" x14ac:dyDescent="0.55000000000000004">
      <c r="A230" t="s">
        <v>321</v>
      </c>
      <c r="B230" t="s">
        <v>320</v>
      </c>
      <c r="C230" t="s">
        <v>10</v>
      </c>
      <c r="D230">
        <v>2603538</v>
      </c>
      <c r="E230" t="s">
        <v>8</v>
      </c>
    </row>
    <row r="231" spans="1:5" x14ac:dyDescent="0.55000000000000004">
      <c r="A231" t="s">
        <v>352</v>
      </c>
      <c r="B231" t="s">
        <v>351</v>
      </c>
      <c r="C231" t="s">
        <v>18</v>
      </c>
      <c r="D231">
        <v>790503</v>
      </c>
      <c r="E231" t="s">
        <v>8</v>
      </c>
    </row>
    <row r="232" spans="1:5" x14ac:dyDescent="0.55000000000000004">
      <c r="A232" t="s">
        <v>482</v>
      </c>
      <c r="B232" t="s">
        <v>481</v>
      </c>
      <c r="C232" t="s">
        <v>13</v>
      </c>
      <c r="D232">
        <v>2815013</v>
      </c>
      <c r="E232" t="s">
        <v>8</v>
      </c>
    </row>
    <row r="233" spans="1:5" x14ac:dyDescent="0.55000000000000004">
      <c r="A233" t="s">
        <v>297</v>
      </c>
      <c r="B233" t="s">
        <v>295</v>
      </c>
      <c r="C233" t="s">
        <v>296</v>
      </c>
      <c r="D233">
        <v>272309</v>
      </c>
      <c r="E233" t="s">
        <v>8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F7233-95A1-4A08-808A-9084FE064840}">
  <dimension ref="A1:E220"/>
  <sheetViews>
    <sheetView topLeftCell="A194" workbookViewId="0">
      <selection activeCell="D2" sqref="D2:D220"/>
    </sheetView>
  </sheetViews>
  <sheetFormatPr defaultRowHeight="18" x14ac:dyDescent="0.55000000000000004"/>
  <cols>
    <col min="1" max="1" width="10.9140625" bestFit="1" customWidth="1"/>
    <col min="2" max="2" width="34.75" bestFit="1" customWidth="1"/>
    <col min="3" max="3" width="16.9140625" bestFit="1" customWidth="1"/>
    <col min="5" max="5" width="8.25" bestFit="1" customWidth="1"/>
    <col min="6" max="6" width="23.33203125" bestFit="1" customWidth="1"/>
  </cols>
  <sheetData>
    <row r="1" spans="1:5" x14ac:dyDescent="0.55000000000000004">
      <c r="A1" t="s">
        <v>2</v>
      </c>
      <c r="B1" t="s">
        <v>0</v>
      </c>
      <c r="C1" t="s">
        <v>1</v>
      </c>
      <c r="D1" t="s">
        <v>3</v>
      </c>
      <c r="E1" t="s">
        <v>4</v>
      </c>
    </row>
    <row r="2" spans="1:5" x14ac:dyDescent="0.55000000000000004">
      <c r="A2" t="s">
        <v>812</v>
      </c>
      <c r="B2" t="s">
        <v>811</v>
      </c>
      <c r="C2" t="s">
        <v>13</v>
      </c>
      <c r="D2">
        <v>956599</v>
      </c>
      <c r="E2" t="s">
        <v>8</v>
      </c>
    </row>
    <row r="3" spans="1:5" x14ac:dyDescent="0.55000000000000004">
      <c r="A3" t="s">
        <v>814</v>
      </c>
      <c r="B3" t="s">
        <v>813</v>
      </c>
      <c r="C3" t="s">
        <v>10</v>
      </c>
      <c r="D3">
        <v>508342</v>
      </c>
      <c r="E3" t="s">
        <v>8</v>
      </c>
    </row>
    <row r="4" spans="1:5" x14ac:dyDescent="0.55000000000000004">
      <c r="A4" t="s">
        <v>816</v>
      </c>
      <c r="B4" t="s">
        <v>815</v>
      </c>
      <c r="C4" t="s">
        <v>6</v>
      </c>
      <c r="D4">
        <v>317916</v>
      </c>
      <c r="E4" t="s">
        <v>8</v>
      </c>
    </row>
    <row r="5" spans="1:5" x14ac:dyDescent="0.55000000000000004">
      <c r="A5" t="s">
        <v>14</v>
      </c>
      <c r="B5" t="s">
        <v>12</v>
      </c>
      <c r="C5" t="s">
        <v>13</v>
      </c>
      <c r="D5">
        <v>531657</v>
      </c>
      <c r="E5" t="s">
        <v>8</v>
      </c>
    </row>
    <row r="6" spans="1:5" x14ac:dyDescent="0.55000000000000004">
      <c r="A6" t="s">
        <v>16</v>
      </c>
      <c r="B6" t="s">
        <v>15</v>
      </c>
      <c r="C6" t="s">
        <v>10</v>
      </c>
      <c r="D6">
        <v>2337267</v>
      </c>
      <c r="E6" t="s">
        <v>8</v>
      </c>
    </row>
    <row r="7" spans="1:5" x14ac:dyDescent="0.55000000000000004">
      <c r="A7" t="s">
        <v>29</v>
      </c>
      <c r="B7" t="s">
        <v>28</v>
      </c>
      <c r="C7" t="s">
        <v>13</v>
      </c>
      <c r="D7">
        <v>1376426</v>
      </c>
      <c r="E7" t="s">
        <v>8</v>
      </c>
    </row>
    <row r="8" spans="1:5" x14ac:dyDescent="0.55000000000000004">
      <c r="A8" t="s">
        <v>42</v>
      </c>
      <c r="B8" t="s">
        <v>40</v>
      </c>
      <c r="C8" t="s">
        <v>41</v>
      </c>
      <c r="D8">
        <v>3484728</v>
      </c>
      <c r="E8" t="s">
        <v>8</v>
      </c>
    </row>
    <row r="9" spans="1:5" x14ac:dyDescent="0.55000000000000004">
      <c r="A9" t="s">
        <v>62</v>
      </c>
      <c r="B9" t="s">
        <v>61</v>
      </c>
      <c r="C9" t="s">
        <v>6</v>
      </c>
      <c r="D9">
        <v>558781</v>
      </c>
      <c r="E9" t="s">
        <v>8</v>
      </c>
    </row>
    <row r="10" spans="1:5" x14ac:dyDescent="0.55000000000000004">
      <c r="A10" t="s">
        <v>733</v>
      </c>
      <c r="B10" t="s">
        <v>732</v>
      </c>
      <c r="C10" t="s">
        <v>10</v>
      </c>
      <c r="D10">
        <v>237834</v>
      </c>
      <c r="E10" t="s">
        <v>8</v>
      </c>
    </row>
    <row r="11" spans="1:5" x14ac:dyDescent="0.55000000000000004">
      <c r="A11" t="s">
        <v>824</v>
      </c>
      <c r="B11" t="s">
        <v>823</v>
      </c>
      <c r="C11" t="s">
        <v>10</v>
      </c>
      <c r="D11">
        <v>446442</v>
      </c>
      <c r="E11" t="s">
        <v>8</v>
      </c>
    </row>
    <row r="12" spans="1:5" x14ac:dyDescent="0.55000000000000004">
      <c r="A12" t="s">
        <v>826</v>
      </c>
      <c r="B12" t="s">
        <v>825</v>
      </c>
      <c r="C12" t="s">
        <v>10</v>
      </c>
      <c r="D12">
        <v>574691</v>
      </c>
      <c r="E12" t="s">
        <v>8</v>
      </c>
    </row>
    <row r="13" spans="1:5" x14ac:dyDescent="0.55000000000000004">
      <c r="A13" t="s">
        <v>98</v>
      </c>
      <c r="B13" t="s">
        <v>96</v>
      </c>
      <c r="C13" t="s">
        <v>76</v>
      </c>
      <c r="D13">
        <v>1018587</v>
      </c>
      <c r="E13" t="s">
        <v>8</v>
      </c>
    </row>
    <row r="14" spans="1:5" x14ac:dyDescent="0.55000000000000004">
      <c r="A14" t="s">
        <v>106</v>
      </c>
      <c r="B14" t="s">
        <v>105</v>
      </c>
      <c r="C14" t="s">
        <v>10</v>
      </c>
      <c r="D14">
        <v>405255</v>
      </c>
      <c r="E14" t="s">
        <v>8</v>
      </c>
    </row>
    <row r="15" spans="1:5" x14ac:dyDescent="0.55000000000000004">
      <c r="A15" t="s">
        <v>108</v>
      </c>
      <c r="B15" t="s">
        <v>107</v>
      </c>
      <c r="C15" t="s">
        <v>10</v>
      </c>
      <c r="D15">
        <v>201113</v>
      </c>
      <c r="E15" t="s">
        <v>8</v>
      </c>
    </row>
    <row r="16" spans="1:5" x14ac:dyDescent="0.55000000000000004">
      <c r="A16" t="s">
        <v>118</v>
      </c>
      <c r="B16" t="s">
        <v>117</v>
      </c>
      <c r="C16" t="s">
        <v>10</v>
      </c>
      <c r="D16">
        <v>3452323</v>
      </c>
      <c r="E16" t="s">
        <v>8</v>
      </c>
    </row>
    <row r="17" spans="1:5" x14ac:dyDescent="0.55000000000000004">
      <c r="A17" t="s">
        <v>122</v>
      </c>
      <c r="B17" t="s">
        <v>121</v>
      </c>
      <c r="C17" t="s">
        <v>10</v>
      </c>
      <c r="D17">
        <v>611201</v>
      </c>
      <c r="E17" t="s">
        <v>8</v>
      </c>
    </row>
    <row r="18" spans="1:5" x14ac:dyDescent="0.55000000000000004">
      <c r="A18" t="s">
        <v>124</v>
      </c>
      <c r="B18" t="s">
        <v>123</v>
      </c>
      <c r="C18" t="s">
        <v>10</v>
      </c>
      <c r="D18">
        <v>2154441</v>
      </c>
      <c r="E18" t="s">
        <v>8</v>
      </c>
    </row>
    <row r="19" spans="1:5" x14ac:dyDescent="0.55000000000000004">
      <c r="A19" t="s">
        <v>128</v>
      </c>
      <c r="B19" t="s">
        <v>127</v>
      </c>
      <c r="C19" t="s">
        <v>10</v>
      </c>
      <c r="D19">
        <v>1049902</v>
      </c>
      <c r="E19" t="s">
        <v>8</v>
      </c>
    </row>
    <row r="20" spans="1:5" x14ac:dyDescent="0.55000000000000004">
      <c r="A20" t="s">
        <v>839</v>
      </c>
      <c r="B20" t="s">
        <v>838</v>
      </c>
      <c r="C20" t="s">
        <v>10</v>
      </c>
      <c r="D20">
        <v>1206252</v>
      </c>
      <c r="E20" t="s">
        <v>8</v>
      </c>
    </row>
    <row r="21" spans="1:5" x14ac:dyDescent="0.55000000000000004">
      <c r="A21" t="s">
        <v>841</v>
      </c>
      <c r="B21" t="s">
        <v>840</v>
      </c>
      <c r="C21" t="s">
        <v>10</v>
      </c>
      <c r="D21">
        <v>4075099</v>
      </c>
      <c r="E21" t="s">
        <v>8</v>
      </c>
    </row>
    <row r="22" spans="1:5" x14ac:dyDescent="0.55000000000000004">
      <c r="A22" t="s">
        <v>186</v>
      </c>
      <c r="B22" t="s">
        <v>185</v>
      </c>
      <c r="C22" t="s">
        <v>10</v>
      </c>
      <c r="D22">
        <v>295342</v>
      </c>
      <c r="E22" t="s">
        <v>8</v>
      </c>
    </row>
    <row r="23" spans="1:5" x14ac:dyDescent="0.55000000000000004">
      <c r="A23" t="s">
        <v>847</v>
      </c>
      <c r="B23" t="s">
        <v>846</v>
      </c>
      <c r="C23" t="s">
        <v>41</v>
      </c>
      <c r="D23">
        <v>3226481</v>
      </c>
      <c r="E23" t="s">
        <v>8</v>
      </c>
    </row>
    <row r="24" spans="1:5" x14ac:dyDescent="0.55000000000000004">
      <c r="A24" t="s">
        <v>190</v>
      </c>
      <c r="B24" t="s">
        <v>189</v>
      </c>
      <c r="C24" t="s">
        <v>10</v>
      </c>
      <c r="D24">
        <v>1461349</v>
      </c>
      <c r="E24" t="s">
        <v>8</v>
      </c>
    </row>
    <row r="25" spans="1:5" x14ac:dyDescent="0.55000000000000004">
      <c r="A25" t="s">
        <v>749</v>
      </c>
      <c r="B25" t="s">
        <v>748</v>
      </c>
      <c r="C25" t="s">
        <v>10</v>
      </c>
      <c r="D25">
        <v>2851888</v>
      </c>
      <c r="E25" t="s">
        <v>8</v>
      </c>
    </row>
    <row r="26" spans="1:5" x14ac:dyDescent="0.55000000000000004">
      <c r="A26" t="s">
        <v>196</v>
      </c>
      <c r="B26" t="s">
        <v>195</v>
      </c>
      <c r="C26" t="s">
        <v>10</v>
      </c>
      <c r="D26">
        <v>2013199</v>
      </c>
      <c r="E26" t="s">
        <v>8</v>
      </c>
    </row>
    <row r="27" spans="1:5" x14ac:dyDescent="0.55000000000000004">
      <c r="A27" t="s">
        <v>575</v>
      </c>
      <c r="B27" t="s">
        <v>574</v>
      </c>
      <c r="C27" t="s">
        <v>10</v>
      </c>
      <c r="D27">
        <v>387433</v>
      </c>
      <c r="E27" t="s">
        <v>8</v>
      </c>
    </row>
    <row r="28" spans="1:5" x14ac:dyDescent="0.55000000000000004">
      <c r="A28" t="s">
        <v>202</v>
      </c>
      <c r="B28" t="s">
        <v>201</v>
      </c>
      <c r="C28" t="s">
        <v>10</v>
      </c>
      <c r="D28">
        <v>4178842</v>
      </c>
      <c r="E28" t="s">
        <v>8</v>
      </c>
    </row>
    <row r="29" spans="1:5" x14ac:dyDescent="0.55000000000000004">
      <c r="A29" t="s">
        <v>209</v>
      </c>
      <c r="B29" t="s">
        <v>207</v>
      </c>
      <c r="C29" t="s">
        <v>208</v>
      </c>
      <c r="D29">
        <v>485689</v>
      </c>
      <c r="E29" t="s">
        <v>8</v>
      </c>
    </row>
    <row r="30" spans="1:5" x14ac:dyDescent="0.55000000000000004">
      <c r="A30" t="s">
        <v>853</v>
      </c>
      <c r="B30" t="s">
        <v>852</v>
      </c>
      <c r="C30" t="s">
        <v>10</v>
      </c>
      <c r="D30">
        <v>222778</v>
      </c>
      <c r="E30" t="s">
        <v>8</v>
      </c>
    </row>
    <row r="31" spans="1:5" x14ac:dyDescent="0.55000000000000004">
      <c r="A31" t="s">
        <v>583</v>
      </c>
      <c r="B31" t="s">
        <v>582</v>
      </c>
      <c r="C31" t="s">
        <v>10</v>
      </c>
      <c r="D31">
        <v>487299</v>
      </c>
      <c r="E31" t="s">
        <v>8</v>
      </c>
    </row>
    <row r="32" spans="1:5" x14ac:dyDescent="0.55000000000000004">
      <c r="A32" t="s">
        <v>222</v>
      </c>
      <c r="B32" t="s">
        <v>221</v>
      </c>
      <c r="C32" t="s">
        <v>10</v>
      </c>
      <c r="D32">
        <v>1171910</v>
      </c>
      <c r="E32" t="s">
        <v>8</v>
      </c>
    </row>
    <row r="33" spans="1:5" x14ac:dyDescent="0.55000000000000004">
      <c r="A33" t="s">
        <v>585</v>
      </c>
      <c r="B33" t="s">
        <v>584</v>
      </c>
      <c r="C33" t="s">
        <v>10</v>
      </c>
      <c r="D33">
        <v>283813</v>
      </c>
      <c r="E33" t="s">
        <v>8</v>
      </c>
    </row>
    <row r="34" spans="1:5" x14ac:dyDescent="0.55000000000000004">
      <c r="A34" t="s">
        <v>224</v>
      </c>
      <c r="B34" t="s">
        <v>223</v>
      </c>
      <c r="C34" t="s">
        <v>10</v>
      </c>
      <c r="D34">
        <v>2053240</v>
      </c>
      <c r="E34" t="s">
        <v>8</v>
      </c>
    </row>
    <row r="35" spans="1:5" x14ac:dyDescent="0.55000000000000004">
      <c r="A35" t="s">
        <v>226</v>
      </c>
      <c r="B35" t="s">
        <v>225</v>
      </c>
      <c r="C35" t="s">
        <v>10</v>
      </c>
      <c r="D35">
        <v>4961193</v>
      </c>
      <c r="E35" t="s">
        <v>8</v>
      </c>
    </row>
    <row r="36" spans="1:5" x14ac:dyDescent="0.55000000000000004">
      <c r="A36" t="s">
        <v>228</v>
      </c>
      <c r="B36" t="s">
        <v>227</v>
      </c>
      <c r="C36" t="s">
        <v>10</v>
      </c>
      <c r="D36">
        <v>237672</v>
      </c>
      <c r="E36" t="s">
        <v>8</v>
      </c>
    </row>
    <row r="37" spans="1:5" x14ac:dyDescent="0.55000000000000004">
      <c r="A37" t="s">
        <v>233</v>
      </c>
      <c r="B37" t="s">
        <v>232</v>
      </c>
      <c r="C37" t="s">
        <v>10</v>
      </c>
      <c r="D37">
        <v>1022565</v>
      </c>
      <c r="E37" t="s">
        <v>8</v>
      </c>
    </row>
    <row r="38" spans="1:5" x14ac:dyDescent="0.55000000000000004">
      <c r="A38" t="s">
        <v>855</v>
      </c>
      <c r="B38" t="s">
        <v>854</v>
      </c>
      <c r="C38" t="s">
        <v>10</v>
      </c>
      <c r="D38">
        <v>251703</v>
      </c>
      <c r="E38" t="s">
        <v>8</v>
      </c>
    </row>
    <row r="39" spans="1:5" x14ac:dyDescent="0.55000000000000004">
      <c r="A39" t="s">
        <v>239</v>
      </c>
      <c r="B39" t="s">
        <v>238</v>
      </c>
      <c r="C39" t="s">
        <v>10</v>
      </c>
      <c r="D39">
        <v>1268632</v>
      </c>
      <c r="E39" t="s">
        <v>8</v>
      </c>
    </row>
    <row r="40" spans="1:5" x14ac:dyDescent="0.55000000000000004">
      <c r="A40" t="s">
        <v>857</v>
      </c>
      <c r="B40" t="s">
        <v>856</v>
      </c>
      <c r="C40" t="s">
        <v>10</v>
      </c>
      <c r="D40">
        <v>975206</v>
      </c>
      <c r="E40" t="s">
        <v>8</v>
      </c>
    </row>
    <row r="41" spans="1:5" x14ac:dyDescent="0.55000000000000004">
      <c r="A41" t="s">
        <v>241</v>
      </c>
      <c r="B41" t="s">
        <v>240</v>
      </c>
      <c r="C41" t="s">
        <v>10</v>
      </c>
      <c r="D41">
        <v>146217</v>
      </c>
      <c r="E41" t="s">
        <v>8</v>
      </c>
    </row>
    <row r="42" spans="1:5" x14ac:dyDescent="0.55000000000000004">
      <c r="A42" t="s">
        <v>243</v>
      </c>
      <c r="B42" t="s">
        <v>242</v>
      </c>
      <c r="C42" t="s">
        <v>10</v>
      </c>
      <c r="D42">
        <v>3006938</v>
      </c>
      <c r="E42" t="s">
        <v>8</v>
      </c>
    </row>
    <row r="43" spans="1:5" x14ac:dyDescent="0.55000000000000004">
      <c r="A43" t="s">
        <v>253</v>
      </c>
      <c r="B43" t="s">
        <v>252</v>
      </c>
      <c r="C43" t="s">
        <v>10</v>
      </c>
      <c r="D43">
        <v>2661864</v>
      </c>
      <c r="E43" t="s">
        <v>8</v>
      </c>
    </row>
    <row r="44" spans="1:5" x14ac:dyDescent="0.55000000000000004">
      <c r="A44" t="s">
        <v>599</v>
      </c>
      <c r="B44" t="s">
        <v>598</v>
      </c>
      <c r="C44" t="s">
        <v>10</v>
      </c>
      <c r="D44">
        <v>708201</v>
      </c>
      <c r="E44" t="s">
        <v>8</v>
      </c>
    </row>
    <row r="45" spans="1:5" x14ac:dyDescent="0.55000000000000004">
      <c r="A45" t="s">
        <v>261</v>
      </c>
      <c r="B45" t="s">
        <v>260</v>
      </c>
      <c r="C45" t="s">
        <v>10</v>
      </c>
      <c r="D45">
        <v>4799905</v>
      </c>
      <c r="E45" t="s">
        <v>8</v>
      </c>
    </row>
    <row r="46" spans="1:5" x14ac:dyDescent="0.55000000000000004">
      <c r="A46" t="s">
        <v>603</v>
      </c>
      <c r="B46" t="s">
        <v>602</v>
      </c>
      <c r="C46" t="s">
        <v>10</v>
      </c>
      <c r="D46">
        <v>810634</v>
      </c>
      <c r="E46" t="s">
        <v>8</v>
      </c>
    </row>
    <row r="47" spans="1:5" x14ac:dyDescent="0.55000000000000004">
      <c r="A47" t="s">
        <v>265</v>
      </c>
      <c r="B47" t="s">
        <v>264</v>
      </c>
      <c r="C47" t="s">
        <v>10</v>
      </c>
      <c r="D47">
        <v>670887</v>
      </c>
      <c r="E47" t="s">
        <v>8</v>
      </c>
    </row>
    <row r="48" spans="1:5" x14ac:dyDescent="0.55000000000000004">
      <c r="A48" t="s">
        <v>757</v>
      </c>
      <c r="B48" t="s">
        <v>756</v>
      </c>
      <c r="C48" t="s">
        <v>10</v>
      </c>
      <c r="D48">
        <v>3549845</v>
      </c>
      <c r="E48" t="s">
        <v>8</v>
      </c>
    </row>
    <row r="49" spans="1:5" x14ac:dyDescent="0.55000000000000004">
      <c r="A49" t="s">
        <v>269</v>
      </c>
      <c r="B49" t="s">
        <v>268</v>
      </c>
      <c r="C49" t="s">
        <v>10</v>
      </c>
      <c r="D49">
        <v>1230223</v>
      </c>
      <c r="E49" t="s">
        <v>8</v>
      </c>
    </row>
    <row r="50" spans="1:5" x14ac:dyDescent="0.55000000000000004">
      <c r="A50" t="s">
        <v>623</v>
      </c>
      <c r="B50" t="s">
        <v>622</v>
      </c>
      <c r="C50" t="s">
        <v>10</v>
      </c>
      <c r="D50">
        <v>1606257</v>
      </c>
      <c r="E50" t="s">
        <v>8</v>
      </c>
    </row>
    <row r="51" spans="1:5" x14ac:dyDescent="0.55000000000000004">
      <c r="A51" t="s">
        <v>866</v>
      </c>
      <c r="B51" t="s">
        <v>865</v>
      </c>
      <c r="C51" t="s">
        <v>10</v>
      </c>
      <c r="D51">
        <v>615723</v>
      </c>
      <c r="E51" t="s">
        <v>8</v>
      </c>
    </row>
    <row r="52" spans="1:5" x14ac:dyDescent="0.55000000000000004">
      <c r="A52" t="s">
        <v>763</v>
      </c>
      <c r="B52" t="s">
        <v>762</v>
      </c>
      <c r="C52" t="s">
        <v>10</v>
      </c>
      <c r="D52">
        <v>545918</v>
      </c>
      <c r="E52" t="s">
        <v>8</v>
      </c>
    </row>
    <row r="53" spans="1:5" x14ac:dyDescent="0.55000000000000004">
      <c r="A53" t="s">
        <v>868</v>
      </c>
      <c r="B53" t="s">
        <v>867</v>
      </c>
      <c r="C53" t="s">
        <v>10</v>
      </c>
      <c r="D53">
        <v>294827</v>
      </c>
      <c r="E53" t="s">
        <v>8</v>
      </c>
    </row>
    <row r="54" spans="1:5" x14ac:dyDescent="0.55000000000000004">
      <c r="A54" t="s">
        <v>294</v>
      </c>
      <c r="B54" t="s">
        <v>293</v>
      </c>
      <c r="C54" t="s">
        <v>10</v>
      </c>
      <c r="D54">
        <v>1245731</v>
      </c>
      <c r="E54" t="s">
        <v>8</v>
      </c>
    </row>
    <row r="55" spans="1:5" x14ac:dyDescent="0.55000000000000004">
      <c r="A55" t="s">
        <v>299</v>
      </c>
      <c r="B55" t="s">
        <v>298</v>
      </c>
      <c r="C55" t="s">
        <v>41</v>
      </c>
      <c r="D55">
        <v>1939764</v>
      </c>
      <c r="E55" t="s">
        <v>8</v>
      </c>
    </row>
    <row r="56" spans="1:5" x14ac:dyDescent="0.55000000000000004">
      <c r="A56" t="s">
        <v>309</v>
      </c>
      <c r="B56" t="s">
        <v>308</v>
      </c>
      <c r="C56" t="s">
        <v>10</v>
      </c>
      <c r="D56">
        <v>4507163</v>
      </c>
      <c r="E56" t="s">
        <v>8</v>
      </c>
    </row>
    <row r="57" spans="1:5" x14ac:dyDescent="0.55000000000000004">
      <c r="A57" t="s">
        <v>635</v>
      </c>
      <c r="B57" t="s">
        <v>634</v>
      </c>
      <c r="C57" t="s">
        <v>10</v>
      </c>
      <c r="D57">
        <v>331141</v>
      </c>
      <c r="E57" t="s">
        <v>8</v>
      </c>
    </row>
    <row r="58" spans="1:5" x14ac:dyDescent="0.55000000000000004">
      <c r="A58" t="s">
        <v>315</v>
      </c>
      <c r="B58" t="s">
        <v>314</v>
      </c>
      <c r="C58" t="s">
        <v>10</v>
      </c>
      <c r="D58">
        <v>1612624</v>
      </c>
      <c r="E58" t="s">
        <v>8</v>
      </c>
    </row>
    <row r="59" spans="1:5" x14ac:dyDescent="0.55000000000000004">
      <c r="A59" t="s">
        <v>317</v>
      </c>
      <c r="B59" t="s">
        <v>316</v>
      </c>
      <c r="C59" t="s">
        <v>10</v>
      </c>
      <c r="D59">
        <v>3749690</v>
      </c>
      <c r="E59" t="s">
        <v>8</v>
      </c>
    </row>
    <row r="60" spans="1:5" x14ac:dyDescent="0.55000000000000004">
      <c r="A60" t="s">
        <v>881</v>
      </c>
      <c r="B60" t="s">
        <v>879</v>
      </c>
      <c r="C60" t="s">
        <v>880</v>
      </c>
      <c r="D60">
        <v>2341638</v>
      </c>
      <c r="E60" t="s">
        <v>8</v>
      </c>
    </row>
    <row r="61" spans="1:5" x14ac:dyDescent="0.55000000000000004">
      <c r="A61" t="s">
        <v>767</v>
      </c>
      <c r="B61" t="s">
        <v>766</v>
      </c>
      <c r="C61" t="s">
        <v>10</v>
      </c>
      <c r="D61">
        <v>1711519</v>
      </c>
      <c r="E61" t="s">
        <v>8</v>
      </c>
    </row>
    <row r="62" spans="1:5" x14ac:dyDescent="0.55000000000000004">
      <c r="A62" t="s">
        <v>883</v>
      </c>
      <c r="B62" t="s">
        <v>882</v>
      </c>
      <c r="C62" t="s">
        <v>10</v>
      </c>
      <c r="D62">
        <v>1145308</v>
      </c>
      <c r="E62" t="s">
        <v>8</v>
      </c>
    </row>
    <row r="63" spans="1:5" x14ac:dyDescent="0.55000000000000004">
      <c r="A63" t="s">
        <v>114</v>
      </c>
      <c r="B63" t="s">
        <v>113</v>
      </c>
      <c r="C63" t="s">
        <v>41</v>
      </c>
      <c r="D63">
        <v>310688</v>
      </c>
      <c r="E63" t="s">
        <v>8</v>
      </c>
    </row>
    <row r="64" spans="1:5" x14ac:dyDescent="0.55000000000000004">
      <c r="A64" t="s">
        <v>337</v>
      </c>
      <c r="B64" t="s">
        <v>336</v>
      </c>
      <c r="C64" t="s">
        <v>10</v>
      </c>
      <c r="D64">
        <v>1930555</v>
      </c>
      <c r="E64" t="s">
        <v>8</v>
      </c>
    </row>
    <row r="65" spans="1:5" x14ac:dyDescent="0.55000000000000004">
      <c r="A65" t="s">
        <v>775</v>
      </c>
      <c r="B65" t="s">
        <v>774</v>
      </c>
      <c r="C65" t="s">
        <v>13</v>
      </c>
      <c r="D65">
        <v>481042</v>
      </c>
      <c r="E65" t="s">
        <v>8</v>
      </c>
    </row>
    <row r="66" spans="1:5" x14ac:dyDescent="0.55000000000000004">
      <c r="A66" t="s">
        <v>892</v>
      </c>
      <c r="B66" t="s">
        <v>891</v>
      </c>
      <c r="C66" t="s">
        <v>10</v>
      </c>
      <c r="D66">
        <v>200193</v>
      </c>
      <c r="E66" t="s">
        <v>8</v>
      </c>
    </row>
    <row r="67" spans="1:5" x14ac:dyDescent="0.55000000000000004">
      <c r="A67" t="s">
        <v>781</v>
      </c>
      <c r="B67" t="s">
        <v>780</v>
      </c>
      <c r="C67" t="s">
        <v>10</v>
      </c>
      <c r="D67">
        <v>139300</v>
      </c>
      <c r="E67" t="s">
        <v>8</v>
      </c>
    </row>
    <row r="68" spans="1:5" x14ac:dyDescent="0.55000000000000004">
      <c r="A68" t="s">
        <v>350</v>
      </c>
      <c r="B68" t="s">
        <v>349</v>
      </c>
      <c r="C68" t="s">
        <v>10</v>
      </c>
      <c r="D68">
        <v>1094647</v>
      </c>
      <c r="E68" t="s">
        <v>8</v>
      </c>
    </row>
    <row r="69" spans="1:5" x14ac:dyDescent="0.55000000000000004">
      <c r="A69" t="s">
        <v>896</v>
      </c>
      <c r="B69" t="s">
        <v>895</v>
      </c>
      <c r="C69" t="s">
        <v>10</v>
      </c>
      <c r="D69">
        <v>215588</v>
      </c>
      <c r="E69" t="s">
        <v>8</v>
      </c>
    </row>
    <row r="70" spans="1:5" x14ac:dyDescent="0.55000000000000004">
      <c r="A70" t="s">
        <v>358</v>
      </c>
      <c r="B70" t="s">
        <v>357</v>
      </c>
      <c r="C70" t="s">
        <v>10</v>
      </c>
      <c r="D70">
        <v>745429</v>
      </c>
      <c r="E70" t="s">
        <v>8</v>
      </c>
    </row>
    <row r="71" spans="1:5" x14ac:dyDescent="0.55000000000000004">
      <c r="A71" t="s">
        <v>360</v>
      </c>
      <c r="B71" t="s">
        <v>359</v>
      </c>
      <c r="C71" t="s">
        <v>10</v>
      </c>
      <c r="D71">
        <v>282313</v>
      </c>
      <c r="E71" t="s">
        <v>8</v>
      </c>
    </row>
    <row r="72" spans="1:5" x14ac:dyDescent="0.55000000000000004">
      <c r="A72" t="s">
        <v>372</v>
      </c>
      <c r="B72" t="s">
        <v>371</v>
      </c>
      <c r="C72" t="s">
        <v>10</v>
      </c>
      <c r="D72">
        <v>1064024</v>
      </c>
      <c r="E72" t="s">
        <v>8</v>
      </c>
    </row>
    <row r="73" spans="1:5" x14ac:dyDescent="0.55000000000000004">
      <c r="A73" t="s">
        <v>900</v>
      </c>
      <c r="B73" t="s">
        <v>899</v>
      </c>
      <c r="C73" t="s">
        <v>10</v>
      </c>
      <c r="D73">
        <v>218560</v>
      </c>
      <c r="E73" t="s">
        <v>8</v>
      </c>
    </row>
    <row r="74" spans="1:5" x14ac:dyDescent="0.55000000000000004">
      <c r="A74" t="s">
        <v>902</v>
      </c>
      <c r="B74" t="s">
        <v>901</v>
      </c>
      <c r="C74" t="s">
        <v>10</v>
      </c>
      <c r="D74">
        <v>4592546</v>
      </c>
      <c r="E74" t="s">
        <v>8</v>
      </c>
    </row>
    <row r="75" spans="1:5" x14ac:dyDescent="0.55000000000000004">
      <c r="A75" t="s">
        <v>785</v>
      </c>
      <c r="B75" t="s">
        <v>784</v>
      </c>
      <c r="C75" t="s">
        <v>10</v>
      </c>
      <c r="D75">
        <v>870879</v>
      </c>
      <c r="E75" t="s">
        <v>8</v>
      </c>
    </row>
    <row r="76" spans="1:5" x14ac:dyDescent="0.55000000000000004">
      <c r="A76" t="s">
        <v>400</v>
      </c>
      <c r="B76" t="s">
        <v>399</v>
      </c>
      <c r="C76" t="s">
        <v>10</v>
      </c>
      <c r="D76">
        <v>2697136</v>
      </c>
      <c r="E76" t="s">
        <v>8</v>
      </c>
    </row>
    <row r="77" spans="1:5" x14ac:dyDescent="0.55000000000000004">
      <c r="A77" t="s">
        <v>402</v>
      </c>
      <c r="B77" t="s">
        <v>401</v>
      </c>
      <c r="C77" t="s">
        <v>10</v>
      </c>
      <c r="D77">
        <v>1657718</v>
      </c>
      <c r="E77" t="s">
        <v>8</v>
      </c>
    </row>
    <row r="78" spans="1:5" x14ac:dyDescent="0.55000000000000004">
      <c r="A78" t="s">
        <v>406</v>
      </c>
      <c r="B78" t="s">
        <v>405</v>
      </c>
      <c r="C78" t="s">
        <v>10</v>
      </c>
      <c r="D78">
        <v>1087326</v>
      </c>
      <c r="E78" t="s">
        <v>8</v>
      </c>
    </row>
    <row r="79" spans="1:5" x14ac:dyDescent="0.55000000000000004">
      <c r="A79" t="s">
        <v>408</v>
      </c>
      <c r="B79" t="s">
        <v>407</v>
      </c>
      <c r="C79" t="s">
        <v>10</v>
      </c>
      <c r="D79">
        <v>1381886</v>
      </c>
      <c r="E79" t="s">
        <v>8</v>
      </c>
    </row>
    <row r="80" spans="1:5" x14ac:dyDescent="0.55000000000000004">
      <c r="A80" t="s">
        <v>413</v>
      </c>
      <c r="B80" t="s">
        <v>412</v>
      </c>
      <c r="C80" t="s">
        <v>10</v>
      </c>
      <c r="D80">
        <v>1847025</v>
      </c>
      <c r="E80" t="s">
        <v>8</v>
      </c>
    </row>
    <row r="81" spans="1:5" x14ac:dyDescent="0.55000000000000004">
      <c r="A81" t="s">
        <v>705</v>
      </c>
      <c r="B81" t="s">
        <v>704</v>
      </c>
      <c r="C81" t="s">
        <v>10</v>
      </c>
      <c r="D81">
        <v>992543</v>
      </c>
      <c r="E81" t="s">
        <v>8</v>
      </c>
    </row>
    <row r="82" spans="1:5" x14ac:dyDescent="0.55000000000000004">
      <c r="A82" t="s">
        <v>423</v>
      </c>
      <c r="B82" t="s">
        <v>422</v>
      </c>
      <c r="C82" t="s">
        <v>10</v>
      </c>
      <c r="D82">
        <v>419452</v>
      </c>
      <c r="E82" t="s">
        <v>8</v>
      </c>
    </row>
    <row r="83" spans="1:5" x14ac:dyDescent="0.55000000000000004">
      <c r="A83" t="s">
        <v>918</v>
      </c>
      <c r="B83" t="s">
        <v>917</v>
      </c>
      <c r="C83" t="s">
        <v>10</v>
      </c>
      <c r="D83">
        <v>665551</v>
      </c>
      <c r="E83" t="s">
        <v>8</v>
      </c>
    </row>
    <row r="84" spans="1:5" x14ac:dyDescent="0.55000000000000004">
      <c r="A84" t="s">
        <v>439</v>
      </c>
      <c r="B84" t="s">
        <v>438</v>
      </c>
      <c r="C84" t="s">
        <v>10</v>
      </c>
      <c r="D84">
        <v>1480238</v>
      </c>
      <c r="E84" t="s">
        <v>8</v>
      </c>
    </row>
    <row r="85" spans="1:5" x14ac:dyDescent="0.55000000000000004">
      <c r="A85" t="s">
        <v>445</v>
      </c>
      <c r="B85" t="s">
        <v>444</v>
      </c>
      <c r="C85" t="s">
        <v>10</v>
      </c>
      <c r="D85">
        <v>442244</v>
      </c>
      <c r="E85" t="s">
        <v>8</v>
      </c>
    </row>
    <row r="86" spans="1:5" x14ac:dyDescent="0.55000000000000004">
      <c r="A86" t="s">
        <v>447</v>
      </c>
      <c r="B86" t="s">
        <v>446</v>
      </c>
      <c r="C86" t="s">
        <v>41</v>
      </c>
      <c r="D86">
        <v>601739</v>
      </c>
      <c r="E86" t="s">
        <v>8</v>
      </c>
    </row>
    <row r="87" spans="1:5" x14ac:dyDescent="0.55000000000000004">
      <c r="A87" t="s">
        <v>453</v>
      </c>
      <c r="B87" t="s">
        <v>452</v>
      </c>
      <c r="C87" t="s">
        <v>10</v>
      </c>
      <c r="D87">
        <v>5830858</v>
      </c>
      <c r="E87" t="s">
        <v>8</v>
      </c>
    </row>
    <row r="88" spans="1:5" x14ac:dyDescent="0.55000000000000004">
      <c r="A88" t="s">
        <v>711</v>
      </c>
      <c r="B88" t="s">
        <v>710</v>
      </c>
      <c r="C88" t="s">
        <v>10</v>
      </c>
      <c r="D88">
        <v>205526</v>
      </c>
      <c r="E88" t="s">
        <v>8</v>
      </c>
    </row>
    <row r="89" spans="1:5" x14ac:dyDescent="0.55000000000000004">
      <c r="A89" t="s">
        <v>924</v>
      </c>
      <c r="B89" t="s">
        <v>923</v>
      </c>
      <c r="C89" t="s">
        <v>10</v>
      </c>
      <c r="D89">
        <v>450585</v>
      </c>
      <c r="E89" t="s">
        <v>8</v>
      </c>
    </row>
    <row r="90" spans="1:5" x14ac:dyDescent="0.55000000000000004">
      <c r="A90" t="s">
        <v>476</v>
      </c>
      <c r="B90" t="s">
        <v>475</v>
      </c>
      <c r="C90" t="s">
        <v>10</v>
      </c>
      <c r="D90">
        <v>884173</v>
      </c>
      <c r="E90" t="s">
        <v>8</v>
      </c>
    </row>
    <row r="91" spans="1:5" x14ac:dyDescent="0.55000000000000004">
      <c r="A91" t="s">
        <v>480</v>
      </c>
      <c r="B91" t="s">
        <v>479</v>
      </c>
      <c r="C91" t="s">
        <v>10</v>
      </c>
      <c r="D91">
        <v>1870194</v>
      </c>
      <c r="E91" t="s">
        <v>8</v>
      </c>
    </row>
    <row r="92" spans="1:5" x14ac:dyDescent="0.55000000000000004">
      <c r="A92" t="s">
        <v>496</v>
      </c>
      <c r="B92" t="s">
        <v>495</v>
      </c>
      <c r="C92" t="s">
        <v>10</v>
      </c>
      <c r="D92">
        <v>197846</v>
      </c>
      <c r="E92" t="s">
        <v>8</v>
      </c>
    </row>
    <row r="93" spans="1:5" x14ac:dyDescent="0.55000000000000004">
      <c r="A93" t="s">
        <v>904</v>
      </c>
      <c r="B93" t="s">
        <v>903</v>
      </c>
      <c r="C93" t="s">
        <v>10</v>
      </c>
      <c r="D93">
        <v>1397010</v>
      </c>
      <c r="E93" t="s">
        <v>8</v>
      </c>
    </row>
    <row r="94" spans="1:5" x14ac:dyDescent="0.55000000000000004">
      <c r="A94" t="s">
        <v>914</v>
      </c>
      <c r="B94" t="s">
        <v>913</v>
      </c>
      <c r="C94" t="s">
        <v>10</v>
      </c>
      <c r="D94">
        <v>323481</v>
      </c>
      <c r="E94" t="s">
        <v>8</v>
      </c>
    </row>
    <row r="95" spans="1:5" x14ac:dyDescent="0.55000000000000004">
      <c r="A95" t="s">
        <v>457</v>
      </c>
      <c r="B95" t="s">
        <v>456</v>
      </c>
      <c r="C95" t="s">
        <v>10</v>
      </c>
      <c r="D95">
        <v>3604552</v>
      </c>
      <c r="E95" t="s">
        <v>8</v>
      </c>
    </row>
    <row r="96" spans="1:5" x14ac:dyDescent="0.55000000000000004">
      <c r="A96" t="s">
        <v>504</v>
      </c>
      <c r="B96" t="s">
        <v>503</v>
      </c>
      <c r="C96" t="s">
        <v>41</v>
      </c>
      <c r="D96">
        <v>3909314</v>
      </c>
      <c r="E96" t="s">
        <v>8</v>
      </c>
    </row>
    <row r="97" spans="1:5" x14ac:dyDescent="0.55000000000000004">
      <c r="A97" t="s">
        <v>31</v>
      </c>
      <c r="B97" t="s">
        <v>30</v>
      </c>
      <c r="C97" t="s">
        <v>13</v>
      </c>
      <c r="D97">
        <v>680162</v>
      </c>
      <c r="E97" t="s">
        <v>8</v>
      </c>
    </row>
    <row r="98" spans="1:5" x14ac:dyDescent="0.55000000000000004">
      <c r="A98" t="s">
        <v>731</v>
      </c>
      <c r="B98" t="s">
        <v>730</v>
      </c>
      <c r="C98" t="s">
        <v>10</v>
      </c>
      <c r="D98">
        <v>966293</v>
      </c>
      <c r="E98" t="s">
        <v>8</v>
      </c>
    </row>
    <row r="99" spans="1:5" x14ac:dyDescent="0.55000000000000004">
      <c r="A99" t="s">
        <v>44</v>
      </c>
      <c r="B99" t="s">
        <v>43</v>
      </c>
      <c r="C99" t="s">
        <v>6</v>
      </c>
      <c r="D99">
        <v>3244392</v>
      </c>
      <c r="E99" t="s">
        <v>8</v>
      </c>
    </row>
    <row r="100" spans="1:5" x14ac:dyDescent="0.55000000000000004">
      <c r="A100" t="s">
        <v>818</v>
      </c>
      <c r="B100" t="s">
        <v>817</v>
      </c>
      <c r="C100" t="s">
        <v>6</v>
      </c>
      <c r="D100">
        <v>166783</v>
      </c>
      <c r="E100" t="s">
        <v>8</v>
      </c>
    </row>
    <row r="101" spans="1:5" x14ac:dyDescent="0.55000000000000004">
      <c r="A101" t="s">
        <v>50</v>
      </c>
      <c r="B101" t="s">
        <v>49</v>
      </c>
      <c r="C101" t="s">
        <v>10</v>
      </c>
      <c r="D101">
        <v>471744</v>
      </c>
      <c r="E101" t="s">
        <v>8</v>
      </c>
    </row>
    <row r="102" spans="1:5" x14ac:dyDescent="0.55000000000000004">
      <c r="A102" t="s">
        <v>820</v>
      </c>
      <c r="B102" t="s">
        <v>819</v>
      </c>
      <c r="C102" t="s">
        <v>13</v>
      </c>
      <c r="D102">
        <v>529718</v>
      </c>
      <c r="E102" t="s">
        <v>8</v>
      </c>
    </row>
    <row r="103" spans="1:5" x14ac:dyDescent="0.55000000000000004">
      <c r="A103" t="s">
        <v>517</v>
      </c>
      <c r="B103" t="s">
        <v>516</v>
      </c>
      <c r="C103" t="s">
        <v>10</v>
      </c>
      <c r="D103">
        <v>243438</v>
      </c>
      <c r="E103" t="s">
        <v>8</v>
      </c>
    </row>
    <row r="104" spans="1:5" x14ac:dyDescent="0.55000000000000004">
      <c r="A104" t="s">
        <v>64</v>
      </c>
      <c r="B104" t="s">
        <v>63</v>
      </c>
      <c r="C104" t="s">
        <v>10</v>
      </c>
      <c r="D104">
        <v>1295271</v>
      </c>
      <c r="E104" t="s">
        <v>8</v>
      </c>
    </row>
    <row r="105" spans="1:5" x14ac:dyDescent="0.55000000000000004">
      <c r="A105" t="s">
        <v>68</v>
      </c>
      <c r="B105" t="s">
        <v>67</v>
      </c>
      <c r="C105" t="s">
        <v>10</v>
      </c>
      <c r="D105">
        <v>281372</v>
      </c>
      <c r="E105" t="s">
        <v>8</v>
      </c>
    </row>
    <row r="106" spans="1:5" x14ac:dyDescent="0.55000000000000004">
      <c r="A106" t="s">
        <v>822</v>
      </c>
      <c r="B106" t="s">
        <v>821</v>
      </c>
      <c r="C106" t="s">
        <v>10</v>
      </c>
      <c r="D106">
        <v>559332</v>
      </c>
      <c r="E106" t="s">
        <v>8</v>
      </c>
    </row>
    <row r="107" spans="1:5" x14ac:dyDescent="0.55000000000000004">
      <c r="A107" t="s">
        <v>72</v>
      </c>
      <c r="B107" t="s">
        <v>71</v>
      </c>
      <c r="C107" t="s">
        <v>41</v>
      </c>
      <c r="D107">
        <v>4187949</v>
      </c>
      <c r="E107" t="s">
        <v>8</v>
      </c>
    </row>
    <row r="108" spans="1:5" x14ac:dyDescent="0.55000000000000004">
      <c r="A108" t="s">
        <v>83</v>
      </c>
      <c r="B108" t="s">
        <v>82</v>
      </c>
      <c r="C108" t="s">
        <v>6</v>
      </c>
      <c r="D108">
        <v>697118</v>
      </c>
      <c r="E108" t="s">
        <v>8</v>
      </c>
    </row>
    <row r="109" spans="1:5" x14ac:dyDescent="0.55000000000000004">
      <c r="A109" t="s">
        <v>150</v>
      </c>
      <c r="B109" t="s">
        <v>149</v>
      </c>
      <c r="C109" t="s">
        <v>10</v>
      </c>
      <c r="D109">
        <v>2835618</v>
      </c>
      <c r="E109" t="s">
        <v>8</v>
      </c>
    </row>
    <row r="110" spans="1:5" x14ac:dyDescent="0.55000000000000004">
      <c r="A110" t="s">
        <v>100</v>
      </c>
      <c r="B110" t="s">
        <v>99</v>
      </c>
      <c r="C110" t="s">
        <v>10</v>
      </c>
      <c r="D110">
        <v>1151273</v>
      </c>
      <c r="E110" t="s">
        <v>8</v>
      </c>
    </row>
    <row r="111" spans="1:5" x14ac:dyDescent="0.55000000000000004">
      <c r="A111" t="s">
        <v>102</v>
      </c>
      <c r="B111" t="s">
        <v>101</v>
      </c>
      <c r="C111" t="s">
        <v>41</v>
      </c>
      <c r="D111">
        <v>3394763</v>
      </c>
      <c r="E111" t="s">
        <v>8</v>
      </c>
    </row>
    <row r="112" spans="1:5" x14ac:dyDescent="0.55000000000000004">
      <c r="A112" t="s">
        <v>104</v>
      </c>
      <c r="B112" t="s">
        <v>103</v>
      </c>
      <c r="C112" t="s">
        <v>10</v>
      </c>
      <c r="D112">
        <v>957432</v>
      </c>
      <c r="E112" t="s">
        <v>8</v>
      </c>
    </row>
    <row r="113" spans="1:5" x14ac:dyDescent="0.55000000000000004">
      <c r="A113" t="s">
        <v>828</v>
      </c>
      <c r="B113" t="s">
        <v>827</v>
      </c>
      <c r="C113" t="s">
        <v>41</v>
      </c>
      <c r="D113">
        <v>1713537</v>
      </c>
      <c r="E113" t="s">
        <v>8</v>
      </c>
    </row>
    <row r="114" spans="1:5" x14ac:dyDescent="0.55000000000000004">
      <c r="A114" t="s">
        <v>116</v>
      </c>
      <c r="B114" t="s">
        <v>115</v>
      </c>
      <c r="C114" t="s">
        <v>10</v>
      </c>
      <c r="D114">
        <v>3755162</v>
      </c>
      <c r="E114" t="s">
        <v>8</v>
      </c>
    </row>
    <row r="115" spans="1:5" x14ac:dyDescent="0.55000000000000004">
      <c r="A115" t="s">
        <v>548</v>
      </c>
      <c r="B115" t="s">
        <v>547</v>
      </c>
      <c r="C115" t="s">
        <v>10</v>
      </c>
      <c r="D115">
        <v>1574740</v>
      </c>
      <c r="E115" t="s">
        <v>8</v>
      </c>
    </row>
    <row r="116" spans="1:5" x14ac:dyDescent="0.55000000000000004">
      <c r="A116" t="s">
        <v>831</v>
      </c>
      <c r="B116" t="s">
        <v>829</v>
      </c>
      <c r="C116" t="s">
        <v>830</v>
      </c>
      <c r="D116">
        <v>427030</v>
      </c>
      <c r="E116" t="s">
        <v>8</v>
      </c>
    </row>
    <row r="117" spans="1:5" x14ac:dyDescent="0.55000000000000004">
      <c r="A117" t="s">
        <v>833</v>
      </c>
      <c r="B117" t="s">
        <v>832</v>
      </c>
      <c r="C117" t="s">
        <v>141</v>
      </c>
      <c r="D117">
        <v>792665</v>
      </c>
      <c r="E117" t="s">
        <v>8</v>
      </c>
    </row>
    <row r="118" spans="1:5" x14ac:dyDescent="0.55000000000000004">
      <c r="A118" t="s">
        <v>835</v>
      </c>
      <c r="B118" t="s">
        <v>834</v>
      </c>
      <c r="C118" t="s">
        <v>10</v>
      </c>
      <c r="D118">
        <v>366972</v>
      </c>
      <c r="E118" t="s">
        <v>8</v>
      </c>
    </row>
    <row r="119" spans="1:5" x14ac:dyDescent="0.55000000000000004">
      <c r="A119" t="s">
        <v>837</v>
      </c>
      <c r="B119" t="s">
        <v>836</v>
      </c>
      <c r="C119" t="s">
        <v>6</v>
      </c>
      <c r="D119">
        <v>220059</v>
      </c>
      <c r="E119" t="s">
        <v>8</v>
      </c>
    </row>
    <row r="120" spans="1:5" x14ac:dyDescent="0.55000000000000004">
      <c r="A120" t="s">
        <v>132</v>
      </c>
      <c r="B120" t="s">
        <v>131</v>
      </c>
      <c r="C120" t="s">
        <v>10</v>
      </c>
      <c r="D120">
        <v>344554</v>
      </c>
      <c r="E120" t="s">
        <v>8</v>
      </c>
    </row>
    <row r="121" spans="1:5" x14ac:dyDescent="0.55000000000000004">
      <c r="A121" t="s">
        <v>148</v>
      </c>
      <c r="B121" t="s">
        <v>147</v>
      </c>
      <c r="C121" t="s">
        <v>10</v>
      </c>
      <c r="D121">
        <v>362690</v>
      </c>
      <c r="E121" t="s">
        <v>8</v>
      </c>
    </row>
    <row r="122" spans="1:5" x14ac:dyDescent="0.55000000000000004">
      <c r="A122" t="s">
        <v>158</v>
      </c>
      <c r="B122" t="s">
        <v>157</v>
      </c>
      <c r="C122" t="s">
        <v>10</v>
      </c>
      <c r="D122">
        <v>757905</v>
      </c>
      <c r="E122" t="s">
        <v>8</v>
      </c>
    </row>
    <row r="123" spans="1:5" x14ac:dyDescent="0.55000000000000004">
      <c r="A123" t="s">
        <v>162</v>
      </c>
      <c r="B123" t="s">
        <v>161</v>
      </c>
      <c r="C123" t="s">
        <v>13</v>
      </c>
      <c r="D123">
        <v>324794</v>
      </c>
      <c r="E123" t="s">
        <v>8</v>
      </c>
    </row>
    <row r="124" spans="1:5" x14ac:dyDescent="0.55000000000000004">
      <c r="A124" t="s">
        <v>164</v>
      </c>
      <c r="B124" t="s">
        <v>163</v>
      </c>
      <c r="C124" t="s">
        <v>6</v>
      </c>
      <c r="D124">
        <v>6630977</v>
      </c>
      <c r="E124" t="s">
        <v>8</v>
      </c>
    </row>
    <row r="125" spans="1:5" x14ac:dyDescent="0.55000000000000004">
      <c r="A125" t="s">
        <v>168</v>
      </c>
      <c r="B125" t="s">
        <v>167</v>
      </c>
      <c r="C125" t="s">
        <v>10</v>
      </c>
      <c r="D125">
        <v>1819368</v>
      </c>
      <c r="E125" t="s">
        <v>8</v>
      </c>
    </row>
    <row r="126" spans="1:5" x14ac:dyDescent="0.55000000000000004">
      <c r="A126" t="s">
        <v>170</v>
      </c>
      <c r="B126" t="s">
        <v>169</v>
      </c>
      <c r="C126" t="s">
        <v>10</v>
      </c>
      <c r="D126">
        <v>365636</v>
      </c>
      <c r="E126" t="s">
        <v>8</v>
      </c>
    </row>
    <row r="127" spans="1:5" x14ac:dyDescent="0.55000000000000004">
      <c r="A127" t="s">
        <v>172</v>
      </c>
      <c r="B127" t="s">
        <v>171</v>
      </c>
      <c r="C127" t="s">
        <v>141</v>
      </c>
      <c r="D127">
        <v>755870</v>
      </c>
      <c r="E127" t="s">
        <v>8</v>
      </c>
    </row>
    <row r="128" spans="1:5" x14ac:dyDescent="0.55000000000000004">
      <c r="A128" t="s">
        <v>843</v>
      </c>
      <c r="B128" t="s">
        <v>842</v>
      </c>
      <c r="C128" t="s">
        <v>13</v>
      </c>
      <c r="D128">
        <v>322014</v>
      </c>
      <c r="E128" t="s">
        <v>8</v>
      </c>
    </row>
    <row r="129" spans="1:5" x14ac:dyDescent="0.55000000000000004">
      <c r="A129" t="s">
        <v>184</v>
      </c>
      <c r="B129" t="s">
        <v>183</v>
      </c>
      <c r="C129" t="s">
        <v>10</v>
      </c>
      <c r="D129">
        <v>3770856</v>
      </c>
      <c r="E129" t="s">
        <v>8</v>
      </c>
    </row>
    <row r="130" spans="1:5" x14ac:dyDescent="0.55000000000000004">
      <c r="A130" t="s">
        <v>182</v>
      </c>
      <c r="B130" t="s">
        <v>181</v>
      </c>
      <c r="C130" t="s">
        <v>10</v>
      </c>
      <c r="D130">
        <v>439028</v>
      </c>
      <c r="E130" t="s">
        <v>8</v>
      </c>
    </row>
    <row r="131" spans="1:5" x14ac:dyDescent="0.55000000000000004">
      <c r="A131" t="s">
        <v>845</v>
      </c>
      <c r="B131" t="s">
        <v>844</v>
      </c>
      <c r="C131" t="s">
        <v>10</v>
      </c>
      <c r="D131">
        <v>1408800</v>
      </c>
      <c r="E131" t="s">
        <v>8</v>
      </c>
    </row>
    <row r="132" spans="1:5" x14ac:dyDescent="0.55000000000000004">
      <c r="A132" t="s">
        <v>188</v>
      </c>
      <c r="B132" t="s">
        <v>187</v>
      </c>
      <c r="C132" t="s">
        <v>6</v>
      </c>
      <c r="D132">
        <v>641865</v>
      </c>
      <c r="E132" t="s">
        <v>8</v>
      </c>
    </row>
    <row r="133" spans="1:5" x14ac:dyDescent="0.55000000000000004">
      <c r="A133" t="s">
        <v>872</v>
      </c>
      <c r="B133" t="s">
        <v>871</v>
      </c>
      <c r="C133" t="s">
        <v>13</v>
      </c>
      <c r="D133">
        <v>3535873</v>
      </c>
      <c r="E133" t="s">
        <v>8</v>
      </c>
    </row>
    <row r="134" spans="1:5" x14ac:dyDescent="0.55000000000000004">
      <c r="A134" t="s">
        <v>747</v>
      </c>
      <c r="B134" t="s">
        <v>746</v>
      </c>
      <c r="C134" t="s">
        <v>10</v>
      </c>
      <c r="D134">
        <v>2469243</v>
      </c>
      <c r="E134" t="s">
        <v>8</v>
      </c>
    </row>
    <row r="135" spans="1:5" x14ac:dyDescent="0.55000000000000004">
      <c r="A135" t="s">
        <v>194</v>
      </c>
      <c r="B135" t="s">
        <v>193</v>
      </c>
      <c r="C135" t="s">
        <v>10</v>
      </c>
      <c r="D135">
        <v>288553</v>
      </c>
      <c r="E135" t="s">
        <v>8</v>
      </c>
    </row>
    <row r="136" spans="1:5" x14ac:dyDescent="0.55000000000000004">
      <c r="A136" t="s">
        <v>211</v>
      </c>
      <c r="B136" t="s">
        <v>210</v>
      </c>
      <c r="C136" t="s">
        <v>10</v>
      </c>
      <c r="D136">
        <v>1921656</v>
      </c>
      <c r="E136" t="s">
        <v>8</v>
      </c>
    </row>
    <row r="137" spans="1:5" x14ac:dyDescent="0.55000000000000004">
      <c r="A137" t="s">
        <v>849</v>
      </c>
      <c r="B137" t="s">
        <v>848</v>
      </c>
      <c r="C137" t="s">
        <v>10</v>
      </c>
      <c r="D137">
        <v>77077</v>
      </c>
      <c r="E137" t="s">
        <v>8</v>
      </c>
    </row>
    <row r="138" spans="1:5" x14ac:dyDescent="0.55000000000000004">
      <c r="A138" t="s">
        <v>851</v>
      </c>
      <c r="B138" t="s">
        <v>850</v>
      </c>
      <c r="C138" t="s">
        <v>208</v>
      </c>
      <c r="D138">
        <v>664644</v>
      </c>
      <c r="E138" t="s">
        <v>8</v>
      </c>
    </row>
    <row r="139" spans="1:5" x14ac:dyDescent="0.55000000000000004">
      <c r="A139" t="s">
        <v>220</v>
      </c>
      <c r="B139" t="s">
        <v>219</v>
      </c>
      <c r="C139" t="s">
        <v>13</v>
      </c>
      <c r="D139">
        <v>463185</v>
      </c>
      <c r="E139" t="s">
        <v>8</v>
      </c>
    </row>
    <row r="140" spans="1:5" x14ac:dyDescent="0.55000000000000004">
      <c r="A140" t="s">
        <v>587</v>
      </c>
      <c r="B140" t="s">
        <v>586</v>
      </c>
      <c r="C140" t="s">
        <v>10</v>
      </c>
      <c r="D140">
        <v>235531</v>
      </c>
      <c r="E140" t="s">
        <v>8</v>
      </c>
    </row>
    <row r="141" spans="1:5" x14ac:dyDescent="0.55000000000000004">
      <c r="A141" t="s">
        <v>245</v>
      </c>
      <c r="B141" t="s">
        <v>244</v>
      </c>
      <c r="C141" t="s">
        <v>10</v>
      </c>
      <c r="D141">
        <v>3732313</v>
      </c>
      <c r="E141" t="s">
        <v>8</v>
      </c>
    </row>
    <row r="142" spans="1:5" x14ac:dyDescent="0.55000000000000004">
      <c r="A142" t="s">
        <v>255</v>
      </c>
      <c r="B142" t="s">
        <v>254</v>
      </c>
      <c r="C142" t="s">
        <v>10</v>
      </c>
      <c r="D142">
        <v>98373</v>
      </c>
      <c r="E142" t="s">
        <v>8</v>
      </c>
    </row>
    <row r="143" spans="1:5" x14ac:dyDescent="0.55000000000000004">
      <c r="A143" t="s">
        <v>609</v>
      </c>
      <c r="B143" t="s">
        <v>608</v>
      </c>
      <c r="C143" t="s">
        <v>10</v>
      </c>
      <c r="D143">
        <v>1018932</v>
      </c>
      <c r="E143" t="s">
        <v>8</v>
      </c>
    </row>
    <row r="144" spans="1:5" x14ac:dyDescent="0.55000000000000004">
      <c r="A144" t="s">
        <v>859</v>
      </c>
      <c r="B144" t="s">
        <v>858</v>
      </c>
      <c r="C144" t="s">
        <v>10</v>
      </c>
      <c r="D144">
        <v>468979</v>
      </c>
      <c r="E144" t="s">
        <v>8</v>
      </c>
    </row>
    <row r="145" spans="1:5" x14ac:dyDescent="0.55000000000000004">
      <c r="A145" t="s">
        <v>759</v>
      </c>
      <c r="B145" t="s">
        <v>758</v>
      </c>
      <c r="C145" t="s">
        <v>10</v>
      </c>
      <c r="D145">
        <v>3055190</v>
      </c>
      <c r="E145" t="s">
        <v>8</v>
      </c>
    </row>
    <row r="146" spans="1:5" x14ac:dyDescent="0.55000000000000004">
      <c r="A146" t="s">
        <v>615</v>
      </c>
      <c r="B146" t="s">
        <v>614</v>
      </c>
      <c r="C146" t="s">
        <v>10</v>
      </c>
      <c r="D146">
        <v>2843066</v>
      </c>
      <c r="E146" t="s">
        <v>8</v>
      </c>
    </row>
    <row r="147" spans="1:5" x14ac:dyDescent="0.55000000000000004">
      <c r="A147" t="s">
        <v>275</v>
      </c>
      <c r="B147" t="s">
        <v>274</v>
      </c>
      <c r="C147" t="s">
        <v>76</v>
      </c>
      <c r="D147">
        <v>136446</v>
      </c>
      <c r="E147" t="s">
        <v>8</v>
      </c>
    </row>
    <row r="148" spans="1:5" x14ac:dyDescent="0.55000000000000004">
      <c r="A148" t="s">
        <v>281</v>
      </c>
      <c r="B148" t="s">
        <v>280</v>
      </c>
      <c r="C148" t="s">
        <v>10</v>
      </c>
      <c r="D148">
        <v>860941</v>
      </c>
      <c r="E148" t="s">
        <v>8</v>
      </c>
    </row>
    <row r="149" spans="1:5" x14ac:dyDescent="0.55000000000000004">
      <c r="A149" t="s">
        <v>861</v>
      </c>
      <c r="B149" t="s">
        <v>860</v>
      </c>
      <c r="C149" t="s">
        <v>10</v>
      </c>
      <c r="D149">
        <v>855178</v>
      </c>
      <c r="E149" t="s">
        <v>8</v>
      </c>
    </row>
    <row r="150" spans="1:5" x14ac:dyDescent="0.55000000000000004">
      <c r="A150" t="s">
        <v>285</v>
      </c>
      <c r="B150" t="s">
        <v>284</v>
      </c>
      <c r="C150" t="s">
        <v>10</v>
      </c>
      <c r="D150">
        <v>2396648</v>
      </c>
      <c r="E150" t="s">
        <v>8</v>
      </c>
    </row>
    <row r="151" spans="1:5" x14ac:dyDescent="0.55000000000000004">
      <c r="A151" t="s">
        <v>287</v>
      </c>
      <c r="B151" t="s">
        <v>286</v>
      </c>
      <c r="C151" t="s">
        <v>10</v>
      </c>
      <c r="D151">
        <v>89193</v>
      </c>
      <c r="E151" t="s">
        <v>8</v>
      </c>
    </row>
    <row r="152" spans="1:5" x14ac:dyDescent="0.55000000000000004">
      <c r="A152" t="s">
        <v>870</v>
      </c>
      <c r="B152" t="s">
        <v>869</v>
      </c>
      <c r="C152" t="s">
        <v>13</v>
      </c>
      <c r="D152">
        <v>252285</v>
      </c>
      <c r="E152" t="s">
        <v>8</v>
      </c>
    </row>
    <row r="153" spans="1:5" x14ac:dyDescent="0.55000000000000004">
      <c r="A153" t="s">
        <v>303</v>
      </c>
      <c r="B153" t="s">
        <v>302</v>
      </c>
      <c r="C153" t="s">
        <v>10</v>
      </c>
      <c r="D153">
        <v>784936</v>
      </c>
      <c r="E153" t="s">
        <v>8</v>
      </c>
    </row>
    <row r="154" spans="1:5" x14ac:dyDescent="0.55000000000000004">
      <c r="A154" t="s">
        <v>305</v>
      </c>
      <c r="B154" t="s">
        <v>304</v>
      </c>
      <c r="C154" t="s">
        <v>10</v>
      </c>
      <c r="D154">
        <v>607911</v>
      </c>
      <c r="E154" t="s">
        <v>8</v>
      </c>
    </row>
    <row r="155" spans="1:5" x14ac:dyDescent="0.55000000000000004">
      <c r="A155" t="s">
        <v>307</v>
      </c>
      <c r="B155" t="s">
        <v>306</v>
      </c>
      <c r="C155" t="s">
        <v>10</v>
      </c>
      <c r="D155">
        <v>222592</v>
      </c>
      <c r="E155" t="s">
        <v>8</v>
      </c>
    </row>
    <row r="156" spans="1:5" x14ac:dyDescent="0.55000000000000004">
      <c r="A156" t="s">
        <v>874</v>
      </c>
      <c r="B156" t="s">
        <v>873</v>
      </c>
      <c r="C156" t="s">
        <v>13</v>
      </c>
      <c r="D156">
        <v>1106813</v>
      </c>
      <c r="E156" t="s">
        <v>8</v>
      </c>
    </row>
    <row r="157" spans="1:5" x14ac:dyDescent="0.55000000000000004">
      <c r="A157" t="s">
        <v>329</v>
      </c>
      <c r="B157" t="s">
        <v>328</v>
      </c>
      <c r="C157" t="s">
        <v>10</v>
      </c>
      <c r="D157">
        <v>2327996</v>
      </c>
      <c r="E157" t="s">
        <v>8</v>
      </c>
    </row>
    <row r="158" spans="1:5" x14ac:dyDescent="0.55000000000000004">
      <c r="A158" t="s">
        <v>876</v>
      </c>
      <c r="B158" t="s">
        <v>875</v>
      </c>
      <c r="C158" t="s">
        <v>10</v>
      </c>
      <c r="D158">
        <v>400212</v>
      </c>
      <c r="E158" t="s">
        <v>8</v>
      </c>
    </row>
    <row r="159" spans="1:5" x14ac:dyDescent="0.55000000000000004">
      <c r="A159" t="s">
        <v>878</v>
      </c>
      <c r="B159" t="s">
        <v>877</v>
      </c>
      <c r="C159" t="s">
        <v>141</v>
      </c>
      <c r="D159">
        <v>231220</v>
      </c>
      <c r="E159" t="s">
        <v>8</v>
      </c>
    </row>
    <row r="160" spans="1:5" x14ac:dyDescent="0.55000000000000004">
      <c r="A160" t="s">
        <v>325</v>
      </c>
      <c r="B160" t="s">
        <v>324</v>
      </c>
      <c r="C160" t="s">
        <v>13</v>
      </c>
      <c r="D160">
        <v>375448</v>
      </c>
      <c r="E160" t="s">
        <v>8</v>
      </c>
    </row>
    <row r="161" spans="1:5" x14ac:dyDescent="0.55000000000000004">
      <c r="A161" t="s">
        <v>773</v>
      </c>
      <c r="B161" t="s">
        <v>772</v>
      </c>
      <c r="C161" t="s">
        <v>10</v>
      </c>
      <c r="D161">
        <v>1344119</v>
      </c>
      <c r="E161" t="s">
        <v>8</v>
      </c>
    </row>
    <row r="162" spans="1:5" x14ac:dyDescent="0.55000000000000004">
      <c r="A162" t="s">
        <v>327</v>
      </c>
      <c r="B162" t="s">
        <v>326</v>
      </c>
      <c r="C162" t="s">
        <v>10</v>
      </c>
      <c r="D162">
        <v>2912972</v>
      </c>
      <c r="E162" t="s">
        <v>8</v>
      </c>
    </row>
    <row r="163" spans="1:5" x14ac:dyDescent="0.55000000000000004">
      <c r="A163" t="s">
        <v>333</v>
      </c>
      <c r="B163" t="s">
        <v>332</v>
      </c>
      <c r="C163" t="s">
        <v>13</v>
      </c>
      <c r="D163">
        <v>221675</v>
      </c>
      <c r="E163" t="s">
        <v>8</v>
      </c>
    </row>
    <row r="164" spans="1:5" x14ac:dyDescent="0.55000000000000004">
      <c r="A164" t="s">
        <v>653</v>
      </c>
      <c r="B164" t="s">
        <v>652</v>
      </c>
      <c r="C164" t="s">
        <v>10</v>
      </c>
      <c r="D164">
        <v>132544</v>
      </c>
      <c r="E164" t="s">
        <v>8</v>
      </c>
    </row>
    <row r="165" spans="1:5" x14ac:dyDescent="0.55000000000000004">
      <c r="A165" t="s">
        <v>890</v>
      </c>
      <c r="B165" t="s">
        <v>889</v>
      </c>
      <c r="C165" t="s">
        <v>10</v>
      </c>
      <c r="D165">
        <v>178483</v>
      </c>
      <c r="E165" t="s">
        <v>8</v>
      </c>
    </row>
    <row r="166" spans="1:5" x14ac:dyDescent="0.55000000000000004">
      <c r="A166" t="s">
        <v>898</v>
      </c>
      <c r="B166" t="s">
        <v>897</v>
      </c>
      <c r="C166" t="s">
        <v>10</v>
      </c>
      <c r="D166">
        <v>479731</v>
      </c>
      <c r="E166" t="s">
        <v>8</v>
      </c>
    </row>
    <row r="167" spans="1:5" x14ac:dyDescent="0.55000000000000004">
      <c r="A167" t="s">
        <v>779</v>
      </c>
      <c r="B167" t="s">
        <v>778</v>
      </c>
      <c r="C167" t="s">
        <v>10</v>
      </c>
      <c r="D167">
        <v>1558402</v>
      </c>
      <c r="E167" t="s">
        <v>8</v>
      </c>
    </row>
    <row r="168" spans="1:5" x14ac:dyDescent="0.55000000000000004">
      <c r="A168" t="s">
        <v>341</v>
      </c>
      <c r="B168" t="s">
        <v>340</v>
      </c>
      <c r="C168" t="s">
        <v>10</v>
      </c>
      <c r="D168">
        <v>326052</v>
      </c>
      <c r="E168" t="s">
        <v>8</v>
      </c>
    </row>
    <row r="169" spans="1:5" x14ac:dyDescent="0.55000000000000004">
      <c r="A169" t="s">
        <v>665</v>
      </c>
      <c r="B169" t="s">
        <v>664</v>
      </c>
      <c r="C169" t="s">
        <v>10</v>
      </c>
      <c r="D169">
        <v>1125396</v>
      </c>
      <c r="E169" t="s">
        <v>8</v>
      </c>
    </row>
    <row r="170" spans="1:5" x14ac:dyDescent="0.55000000000000004">
      <c r="A170" t="s">
        <v>667</v>
      </c>
      <c r="B170" t="s">
        <v>666</v>
      </c>
      <c r="C170" t="s">
        <v>10</v>
      </c>
      <c r="D170">
        <v>568358</v>
      </c>
      <c r="E170" t="s">
        <v>8</v>
      </c>
    </row>
    <row r="171" spans="1:5" x14ac:dyDescent="0.55000000000000004">
      <c r="A171" t="s">
        <v>348</v>
      </c>
      <c r="B171" t="s">
        <v>347</v>
      </c>
      <c r="C171" t="s">
        <v>10</v>
      </c>
      <c r="D171">
        <v>2349507</v>
      </c>
      <c r="E171" t="s">
        <v>8</v>
      </c>
    </row>
    <row r="172" spans="1:5" x14ac:dyDescent="0.55000000000000004">
      <c r="A172" t="s">
        <v>894</v>
      </c>
      <c r="B172" t="s">
        <v>893</v>
      </c>
      <c r="C172" t="s">
        <v>141</v>
      </c>
      <c r="D172">
        <v>116423</v>
      </c>
      <c r="E172" t="s">
        <v>8</v>
      </c>
    </row>
    <row r="173" spans="1:5" x14ac:dyDescent="0.55000000000000004">
      <c r="A173" t="s">
        <v>354</v>
      </c>
      <c r="B173" t="s">
        <v>353</v>
      </c>
      <c r="C173" t="s">
        <v>10</v>
      </c>
      <c r="D173">
        <v>292945</v>
      </c>
      <c r="E173" t="s">
        <v>8</v>
      </c>
    </row>
    <row r="174" spans="1:5" x14ac:dyDescent="0.55000000000000004">
      <c r="A174" t="s">
        <v>364</v>
      </c>
      <c r="B174" t="s">
        <v>363</v>
      </c>
      <c r="C174" t="s">
        <v>13</v>
      </c>
      <c r="D174">
        <v>4379722</v>
      </c>
      <c r="E174" t="s">
        <v>8</v>
      </c>
    </row>
    <row r="175" spans="1:5" x14ac:dyDescent="0.55000000000000004">
      <c r="A175" t="s">
        <v>382</v>
      </c>
      <c r="B175" t="s">
        <v>381</v>
      </c>
      <c r="C175" t="s">
        <v>10</v>
      </c>
      <c r="D175">
        <v>1605194</v>
      </c>
      <c r="E175" t="s">
        <v>8</v>
      </c>
    </row>
    <row r="176" spans="1:5" x14ac:dyDescent="0.55000000000000004">
      <c r="A176" t="s">
        <v>376</v>
      </c>
      <c r="B176" t="s">
        <v>375</v>
      </c>
      <c r="C176" t="s">
        <v>10</v>
      </c>
      <c r="D176">
        <v>126058</v>
      </c>
      <c r="E176" t="s">
        <v>8</v>
      </c>
    </row>
    <row r="177" spans="1:5" x14ac:dyDescent="0.55000000000000004">
      <c r="A177" t="s">
        <v>687</v>
      </c>
      <c r="B177" t="s">
        <v>686</v>
      </c>
      <c r="C177" t="s">
        <v>10</v>
      </c>
      <c r="D177">
        <v>316685</v>
      </c>
      <c r="E177" t="s">
        <v>8</v>
      </c>
    </row>
    <row r="178" spans="1:5" x14ac:dyDescent="0.55000000000000004">
      <c r="A178" t="s">
        <v>908</v>
      </c>
      <c r="B178" t="s">
        <v>907</v>
      </c>
      <c r="C178" t="s">
        <v>13</v>
      </c>
      <c r="D178">
        <v>583080</v>
      </c>
      <c r="E178" t="s">
        <v>8</v>
      </c>
    </row>
    <row r="179" spans="1:5" x14ac:dyDescent="0.55000000000000004">
      <c r="A179" t="s">
        <v>910</v>
      </c>
      <c r="B179" t="s">
        <v>909</v>
      </c>
      <c r="C179" t="s">
        <v>10</v>
      </c>
      <c r="D179">
        <v>278427</v>
      </c>
      <c r="E179" t="s">
        <v>8</v>
      </c>
    </row>
    <row r="180" spans="1:5" x14ac:dyDescent="0.55000000000000004">
      <c r="A180" t="s">
        <v>689</v>
      </c>
      <c r="B180" t="s">
        <v>688</v>
      </c>
      <c r="C180" t="s">
        <v>6</v>
      </c>
      <c r="D180">
        <v>215935</v>
      </c>
      <c r="E180" t="s">
        <v>8</v>
      </c>
    </row>
    <row r="181" spans="1:5" x14ac:dyDescent="0.55000000000000004">
      <c r="A181" t="s">
        <v>691</v>
      </c>
      <c r="B181" t="s">
        <v>690</v>
      </c>
      <c r="C181" t="s">
        <v>10</v>
      </c>
      <c r="D181">
        <v>753126</v>
      </c>
      <c r="E181" t="s">
        <v>8</v>
      </c>
    </row>
    <row r="182" spans="1:5" x14ac:dyDescent="0.55000000000000004">
      <c r="A182" t="s">
        <v>411</v>
      </c>
      <c r="B182" t="s">
        <v>409</v>
      </c>
      <c r="C182" t="s">
        <v>410</v>
      </c>
      <c r="D182">
        <v>2083435</v>
      </c>
      <c r="E182" t="s">
        <v>8</v>
      </c>
    </row>
    <row r="183" spans="1:5" x14ac:dyDescent="0.55000000000000004">
      <c r="A183" t="s">
        <v>912</v>
      </c>
      <c r="B183" t="s">
        <v>911</v>
      </c>
      <c r="C183" t="s">
        <v>10</v>
      </c>
      <c r="D183">
        <v>397071</v>
      </c>
      <c r="E183" t="s">
        <v>8</v>
      </c>
    </row>
    <row r="184" spans="1:5" x14ac:dyDescent="0.55000000000000004">
      <c r="A184" t="s">
        <v>797</v>
      </c>
      <c r="B184" t="s">
        <v>796</v>
      </c>
      <c r="C184" t="s">
        <v>10</v>
      </c>
      <c r="D184">
        <v>2779437</v>
      </c>
      <c r="E184" t="s">
        <v>8</v>
      </c>
    </row>
    <row r="185" spans="1:5" x14ac:dyDescent="0.55000000000000004">
      <c r="A185" t="s">
        <v>431</v>
      </c>
      <c r="B185" t="s">
        <v>430</v>
      </c>
      <c r="C185" t="s">
        <v>10</v>
      </c>
      <c r="D185">
        <v>882120</v>
      </c>
      <c r="E185" t="s">
        <v>8</v>
      </c>
    </row>
    <row r="186" spans="1:5" x14ac:dyDescent="0.55000000000000004">
      <c r="A186" t="s">
        <v>415</v>
      </c>
      <c r="B186" t="s">
        <v>414</v>
      </c>
      <c r="C186" t="s">
        <v>10</v>
      </c>
      <c r="D186">
        <v>764941</v>
      </c>
      <c r="E186" t="s">
        <v>8</v>
      </c>
    </row>
    <row r="187" spans="1:5" x14ac:dyDescent="0.55000000000000004">
      <c r="A187" t="s">
        <v>701</v>
      </c>
      <c r="B187" t="s">
        <v>700</v>
      </c>
      <c r="C187" t="s">
        <v>10</v>
      </c>
      <c r="D187">
        <v>227942</v>
      </c>
      <c r="E187" t="s">
        <v>8</v>
      </c>
    </row>
    <row r="188" spans="1:5" x14ac:dyDescent="0.55000000000000004">
      <c r="A188" t="s">
        <v>725</v>
      </c>
      <c r="B188" t="s">
        <v>724</v>
      </c>
      <c r="C188" t="s">
        <v>141</v>
      </c>
      <c r="D188">
        <v>2116249</v>
      </c>
      <c r="E188" t="s">
        <v>8</v>
      </c>
    </row>
    <row r="189" spans="1:5" x14ac:dyDescent="0.55000000000000004">
      <c r="A189" t="s">
        <v>417</v>
      </c>
      <c r="B189" t="s">
        <v>416</v>
      </c>
      <c r="C189" t="s">
        <v>10</v>
      </c>
      <c r="D189">
        <v>883305</v>
      </c>
      <c r="E189" t="s">
        <v>8</v>
      </c>
    </row>
    <row r="190" spans="1:5" x14ac:dyDescent="0.55000000000000004">
      <c r="A190" t="s">
        <v>799</v>
      </c>
      <c r="B190" t="s">
        <v>798</v>
      </c>
      <c r="C190" t="s">
        <v>6</v>
      </c>
      <c r="D190">
        <v>1359966</v>
      </c>
      <c r="E190" t="s">
        <v>8</v>
      </c>
    </row>
    <row r="191" spans="1:5" x14ac:dyDescent="0.55000000000000004">
      <c r="A191" t="s">
        <v>810</v>
      </c>
      <c r="B191" t="s">
        <v>809</v>
      </c>
      <c r="C191" t="s">
        <v>41</v>
      </c>
      <c r="D191">
        <v>53249</v>
      </c>
      <c r="E191" t="s">
        <v>8</v>
      </c>
    </row>
    <row r="192" spans="1:5" x14ac:dyDescent="0.55000000000000004">
      <c r="A192" t="s">
        <v>427</v>
      </c>
      <c r="B192" t="s">
        <v>426</v>
      </c>
      <c r="C192" t="s">
        <v>10</v>
      </c>
      <c r="D192">
        <v>320069</v>
      </c>
      <c r="E192" t="s">
        <v>8</v>
      </c>
    </row>
    <row r="193" spans="1:5" x14ac:dyDescent="0.55000000000000004">
      <c r="A193" t="s">
        <v>916</v>
      </c>
      <c r="B193" t="s">
        <v>915</v>
      </c>
      <c r="C193" t="s">
        <v>10</v>
      </c>
      <c r="D193">
        <v>217154</v>
      </c>
      <c r="E193" t="s">
        <v>8</v>
      </c>
    </row>
    <row r="194" spans="1:5" x14ac:dyDescent="0.55000000000000004">
      <c r="A194" t="s">
        <v>429</v>
      </c>
      <c r="B194" t="s">
        <v>428</v>
      </c>
      <c r="C194" t="s">
        <v>10</v>
      </c>
      <c r="D194">
        <v>335329</v>
      </c>
      <c r="E194" t="s">
        <v>8</v>
      </c>
    </row>
    <row r="195" spans="1:5" x14ac:dyDescent="0.55000000000000004">
      <c r="A195" t="s">
        <v>433</v>
      </c>
      <c r="B195" t="s">
        <v>432</v>
      </c>
      <c r="C195" t="s">
        <v>10</v>
      </c>
      <c r="D195">
        <v>917520</v>
      </c>
      <c r="E195" t="s">
        <v>8</v>
      </c>
    </row>
    <row r="196" spans="1:5" x14ac:dyDescent="0.55000000000000004">
      <c r="A196" t="s">
        <v>707</v>
      </c>
      <c r="B196" t="s">
        <v>706</v>
      </c>
      <c r="C196" t="s">
        <v>10</v>
      </c>
      <c r="D196">
        <v>3671607</v>
      </c>
      <c r="E196" t="s">
        <v>8</v>
      </c>
    </row>
    <row r="197" spans="1:5" x14ac:dyDescent="0.55000000000000004">
      <c r="A197" t="s">
        <v>437</v>
      </c>
      <c r="B197" t="s">
        <v>436</v>
      </c>
      <c r="C197" t="s">
        <v>10</v>
      </c>
      <c r="D197">
        <v>2254081</v>
      </c>
      <c r="E197" t="s">
        <v>8</v>
      </c>
    </row>
    <row r="198" spans="1:5" x14ac:dyDescent="0.55000000000000004">
      <c r="A198" t="s">
        <v>922</v>
      </c>
      <c r="B198" t="s">
        <v>921</v>
      </c>
      <c r="C198" t="s">
        <v>10</v>
      </c>
      <c r="D198">
        <v>78316</v>
      </c>
      <c r="E198" t="s">
        <v>8</v>
      </c>
    </row>
    <row r="199" spans="1:5" x14ac:dyDescent="0.55000000000000004">
      <c r="A199" t="s">
        <v>464</v>
      </c>
      <c r="B199" t="s">
        <v>463</v>
      </c>
      <c r="C199" t="s">
        <v>6</v>
      </c>
      <c r="D199">
        <v>4693189</v>
      </c>
      <c r="E199" t="s">
        <v>8</v>
      </c>
    </row>
    <row r="200" spans="1:5" x14ac:dyDescent="0.55000000000000004">
      <c r="A200" t="s">
        <v>344</v>
      </c>
      <c r="B200" t="s">
        <v>342</v>
      </c>
      <c r="C200" t="s">
        <v>343</v>
      </c>
      <c r="D200">
        <v>396146</v>
      </c>
      <c r="E200" t="s">
        <v>8</v>
      </c>
    </row>
    <row r="201" spans="1:5" x14ac:dyDescent="0.55000000000000004">
      <c r="A201" t="s">
        <v>466</v>
      </c>
      <c r="B201" t="s">
        <v>465</v>
      </c>
      <c r="C201" t="s">
        <v>76</v>
      </c>
      <c r="D201">
        <v>3107051</v>
      </c>
      <c r="E201" t="s">
        <v>8</v>
      </c>
    </row>
    <row r="202" spans="1:5" x14ac:dyDescent="0.55000000000000004">
      <c r="A202" t="s">
        <v>470</v>
      </c>
      <c r="B202" t="s">
        <v>469</v>
      </c>
      <c r="C202" t="s">
        <v>10</v>
      </c>
      <c r="D202">
        <v>4950282</v>
      </c>
      <c r="E202" t="s">
        <v>8</v>
      </c>
    </row>
    <row r="203" spans="1:5" x14ac:dyDescent="0.55000000000000004">
      <c r="A203" t="s">
        <v>472</v>
      </c>
      <c r="B203" t="s">
        <v>471</v>
      </c>
      <c r="C203" t="s">
        <v>10</v>
      </c>
      <c r="D203">
        <v>107287</v>
      </c>
      <c r="E203" t="s">
        <v>8</v>
      </c>
    </row>
    <row r="204" spans="1:5" x14ac:dyDescent="0.55000000000000004">
      <c r="A204" t="s">
        <v>478</v>
      </c>
      <c r="B204" t="s">
        <v>477</v>
      </c>
      <c r="C204" t="s">
        <v>6</v>
      </c>
      <c r="D204">
        <v>6495894</v>
      </c>
      <c r="E204" t="s">
        <v>8</v>
      </c>
    </row>
    <row r="205" spans="1:5" x14ac:dyDescent="0.55000000000000004">
      <c r="A205" t="s">
        <v>929</v>
      </c>
      <c r="B205" t="s">
        <v>928</v>
      </c>
      <c r="C205" t="s">
        <v>10</v>
      </c>
      <c r="D205">
        <v>640750</v>
      </c>
      <c r="E205" t="s">
        <v>8</v>
      </c>
    </row>
    <row r="206" spans="1:5" x14ac:dyDescent="0.55000000000000004">
      <c r="A206" t="s">
        <v>721</v>
      </c>
      <c r="B206" t="s">
        <v>720</v>
      </c>
      <c r="C206" t="s">
        <v>6</v>
      </c>
      <c r="D206">
        <v>1755065</v>
      </c>
      <c r="E206" t="s">
        <v>8</v>
      </c>
    </row>
    <row r="207" spans="1:5" x14ac:dyDescent="0.55000000000000004">
      <c r="A207" t="s">
        <v>484</v>
      </c>
      <c r="B207" t="s">
        <v>483</v>
      </c>
      <c r="C207" t="s">
        <v>13</v>
      </c>
      <c r="D207">
        <v>4978161</v>
      </c>
      <c r="E207" t="s">
        <v>8</v>
      </c>
    </row>
    <row r="208" spans="1:5" x14ac:dyDescent="0.55000000000000004">
      <c r="A208" t="s">
        <v>931</v>
      </c>
      <c r="B208" t="s">
        <v>930</v>
      </c>
      <c r="C208" t="s">
        <v>10</v>
      </c>
      <c r="D208">
        <v>769737</v>
      </c>
      <c r="E208" t="s">
        <v>8</v>
      </c>
    </row>
    <row r="209" spans="1:5" x14ac:dyDescent="0.55000000000000004">
      <c r="A209" t="s">
        <v>533</v>
      </c>
      <c r="B209" t="s">
        <v>532</v>
      </c>
      <c r="C209" t="s">
        <v>18</v>
      </c>
      <c r="D209">
        <v>353126</v>
      </c>
      <c r="E209" t="s">
        <v>8</v>
      </c>
    </row>
    <row r="210" spans="1:5" x14ac:dyDescent="0.55000000000000004">
      <c r="A210" t="s">
        <v>927</v>
      </c>
      <c r="B210" t="s">
        <v>925</v>
      </c>
      <c r="C210" t="s">
        <v>926</v>
      </c>
      <c r="D210">
        <v>746668</v>
      </c>
      <c r="E210" t="s">
        <v>8</v>
      </c>
    </row>
    <row r="211" spans="1:5" x14ac:dyDescent="0.55000000000000004">
      <c r="A211" t="s">
        <v>864</v>
      </c>
      <c r="B211" t="s">
        <v>862</v>
      </c>
      <c r="C211" t="s">
        <v>863</v>
      </c>
      <c r="D211">
        <v>338846</v>
      </c>
      <c r="E211" t="s">
        <v>8</v>
      </c>
    </row>
    <row r="212" spans="1:5" x14ac:dyDescent="0.55000000000000004">
      <c r="A212" t="s">
        <v>19</v>
      </c>
      <c r="B212" t="s">
        <v>17</v>
      </c>
      <c r="C212" t="s">
        <v>18</v>
      </c>
      <c r="D212">
        <v>416417</v>
      </c>
      <c r="E212" t="s">
        <v>8</v>
      </c>
    </row>
    <row r="213" spans="1:5" x14ac:dyDescent="0.55000000000000004">
      <c r="A213" t="s">
        <v>321</v>
      </c>
      <c r="B213" t="s">
        <v>320</v>
      </c>
      <c r="C213" t="s">
        <v>10</v>
      </c>
      <c r="D213">
        <v>4517959</v>
      </c>
      <c r="E213" t="s">
        <v>8</v>
      </c>
    </row>
    <row r="214" spans="1:5" x14ac:dyDescent="0.55000000000000004">
      <c r="A214" t="s">
        <v>885</v>
      </c>
      <c r="B214" t="s">
        <v>884</v>
      </c>
      <c r="C214" t="s">
        <v>18</v>
      </c>
      <c r="D214">
        <v>205654</v>
      </c>
      <c r="E214" t="s">
        <v>8</v>
      </c>
    </row>
    <row r="215" spans="1:5" x14ac:dyDescent="0.55000000000000004">
      <c r="A215" t="s">
        <v>888</v>
      </c>
      <c r="B215" t="s">
        <v>886</v>
      </c>
      <c r="C215" t="s">
        <v>887</v>
      </c>
      <c r="D215">
        <v>886458</v>
      </c>
      <c r="E215" t="s">
        <v>8</v>
      </c>
    </row>
    <row r="216" spans="1:5" x14ac:dyDescent="0.55000000000000004">
      <c r="A216" t="s">
        <v>920</v>
      </c>
      <c r="B216" t="s">
        <v>919</v>
      </c>
      <c r="C216" t="s">
        <v>13</v>
      </c>
      <c r="D216">
        <v>1466684</v>
      </c>
      <c r="E216" t="s">
        <v>8</v>
      </c>
    </row>
    <row r="217" spans="1:5" x14ac:dyDescent="0.55000000000000004">
      <c r="A217" t="s">
        <v>482</v>
      </c>
      <c r="B217" t="s">
        <v>481</v>
      </c>
      <c r="C217" t="s">
        <v>13</v>
      </c>
      <c r="D217">
        <v>4217966</v>
      </c>
      <c r="E217" t="s">
        <v>8</v>
      </c>
    </row>
    <row r="218" spans="1:5" x14ac:dyDescent="0.55000000000000004">
      <c r="A218" t="s">
        <v>795</v>
      </c>
      <c r="B218" t="s">
        <v>794</v>
      </c>
      <c r="C218" t="s">
        <v>18</v>
      </c>
      <c r="D218">
        <v>248352</v>
      </c>
      <c r="E218" t="s">
        <v>8</v>
      </c>
    </row>
    <row r="219" spans="1:5" x14ac:dyDescent="0.55000000000000004">
      <c r="A219" t="s">
        <v>906</v>
      </c>
      <c r="B219" t="s">
        <v>905</v>
      </c>
      <c r="C219" t="s">
        <v>18</v>
      </c>
      <c r="D219">
        <v>347234</v>
      </c>
      <c r="E219" t="s">
        <v>8</v>
      </c>
    </row>
    <row r="220" spans="1:5" x14ac:dyDescent="0.55000000000000004">
      <c r="A220" t="s">
        <v>699</v>
      </c>
      <c r="B220" t="s">
        <v>698</v>
      </c>
      <c r="C220" t="s">
        <v>13</v>
      </c>
      <c r="D220">
        <v>3354754</v>
      </c>
      <c r="E220" t="s">
        <v>8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01A46-CF5C-4164-A7A7-560520E3F00B}">
  <dimension ref="A1:E160"/>
  <sheetViews>
    <sheetView workbookViewId="0"/>
  </sheetViews>
  <sheetFormatPr defaultRowHeight="18" x14ac:dyDescent="0.55000000000000004"/>
  <cols>
    <col min="1" max="1" width="10.9140625" bestFit="1" customWidth="1"/>
    <col min="2" max="2" width="34.75" bestFit="1" customWidth="1"/>
    <col min="3" max="3" width="16.9140625" bestFit="1" customWidth="1"/>
    <col min="5" max="5" width="9.1640625" bestFit="1" customWidth="1"/>
    <col min="6" max="6" width="23.33203125" bestFit="1" customWidth="1"/>
  </cols>
  <sheetData>
    <row r="1" spans="1:5" x14ac:dyDescent="0.55000000000000004">
      <c r="A1" t="s">
        <v>2</v>
      </c>
      <c r="B1" t="s">
        <v>0</v>
      </c>
      <c r="C1" t="s">
        <v>1</v>
      </c>
      <c r="D1" t="s">
        <v>3</v>
      </c>
      <c r="E1" t="s">
        <v>4</v>
      </c>
    </row>
    <row r="2" spans="1:5" x14ac:dyDescent="0.55000000000000004">
      <c r="A2" t="s">
        <v>502</v>
      </c>
      <c r="B2" t="s">
        <v>501</v>
      </c>
      <c r="C2" t="s">
        <v>10</v>
      </c>
      <c r="D2">
        <v>1586059</v>
      </c>
      <c r="E2" t="s">
        <v>8</v>
      </c>
    </row>
    <row r="3" spans="1:5" x14ac:dyDescent="0.55000000000000004">
      <c r="A3" t="s">
        <v>16</v>
      </c>
      <c r="B3" t="s">
        <v>15</v>
      </c>
      <c r="C3" t="s">
        <v>10</v>
      </c>
      <c r="D3">
        <v>9118416</v>
      </c>
      <c r="E3" t="s">
        <v>8</v>
      </c>
    </row>
    <row r="4" spans="1:5" x14ac:dyDescent="0.55000000000000004">
      <c r="A4" t="s">
        <v>729</v>
      </c>
      <c r="B4" t="s">
        <v>728</v>
      </c>
      <c r="C4" t="s">
        <v>10</v>
      </c>
      <c r="D4">
        <v>1456475</v>
      </c>
      <c r="E4" t="s">
        <v>8</v>
      </c>
    </row>
    <row r="5" spans="1:5" x14ac:dyDescent="0.55000000000000004">
      <c r="A5" t="s">
        <v>29</v>
      </c>
      <c r="B5" t="s">
        <v>28</v>
      </c>
      <c r="C5" t="s">
        <v>13</v>
      </c>
      <c r="D5">
        <v>703729</v>
      </c>
      <c r="E5" t="s">
        <v>8</v>
      </c>
    </row>
    <row r="6" spans="1:5" x14ac:dyDescent="0.55000000000000004">
      <c r="A6" t="s">
        <v>42</v>
      </c>
      <c r="B6" t="s">
        <v>40</v>
      </c>
      <c r="C6" t="s">
        <v>41</v>
      </c>
      <c r="D6">
        <v>1110135</v>
      </c>
      <c r="E6" t="s">
        <v>8</v>
      </c>
    </row>
    <row r="7" spans="1:5" x14ac:dyDescent="0.55000000000000004">
      <c r="A7" t="s">
        <v>733</v>
      </c>
      <c r="B7" t="s">
        <v>732</v>
      </c>
      <c r="C7" t="s">
        <v>10</v>
      </c>
      <c r="D7">
        <v>5905791</v>
      </c>
      <c r="E7" t="s">
        <v>8</v>
      </c>
    </row>
    <row r="8" spans="1:5" x14ac:dyDescent="0.55000000000000004">
      <c r="A8" t="s">
        <v>531</v>
      </c>
      <c r="B8" t="s">
        <v>530</v>
      </c>
      <c r="C8" t="s">
        <v>10</v>
      </c>
      <c r="D8">
        <v>639713</v>
      </c>
      <c r="E8" t="s">
        <v>8</v>
      </c>
    </row>
    <row r="9" spans="1:5" x14ac:dyDescent="0.55000000000000004">
      <c r="A9" t="s">
        <v>537</v>
      </c>
      <c r="B9" t="s">
        <v>536</v>
      </c>
      <c r="C9" t="s">
        <v>10</v>
      </c>
      <c r="D9">
        <v>228851</v>
      </c>
      <c r="E9" t="s">
        <v>8</v>
      </c>
    </row>
    <row r="10" spans="1:5" x14ac:dyDescent="0.55000000000000004">
      <c r="A10" t="s">
        <v>739</v>
      </c>
      <c r="B10" t="s">
        <v>738</v>
      </c>
      <c r="C10" t="s">
        <v>10</v>
      </c>
      <c r="D10">
        <v>8634204</v>
      </c>
      <c r="E10" t="s">
        <v>8</v>
      </c>
    </row>
    <row r="11" spans="1:5" x14ac:dyDescent="0.55000000000000004">
      <c r="A11" t="s">
        <v>554</v>
      </c>
      <c r="B11" t="s">
        <v>553</v>
      </c>
      <c r="C11" t="s">
        <v>10</v>
      </c>
      <c r="D11">
        <v>9175694</v>
      </c>
      <c r="E11" t="s">
        <v>8</v>
      </c>
    </row>
    <row r="12" spans="1:5" x14ac:dyDescent="0.55000000000000004">
      <c r="A12" t="s">
        <v>98</v>
      </c>
      <c r="B12" t="s">
        <v>96</v>
      </c>
      <c r="C12" t="s">
        <v>76</v>
      </c>
      <c r="D12">
        <v>487998</v>
      </c>
      <c r="E12" t="s">
        <v>8</v>
      </c>
    </row>
    <row r="13" spans="1:5" x14ac:dyDescent="0.55000000000000004">
      <c r="A13" t="s">
        <v>735</v>
      </c>
      <c r="B13" t="s">
        <v>734</v>
      </c>
      <c r="C13" t="s">
        <v>13</v>
      </c>
      <c r="D13">
        <v>272888</v>
      </c>
      <c r="E13" t="s">
        <v>8</v>
      </c>
    </row>
    <row r="14" spans="1:5" x14ac:dyDescent="0.55000000000000004">
      <c r="A14" t="s">
        <v>122</v>
      </c>
      <c r="B14" t="s">
        <v>121</v>
      </c>
      <c r="C14" t="s">
        <v>10</v>
      </c>
      <c r="D14">
        <v>5567925</v>
      </c>
      <c r="E14" t="s">
        <v>8</v>
      </c>
    </row>
    <row r="15" spans="1:5" x14ac:dyDescent="0.55000000000000004">
      <c r="A15" t="s">
        <v>743</v>
      </c>
      <c r="B15" t="s">
        <v>742</v>
      </c>
      <c r="C15" t="s">
        <v>10</v>
      </c>
      <c r="D15">
        <v>276103</v>
      </c>
      <c r="E15" t="s">
        <v>8</v>
      </c>
    </row>
    <row r="16" spans="1:5" x14ac:dyDescent="0.55000000000000004">
      <c r="A16" t="s">
        <v>745</v>
      </c>
      <c r="B16" t="s">
        <v>744</v>
      </c>
      <c r="C16" t="s">
        <v>10</v>
      </c>
      <c r="D16">
        <v>1674327</v>
      </c>
      <c r="E16" t="s">
        <v>8</v>
      </c>
    </row>
    <row r="17" spans="1:5" x14ac:dyDescent="0.55000000000000004">
      <c r="A17" t="s">
        <v>494</v>
      </c>
      <c r="B17" t="s">
        <v>493</v>
      </c>
      <c r="C17" t="s">
        <v>10</v>
      </c>
      <c r="D17">
        <v>359419</v>
      </c>
      <c r="E17" t="s">
        <v>8</v>
      </c>
    </row>
    <row r="18" spans="1:5" x14ac:dyDescent="0.55000000000000004">
      <c r="A18" t="s">
        <v>190</v>
      </c>
      <c r="B18" t="s">
        <v>189</v>
      </c>
      <c r="C18" t="s">
        <v>10</v>
      </c>
      <c r="D18">
        <v>2742935</v>
      </c>
      <c r="E18" t="s">
        <v>8</v>
      </c>
    </row>
    <row r="19" spans="1:5" x14ac:dyDescent="0.55000000000000004">
      <c r="A19" t="s">
        <v>749</v>
      </c>
      <c r="B19" t="s">
        <v>748</v>
      </c>
      <c r="C19" t="s">
        <v>10</v>
      </c>
      <c r="D19">
        <v>8230492</v>
      </c>
      <c r="E19" t="s">
        <v>8</v>
      </c>
    </row>
    <row r="20" spans="1:5" x14ac:dyDescent="0.55000000000000004">
      <c r="A20" t="s">
        <v>196</v>
      </c>
      <c r="B20" t="s">
        <v>195</v>
      </c>
      <c r="C20" t="s">
        <v>10</v>
      </c>
      <c r="D20">
        <v>310311</v>
      </c>
      <c r="E20" t="s">
        <v>8</v>
      </c>
    </row>
    <row r="21" spans="1:5" x14ac:dyDescent="0.55000000000000004">
      <c r="A21" t="s">
        <v>575</v>
      </c>
      <c r="B21" t="s">
        <v>574</v>
      </c>
      <c r="C21" t="s">
        <v>10</v>
      </c>
      <c r="D21">
        <v>1127034</v>
      </c>
      <c r="E21" t="s">
        <v>8</v>
      </c>
    </row>
    <row r="22" spans="1:5" x14ac:dyDescent="0.55000000000000004">
      <c r="A22" t="s">
        <v>751</v>
      </c>
      <c r="B22" t="s">
        <v>750</v>
      </c>
      <c r="C22" t="s">
        <v>10</v>
      </c>
      <c r="D22">
        <v>1914383</v>
      </c>
      <c r="E22" t="s">
        <v>8</v>
      </c>
    </row>
    <row r="23" spans="1:5" x14ac:dyDescent="0.55000000000000004">
      <c r="A23" t="s">
        <v>583</v>
      </c>
      <c r="B23" t="s">
        <v>582</v>
      </c>
      <c r="C23" t="s">
        <v>10</v>
      </c>
      <c r="D23">
        <v>2512956</v>
      </c>
      <c r="E23" t="s">
        <v>8</v>
      </c>
    </row>
    <row r="24" spans="1:5" x14ac:dyDescent="0.55000000000000004">
      <c r="A24" t="s">
        <v>222</v>
      </c>
      <c r="B24" t="s">
        <v>221</v>
      </c>
      <c r="C24" t="s">
        <v>10</v>
      </c>
      <c r="D24">
        <v>5353570</v>
      </c>
      <c r="E24" t="s">
        <v>8</v>
      </c>
    </row>
    <row r="25" spans="1:5" x14ac:dyDescent="0.55000000000000004">
      <c r="A25" t="s">
        <v>585</v>
      </c>
      <c r="B25" t="s">
        <v>584</v>
      </c>
      <c r="C25" t="s">
        <v>10</v>
      </c>
      <c r="D25">
        <v>435272</v>
      </c>
      <c r="E25" t="s">
        <v>8</v>
      </c>
    </row>
    <row r="26" spans="1:5" x14ac:dyDescent="0.55000000000000004">
      <c r="A26" t="s">
        <v>226</v>
      </c>
      <c r="B26" t="s">
        <v>225</v>
      </c>
      <c r="C26" t="s">
        <v>10</v>
      </c>
      <c r="D26">
        <v>6696921</v>
      </c>
      <c r="E26" t="s">
        <v>8</v>
      </c>
    </row>
    <row r="27" spans="1:5" x14ac:dyDescent="0.55000000000000004">
      <c r="A27" t="s">
        <v>233</v>
      </c>
      <c r="B27" t="s">
        <v>232</v>
      </c>
      <c r="C27" t="s">
        <v>10</v>
      </c>
      <c r="D27">
        <v>272555</v>
      </c>
      <c r="E27" t="s">
        <v>8</v>
      </c>
    </row>
    <row r="28" spans="1:5" x14ac:dyDescent="0.55000000000000004">
      <c r="A28" t="s">
        <v>753</v>
      </c>
      <c r="B28" t="s">
        <v>752</v>
      </c>
      <c r="C28" t="s">
        <v>10</v>
      </c>
      <c r="D28">
        <v>408750</v>
      </c>
      <c r="E28" t="s">
        <v>8</v>
      </c>
    </row>
    <row r="29" spans="1:5" x14ac:dyDescent="0.55000000000000004">
      <c r="A29" t="s">
        <v>599</v>
      </c>
      <c r="B29" t="s">
        <v>598</v>
      </c>
      <c r="C29" t="s">
        <v>10</v>
      </c>
      <c r="D29">
        <v>1497406</v>
      </c>
      <c r="E29" t="s">
        <v>8</v>
      </c>
    </row>
    <row r="30" spans="1:5" x14ac:dyDescent="0.55000000000000004">
      <c r="A30" t="s">
        <v>603</v>
      </c>
      <c r="B30" t="s">
        <v>602</v>
      </c>
      <c r="C30" t="s">
        <v>10</v>
      </c>
      <c r="D30">
        <v>2147897</v>
      </c>
      <c r="E30" t="s">
        <v>8</v>
      </c>
    </row>
    <row r="31" spans="1:5" x14ac:dyDescent="0.55000000000000004">
      <c r="A31" t="s">
        <v>757</v>
      </c>
      <c r="B31" t="s">
        <v>756</v>
      </c>
      <c r="C31" t="s">
        <v>10</v>
      </c>
      <c r="D31">
        <v>4421401</v>
      </c>
      <c r="E31" t="s">
        <v>8</v>
      </c>
    </row>
    <row r="32" spans="1:5" x14ac:dyDescent="0.55000000000000004">
      <c r="A32" t="s">
        <v>269</v>
      </c>
      <c r="B32" t="s">
        <v>268</v>
      </c>
      <c r="C32" t="s">
        <v>10</v>
      </c>
      <c r="D32">
        <v>1735629</v>
      </c>
      <c r="E32" t="s">
        <v>8</v>
      </c>
    </row>
    <row r="33" spans="1:5" x14ac:dyDescent="0.55000000000000004">
      <c r="A33" t="s">
        <v>761</v>
      </c>
      <c r="B33" t="s">
        <v>760</v>
      </c>
      <c r="C33" t="s">
        <v>10</v>
      </c>
      <c r="D33">
        <v>3652563</v>
      </c>
      <c r="E33" t="s">
        <v>8</v>
      </c>
    </row>
    <row r="34" spans="1:5" x14ac:dyDescent="0.55000000000000004">
      <c r="A34" t="s">
        <v>623</v>
      </c>
      <c r="B34" t="s">
        <v>622</v>
      </c>
      <c r="C34" t="s">
        <v>10</v>
      </c>
      <c r="D34">
        <v>9300641</v>
      </c>
      <c r="E34" t="s">
        <v>8</v>
      </c>
    </row>
    <row r="35" spans="1:5" x14ac:dyDescent="0.55000000000000004">
      <c r="A35" t="s">
        <v>763</v>
      </c>
      <c r="B35" t="s">
        <v>762</v>
      </c>
      <c r="C35" t="s">
        <v>10</v>
      </c>
      <c r="D35">
        <v>1403677</v>
      </c>
      <c r="E35" t="s">
        <v>8</v>
      </c>
    </row>
    <row r="36" spans="1:5" x14ac:dyDescent="0.55000000000000004">
      <c r="A36" t="s">
        <v>290</v>
      </c>
      <c r="B36" t="s">
        <v>288</v>
      </c>
      <c r="C36" t="s">
        <v>289</v>
      </c>
      <c r="D36">
        <v>1486495</v>
      </c>
      <c r="E36" t="s">
        <v>8</v>
      </c>
    </row>
    <row r="37" spans="1:5" x14ac:dyDescent="0.55000000000000004">
      <c r="A37" t="s">
        <v>294</v>
      </c>
      <c r="B37" t="s">
        <v>293</v>
      </c>
      <c r="C37" t="s">
        <v>10</v>
      </c>
      <c r="D37">
        <v>1017951</v>
      </c>
      <c r="E37" t="s">
        <v>8</v>
      </c>
    </row>
    <row r="38" spans="1:5" x14ac:dyDescent="0.55000000000000004">
      <c r="A38" t="s">
        <v>299</v>
      </c>
      <c r="B38" t="s">
        <v>298</v>
      </c>
      <c r="C38" t="s">
        <v>41</v>
      </c>
      <c r="D38">
        <v>4288231</v>
      </c>
      <c r="E38" t="s">
        <v>8</v>
      </c>
    </row>
    <row r="39" spans="1:5" x14ac:dyDescent="0.55000000000000004">
      <c r="A39" t="s">
        <v>635</v>
      </c>
      <c r="B39" t="s">
        <v>634</v>
      </c>
      <c r="C39" t="s">
        <v>10</v>
      </c>
      <c r="D39">
        <v>526529</v>
      </c>
      <c r="E39" t="s">
        <v>8</v>
      </c>
    </row>
    <row r="40" spans="1:5" x14ac:dyDescent="0.55000000000000004">
      <c r="A40" t="s">
        <v>767</v>
      </c>
      <c r="B40" t="s">
        <v>766</v>
      </c>
      <c r="C40" t="s">
        <v>10</v>
      </c>
      <c r="D40">
        <v>6108688</v>
      </c>
      <c r="E40" t="s">
        <v>8</v>
      </c>
    </row>
    <row r="41" spans="1:5" x14ac:dyDescent="0.55000000000000004">
      <c r="A41" t="s">
        <v>769</v>
      </c>
      <c r="B41" t="s">
        <v>768</v>
      </c>
      <c r="C41" t="s">
        <v>10</v>
      </c>
      <c r="D41">
        <v>3525060</v>
      </c>
      <c r="E41" t="s">
        <v>8</v>
      </c>
    </row>
    <row r="42" spans="1:5" x14ac:dyDescent="0.55000000000000004">
      <c r="A42" t="s">
        <v>114</v>
      </c>
      <c r="B42" t="s">
        <v>113</v>
      </c>
      <c r="C42" t="s">
        <v>41</v>
      </c>
      <c r="D42">
        <v>364506</v>
      </c>
      <c r="E42" t="s">
        <v>8</v>
      </c>
    </row>
    <row r="43" spans="1:5" x14ac:dyDescent="0.55000000000000004">
      <c r="A43" t="s">
        <v>775</v>
      </c>
      <c r="B43" t="s">
        <v>774</v>
      </c>
      <c r="C43" t="s">
        <v>13</v>
      </c>
      <c r="D43">
        <v>1905989</v>
      </c>
      <c r="E43" t="s">
        <v>8</v>
      </c>
    </row>
    <row r="44" spans="1:5" x14ac:dyDescent="0.55000000000000004">
      <c r="A44" t="s">
        <v>777</v>
      </c>
      <c r="B44" t="s">
        <v>776</v>
      </c>
      <c r="C44" t="s">
        <v>10</v>
      </c>
      <c r="D44">
        <v>1551260</v>
      </c>
      <c r="E44" t="s">
        <v>8</v>
      </c>
    </row>
    <row r="45" spans="1:5" x14ac:dyDescent="0.55000000000000004">
      <c r="A45" t="s">
        <v>781</v>
      </c>
      <c r="B45" t="s">
        <v>780</v>
      </c>
      <c r="C45" t="s">
        <v>10</v>
      </c>
      <c r="D45">
        <v>217052</v>
      </c>
      <c r="E45" t="s">
        <v>8</v>
      </c>
    </row>
    <row r="46" spans="1:5" x14ac:dyDescent="0.55000000000000004">
      <c r="A46" t="s">
        <v>358</v>
      </c>
      <c r="B46" t="s">
        <v>357</v>
      </c>
      <c r="C46" t="s">
        <v>10</v>
      </c>
      <c r="D46">
        <v>824310</v>
      </c>
      <c r="E46" t="s">
        <v>8</v>
      </c>
    </row>
    <row r="47" spans="1:5" x14ac:dyDescent="0.55000000000000004">
      <c r="A47" t="s">
        <v>360</v>
      </c>
      <c r="B47" t="s">
        <v>359</v>
      </c>
      <c r="C47" t="s">
        <v>10</v>
      </c>
      <c r="D47">
        <v>621952</v>
      </c>
      <c r="E47" t="s">
        <v>8</v>
      </c>
    </row>
    <row r="48" spans="1:5" x14ac:dyDescent="0.55000000000000004">
      <c r="A48" t="s">
        <v>372</v>
      </c>
      <c r="B48" t="s">
        <v>371</v>
      </c>
      <c r="C48" t="s">
        <v>10</v>
      </c>
      <c r="D48">
        <v>2897231</v>
      </c>
      <c r="E48" t="s">
        <v>8</v>
      </c>
    </row>
    <row r="49" spans="1:5" x14ac:dyDescent="0.55000000000000004">
      <c r="A49" t="s">
        <v>386</v>
      </c>
      <c r="B49" t="s">
        <v>385</v>
      </c>
      <c r="C49" t="s">
        <v>13</v>
      </c>
      <c r="D49">
        <v>9478681</v>
      </c>
      <c r="E49" t="s">
        <v>8</v>
      </c>
    </row>
    <row r="50" spans="1:5" x14ac:dyDescent="0.55000000000000004">
      <c r="A50" t="s">
        <v>785</v>
      </c>
      <c r="B50" t="s">
        <v>784</v>
      </c>
      <c r="C50" t="s">
        <v>10</v>
      </c>
      <c r="D50">
        <v>899115</v>
      </c>
      <c r="E50" t="s">
        <v>8</v>
      </c>
    </row>
    <row r="51" spans="1:5" x14ac:dyDescent="0.55000000000000004">
      <c r="A51" t="s">
        <v>398</v>
      </c>
      <c r="B51" t="s">
        <v>397</v>
      </c>
      <c r="C51" t="s">
        <v>10</v>
      </c>
      <c r="D51">
        <v>5305075</v>
      </c>
      <c r="E51" t="s">
        <v>8</v>
      </c>
    </row>
    <row r="52" spans="1:5" x14ac:dyDescent="0.55000000000000004">
      <c r="A52" t="s">
        <v>789</v>
      </c>
      <c r="B52" t="s">
        <v>788</v>
      </c>
      <c r="C52" t="s">
        <v>13</v>
      </c>
      <c r="D52">
        <v>295336</v>
      </c>
      <c r="E52" t="s">
        <v>8</v>
      </c>
    </row>
    <row r="53" spans="1:5" x14ac:dyDescent="0.55000000000000004">
      <c r="A53" t="s">
        <v>791</v>
      </c>
      <c r="B53" t="s">
        <v>790</v>
      </c>
      <c r="C53" t="s">
        <v>10</v>
      </c>
      <c r="D53">
        <v>877794</v>
      </c>
      <c r="E53" t="s">
        <v>8</v>
      </c>
    </row>
    <row r="54" spans="1:5" x14ac:dyDescent="0.55000000000000004">
      <c r="A54" t="s">
        <v>408</v>
      </c>
      <c r="B54" t="s">
        <v>407</v>
      </c>
      <c r="C54" t="s">
        <v>10</v>
      </c>
      <c r="D54">
        <v>2416606</v>
      </c>
      <c r="E54" t="s">
        <v>8</v>
      </c>
    </row>
    <row r="55" spans="1:5" x14ac:dyDescent="0.55000000000000004">
      <c r="A55" t="s">
        <v>705</v>
      </c>
      <c r="B55" t="s">
        <v>704</v>
      </c>
      <c r="C55" t="s">
        <v>10</v>
      </c>
      <c r="D55">
        <v>2982758</v>
      </c>
      <c r="E55" t="s">
        <v>8</v>
      </c>
    </row>
    <row r="56" spans="1:5" x14ac:dyDescent="0.55000000000000004">
      <c r="A56" t="s">
        <v>439</v>
      </c>
      <c r="B56" t="s">
        <v>438</v>
      </c>
      <c r="C56" t="s">
        <v>10</v>
      </c>
      <c r="D56">
        <v>1950534</v>
      </c>
      <c r="E56" t="s">
        <v>8</v>
      </c>
    </row>
    <row r="57" spans="1:5" x14ac:dyDescent="0.55000000000000004">
      <c r="A57" t="s">
        <v>441</v>
      </c>
      <c r="B57" t="s">
        <v>440</v>
      </c>
      <c r="C57" t="s">
        <v>13</v>
      </c>
      <c r="D57">
        <v>9024944</v>
      </c>
      <c r="E57" t="s">
        <v>8</v>
      </c>
    </row>
    <row r="58" spans="1:5" x14ac:dyDescent="0.55000000000000004">
      <c r="A58" t="s">
        <v>806</v>
      </c>
      <c r="B58" t="s">
        <v>805</v>
      </c>
      <c r="C58" t="s">
        <v>41</v>
      </c>
      <c r="D58">
        <v>428165</v>
      </c>
      <c r="E58" t="s">
        <v>8</v>
      </c>
    </row>
    <row r="59" spans="1:5" x14ac:dyDescent="0.55000000000000004">
      <c r="A59" t="s">
        <v>447</v>
      </c>
      <c r="B59" t="s">
        <v>446</v>
      </c>
      <c r="C59" t="s">
        <v>41</v>
      </c>
      <c r="D59">
        <v>563608</v>
      </c>
      <c r="E59" t="s">
        <v>8</v>
      </c>
    </row>
    <row r="60" spans="1:5" x14ac:dyDescent="0.55000000000000004">
      <c r="A60" t="s">
        <v>804</v>
      </c>
      <c r="B60" t="s">
        <v>803</v>
      </c>
      <c r="C60" t="s">
        <v>10</v>
      </c>
      <c r="D60">
        <v>1947336</v>
      </c>
      <c r="E60" t="s">
        <v>8</v>
      </c>
    </row>
    <row r="61" spans="1:5" x14ac:dyDescent="0.55000000000000004">
      <c r="A61" t="s">
        <v>709</v>
      </c>
      <c r="B61" t="s">
        <v>708</v>
      </c>
      <c r="C61" t="s">
        <v>10</v>
      </c>
      <c r="D61">
        <v>766322</v>
      </c>
      <c r="E61" t="s">
        <v>8</v>
      </c>
    </row>
    <row r="62" spans="1:5" x14ac:dyDescent="0.55000000000000004">
      <c r="A62" t="s">
        <v>711</v>
      </c>
      <c r="B62" t="s">
        <v>710</v>
      </c>
      <c r="C62" t="s">
        <v>10</v>
      </c>
      <c r="D62">
        <v>1852686</v>
      </c>
      <c r="E62" t="s">
        <v>8</v>
      </c>
    </row>
    <row r="63" spans="1:5" x14ac:dyDescent="0.55000000000000004">
      <c r="A63" t="s">
        <v>480</v>
      </c>
      <c r="B63" t="s">
        <v>479</v>
      </c>
      <c r="C63" t="s">
        <v>10</v>
      </c>
      <c r="D63">
        <v>8730990</v>
      </c>
      <c r="E63" t="s">
        <v>8</v>
      </c>
    </row>
    <row r="64" spans="1:5" x14ac:dyDescent="0.55000000000000004">
      <c r="A64" t="s">
        <v>723</v>
      </c>
      <c r="B64" t="s">
        <v>722</v>
      </c>
      <c r="C64" t="s">
        <v>10</v>
      </c>
      <c r="D64">
        <v>1264945</v>
      </c>
      <c r="E64" t="s">
        <v>8</v>
      </c>
    </row>
    <row r="65" spans="1:5" x14ac:dyDescent="0.55000000000000004">
      <c r="A65" t="s">
        <v>496</v>
      </c>
      <c r="B65" t="s">
        <v>495</v>
      </c>
      <c r="C65" t="s">
        <v>10</v>
      </c>
      <c r="D65">
        <v>1000929</v>
      </c>
      <c r="E65" t="s">
        <v>8</v>
      </c>
    </row>
    <row r="66" spans="1:5" x14ac:dyDescent="0.55000000000000004">
      <c r="A66" t="s">
        <v>741</v>
      </c>
      <c r="B66" t="s">
        <v>740</v>
      </c>
      <c r="C66" t="s">
        <v>208</v>
      </c>
      <c r="D66">
        <v>789976</v>
      </c>
      <c r="E66" t="s">
        <v>8</v>
      </c>
    </row>
    <row r="67" spans="1:5" x14ac:dyDescent="0.55000000000000004">
      <c r="A67" t="s">
        <v>521</v>
      </c>
      <c r="B67" t="s">
        <v>520</v>
      </c>
      <c r="C67" t="s">
        <v>10</v>
      </c>
      <c r="D67">
        <v>2316849</v>
      </c>
      <c r="E67" t="s">
        <v>8</v>
      </c>
    </row>
    <row r="68" spans="1:5" x14ac:dyDescent="0.55000000000000004">
      <c r="A68" t="s">
        <v>498</v>
      </c>
      <c r="B68" t="s">
        <v>497</v>
      </c>
      <c r="C68" t="s">
        <v>10</v>
      </c>
      <c r="D68">
        <v>7690187</v>
      </c>
      <c r="E68" t="s">
        <v>8</v>
      </c>
    </row>
    <row r="69" spans="1:5" x14ac:dyDescent="0.55000000000000004">
      <c r="A69" t="s">
        <v>457</v>
      </c>
      <c r="B69" t="s">
        <v>456</v>
      </c>
      <c r="C69" t="s">
        <v>10</v>
      </c>
      <c r="D69">
        <v>5637643</v>
      </c>
      <c r="E69" t="s">
        <v>8</v>
      </c>
    </row>
    <row r="70" spans="1:5" x14ac:dyDescent="0.55000000000000004">
      <c r="A70" t="s">
        <v>504</v>
      </c>
      <c r="B70" t="s">
        <v>503</v>
      </c>
      <c r="C70" t="s">
        <v>41</v>
      </c>
      <c r="D70">
        <v>7766964</v>
      </c>
      <c r="E70" t="s">
        <v>8</v>
      </c>
    </row>
    <row r="71" spans="1:5" x14ac:dyDescent="0.55000000000000004">
      <c r="A71" t="s">
        <v>31</v>
      </c>
      <c r="B71" t="s">
        <v>30</v>
      </c>
      <c r="C71" t="s">
        <v>13</v>
      </c>
      <c r="D71">
        <v>1229964</v>
      </c>
      <c r="E71" t="s">
        <v>8</v>
      </c>
    </row>
    <row r="72" spans="1:5" x14ac:dyDescent="0.55000000000000004">
      <c r="A72" t="s">
        <v>731</v>
      </c>
      <c r="B72" t="s">
        <v>730</v>
      </c>
      <c r="C72" t="s">
        <v>10</v>
      </c>
      <c r="D72">
        <v>2536547</v>
      </c>
      <c r="E72" t="s">
        <v>8</v>
      </c>
    </row>
    <row r="73" spans="1:5" x14ac:dyDescent="0.55000000000000004">
      <c r="A73" t="s">
        <v>50</v>
      </c>
      <c r="B73" t="s">
        <v>49</v>
      </c>
      <c r="C73" t="s">
        <v>10</v>
      </c>
      <c r="D73">
        <v>2338379</v>
      </c>
      <c r="E73" t="s">
        <v>8</v>
      </c>
    </row>
    <row r="74" spans="1:5" x14ac:dyDescent="0.55000000000000004">
      <c r="A74" t="s">
        <v>517</v>
      </c>
      <c r="B74" t="s">
        <v>516</v>
      </c>
      <c r="C74" t="s">
        <v>10</v>
      </c>
      <c r="D74">
        <v>3226799</v>
      </c>
      <c r="E74" t="s">
        <v>8</v>
      </c>
    </row>
    <row r="75" spans="1:5" x14ac:dyDescent="0.55000000000000004">
      <c r="A75" t="s">
        <v>68</v>
      </c>
      <c r="B75" t="s">
        <v>67</v>
      </c>
      <c r="C75" t="s">
        <v>10</v>
      </c>
      <c r="D75">
        <v>428484</v>
      </c>
      <c r="E75" t="s">
        <v>8</v>
      </c>
    </row>
    <row r="76" spans="1:5" x14ac:dyDescent="0.55000000000000004">
      <c r="A76" t="s">
        <v>72</v>
      </c>
      <c r="B76" t="s">
        <v>71</v>
      </c>
      <c r="C76" t="s">
        <v>41</v>
      </c>
      <c r="D76">
        <v>1866980</v>
      </c>
      <c r="E76" t="s">
        <v>8</v>
      </c>
    </row>
    <row r="77" spans="1:5" x14ac:dyDescent="0.55000000000000004">
      <c r="A77" t="s">
        <v>541</v>
      </c>
      <c r="B77" t="s">
        <v>540</v>
      </c>
      <c r="C77" t="s">
        <v>6</v>
      </c>
      <c r="D77">
        <v>1399872</v>
      </c>
      <c r="E77" t="s">
        <v>8</v>
      </c>
    </row>
    <row r="78" spans="1:5" x14ac:dyDescent="0.55000000000000004">
      <c r="A78" t="s">
        <v>100</v>
      </c>
      <c r="B78" t="s">
        <v>99</v>
      </c>
      <c r="C78" t="s">
        <v>10</v>
      </c>
      <c r="D78">
        <v>921984</v>
      </c>
      <c r="E78" t="s">
        <v>8</v>
      </c>
    </row>
    <row r="79" spans="1:5" x14ac:dyDescent="0.55000000000000004">
      <c r="A79" t="s">
        <v>102</v>
      </c>
      <c r="B79" t="s">
        <v>101</v>
      </c>
      <c r="C79" t="s">
        <v>41</v>
      </c>
      <c r="D79">
        <v>10447179</v>
      </c>
      <c r="E79" t="s">
        <v>8</v>
      </c>
    </row>
    <row r="80" spans="1:5" x14ac:dyDescent="0.55000000000000004">
      <c r="A80" t="s">
        <v>104</v>
      </c>
      <c r="B80" t="s">
        <v>103</v>
      </c>
      <c r="C80" t="s">
        <v>10</v>
      </c>
      <c r="D80">
        <v>1900269</v>
      </c>
      <c r="E80" t="s">
        <v>8</v>
      </c>
    </row>
    <row r="81" spans="1:5" x14ac:dyDescent="0.55000000000000004">
      <c r="A81" t="s">
        <v>116</v>
      </c>
      <c r="B81" t="s">
        <v>115</v>
      </c>
      <c r="C81" t="s">
        <v>10</v>
      </c>
      <c r="D81">
        <v>9138492</v>
      </c>
      <c r="E81" t="s">
        <v>8</v>
      </c>
    </row>
    <row r="82" spans="1:5" x14ac:dyDescent="0.55000000000000004">
      <c r="A82" t="s">
        <v>548</v>
      </c>
      <c r="B82" t="s">
        <v>547</v>
      </c>
      <c r="C82" t="s">
        <v>10</v>
      </c>
      <c r="D82">
        <v>2839597</v>
      </c>
      <c r="E82" t="s">
        <v>8</v>
      </c>
    </row>
    <row r="83" spans="1:5" x14ac:dyDescent="0.55000000000000004">
      <c r="A83" t="s">
        <v>737</v>
      </c>
      <c r="B83" t="s">
        <v>736</v>
      </c>
      <c r="C83" t="s">
        <v>10</v>
      </c>
      <c r="D83">
        <v>222621</v>
      </c>
      <c r="E83" t="s">
        <v>8</v>
      </c>
    </row>
    <row r="84" spans="1:5" x14ac:dyDescent="0.55000000000000004">
      <c r="A84" t="s">
        <v>132</v>
      </c>
      <c r="B84" t="s">
        <v>131</v>
      </c>
      <c r="C84" t="s">
        <v>10</v>
      </c>
      <c r="D84">
        <v>565654</v>
      </c>
      <c r="E84" t="s">
        <v>8</v>
      </c>
    </row>
    <row r="85" spans="1:5" x14ac:dyDescent="0.55000000000000004">
      <c r="A85" t="s">
        <v>164</v>
      </c>
      <c r="B85" t="s">
        <v>163</v>
      </c>
      <c r="C85" t="s">
        <v>6</v>
      </c>
      <c r="D85">
        <v>10546802</v>
      </c>
      <c r="E85" t="s">
        <v>8</v>
      </c>
    </row>
    <row r="86" spans="1:5" x14ac:dyDescent="0.55000000000000004">
      <c r="A86" t="s">
        <v>170</v>
      </c>
      <c r="B86" t="s">
        <v>169</v>
      </c>
      <c r="C86" t="s">
        <v>10</v>
      </c>
      <c r="D86">
        <v>312707</v>
      </c>
      <c r="E86" t="s">
        <v>8</v>
      </c>
    </row>
    <row r="87" spans="1:5" x14ac:dyDescent="0.55000000000000004">
      <c r="A87" t="s">
        <v>172</v>
      </c>
      <c r="B87" t="s">
        <v>171</v>
      </c>
      <c r="C87" t="s">
        <v>141</v>
      </c>
      <c r="D87">
        <v>7266069</v>
      </c>
      <c r="E87" t="s">
        <v>8</v>
      </c>
    </row>
    <row r="88" spans="1:5" x14ac:dyDescent="0.55000000000000004">
      <c r="A88" t="s">
        <v>561</v>
      </c>
      <c r="B88" t="s">
        <v>560</v>
      </c>
      <c r="C88" t="s">
        <v>10</v>
      </c>
      <c r="D88">
        <v>947011</v>
      </c>
      <c r="E88" t="s">
        <v>8</v>
      </c>
    </row>
    <row r="89" spans="1:5" x14ac:dyDescent="0.55000000000000004">
      <c r="A89" t="s">
        <v>563</v>
      </c>
      <c r="B89" t="s">
        <v>562</v>
      </c>
      <c r="C89" t="s">
        <v>10</v>
      </c>
      <c r="D89">
        <v>8815369</v>
      </c>
      <c r="E89" t="s">
        <v>8</v>
      </c>
    </row>
    <row r="90" spans="1:5" x14ac:dyDescent="0.55000000000000004">
      <c r="A90" t="s">
        <v>565</v>
      </c>
      <c r="B90" t="s">
        <v>564</v>
      </c>
      <c r="C90" t="s">
        <v>10</v>
      </c>
      <c r="D90">
        <v>5777678</v>
      </c>
      <c r="E90" t="s">
        <v>8</v>
      </c>
    </row>
    <row r="91" spans="1:5" x14ac:dyDescent="0.55000000000000004">
      <c r="A91" t="s">
        <v>188</v>
      </c>
      <c r="B91" t="s">
        <v>187</v>
      </c>
      <c r="C91" t="s">
        <v>6</v>
      </c>
      <c r="D91">
        <v>675684</v>
      </c>
      <c r="E91" t="s">
        <v>8</v>
      </c>
    </row>
    <row r="92" spans="1:5" x14ac:dyDescent="0.55000000000000004">
      <c r="A92" t="s">
        <v>567</v>
      </c>
      <c r="B92" t="s">
        <v>566</v>
      </c>
      <c r="C92" t="s">
        <v>10</v>
      </c>
      <c r="D92">
        <v>529649</v>
      </c>
      <c r="E92" t="s">
        <v>8</v>
      </c>
    </row>
    <row r="93" spans="1:5" x14ac:dyDescent="0.55000000000000004">
      <c r="A93" t="s">
        <v>747</v>
      </c>
      <c r="B93" t="s">
        <v>746</v>
      </c>
      <c r="C93" t="s">
        <v>10</v>
      </c>
      <c r="D93">
        <v>8639701</v>
      </c>
      <c r="E93" t="s">
        <v>8</v>
      </c>
    </row>
    <row r="94" spans="1:5" x14ac:dyDescent="0.55000000000000004">
      <c r="A94" t="s">
        <v>571</v>
      </c>
      <c r="B94" t="s">
        <v>570</v>
      </c>
      <c r="C94" t="s">
        <v>10</v>
      </c>
      <c r="D94">
        <v>216536</v>
      </c>
      <c r="E94" t="s">
        <v>8</v>
      </c>
    </row>
    <row r="95" spans="1:5" x14ac:dyDescent="0.55000000000000004">
      <c r="A95" t="s">
        <v>211</v>
      </c>
      <c r="B95" t="s">
        <v>210</v>
      </c>
      <c r="C95" t="s">
        <v>10</v>
      </c>
      <c r="D95">
        <v>506396</v>
      </c>
      <c r="E95" t="s">
        <v>8</v>
      </c>
    </row>
    <row r="96" spans="1:5" x14ac:dyDescent="0.55000000000000004">
      <c r="A96" t="s">
        <v>220</v>
      </c>
      <c r="B96" t="s">
        <v>219</v>
      </c>
      <c r="C96" t="s">
        <v>13</v>
      </c>
      <c r="D96">
        <v>502960</v>
      </c>
      <c r="E96" t="s">
        <v>8</v>
      </c>
    </row>
    <row r="97" spans="1:5" x14ac:dyDescent="0.55000000000000004">
      <c r="A97" t="s">
        <v>245</v>
      </c>
      <c r="B97" t="s">
        <v>244</v>
      </c>
      <c r="C97" t="s">
        <v>10</v>
      </c>
      <c r="D97">
        <v>2605984</v>
      </c>
      <c r="E97" t="s">
        <v>8</v>
      </c>
    </row>
    <row r="98" spans="1:5" x14ac:dyDescent="0.55000000000000004">
      <c r="A98" t="s">
        <v>755</v>
      </c>
      <c r="B98" t="s">
        <v>754</v>
      </c>
      <c r="C98" t="s">
        <v>10</v>
      </c>
      <c r="D98">
        <v>808031</v>
      </c>
      <c r="E98" t="s">
        <v>8</v>
      </c>
    </row>
    <row r="99" spans="1:5" x14ac:dyDescent="0.55000000000000004">
      <c r="A99" t="s">
        <v>609</v>
      </c>
      <c r="B99" t="s">
        <v>608</v>
      </c>
      <c r="C99" t="s">
        <v>10</v>
      </c>
      <c r="D99">
        <v>6050514</v>
      </c>
      <c r="E99" t="s">
        <v>8</v>
      </c>
    </row>
    <row r="100" spans="1:5" x14ac:dyDescent="0.55000000000000004">
      <c r="A100" t="s">
        <v>611</v>
      </c>
      <c r="B100" t="s">
        <v>610</v>
      </c>
      <c r="C100" t="s">
        <v>10</v>
      </c>
      <c r="D100">
        <v>1191147</v>
      </c>
      <c r="E100" t="s">
        <v>8</v>
      </c>
    </row>
    <row r="101" spans="1:5" x14ac:dyDescent="0.55000000000000004">
      <c r="A101" t="s">
        <v>613</v>
      </c>
      <c r="B101" t="s">
        <v>612</v>
      </c>
      <c r="C101" t="s">
        <v>208</v>
      </c>
      <c r="D101">
        <v>2753185</v>
      </c>
      <c r="E101" t="s">
        <v>8</v>
      </c>
    </row>
    <row r="102" spans="1:5" x14ac:dyDescent="0.55000000000000004">
      <c r="A102" t="s">
        <v>759</v>
      </c>
      <c r="B102" t="s">
        <v>758</v>
      </c>
      <c r="C102" t="s">
        <v>10</v>
      </c>
      <c r="D102">
        <v>8683647</v>
      </c>
      <c r="E102" t="s">
        <v>8</v>
      </c>
    </row>
    <row r="103" spans="1:5" x14ac:dyDescent="0.55000000000000004">
      <c r="A103" t="s">
        <v>615</v>
      </c>
      <c r="B103" t="s">
        <v>614</v>
      </c>
      <c r="C103" t="s">
        <v>10</v>
      </c>
      <c r="D103">
        <v>6644998</v>
      </c>
      <c r="E103" t="s">
        <v>8</v>
      </c>
    </row>
    <row r="104" spans="1:5" x14ac:dyDescent="0.55000000000000004">
      <c r="A104" t="s">
        <v>617</v>
      </c>
      <c r="B104" t="s">
        <v>616</v>
      </c>
      <c r="C104" t="s">
        <v>10</v>
      </c>
      <c r="D104">
        <v>934646</v>
      </c>
      <c r="E104" t="s">
        <v>8</v>
      </c>
    </row>
    <row r="105" spans="1:5" x14ac:dyDescent="0.55000000000000004">
      <c r="A105" t="s">
        <v>619</v>
      </c>
      <c r="B105" t="s">
        <v>618</v>
      </c>
      <c r="C105" t="s">
        <v>10</v>
      </c>
      <c r="D105">
        <v>2002069</v>
      </c>
      <c r="E105" t="s">
        <v>8</v>
      </c>
    </row>
    <row r="106" spans="1:5" x14ac:dyDescent="0.55000000000000004">
      <c r="A106" t="s">
        <v>275</v>
      </c>
      <c r="B106" t="s">
        <v>274</v>
      </c>
      <c r="C106" t="s">
        <v>76</v>
      </c>
      <c r="D106">
        <v>135936</v>
      </c>
      <c r="E106" t="s">
        <v>8</v>
      </c>
    </row>
    <row r="107" spans="1:5" x14ac:dyDescent="0.55000000000000004">
      <c r="A107" t="s">
        <v>285</v>
      </c>
      <c r="B107" t="s">
        <v>284</v>
      </c>
      <c r="C107" t="s">
        <v>10</v>
      </c>
      <c r="D107">
        <v>2523850</v>
      </c>
      <c r="E107" t="s">
        <v>8</v>
      </c>
    </row>
    <row r="108" spans="1:5" x14ac:dyDescent="0.55000000000000004">
      <c r="A108" t="s">
        <v>287</v>
      </c>
      <c r="B108" t="s">
        <v>286</v>
      </c>
      <c r="C108" t="s">
        <v>10</v>
      </c>
      <c r="D108">
        <v>158479</v>
      </c>
      <c r="E108" t="s">
        <v>8</v>
      </c>
    </row>
    <row r="109" spans="1:5" x14ac:dyDescent="0.55000000000000004">
      <c r="A109" t="s">
        <v>305</v>
      </c>
      <c r="B109" t="s">
        <v>304</v>
      </c>
      <c r="C109" t="s">
        <v>10</v>
      </c>
      <c r="D109">
        <v>706655</v>
      </c>
      <c r="E109" t="s">
        <v>8</v>
      </c>
    </row>
    <row r="110" spans="1:5" x14ac:dyDescent="0.55000000000000004">
      <c r="A110" t="s">
        <v>329</v>
      </c>
      <c r="B110" t="s">
        <v>328</v>
      </c>
      <c r="C110" t="s">
        <v>10</v>
      </c>
      <c r="D110">
        <v>4232300</v>
      </c>
      <c r="E110" t="s">
        <v>8</v>
      </c>
    </row>
    <row r="111" spans="1:5" x14ac:dyDescent="0.55000000000000004">
      <c r="A111" t="s">
        <v>641</v>
      </c>
      <c r="B111" t="s">
        <v>640</v>
      </c>
      <c r="C111" t="s">
        <v>10</v>
      </c>
      <c r="D111">
        <v>298659</v>
      </c>
      <c r="E111" t="s">
        <v>8</v>
      </c>
    </row>
    <row r="112" spans="1:5" x14ac:dyDescent="0.55000000000000004">
      <c r="A112" t="s">
        <v>765</v>
      </c>
      <c r="B112" t="s">
        <v>764</v>
      </c>
      <c r="C112" t="s">
        <v>10</v>
      </c>
      <c r="D112">
        <v>952601</v>
      </c>
      <c r="E112" t="s">
        <v>8</v>
      </c>
    </row>
    <row r="113" spans="1:5" x14ac:dyDescent="0.55000000000000004">
      <c r="A113" t="s">
        <v>771</v>
      </c>
      <c r="B113" t="s">
        <v>770</v>
      </c>
      <c r="C113" t="s">
        <v>10</v>
      </c>
      <c r="D113">
        <v>953783</v>
      </c>
      <c r="E113" t="s">
        <v>8</v>
      </c>
    </row>
    <row r="114" spans="1:5" x14ac:dyDescent="0.55000000000000004">
      <c r="A114" t="s">
        <v>325</v>
      </c>
      <c r="B114" t="s">
        <v>324</v>
      </c>
      <c r="C114" t="s">
        <v>13</v>
      </c>
      <c r="D114">
        <v>210627</v>
      </c>
      <c r="E114" t="s">
        <v>8</v>
      </c>
    </row>
    <row r="115" spans="1:5" x14ac:dyDescent="0.55000000000000004">
      <c r="A115" t="s">
        <v>773</v>
      </c>
      <c r="B115" t="s">
        <v>772</v>
      </c>
      <c r="C115" t="s">
        <v>10</v>
      </c>
      <c r="D115">
        <v>3316477</v>
      </c>
      <c r="E115" t="s">
        <v>8</v>
      </c>
    </row>
    <row r="116" spans="1:5" x14ac:dyDescent="0.55000000000000004">
      <c r="A116" t="s">
        <v>327</v>
      </c>
      <c r="B116" t="s">
        <v>326</v>
      </c>
      <c r="C116" t="s">
        <v>10</v>
      </c>
      <c r="D116">
        <v>9628280</v>
      </c>
      <c r="E116" t="s">
        <v>8</v>
      </c>
    </row>
    <row r="117" spans="1:5" x14ac:dyDescent="0.55000000000000004">
      <c r="A117" t="s">
        <v>333</v>
      </c>
      <c r="B117" t="s">
        <v>332</v>
      </c>
      <c r="C117" t="s">
        <v>13</v>
      </c>
      <c r="D117">
        <v>551852</v>
      </c>
      <c r="E117" t="s">
        <v>8</v>
      </c>
    </row>
    <row r="118" spans="1:5" x14ac:dyDescent="0.55000000000000004">
      <c r="A118" t="s">
        <v>653</v>
      </c>
      <c r="B118" t="s">
        <v>652</v>
      </c>
      <c r="C118" t="s">
        <v>10</v>
      </c>
      <c r="D118">
        <v>421379</v>
      </c>
      <c r="E118" t="s">
        <v>8</v>
      </c>
    </row>
    <row r="119" spans="1:5" x14ac:dyDescent="0.55000000000000004">
      <c r="A119" t="s">
        <v>655</v>
      </c>
      <c r="B119" t="s">
        <v>654</v>
      </c>
      <c r="C119" t="s">
        <v>10</v>
      </c>
      <c r="D119">
        <v>2586892</v>
      </c>
      <c r="E119" t="s">
        <v>8</v>
      </c>
    </row>
    <row r="120" spans="1:5" x14ac:dyDescent="0.55000000000000004">
      <c r="A120" t="s">
        <v>779</v>
      </c>
      <c r="B120" t="s">
        <v>778</v>
      </c>
      <c r="C120" t="s">
        <v>10</v>
      </c>
      <c r="D120">
        <v>3871856</v>
      </c>
      <c r="E120" t="s">
        <v>8</v>
      </c>
    </row>
    <row r="121" spans="1:5" x14ac:dyDescent="0.55000000000000004">
      <c r="A121" t="s">
        <v>341</v>
      </c>
      <c r="B121" t="s">
        <v>340</v>
      </c>
      <c r="C121" t="s">
        <v>10</v>
      </c>
      <c r="D121">
        <v>1463275</v>
      </c>
      <c r="E121" t="s">
        <v>8</v>
      </c>
    </row>
    <row r="122" spans="1:5" x14ac:dyDescent="0.55000000000000004">
      <c r="A122" t="s">
        <v>665</v>
      </c>
      <c r="B122" t="s">
        <v>664</v>
      </c>
      <c r="C122" t="s">
        <v>10</v>
      </c>
      <c r="D122">
        <v>2098021</v>
      </c>
      <c r="E122" t="s">
        <v>8</v>
      </c>
    </row>
    <row r="123" spans="1:5" x14ac:dyDescent="0.55000000000000004">
      <c r="A123" t="s">
        <v>667</v>
      </c>
      <c r="B123" t="s">
        <v>666</v>
      </c>
      <c r="C123" t="s">
        <v>10</v>
      </c>
      <c r="D123">
        <v>764877</v>
      </c>
      <c r="E123" t="s">
        <v>8</v>
      </c>
    </row>
    <row r="124" spans="1:5" x14ac:dyDescent="0.55000000000000004">
      <c r="A124" t="s">
        <v>348</v>
      </c>
      <c r="B124" t="s">
        <v>347</v>
      </c>
      <c r="C124" t="s">
        <v>10</v>
      </c>
      <c r="D124">
        <v>6095719</v>
      </c>
      <c r="E124" t="s">
        <v>8</v>
      </c>
    </row>
    <row r="125" spans="1:5" x14ac:dyDescent="0.55000000000000004">
      <c r="A125" t="s">
        <v>673</v>
      </c>
      <c r="B125" t="s">
        <v>672</v>
      </c>
      <c r="C125" t="s">
        <v>10</v>
      </c>
      <c r="D125">
        <v>1049494</v>
      </c>
      <c r="E125" t="s">
        <v>8</v>
      </c>
    </row>
    <row r="126" spans="1:5" x14ac:dyDescent="0.55000000000000004">
      <c r="A126" t="s">
        <v>783</v>
      </c>
      <c r="B126" t="s">
        <v>782</v>
      </c>
      <c r="C126" t="s">
        <v>10</v>
      </c>
      <c r="D126">
        <v>170265</v>
      </c>
      <c r="E126" t="s">
        <v>8</v>
      </c>
    </row>
    <row r="127" spans="1:5" x14ac:dyDescent="0.55000000000000004">
      <c r="A127" t="s">
        <v>687</v>
      </c>
      <c r="B127" t="s">
        <v>686</v>
      </c>
      <c r="C127" t="s">
        <v>10</v>
      </c>
      <c r="D127">
        <v>2031215</v>
      </c>
      <c r="E127" t="s">
        <v>8</v>
      </c>
    </row>
    <row r="128" spans="1:5" x14ac:dyDescent="0.55000000000000004">
      <c r="A128" t="s">
        <v>787</v>
      </c>
      <c r="B128" t="s">
        <v>786</v>
      </c>
      <c r="C128" t="s">
        <v>10</v>
      </c>
      <c r="D128">
        <v>1026601</v>
      </c>
      <c r="E128" t="s">
        <v>8</v>
      </c>
    </row>
    <row r="129" spans="1:5" x14ac:dyDescent="0.55000000000000004">
      <c r="A129" t="s">
        <v>691</v>
      </c>
      <c r="B129" t="s">
        <v>690</v>
      </c>
      <c r="C129" t="s">
        <v>10</v>
      </c>
      <c r="D129">
        <v>2227168</v>
      </c>
      <c r="E129" t="s">
        <v>8</v>
      </c>
    </row>
    <row r="130" spans="1:5" x14ac:dyDescent="0.55000000000000004">
      <c r="A130" t="s">
        <v>793</v>
      </c>
      <c r="B130" t="s">
        <v>792</v>
      </c>
      <c r="C130" t="s">
        <v>10</v>
      </c>
      <c r="D130">
        <v>1201825</v>
      </c>
      <c r="E130" t="s">
        <v>8</v>
      </c>
    </row>
    <row r="131" spans="1:5" x14ac:dyDescent="0.55000000000000004">
      <c r="A131" t="s">
        <v>411</v>
      </c>
      <c r="B131" t="s">
        <v>409</v>
      </c>
      <c r="C131" t="s">
        <v>410</v>
      </c>
      <c r="D131">
        <v>2207422</v>
      </c>
      <c r="E131" t="s">
        <v>8</v>
      </c>
    </row>
    <row r="132" spans="1:5" x14ac:dyDescent="0.55000000000000004">
      <c r="A132" t="s">
        <v>797</v>
      </c>
      <c r="B132" t="s">
        <v>796</v>
      </c>
      <c r="C132" t="s">
        <v>10</v>
      </c>
      <c r="D132">
        <v>9189791</v>
      </c>
      <c r="E132" t="s">
        <v>8</v>
      </c>
    </row>
    <row r="133" spans="1:5" x14ac:dyDescent="0.55000000000000004">
      <c r="A133" t="s">
        <v>431</v>
      </c>
      <c r="B133" t="s">
        <v>430</v>
      </c>
      <c r="C133" t="s">
        <v>10</v>
      </c>
      <c r="D133">
        <v>1962333</v>
      </c>
      <c r="E133" t="s">
        <v>8</v>
      </c>
    </row>
    <row r="134" spans="1:5" x14ac:dyDescent="0.55000000000000004">
      <c r="A134" t="s">
        <v>695</v>
      </c>
      <c r="B134" t="s">
        <v>694</v>
      </c>
      <c r="C134" t="s">
        <v>10</v>
      </c>
      <c r="D134">
        <v>1608110</v>
      </c>
      <c r="E134" t="s">
        <v>8</v>
      </c>
    </row>
    <row r="135" spans="1:5" x14ac:dyDescent="0.55000000000000004">
      <c r="A135" t="s">
        <v>415</v>
      </c>
      <c r="B135" t="s">
        <v>414</v>
      </c>
      <c r="C135" t="s">
        <v>10</v>
      </c>
      <c r="D135">
        <v>6112501</v>
      </c>
      <c r="E135" t="s">
        <v>8</v>
      </c>
    </row>
    <row r="136" spans="1:5" x14ac:dyDescent="0.55000000000000004">
      <c r="A136" t="s">
        <v>725</v>
      </c>
      <c r="B136" t="s">
        <v>724</v>
      </c>
      <c r="C136" t="s">
        <v>141</v>
      </c>
      <c r="D136">
        <v>5848179</v>
      </c>
      <c r="E136" t="s">
        <v>8</v>
      </c>
    </row>
    <row r="137" spans="1:5" x14ac:dyDescent="0.55000000000000004">
      <c r="A137" t="s">
        <v>799</v>
      </c>
      <c r="B137" t="s">
        <v>798</v>
      </c>
      <c r="C137" t="s">
        <v>6</v>
      </c>
      <c r="D137">
        <v>1920848</v>
      </c>
      <c r="E137" t="s">
        <v>8</v>
      </c>
    </row>
    <row r="138" spans="1:5" x14ac:dyDescent="0.55000000000000004">
      <c r="A138" t="s">
        <v>492</v>
      </c>
      <c r="B138" t="s">
        <v>491</v>
      </c>
      <c r="C138" t="s">
        <v>10</v>
      </c>
      <c r="D138">
        <v>9237606</v>
      </c>
      <c r="E138" t="s">
        <v>8</v>
      </c>
    </row>
    <row r="139" spans="1:5" x14ac:dyDescent="0.55000000000000004">
      <c r="A139" t="s">
        <v>427</v>
      </c>
      <c r="B139" t="s">
        <v>426</v>
      </c>
      <c r="C139" t="s">
        <v>10</v>
      </c>
      <c r="D139">
        <v>1656589</v>
      </c>
      <c r="E139" t="s">
        <v>8</v>
      </c>
    </row>
    <row r="140" spans="1:5" x14ac:dyDescent="0.55000000000000004">
      <c r="A140" t="s">
        <v>433</v>
      </c>
      <c r="B140" t="s">
        <v>432</v>
      </c>
      <c r="C140" t="s">
        <v>10</v>
      </c>
      <c r="D140">
        <v>1302216</v>
      </c>
      <c r="E140" t="s">
        <v>8</v>
      </c>
    </row>
    <row r="141" spans="1:5" x14ac:dyDescent="0.55000000000000004">
      <c r="A141" t="s">
        <v>437</v>
      </c>
      <c r="B141" t="s">
        <v>436</v>
      </c>
      <c r="C141" t="s">
        <v>10</v>
      </c>
      <c r="D141">
        <v>3528395</v>
      </c>
      <c r="E141" t="s">
        <v>8</v>
      </c>
    </row>
    <row r="142" spans="1:5" x14ac:dyDescent="0.55000000000000004">
      <c r="A142" t="s">
        <v>727</v>
      </c>
      <c r="B142" t="s">
        <v>726</v>
      </c>
      <c r="C142" t="s">
        <v>10</v>
      </c>
      <c r="D142">
        <v>56021</v>
      </c>
      <c r="E142" t="s">
        <v>8</v>
      </c>
    </row>
    <row r="143" spans="1:5" x14ac:dyDescent="0.55000000000000004">
      <c r="A143" t="s">
        <v>451</v>
      </c>
      <c r="B143" t="s">
        <v>450</v>
      </c>
      <c r="C143" t="s">
        <v>10</v>
      </c>
      <c r="D143">
        <v>876344</v>
      </c>
      <c r="E143" t="s">
        <v>8</v>
      </c>
    </row>
    <row r="144" spans="1:5" x14ac:dyDescent="0.55000000000000004">
      <c r="A144" t="s">
        <v>455</v>
      </c>
      <c r="B144" t="s">
        <v>454</v>
      </c>
      <c r="C144" t="s">
        <v>10</v>
      </c>
      <c r="D144">
        <v>209042</v>
      </c>
      <c r="E144" t="s">
        <v>8</v>
      </c>
    </row>
    <row r="145" spans="1:5" x14ac:dyDescent="0.55000000000000004">
      <c r="A145" t="s">
        <v>464</v>
      </c>
      <c r="B145" t="s">
        <v>463</v>
      </c>
      <c r="C145" t="s">
        <v>6</v>
      </c>
      <c r="D145">
        <v>3489523</v>
      </c>
      <c r="E145" t="s">
        <v>8</v>
      </c>
    </row>
    <row r="146" spans="1:5" x14ac:dyDescent="0.55000000000000004">
      <c r="A146" t="s">
        <v>466</v>
      </c>
      <c r="B146" t="s">
        <v>465</v>
      </c>
      <c r="C146" t="s">
        <v>76</v>
      </c>
      <c r="D146">
        <v>7508564</v>
      </c>
      <c r="E146" t="s">
        <v>8</v>
      </c>
    </row>
    <row r="147" spans="1:5" x14ac:dyDescent="0.55000000000000004">
      <c r="A147" t="s">
        <v>808</v>
      </c>
      <c r="B147" t="s">
        <v>807</v>
      </c>
      <c r="C147" t="s">
        <v>6</v>
      </c>
      <c r="D147">
        <v>1478788</v>
      </c>
      <c r="E147" t="s">
        <v>8</v>
      </c>
    </row>
    <row r="148" spans="1:5" x14ac:dyDescent="0.55000000000000004">
      <c r="A148" t="s">
        <v>470</v>
      </c>
      <c r="B148" t="s">
        <v>469</v>
      </c>
      <c r="C148" t="s">
        <v>10</v>
      </c>
      <c r="D148">
        <v>8151928</v>
      </c>
      <c r="E148" t="s">
        <v>8</v>
      </c>
    </row>
    <row r="149" spans="1:5" x14ac:dyDescent="0.55000000000000004">
      <c r="A149" t="s">
        <v>713</v>
      </c>
      <c r="B149" t="s">
        <v>712</v>
      </c>
      <c r="C149" t="s">
        <v>10</v>
      </c>
      <c r="D149">
        <v>1013275</v>
      </c>
      <c r="E149" t="s">
        <v>8</v>
      </c>
    </row>
    <row r="150" spans="1:5" x14ac:dyDescent="0.55000000000000004">
      <c r="A150" t="s">
        <v>715</v>
      </c>
      <c r="B150" t="s">
        <v>714</v>
      </c>
      <c r="C150" t="s">
        <v>10</v>
      </c>
      <c r="D150">
        <v>7049795</v>
      </c>
      <c r="E150" t="s">
        <v>8</v>
      </c>
    </row>
    <row r="151" spans="1:5" x14ac:dyDescent="0.55000000000000004">
      <c r="A151" t="s">
        <v>478</v>
      </c>
      <c r="B151" t="s">
        <v>477</v>
      </c>
      <c r="C151" t="s">
        <v>6</v>
      </c>
      <c r="D151">
        <v>7770890</v>
      </c>
      <c r="E151" t="s">
        <v>8</v>
      </c>
    </row>
    <row r="152" spans="1:5" x14ac:dyDescent="0.55000000000000004">
      <c r="A152" t="s">
        <v>721</v>
      </c>
      <c r="B152" t="s">
        <v>720</v>
      </c>
      <c r="C152" t="s">
        <v>6</v>
      </c>
      <c r="D152">
        <v>5585740</v>
      </c>
      <c r="E152" t="s">
        <v>8</v>
      </c>
    </row>
    <row r="153" spans="1:5" x14ac:dyDescent="0.55000000000000004">
      <c r="A153" t="s">
        <v>484</v>
      </c>
      <c r="B153" t="s">
        <v>483</v>
      </c>
      <c r="C153" t="s">
        <v>13</v>
      </c>
      <c r="D153">
        <v>7015354</v>
      </c>
      <c r="E153" t="s">
        <v>8</v>
      </c>
    </row>
    <row r="154" spans="1:5" x14ac:dyDescent="0.55000000000000004">
      <c r="A154" t="s">
        <v>533</v>
      </c>
      <c r="B154" t="s">
        <v>532</v>
      </c>
      <c r="C154" t="s">
        <v>18</v>
      </c>
      <c r="D154">
        <v>3827612</v>
      </c>
      <c r="E154" t="s">
        <v>8</v>
      </c>
    </row>
    <row r="155" spans="1:5" x14ac:dyDescent="0.55000000000000004">
      <c r="A155" t="s">
        <v>19</v>
      </c>
      <c r="B155" t="s">
        <v>17</v>
      </c>
      <c r="C155" t="s">
        <v>18</v>
      </c>
      <c r="D155">
        <v>4598626</v>
      </c>
      <c r="E155" t="s">
        <v>8</v>
      </c>
    </row>
    <row r="156" spans="1:5" x14ac:dyDescent="0.55000000000000004">
      <c r="A156" t="s">
        <v>321</v>
      </c>
      <c r="B156" t="s">
        <v>320</v>
      </c>
      <c r="C156" t="s">
        <v>10</v>
      </c>
      <c r="D156">
        <v>5571266</v>
      </c>
      <c r="E156" t="s">
        <v>8</v>
      </c>
    </row>
    <row r="157" spans="1:5" x14ac:dyDescent="0.55000000000000004">
      <c r="A157" t="s">
        <v>802</v>
      </c>
      <c r="B157" t="s">
        <v>800</v>
      </c>
      <c r="C157" t="s">
        <v>801</v>
      </c>
      <c r="D157">
        <v>418693</v>
      </c>
      <c r="E157" t="s">
        <v>8</v>
      </c>
    </row>
    <row r="158" spans="1:5" x14ac:dyDescent="0.55000000000000004">
      <c r="A158" t="s">
        <v>795</v>
      </c>
      <c r="B158" t="s">
        <v>794</v>
      </c>
      <c r="C158" t="s">
        <v>18</v>
      </c>
      <c r="D158">
        <v>2851207</v>
      </c>
      <c r="E158" t="s">
        <v>8</v>
      </c>
    </row>
    <row r="159" spans="1:5" x14ac:dyDescent="0.55000000000000004">
      <c r="A159" t="s">
        <v>681</v>
      </c>
      <c r="B159" t="s">
        <v>680</v>
      </c>
      <c r="C159" t="s">
        <v>10</v>
      </c>
      <c r="D159">
        <v>8927761</v>
      </c>
      <c r="E159" t="s">
        <v>8</v>
      </c>
    </row>
    <row r="160" spans="1:5" x14ac:dyDescent="0.55000000000000004">
      <c r="A160" t="s">
        <v>699</v>
      </c>
      <c r="B160" t="s">
        <v>698</v>
      </c>
      <c r="C160" t="s">
        <v>13</v>
      </c>
      <c r="D160">
        <v>4687151</v>
      </c>
      <c r="E160" t="s">
        <v>8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750A6-A66A-4AAF-994B-A214702F10AD}">
  <dimension ref="A1:E157"/>
  <sheetViews>
    <sheetView topLeftCell="A133" workbookViewId="0">
      <selection activeCell="D2" sqref="D2:D157"/>
    </sheetView>
  </sheetViews>
  <sheetFormatPr defaultRowHeight="18" x14ac:dyDescent="0.55000000000000004"/>
  <cols>
    <col min="1" max="1" width="10.9140625" bestFit="1" customWidth="1"/>
    <col min="2" max="2" width="34.4140625" bestFit="1" customWidth="1"/>
    <col min="3" max="3" width="16.9140625" bestFit="1" customWidth="1"/>
    <col min="5" max="5" width="8.25" bestFit="1" customWidth="1"/>
    <col min="6" max="6" width="23.33203125" bestFit="1" customWidth="1"/>
  </cols>
  <sheetData>
    <row r="1" spans="1:5" x14ac:dyDescent="0.55000000000000004">
      <c r="A1" t="s">
        <v>2</v>
      </c>
      <c r="B1" t="s">
        <v>1135</v>
      </c>
      <c r="C1" t="s">
        <v>1136</v>
      </c>
      <c r="D1" t="s">
        <v>3</v>
      </c>
      <c r="E1" t="s">
        <v>1137</v>
      </c>
    </row>
    <row r="2" spans="1:5" x14ac:dyDescent="0.55000000000000004">
      <c r="A2" t="s">
        <v>502</v>
      </c>
      <c r="B2" t="s">
        <v>501</v>
      </c>
      <c r="C2" t="s">
        <v>10</v>
      </c>
      <c r="D2">
        <v>539504</v>
      </c>
      <c r="E2" t="s">
        <v>8</v>
      </c>
    </row>
    <row r="3" spans="1:5" x14ac:dyDescent="0.55000000000000004">
      <c r="A3" t="s">
        <v>508</v>
      </c>
      <c r="B3" t="s">
        <v>507</v>
      </c>
      <c r="C3" t="s">
        <v>10</v>
      </c>
      <c r="D3">
        <v>349289</v>
      </c>
      <c r="E3" t="s">
        <v>8</v>
      </c>
    </row>
    <row r="4" spans="1:5" x14ac:dyDescent="0.55000000000000004">
      <c r="A4" t="s">
        <v>510</v>
      </c>
      <c r="B4" t="s">
        <v>509</v>
      </c>
      <c r="C4" t="s">
        <v>10</v>
      </c>
      <c r="D4">
        <v>1690988</v>
      </c>
      <c r="E4" t="s">
        <v>8</v>
      </c>
    </row>
    <row r="5" spans="1:5" x14ac:dyDescent="0.55000000000000004">
      <c r="A5" t="s">
        <v>519</v>
      </c>
      <c r="B5" t="s">
        <v>518</v>
      </c>
      <c r="C5" t="s">
        <v>10</v>
      </c>
      <c r="D5">
        <v>972510</v>
      </c>
      <c r="E5" t="s">
        <v>8</v>
      </c>
    </row>
    <row r="6" spans="1:5" x14ac:dyDescent="0.55000000000000004">
      <c r="A6" t="s">
        <v>529</v>
      </c>
      <c r="B6" t="s">
        <v>528</v>
      </c>
      <c r="C6" t="s">
        <v>10</v>
      </c>
      <c r="D6">
        <v>9380514</v>
      </c>
      <c r="E6" t="s">
        <v>8</v>
      </c>
    </row>
    <row r="7" spans="1:5" x14ac:dyDescent="0.55000000000000004">
      <c r="A7" t="s">
        <v>531</v>
      </c>
      <c r="B7" t="s">
        <v>530</v>
      </c>
      <c r="C7" t="s">
        <v>10</v>
      </c>
      <c r="D7">
        <v>376709</v>
      </c>
      <c r="E7" t="s">
        <v>8</v>
      </c>
    </row>
    <row r="8" spans="1:5" x14ac:dyDescent="0.55000000000000004">
      <c r="A8" t="s">
        <v>537</v>
      </c>
      <c r="B8" t="s">
        <v>536</v>
      </c>
      <c r="C8" t="s">
        <v>10</v>
      </c>
      <c r="D8">
        <v>104156</v>
      </c>
      <c r="E8" t="s">
        <v>8</v>
      </c>
    </row>
    <row r="9" spans="1:5" x14ac:dyDescent="0.55000000000000004">
      <c r="A9" t="s">
        <v>527</v>
      </c>
      <c r="B9" t="s">
        <v>526</v>
      </c>
      <c r="C9" t="s">
        <v>10</v>
      </c>
      <c r="D9">
        <v>4692596</v>
      </c>
      <c r="E9" t="s">
        <v>8</v>
      </c>
    </row>
    <row r="10" spans="1:5" x14ac:dyDescent="0.55000000000000004">
      <c r="A10" t="s">
        <v>539</v>
      </c>
      <c r="B10" t="s">
        <v>538</v>
      </c>
      <c r="C10" t="s">
        <v>10</v>
      </c>
      <c r="D10">
        <v>374206</v>
      </c>
      <c r="E10" t="s">
        <v>8</v>
      </c>
    </row>
    <row r="11" spans="1:5" x14ac:dyDescent="0.55000000000000004">
      <c r="A11" t="s">
        <v>554</v>
      </c>
      <c r="B11" t="s">
        <v>553</v>
      </c>
      <c r="C11" t="s">
        <v>10</v>
      </c>
      <c r="D11">
        <v>2184194</v>
      </c>
      <c r="E11" t="s">
        <v>8</v>
      </c>
    </row>
    <row r="12" spans="1:5" x14ac:dyDescent="0.55000000000000004">
      <c r="A12" t="s">
        <v>543</v>
      </c>
      <c r="B12" t="s">
        <v>542</v>
      </c>
      <c r="C12" t="s">
        <v>10</v>
      </c>
      <c r="D12">
        <v>246732</v>
      </c>
      <c r="E12" t="s">
        <v>8</v>
      </c>
    </row>
    <row r="13" spans="1:5" x14ac:dyDescent="0.55000000000000004">
      <c r="A13" t="s">
        <v>546</v>
      </c>
      <c r="B13" t="s">
        <v>544</v>
      </c>
      <c r="C13" t="s">
        <v>545</v>
      </c>
      <c r="D13">
        <v>371763</v>
      </c>
      <c r="E13" t="s">
        <v>8</v>
      </c>
    </row>
    <row r="14" spans="1:5" x14ac:dyDescent="0.55000000000000004">
      <c r="A14" t="s">
        <v>550</v>
      </c>
      <c r="B14" t="s">
        <v>549</v>
      </c>
      <c r="C14" t="s">
        <v>10</v>
      </c>
      <c r="D14">
        <v>170489</v>
      </c>
      <c r="E14" t="s">
        <v>8</v>
      </c>
    </row>
    <row r="15" spans="1:5" x14ac:dyDescent="0.55000000000000004">
      <c r="A15" t="s">
        <v>122</v>
      </c>
      <c r="B15" t="s">
        <v>121</v>
      </c>
      <c r="C15" t="s">
        <v>10</v>
      </c>
      <c r="D15">
        <v>2362005</v>
      </c>
      <c r="E15" t="s">
        <v>8</v>
      </c>
    </row>
    <row r="16" spans="1:5" x14ac:dyDescent="0.55000000000000004">
      <c r="A16" t="s">
        <v>144</v>
      </c>
      <c r="B16" t="s">
        <v>143</v>
      </c>
      <c r="C16" t="s">
        <v>10</v>
      </c>
      <c r="D16">
        <v>2589997</v>
      </c>
      <c r="E16" t="s">
        <v>8</v>
      </c>
    </row>
    <row r="17" spans="1:5" x14ac:dyDescent="0.55000000000000004">
      <c r="A17" t="s">
        <v>494</v>
      </c>
      <c r="B17" t="s">
        <v>493</v>
      </c>
      <c r="C17" t="s">
        <v>10</v>
      </c>
      <c r="D17">
        <v>469254</v>
      </c>
      <c r="E17" t="s">
        <v>8</v>
      </c>
    </row>
    <row r="18" spans="1:5" x14ac:dyDescent="0.55000000000000004">
      <c r="A18" t="s">
        <v>190</v>
      </c>
      <c r="B18" t="s">
        <v>189</v>
      </c>
      <c r="C18" t="s">
        <v>10</v>
      </c>
      <c r="D18">
        <v>1350154</v>
      </c>
      <c r="E18" t="s">
        <v>8</v>
      </c>
    </row>
    <row r="19" spans="1:5" x14ac:dyDescent="0.55000000000000004">
      <c r="A19" t="s">
        <v>573</v>
      </c>
      <c r="B19" t="s">
        <v>572</v>
      </c>
      <c r="C19" t="s">
        <v>10</v>
      </c>
      <c r="D19">
        <v>2388751</v>
      </c>
      <c r="E19" t="s">
        <v>8</v>
      </c>
    </row>
    <row r="20" spans="1:5" x14ac:dyDescent="0.55000000000000004">
      <c r="A20" t="s">
        <v>575</v>
      </c>
      <c r="B20" t="s">
        <v>574</v>
      </c>
      <c r="C20" t="s">
        <v>10</v>
      </c>
      <c r="D20">
        <v>535651</v>
      </c>
      <c r="E20" t="s">
        <v>8</v>
      </c>
    </row>
    <row r="21" spans="1:5" x14ac:dyDescent="0.55000000000000004">
      <c r="A21" t="s">
        <v>579</v>
      </c>
      <c r="B21" t="s">
        <v>578</v>
      </c>
      <c r="C21" t="s">
        <v>6</v>
      </c>
      <c r="D21">
        <v>225594</v>
      </c>
      <c r="E21" t="s">
        <v>8</v>
      </c>
    </row>
    <row r="22" spans="1:5" x14ac:dyDescent="0.55000000000000004">
      <c r="A22" t="s">
        <v>583</v>
      </c>
      <c r="B22" t="s">
        <v>582</v>
      </c>
      <c r="C22" t="s">
        <v>10</v>
      </c>
      <c r="D22">
        <v>197988</v>
      </c>
      <c r="E22" t="s">
        <v>8</v>
      </c>
    </row>
    <row r="23" spans="1:5" x14ac:dyDescent="0.55000000000000004">
      <c r="A23" t="s">
        <v>585</v>
      </c>
      <c r="B23" t="s">
        <v>584</v>
      </c>
      <c r="C23" t="s">
        <v>10</v>
      </c>
      <c r="D23">
        <v>1221409</v>
      </c>
      <c r="E23" t="s">
        <v>8</v>
      </c>
    </row>
    <row r="24" spans="1:5" x14ac:dyDescent="0.55000000000000004">
      <c r="A24" t="s">
        <v>226</v>
      </c>
      <c r="B24" t="s">
        <v>225</v>
      </c>
      <c r="C24" t="s">
        <v>10</v>
      </c>
      <c r="D24">
        <v>2244954</v>
      </c>
      <c r="E24" t="s">
        <v>8</v>
      </c>
    </row>
    <row r="25" spans="1:5" x14ac:dyDescent="0.55000000000000004">
      <c r="A25" t="s">
        <v>589</v>
      </c>
      <c r="B25" t="s">
        <v>588</v>
      </c>
      <c r="C25" t="s">
        <v>10</v>
      </c>
      <c r="D25">
        <v>1345344</v>
      </c>
      <c r="E25" t="s">
        <v>8</v>
      </c>
    </row>
    <row r="26" spans="1:5" x14ac:dyDescent="0.55000000000000004">
      <c r="A26" t="s">
        <v>591</v>
      </c>
      <c r="B26" t="s">
        <v>590</v>
      </c>
      <c r="C26" t="s">
        <v>10</v>
      </c>
      <c r="D26">
        <v>1586754</v>
      </c>
      <c r="E26" t="s">
        <v>8</v>
      </c>
    </row>
    <row r="27" spans="1:5" x14ac:dyDescent="0.55000000000000004">
      <c r="A27" t="s">
        <v>243</v>
      </c>
      <c r="B27" t="s">
        <v>242</v>
      </c>
      <c r="C27" t="s">
        <v>10</v>
      </c>
      <c r="D27">
        <v>2789742</v>
      </c>
      <c r="E27" t="s">
        <v>8</v>
      </c>
    </row>
    <row r="28" spans="1:5" x14ac:dyDescent="0.55000000000000004">
      <c r="A28" t="s">
        <v>595</v>
      </c>
      <c r="B28" t="s">
        <v>594</v>
      </c>
      <c r="C28" t="s">
        <v>10</v>
      </c>
      <c r="D28">
        <v>2346108</v>
      </c>
      <c r="E28" t="s">
        <v>8</v>
      </c>
    </row>
    <row r="29" spans="1:5" x14ac:dyDescent="0.55000000000000004">
      <c r="A29" t="s">
        <v>597</v>
      </c>
      <c r="B29" t="s">
        <v>596</v>
      </c>
      <c r="C29" t="s">
        <v>6</v>
      </c>
      <c r="D29">
        <v>1798317</v>
      </c>
      <c r="E29" t="s">
        <v>8</v>
      </c>
    </row>
    <row r="30" spans="1:5" x14ac:dyDescent="0.55000000000000004">
      <c r="A30" t="s">
        <v>599</v>
      </c>
      <c r="B30" t="s">
        <v>598</v>
      </c>
      <c r="C30" t="s">
        <v>10</v>
      </c>
      <c r="D30">
        <v>551728</v>
      </c>
      <c r="E30" t="s">
        <v>8</v>
      </c>
    </row>
    <row r="31" spans="1:5" x14ac:dyDescent="0.55000000000000004">
      <c r="A31" t="s">
        <v>257</v>
      </c>
      <c r="B31" t="s">
        <v>256</v>
      </c>
      <c r="C31" t="s">
        <v>10</v>
      </c>
      <c r="D31">
        <v>1705428</v>
      </c>
      <c r="E31" t="s">
        <v>8</v>
      </c>
    </row>
    <row r="32" spans="1:5" x14ac:dyDescent="0.55000000000000004">
      <c r="A32" t="s">
        <v>603</v>
      </c>
      <c r="B32" t="s">
        <v>602</v>
      </c>
      <c r="C32" t="s">
        <v>10</v>
      </c>
      <c r="D32">
        <v>2106543</v>
      </c>
      <c r="E32" t="s">
        <v>8</v>
      </c>
    </row>
    <row r="33" spans="1:5" x14ac:dyDescent="0.55000000000000004">
      <c r="A33" t="s">
        <v>607</v>
      </c>
      <c r="B33" t="s">
        <v>606</v>
      </c>
      <c r="C33" t="s">
        <v>10</v>
      </c>
      <c r="D33">
        <v>2433804</v>
      </c>
      <c r="E33" t="s">
        <v>8</v>
      </c>
    </row>
    <row r="34" spans="1:5" x14ac:dyDescent="0.55000000000000004">
      <c r="A34" t="s">
        <v>269</v>
      </c>
      <c r="B34" t="s">
        <v>268</v>
      </c>
      <c r="C34" t="s">
        <v>10</v>
      </c>
      <c r="D34">
        <v>500639</v>
      </c>
      <c r="E34" t="s">
        <v>8</v>
      </c>
    </row>
    <row r="35" spans="1:5" x14ac:dyDescent="0.55000000000000004">
      <c r="A35" t="s">
        <v>623</v>
      </c>
      <c r="B35" t="s">
        <v>622</v>
      </c>
      <c r="C35" t="s">
        <v>10</v>
      </c>
      <c r="D35">
        <v>1281251</v>
      </c>
      <c r="E35" t="s">
        <v>8</v>
      </c>
    </row>
    <row r="36" spans="1:5" x14ac:dyDescent="0.55000000000000004">
      <c r="A36" t="s">
        <v>625</v>
      </c>
      <c r="B36" t="s">
        <v>624</v>
      </c>
      <c r="C36" t="s">
        <v>10</v>
      </c>
      <c r="D36">
        <v>2181491</v>
      </c>
      <c r="E36" t="s">
        <v>8</v>
      </c>
    </row>
    <row r="37" spans="1:5" x14ac:dyDescent="0.55000000000000004">
      <c r="A37" t="s">
        <v>299</v>
      </c>
      <c r="B37" t="s">
        <v>298</v>
      </c>
      <c r="C37" t="s">
        <v>41</v>
      </c>
      <c r="D37">
        <v>1639580</v>
      </c>
      <c r="E37" t="s">
        <v>8</v>
      </c>
    </row>
    <row r="38" spans="1:5" x14ac:dyDescent="0.55000000000000004">
      <c r="A38" t="s">
        <v>635</v>
      </c>
      <c r="B38" t="s">
        <v>634</v>
      </c>
      <c r="C38" t="s">
        <v>10</v>
      </c>
      <c r="D38">
        <v>974339</v>
      </c>
      <c r="E38" t="s">
        <v>8</v>
      </c>
    </row>
    <row r="39" spans="1:5" x14ac:dyDescent="0.55000000000000004">
      <c r="A39" t="s">
        <v>643</v>
      </c>
      <c r="B39" t="s">
        <v>642</v>
      </c>
      <c r="C39" t="s">
        <v>10</v>
      </c>
      <c r="D39">
        <v>396845</v>
      </c>
      <c r="E39" t="s">
        <v>8</v>
      </c>
    </row>
    <row r="40" spans="1:5" x14ac:dyDescent="0.55000000000000004">
      <c r="A40" t="s">
        <v>651</v>
      </c>
      <c r="B40" t="s">
        <v>650</v>
      </c>
      <c r="C40" t="s">
        <v>10</v>
      </c>
      <c r="D40">
        <v>165009</v>
      </c>
      <c r="E40" t="s">
        <v>8</v>
      </c>
    </row>
    <row r="41" spans="1:5" x14ac:dyDescent="0.55000000000000004">
      <c r="A41" t="s">
        <v>659</v>
      </c>
      <c r="B41" t="s">
        <v>658</v>
      </c>
      <c r="C41" t="s">
        <v>10</v>
      </c>
      <c r="D41">
        <v>553999</v>
      </c>
      <c r="E41" t="s">
        <v>8</v>
      </c>
    </row>
    <row r="42" spans="1:5" x14ac:dyDescent="0.55000000000000004">
      <c r="A42" t="s">
        <v>661</v>
      </c>
      <c r="B42" t="s">
        <v>660</v>
      </c>
      <c r="C42" t="s">
        <v>10</v>
      </c>
      <c r="D42">
        <v>2333118</v>
      </c>
      <c r="E42" t="s">
        <v>8</v>
      </c>
    </row>
    <row r="43" spans="1:5" x14ac:dyDescent="0.55000000000000004">
      <c r="A43" t="s">
        <v>671</v>
      </c>
      <c r="B43" t="s">
        <v>670</v>
      </c>
      <c r="C43" t="s">
        <v>41</v>
      </c>
      <c r="D43">
        <v>4093448</v>
      </c>
      <c r="E43" t="s">
        <v>8</v>
      </c>
    </row>
    <row r="44" spans="1:5" x14ac:dyDescent="0.55000000000000004">
      <c r="A44" t="s">
        <v>370</v>
      </c>
      <c r="B44" t="s">
        <v>369</v>
      </c>
      <c r="C44" t="s">
        <v>10</v>
      </c>
      <c r="D44">
        <v>1072071</v>
      </c>
      <c r="E44" t="s">
        <v>8</v>
      </c>
    </row>
    <row r="45" spans="1:5" x14ac:dyDescent="0.55000000000000004">
      <c r="A45" t="s">
        <v>372</v>
      </c>
      <c r="B45" t="s">
        <v>371</v>
      </c>
      <c r="C45" t="s">
        <v>10</v>
      </c>
      <c r="D45">
        <v>490368</v>
      </c>
      <c r="E45" t="s">
        <v>8</v>
      </c>
    </row>
    <row r="46" spans="1:5" x14ac:dyDescent="0.55000000000000004">
      <c r="A46" t="s">
        <v>677</v>
      </c>
      <c r="B46" t="s">
        <v>676</v>
      </c>
      <c r="C46" t="s">
        <v>10</v>
      </c>
      <c r="D46">
        <v>2379766</v>
      </c>
      <c r="E46" t="s">
        <v>8</v>
      </c>
    </row>
    <row r="47" spans="1:5" x14ac:dyDescent="0.55000000000000004">
      <c r="A47" t="s">
        <v>679</v>
      </c>
      <c r="B47" t="s">
        <v>678</v>
      </c>
      <c r="C47" t="s">
        <v>10</v>
      </c>
      <c r="D47">
        <v>1318504</v>
      </c>
      <c r="E47" t="s">
        <v>8</v>
      </c>
    </row>
    <row r="48" spans="1:5" x14ac:dyDescent="0.55000000000000004">
      <c r="A48" t="s">
        <v>683</v>
      </c>
      <c r="B48" t="s">
        <v>682</v>
      </c>
      <c r="C48" t="s">
        <v>10</v>
      </c>
      <c r="D48">
        <v>570157</v>
      </c>
      <c r="E48" t="s">
        <v>8</v>
      </c>
    </row>
    <row r="49" spans="1:5" x14ac:dyDescent="0.55000000000000004">
      <c r="A49" t="s">
        <v>398</v>
      </c>
      <c r="B49" t="s">
        <v>397</v>
      </c>
      <c r="C49" t="s">
        <v>10</v>
      </c>
      <c r="D49">
        <v>5303968</v>
      </c>
      <c r="E49" t="s">
        <v>8</v>
      </c>
    </row>
    <row r="50" spans="1:5" x14ac:dyDescent="0.55000000000000004">
      <c r="A50" t="s">
        <v>693</v>
      </c>
      <c r="B50" t="s">
        <v>692</v>
      </c>
      <c r="C50" t="s">
        <v>10</v>
      </c>
      <c r="D50">
        <v>326832</v>
      </c>
      <c r="E50" t="s">
        <v>8</v>
      </c>
    </row>
    <row r="51" spans="1:5" x14ac:dyDescent="0.55000000000000004">
      <c r="A51" t="s">
        <v>705</v>
      </c>
      <c r="B51" t="s">
        <v>704</v>
      </c>
      <c r="C51" t="s">
        <v>10</v>
      </c>
      <c r="D51">
        <v>1501170</v>
      </c>
      <c r="E51" t="s">
        <v>8</v>
      </c>
    </row>
    <row r="52" spans="1:5" x14ac:dyDescent="0.55000000000000004">
      <c r="A52" t="s">
        <v>439</v>
      </c>
      <c r="B52" t="s">
        <v>438</v>
      </c>
      <c r="C52" t="s">
        <v>10</v>
      </c>
      <c r="D52">
        <v>1747548</v>
      </c>
      <c r="E52" t="s">
        <v>8</v>
      </c>
    </row>
    <row r="53" spans="1:5" x14ac:dyDescent="0.55000000000000004">
      <c r="A53" t="s">
        <v>441</v>
      </c>
      <c r="B53" t="s">
        <v>440</v>
      </c>
      <c r="C53" t="s">
        <v>13</v>
      </c>
      <c r="D53">
        <v>9229302</v>
      </c>
      <c r="E53" t="s">
        <v>8</v>
      </c>
    </row>
    <row r="54" spans="1:5" x14ac:dyDescent="0.55000000000000004">
      <c r="A54" t="s">
        <v>709</v>
      </c>
      <c r="B54" t="s">
        <v>708</v>
      </c>
      <c r="C54" t="s">
        <v>10</v>
      </c>
      <c r="D54">
        <v>354076</v>
      </c>
      <c r="E54" t="s">
        <v>8</v>
      </c>
    </row>
    <row r="55" spans="1:5" x14ac:dyDescent="0.55000000000000004">
      <c r="A55" t="s">
        <v>711</v>
      </c>
      <c r="B55" t="s">
        <v>710</v>
      </c>
      <c r="C55" t="s">
        <v>10</v>
      </c>
      <c r="D55">
        <v>3703754</v>
      </c>
      <c r="E55" t="s">
        <v>8</v>
      </c>
    </row>
    <row r="56" spans="1:5" x14ac:dyDescent="0.55000000000000004">
      <c r="A56" t="s">
        <v>717</v>
      </c>
      <c r="B56" t="s">
        <v>716</v>
      </c>
      <c r="C56" t="s">
        <v>6</v>
      </c>
      <c r="D56">
        <v>1121416</v>
      </c>
      <c r="E56" t="s">
        <v>8</v>
      </c>
    </row>
    <row r="57" spans="1:5" x14ac:dyDescent="0.55000000000000004">
      <c r="A57" t="s">
        <v>480</v>
      </c>
      <c r="B57" t="s">
        <v>479</v>
      </c>
      <c r="C57" t="s">
        <v>10</v>
      </c>
      <c r="D57">
        <v>2452620</v>
      </c>
      <c r="E57" t="s">
        <v>8</v>
      </c>
    </row>
    <row r="58" spans="1:5" x14ac:dyDescent="0.55000000000000004">
      <c r="A58" t="s">
        <v>723</v>
      </c>
      <c r="B58" t="s">
        <v>722</v>
      </c>
      <c r="C58" t="s">
        <v>10</v>
      </c>
      <c r="D58">
        <v>9440311</v>
      </c>
      <c r="E58" t="s">
        <v>8</v>
      </c>
    </row>
    <row r="59" spans="1:5" x14ac:dyDescent="0.55000000000000004">
      <c r="A59" t="s">
        <v>496</v>
      </c>
      <c r="B59" t="s">
        <v>495</v>
      </c>
      <c r="C59" t="s">
        <v>10</v>
      </c>
      <c r="D59">
        <v>1798435</v>
      </c>
      <c r="E59" t="s">
        <v>8</v>
      </c>
    </row>
    <row r="60" spans="1:5" x14ac:dyDescent="0.55000000000000004">
      <c r="A60" t="s">
        <v>703</v>
      </c>
      <c r="B60" t="s">
        <v>702</v>
      </c>
      <c r="C60" t="s">
        <v>10</v>
      </c>
      <c r="D60">
        <v>75639</v>
      </c>
      <c r="E60" t="s">
        <v>8</v>
      </c>
    </row>
    <row r="61" spans="1:5" x14ac:dyDescent="0.55000000000000004">
      <c r="A61" t="s">
        <v>515</v>
      </c>
      <c r="B61" t="s">
        <v>513</v>
      </c>
      <c r="C61" t="s">
        <v>514</v>
      </c>
      <c r="D61">
        <v>416644</v>
      </c>
      <c r="E61" t="s">
        <v>8</v>
      </c>
    </row>
    <row r="62" spans="1:5" x14ac:dyDescent="0.55000000000000004">
      <c r="A62" t="s">
        <v>521</v>
      </c>
      <c r="B62" t="s">
        <v>520</v>
      </c>
      <c r="C62" t="s">
        <v>10</v>
      </c>
      <c r="D62">
        <v>1364303</v>
      </c>
      <c r="E62" t="s">
        <v>8</v>
      </c>
    </row>
    <row r="63" spans="1:5" x14ac:dyDescent="0.55000000000000004">
      <c r="A63" t="s">
        <v>498</v>
      </c>
      <c r="B63" t="s">
        <v>497</v>
      </c>
      <c r="C63" t="s">
        <v>10</v>
      </c>
      <c r="D63">
        <v>8446666</v>
      </c>
      <c r="E63" t="s">
        <v>8</v>
      </c>
    </row>
    <row r="64" spans="1:5" x14ac:dyDescent="0.55000000000000004">
      <c r="A64" t="s">
        <v>500</v>
      </c>
      <c r="B64" t="s">
        <v>499</v>
      </c>
      <c r="C64" t="s">
        <v>10</v>
      </c>
      <c r="D64">
        <v>438715</v>
      </c>
      <c r="E64" t="s">
        <v>8</v>
      </c>
    </row>
    <row r="65" spans="1:5" x14ac:dyDescent="0.55000000000000004">
      <c r="A65" t="s">
        <v>504</v>
      </c>
      <c r="B65" t="s">
        <v>503</v>
      </c>
      <c r="C65" t="s">
        <v>41</v>
      </c>
      <c r="D65">
        <v>7562412</v>
      </c>
      <c r="E65" t="s">
        <v>8</v>
      </c>
    </row>
    <row r="66" spans="1:5" x14ac:dyDescent="0.55000000000000004">
      <c r="A66" t="s">
        <v>506</v>
      </c>
      <c r="B66" t="s">
        <v>505</v>
      </c>
      <c r="C66" t="s">
        <v>76</v>
      </c>
      <c r="D66">
        <v>459428</v>
      </c>
      <c r="E66" t="s">
        <v>8</v>
      </c>
    </row>
    <row r="67" spans="1:5" x14ac:dyDescent="0.55000000000000004">
      <c r="A67" t="s">
        <v>512</v>
      </c>
      <c r="B67" t="s">
        <v>511</v>
      </c>
      <c r="C67" t="s">
        <v>10</v>
      </c>
      <c r="D67">
        <v>144291</v>
      </c>
      <c r="E67" t="s">
        <v>8</v>
      </c>
    </row>
    <row r="68" spans="1:5" x14ac:dyDescent="0.55000000000000004">
      <c r="A68" t="s">
        <v>31</v>
      </c>
      <c r="B68" t="s">
        <v>30</v>
      </c>
      <c r="C68" t="s">
        <v>13</v>
      </c>
      <c r="D68">
        <v>576826</v>
      </c>
      <c r="E68" t="s">
        <v>8</v>
      </c>
    </row>
    <row r="69" spans="1:5" x14ac:dyDescent="0.55000000000000004">
      <c r="A69" t="s">
        <v>517</v>
      </c>
      <c r="B69" t="s">
        <v>516</v>
      </c>
      <c r="C69" t="s">
        <v>10</v>
      </c>
      <c r="D69">
        <v>699365</v>
      </c>
      <c r="E69" t="s">
        <v>8</v>
      </c>
    </row>
    <row r="70" spans="1:5" x14ac:dyDescent="0.55000000000000004">
      <c r="A70" t="s">
        <v>523</v>
      </c>
      <c r="B70" t="s">
        <v>522</v>
      </c>
      <c r="C70" t="s">
        <v>10</v>
      </c>
      <c r="D70">
        <v>719339</v>
      </c>
      <c r="E70" t="s">
        <v>8</v>
      </c>
    </row>
    <row r="71" spans="1:5" x14ac:dyDescent="0.55000000000000004">
      <c r="A71" t="s">
        <v>525</v>
      </c>
      <c r="B71" t="s">
        <v>524</v>
      </c>
      <c r="C71" t="s">
        <v>10</v>
      </c>
      <c r="D71">
        <v>1529546</v>
      </c>
      <c r="E71" t="s">
        <v>8</v>
      </c>
    </row>
    <row r="72" spans="1:5" x14ac:dyDescent="0.55000000000000004">
      <c r="A72" t="s">
        <v>68</v>
      </c>
      <c r="B72" t="s">
        <v>67</v>
      </c>
      <c r="C72" t="s">
        <v>10</v>
      </c>
      <c r="D72">
        <v>2448617</v>
      </c>
      <c r="E72" t="s">
        <v>8</v>
      </c>
    </row>
    <row r="73" spans="1:5" x14ac:dyDescent="0.55000000000000004">
      <c r="A73" t="s">
        <v>535</v>
      </c>
      <c r="B73" t="s">
        <v>534</v>
      </c>
      <c r="C73" t="s">
        <v>141</v>
      </c>
      <c r="D73">
        <v>1275742</v>
      </c>
      <c r="E73" t="s">
        <v>8</v>
      </c>
    </row>
    <row r="74" spans="1:5" x14ac:dyDescent="0.55000000000000004">
      <c r="A74" t="s">
        <v>541</v>
      </c>
      <c r="B74" t="s">
        <v>540</v>
      </c>
      <c r="C74" t="s">
        <v>6</v>
      </c>
      <c r="D74">
        <v>1079531</v>
      </c>
      <c r="E74" t="s">
        <v>8</v>
      </c>
    </row>
    <row r="75" spans="1:5" x14ac:dyDescent="0.55000000000000004">
      <c r="A75" t="s">
        <v>102</v>
      </c>
      <c r="B75" t="s">
        <v>101</v>
      </c>
      <c r="C75" t="s">
        <v>41</v>
      </c>
      <c r="D75">
        <v>7327111</v>
      </c>
      <c r="E75" t="s">
        <v>8</v>
      </c>
    </row>
    <row r="76" spans="1:5" x14ac:dyDescent="0.55000000000000004">
      <c r="A76" t="s">
        <v>548</v>
      </c>
      <c r="B76" t="s">
        <v>547</v>
      </c>
      <c r="C76" t="s">
        <v>10</v>
      </c>
      <c r="D76">
        <v>1870930</v>
      </c>
      <c r="E76" t="s">
        <v>8</v>
      </c>
    </row>
    <row r="77" spans="1:5" x14ac:dyDescent="0.55000000000000004">
      <c r="A77" t="s">
        <v>552</v>
      </c>
      <c r="B77" t="s">
        <v>551</v>
      </c>
      <c r="C77" t="s">
        <v>10</v>
      </c>
      <c r="D77">
        <v>261755</v>
      </c>
      <c r="E77" t="s">
        <v>8</v>
      </c>
    </row>
    <row r="78" spans="1:5" x14ac:dyDescent="0.55000000000000004">
      <c r="A78" t="s">
        <v>164</v>
      </c>
      <c r="B78" t="s">
        <v>163</v>
      </c>
      <c r="C78" t="s">
        <v>6</v>
      </c>
      <c r="D78">
        <v>1093008</v>
      </c>
      <c r="E78" t="s">
        <v>8</v>
      </c>
    </row>
    <row r="79" spans="1:5" x14ac:dyDescent="0.55000000000000004">
      <c r="A79" t="s">
        <v>561</v>
      </c>
      <c r="B79" t="s">
        <v>560</v>
      </c>
      <c r="C79" t="s">
        <v>10</v>
      </c>
      <c r="D79">
        <v>2853155</v>
      </c>
      <c r="E79" t="s">
        <v>8</v>
      </c>
    </row>
    <row r="80" spans="1:5" x14ac:dyDescent="0.55000000000000004">
      <c r="A80" t="s">
        <v>563</v>
      </c>
      <c r="B80" t="s">
        <v>562</v>
      </c>
      <c r="C80" t="s">
        <v>10</v>
      </c>
      <c r="D80">
        <v>2162966</v>
      </c>
      <c r="E80" t="s">
        <v>8</v>
      </c>
    </row>
    <row r="81" spans="1:5" x14ac:dyDescent="0.55000000000000004">
      <c r="A81" t="s">
        <v>565</v>
      </c>
      <c r="B81" t="s">
        <v>564</v>
      </c>
      <c r="C81" t="s">
        <v>10</v>
      </c>
      <c r="D81">
        <v>6947883</v>
      </c>
      <c r="E81" t="s">
        <v>8</v>
      </c>
    </row>
    <row r="82" spans="1:5" x14ac:dyDescent="0.55000000000000004">
      <c r="A82" t="s">
        <v>567</v>
      </c>
      <c r="B82" t="s">
        <v>566</v>
      </c>
      <c r="C82" t="s">
        <v>10</v>
      </c>
      <c r="D82">
        <v>255654</v>
      </c>
      <c r="E82" t="s">
        <v>8</v>
      </c>
    </row>
    <row r="83" spans="1:5" x14ac:dyDescent="0.55000000000000004">
      <c r="A83" t="s">
        <v>192</v>
      </c>
      <c r="B83" t="s">
        <v>191</v>
      </c>
      <c r="C83" t="s">
        <v>13</v>
      </c>
      <c r="D83">
        <v>89978</v>
      </c>
      <c r="E83" t="s">
        <v>8</v>
      </c>
    </row>
    <row r="84" spans="1:5" x14ac:dyDescent="0.55000000000000004">
      <c r="A84" t="s">
        <v>569</v>
      </c>
      <c r="B84" t="s">
        <v>568</v>
      </c>
      <c r="C84" t="s">
        <v>13</v>
      </c>
      <c r="D84">
        <v>1382243</v>
      </c>
      <c r="E84" t="s">
        <v>8</v>
      </c>
    </row>
    <row r="85" spans="1:5" x14ac:dyDescent="0.55000000000000004">
      <c r="A85" t="s">
        <v>571</v>
      </c>
      <c r="B85" t="s">
        <v>570</v>
      </c>
      <c r="C85" t="s">
        <v>10</v>
      </c>
      <c r="D85">
        <v>646345</v>
      </c>
      <c r="E85" t="s">
        <v>8</v>
      </c>
    </row>
    <row r="86" spans="1:5" x14ac:dyDescent="0.55000000000000004">
      <c r="A86" t="s">
        <v>211</v>
      </c>
      <c r="B86" t="s">
        <v>210</v>
      </c>
      <c r="C86" t="s">
        <v>10</v>
      </c>
      <c r="D86">
        <v>1174367</v>
      </c>
      <c r="E86" t="s">
        <v>8</v>
      </c>
    </row>
    <row r="87" spans="1:5" x14ac:dyDescent="0.55000000000000004">
      <c r="A87" t="s">
        <v>581</v>
      </c>
      <c r="B87" t="s">
        <v>580</v>
      </c>
      <c r="C87" t="s">
        <v>10</v>
      </c>
      <c r="D87">
        <v>288697</v>
      </c>
      <c r="E87" t="s">
        <v>8</v>
      </c>
    </row>
    <row r="88" spans="1:5" x14ac:dyDescent="0.55000000000000004">
      <c r="A88" t="s">
        <v>587</v>
      </c>
      <c r="B88" t="s">
        <v>586</v>
      </c>
      <c r="C88" t="s">
        <v>10</v>
      </c>
      <c r="D88">
        <v>672729</v>
      </c>
      <c r="E88" t="s">
        <v>8</v>
      </c>
    </row>
    <row r="89" spans="1:5" x14ac:dyDescent="0.55000000000000004">
      <c r="A89" t="s">
        <v>593</v>
      </c>
      <c r="B89" t="s">
        <v>592</v>
      </c>
      <c r="C89" t="s">
        <v>10</v>
      </c>
      <c r="D89">
        <v>611181</v>
      </c>
      <c r="E89" t="s">
        <v>8</v>
      </c>
    </row>
    <row r="90" spans="1:5" x14ac:dyDescent="0.55000000000000004">
      <c r="A90" t="s">
        <v>601</v>
      </c>
      <c r="B90" t="s">
        <v>600</v>
      </c>
      <c r="C90" t="s">
        <v>41</v>
      </c>
      <c r="D90">
        <v>2550536</v>
      </c>
      <c r="E90" t="s">
        <v>8</v>
      </c>
    </row>
    <row r="91" spans="1:5" x14ac:dyDescent="0.55000000000000004">
      <c r="A91" t="s">
        <v>605</v>
      </c>
      <c r="B91" t="s">
        <v>604</v>
      </c>
      <c r="C91" t="s">
        <v>6</v>
      </c>
      <c r="D91">
        <v>101189</v>
      </c>
      <c r="E91" t="s">
        <v>8</v>
      </c>
    </row>
    <row r="92" spans="1:5" x14ac:dyDescent="0.55000000000000004">
      <c r="A92" t="s">
        <v>609</v>
      </c>
      <c r="B92" t="s">
        <v>608</v>
      </c>
      <c r="C92" t="s">
        <v>10</v>
      </c>
      <c r="D92">
        <v>3082678</v>
      </c>
      <c r="E92" t="s">
        <v>8</v>
      </c>
    </row>
    <row r="93" spans="1:5" x14ac:dyDescent="0.55000000000000004">
      <c r="A93" t="s">
        <v>611</v>
      </c>
      <c r="B93" t="s">
        <v>610</v>
      </c>
      <c r="C93" t="s">
        <v>10</v>
      </c>
      <c r="D93">
        <v>747208</v>
      </c>
      <c r="E93" t="s">
        <v>8</v>
      </c>
    </row>
    <row r="94" spans="1:5" x14ac:dyDescent="0.55000000000000004">
      <c r="A94" t="s">
        <v>613</v>
      </c>
      <c r="B94" t="s">
        <v>612</v>
      </c>
      <c r="C94" t="s">
        <v>208</v>
      </c>
      <c r="D94">
        <v>2439255</v>
      </c>
      <c r="E94" t="s">
        <v>8</v>
      </c>
    </row>
    <row r="95" spans="1:5" x14ac:dyDescent="0.55000000000000004">
      <c r="A95" t="s">
        <v>615</v>
      </c>
      <c r="B95" t="s">
        <v>614</v>
      </c>
      <c r="C95" t="s">
        <v>10</v>
      </c>
      <c r="D95">
        <v>2950337</v>
      </c>
      <c r="E95" t="s">
        <v>8</v>
      </c>
    </row>
    <row r="96" spans="1:5" x14ac:dyDescent="0.55000000000000004">
      <c r="A96" t="s">
        <v>617</v>
      </c>
      <c r="B96" t="s">
        <v>616</v>
      </c>
      <c r="C96" t="s">
        <v>10</v>
      </c>
      <c r="D96">
        <v>1571351</v>
      </c>
      <c r="E96" t="s">
        <v>8</v>
      </c>
    </row>
    <row r="97" spans="1:5" x14ac:dyDescent="0.55000000000000004">
      <c r="A97" t="s">
        <v>619</v>
      </c>
      <c r="B97" t="s">
        <v>618</v>
      </c>
      <c r="C97" t="s">
        <v>10</v>
      </c>
      <c r="D97">
        <v>1559290</v>
      </c>
      <c r="E97" t="s">
        <v>8</v>
      </c>
    </row>
    <row r="98" spans="1:5" x14ac:dyDescent="0.55000000000000004">
      <c r="A98" t="s">
        <v>621</v>
      </c>
      <c r="B98" t="s">
        <v>620</v>
      </c>
      <c r="C98" t="s">
        <v>10</v>
      </c>
      <c r="D98">
        <v>88151</v>
      </c>
      <c r="E98" t="s">
        <v>8</v>
      </c>
    </row>
    <row r="99" spans="1:5" x14ac:dyDescent="0.55000000000000004">
      <c r="A99" t="s">
        <v>285</v>
      </c>
      <c r="B99" t="s">
        <v>284</v>
      </c>
      <c r="C99" t="s">
        <v>10</v>
      </c>
      <c r="D99">
        <v>2264501</v>
      </c>
      <c r="E99" t="s">
        <v>8</v>
      </c>
    </row>
    <row r="100" spans="1:5" x14ac:dyDescent="0.55000000000000004">
      <c r="A100" t="s">
        <v>627</v>
      </c>
      <c r="B100" t="s">
        <v>626</v>
      </c>
      <c r="C100" t="s">
        <v>41</v>
      </c>
      <c r="D100">
        <v>414416</v>
      </c>
      <c r="E100" t="s">
        <v>8</v>
      </c>
    </row>
    <row r="101" spans="1:5" x14ac:dyDescent="0.55000000000000004">
      <c r="A101" t="s">
        <v>629</v>
      </c>
      <c r="B101" t="s">
        <v>628</v>
      </c>
      <c r="C101" t="s">
        <v>10</v>
      </c>
      <c r="D101">
        <v>1275164</v>
      </c>
      <c r="E101" t="s">
        <v>8</v>
      </c>
    </row>
    <row r="102" spans="1:5" x14ac:dyDescent="0.55000000000000004">
      <c r="A102" t="s">
        <v>631</v>
      </c>
      <c r="B102" t="s">
        <v>630</v>
      </c>
      <c r="C102" t="s">
        <v>141</v>
      </c>
      <c r="D102">
        <v>1029758</v>
      </c>
      <c r="E102" t="s">
        <v>8</v>
      </c>
    </row>
    <row r="103" spans="1:5" x14ac:dyDescent="0.55000000000000004">
      <c r="A103" t="s">
        <v>633</v>
      </c>
      <c r="B103" t="s">
        <v>632</v>
      </c>
      <c r="C103" t="s">
        <v>10</v>
      </c>
      <c r="D103">
        <v>519290</v>
      </c>
      <c r="E103" t="s">
        <v>8</v>
      </c>
    </row>
    <row r="104" spans="1:5" x14ac:dyDescent="0.55000000000000004">
      <c r="A104" t="s">
        <v>637</v>
      </c>
      <c r="B104" t="s">
        <v>636</v>
      </c>
      <c r="C104" t="s">
        <v>10</v>
      </c>
      <c r="D104">
        <v>211445</v>
      </c>
      <c r="E104" t="s">
        <v>8</v>
      </c>
    </row>
    <row r="105" spans="1:5" x14ac:dyDescent="0.55000000000000004">
      <c r="A105" t="s">
        <v>329</v>
      </c>
      <c r="B105" t="s">
        <v>328</v>
      </c>
      <c r="C105" t="s">
        <v>10</v>
      </c>
      <c r="D105">
        <v>1495193</v>
      </c>
      <c r="E105" t="s">
        <v>8</v>
      </c>
    </row>
    <row r="106" spans="1:5" x14ac:dyDescent="0.55000000000000004">
      <c r="A106" t="s">
        <v>641</v>
      </c>
      <c r="B106" t="s">
        <v>640</v>
      </c>
      <c r="C106" t="s">
        <v>10</v>
      </c>
      <c r="D106">
        <v>894148</v>
      </c>
      <c r="E106" t="s">
        <v>8</v>
      </c>
    </row>
    <row r="107" spans="1:5" x14ac:dyDescent="0.55000000000000004">
      <c r="A107" t="s">
        <v>645</v>
      </c>
      <c r="B107" t="s">
        <v>644</v>
      </c>
      <c r="C107" t="s">
        <v>6</v>
      </c>
      <c r="D107">
        <v>743633</v>
      </c>
      <c r="E107" t="s">
        <v>8</v>
      </c>
    </row>
    <row r="108" spans="1:5" x14ac:dyDescent="0.55000000000000004">
      <c r="A108" t="s">
        <v>647</v>
      </c>
      <c r="B108" t="s">
        <v>646</v>
      </c>
      <c r="C108" t="s">
        <v>10</v>
      </c>
      <c r="D108">
        <v>1833383</v>
      </c>
      <c r="E108" t="s">
        <v>8</v>
      </c>
    </row>
    <row r="109" spans="1:5" x14ac:dyDescent="0.55000000000000004">
      <c r="A109" t="s">
        <v>649</v>
      </c>
      <c r="B109" t="s">
        <v>648</v>
      </c>
      <c r="C109" t="s">
        <v>10</v>
      </c>
      <c r="D109">
        <v>2269692</v>
      </c>
      <c r="E109" t="s">
        <v>8</v>
      </c>
    </row>
    <row r="110" spans="1:5" x14ac:dyDescent="0.55000000000000004">
      <c r="A110" t="s">
        <v>333</v>
      </c>
      <c r="B110" t="s">
        <v>332</v>
      </c>
      <c r="C110" t="s">
        <v>13</v>
      </c>
      <c r="D110">
        <v>559458</v>
      </c>
      <c r="E110" t="s">
        <v>8</v>
      </c>
    </row>
    <row r="111" spans="1:5" x14ac:dyDescent="0.55000000000000004">
      <c r="A111" t="s">
        <v>335</v>
      </c>
      <c r="B111" t="s">
        <v>334</v>
      </c>
      <c r="C111" t="s">
        <v>10</v>
      </c>
      <c r="D111">
        <v>2361820</v>
      </c>
      <c r="E111" t="s">
        <v>8</v>
      </c>
    </row>
    <row r="112" spans="1:5" x14ac:dyDescent="0.55000000000000004">
      <c r="A112" t="s">
        <v>653</v>
      </c>
      <c r="B112" t="s">
        <v>652</v>
      </c>
      <c r="C112" t="s">
        <v>10</v>
      </c>
      <c r="D112">
        <v>825525</v>
      </c>
      <c r="E112" t="s">
        <v>8</v>
      </c>
    </row>
    <row r="113" spans="1:5" x14ac:dyDescent="0.55000000000000004">
      <c r="A113" t="s">
        <v>655</v>
      </c>
      <c r="B113" t="s">
        <v>654</v>
      </c>
      <c r="C113" t="s">
        <v>10</v>
      </c>
      <c r="D113">
        <v>3224111</v>
      </c>
      <c r="E113" t="s">
        <v>8</v>
      </c>
    </row>
    <row r="114" spans="1:5" x14ac:dyDescent="0.55000000000000004">
      <c r="A114" t="s">
        <v>663</v>
      </c>
      <c r="B114" t="s">
        <v>662</v>
      </c>
      <c r="C114" t="s">
        <v>41</v>
      </c>
      <c r="D114">
        <v>803526</v>
      </c>
      <c r="E114" t="s">
        <v>8</v>
      </c>
    </row>
    <row r="115" spans="1:5" x14ac:dyDescent="0.55000000000000004">
      <c r="A115" t="s">
        <v>665</v>
      </c>
      <c r="B115" t="s">
        <v>664</v>
      </c>
      <c r="C115" t="s">
        <v>10</v>
      </c>
      <c r="D115">
        <v>1491901</v>
      </c>
      <c r="E115" t="s">
        <v>8</v>
      </c>
    </row>
    <row r="116" spans="1:5" x14ac:dyDescent="0.55000000000000004">
      <c r="A116" t="s">
        <v>346</v>
      </c>
      <c r="B116" t="s">
        <v>345</v>
      </c>
      <c r="C116" t="s">
        <v>10</v>
      </c>
      <c r="D116">
        <v>2605670</v>
      </c>
      <c r="E116" t="s">
        <v>8</v>
      </c>
    </row>
    <row r="117" spans="1:5" x14ac:dyDescent="0.55000000000000004">
      <c r="A117" t="s">
        <v>667</v>
      </c>
      <c r="B117" t="s">
        <v>666</v>
      </c>
      <c r="C117" t="s">
        <v>10</v>
      </c>
      <c r="D117">
        <v>2338050</v>
      </c>
      <c r="E117" t="s">
        <v>8</v>
      </c>
    </row>
    <row r="118" spans="1:5" x14ac:dyDescent="0.55000000000000004">
      <c r="A118" t="s">
        <v>348</v>
      </c>
      <c r="B118" t="s">
        <v>347</v>
      </c>
      <c r="C118" t="s">
        <v>10</v>
      </c>
      <c r="D118">
        <v>918798</v>
      </c>
      <c r="E118" t="s">
        <v>8</v>
      </c>
    </row>
    <row r="119" spans="1:5" x14ac:dyDescent="0.55000000000000004">
      <c r="A119" t="s">
        <v>669</v>
      </c>
      <c r="B119" t="s">
        <v>668</v>
      </c>
      <c r="C119" t="s">
        <v>10</v>
      </c>
      <c r="D119">
        <v>296874</v>
      </c>
      <c r="E119" t="s">
        <v>8</v>
      </c>
    </row>
    <row r="120" spans="1:5" x14ac:dyDescent="0.55000000000000004">
      <c r="A120" t="s">
        <v>673</v>
      </c>
      <c r="B120" t="s">
        <v>672</v>
      </c>
      <c r="C120" t="s">
        <v>10</v>
      </c>
      <c r="D120">
        <v>479112</v>
      </c>
      <c r="E120" t="s">
        <v>8</v>
      </c>
    </row>
    <row r="121" spans="1:5" x14ac:dyDescent="0.55000000000000004">
      <c r="A121" t="s">
        <v>675</v>
      </c>
      <c r="B121" t="s">
        <v>674</v>
      </c>
      <c r="C121" t="s">
        <v>10</v>
      </c>
      <c r="D121">
        <v>3200205</v>
      </c>
      <c r="E121" t="s">
        <v>8</v>
      </c>
    </row>
    <row r="122" spans="1:5" x14ac:dyDescent="0.55000000000000004">
      <c r="A122" t="s">
        <v>687</v>
      </c>
      <c r="B122" t="s">
        <v>686</v>
      </c>
      <c r="C122" t="s">
        <v>10</v>
      </c>
      <c r="D122">
        <v>2461466</v>
      </c>
      <c r="E122" t="s">
        <v>8</v>
      </c>
    </row>
    <row r="123" spans="1:5" x14ac:dyDescent="0.55000000000000004">
      <c r="A123" t="s">
        <v>685</v>
      </c>
      <c r="B123" t="s">
        <v>684</v>
      </c>
      <c r="C123" t="s">
        <v>10</v>
      </c>
      <c r="D123">
        <v>472808</v>
      </c>
      <c r="E123" t="s">
        <v>8</v>
      </c>
    </row>
    <row r="124" spans="1:5" x14ac:dyDescent="0.55000000000000004">
      <c r="A124" t="s">
        <v>689</v>
      </c>
      <c r="B124" t="s">
        <v>688</v>
      </c>
      <c r="C124" t="s">
        <v>6</v>
      </c>
      <c r="D124">
        <v>481107</v>
      </c>
      <c r="E124" t="s">
        <v>8</v>
      </c>
    </row>
    <row r="125" spans="1:5" x14ac:dyDescent="0.55000000000000004">
      <c r="A125" t="s">
        <v>691</v>
      </c>
      <c r="B125" t="s">
        <v>690</v>
      </c>
      <c r="C125" t="s">
        <v>10</v>
      </c>
      <c r="D125">
        <v>616481</v>
      </c>
      <c r="E125" t="s">
        <v>8</v>
      </c>
    </row>
    <row r="126" spans="1:5" x14ac:dyDescent="0.55000000000000004">
      <c r="A126" t="s">
        <v>411</v>
      </c>
      <c r="B126" t="s">
        <v>409</v>
      </c>
      <c r="C126" t="s">
        <v>410</v>
      </c>
      <c r="D126">
        <v>832787</v>
      </c>
      <c r="E126" t="s">
        <v>8</v>
      </c>
    </row>
    <row r="127" spans="1:5" x14ac:dyDescent="0.55000000000000004">
      <c r="A127" t="s">
        <v>431</v>
      </c>
      <c r="B127" t="s">
        <v>430</v>
      </c>
      <c r="C127" t="s">
        <v>10</v>
      </c>
      <c r="D127">
        <v>446113</v>
      </c>
      <c r="E127" t="s">
        <v>8</v>
      </c>
    </row>
    <row r="128" spans="1:5" x14ac:dyDescent="0.55000000000000004">
      <c r="A128" t="s">
        <v>695</v>
      </c>
      <c r="B128" t="s">
        <v>694</v>
      </c>
      <c r="C128" t="s">
        <v>10</v>
      </c>
      <c r="D128">
        <v>1332582</v>
      </c>
      <c r="E128" t="s">
        <v>8</v>
      </c>
    </row>
    <row r="129" spans="1:5" x14ac:dyDescent="0.55000000000000004">
      <c r="A129" t="s">
        <v>697</v>
      </c>
      <c r="B129" t="s">
        <v>696</v>
      </c>
      <c r="C129" t="s">
        <v>10</v>
      </c>
      <c r="D129">
        <v>261292</v>
      </c>
      <c r="E129" t="s">
        <v>8</v>
      </c>
    </row>
    <row r="130" spans="1:5" x14ac:dyDescent="0.55000000000000004">
      <c r="A130" t="s">
        <v>415</v>
      </c>
      <c r="B130" t="s">
        <v>414</v>
      </c>
      <c r="C130" t="s">
        <v>10</v>
      </c>
      <c r="D130">
        <v>4171713</v>
      </c>
      <c r="E130" t="s">
        <v>8</v>
      </c>
    </row>
    <row r="131" spans="1:5" x14ac:dyDescent="0.55000000000000004">
      <c r="A131" t="s">
        <v>701</v>
      </c>
      <c r="B131" t="s">
        <v>700</v>
      </c>
      <c r="C131" t="s">
        <v>10</v>
      </c>
      <c r="D131">
        <v>1769272</v>
      </c>
      <c r="E131" t="s">
        <v>8</v>
      </c>
    </row>
    <row r="132" spans="1:5" x14ac:dyDescent="0.55000000000000004">
      <c r="A132" t="s">
        <v>492</v>
      </c>
      <c r="B132" t="s">
        <v>491</v>
      </c>
      <c r="C132" t="s">
        <v>10</v>
      </c>
      <c r="D132">
        <v>2159695</v>
      </c>
      <c r="E132" t="s">
        <v>8</v>
      </c>
    </row>
    <row r="133" spans="1:5" x14ac:dyDescent="0.55000000000000004">
      <c r="A133" t="s">
        <v>433</v>
      </c>
      <c r="B133" t="s">
        <v>432</v>
      </c>
      <c r="C133" t="s">
        <v>10</v>
      </c>
      <c r="D133">
        <v>963977</v>
      </c>
      <c r="E133" t="s">
        <v>8</v>
      </c>
    </row>
    <row r="134" spans="1:5" x14ac:dyDescent="0.55000000000000004">
      <c r="A134" t="s">
        <v>707</v>
      </c>
      <c r="B134" t="s">
        <v>706</v>
      </c>
      <c r="C134" t="s">
        <v>10</v>
      </c>
      <c r="D134">
        <v>2506521</v>
      </c>
      <c r="E134" t="s">
        <v>8</v>
      </c>
    </row>
    <row r="135" spans="1:5" x14ac:dyDescent="0.55000000000000004">
      <c r="A135" t="s">
        <v>437</v>
      </c>
      <c r="B135" t="s">
        <v>436</v>
      </c>
      <c r="C135" t="s">
        <v>10</v>
      </c>
      <c r="D135">
        <v>1194376</v>
      </c>
      <c r="E135" t="s">
        <v>8</v>
      </c>
    </row>
    <row r="136" spans="1:5" x14ac:dyDescent="0.55000000000000004">
      <c r="A136" t="s">
        <v>490</v>
      </c>
      <c r="B136" t="s">
        <v>489</v>
      </c>
      <c r="C136" t="s">
        <v>208</v>
      </c>
      <c r="D136">
        <v>53826</v>
      </c>
      <c r="E136" t="s">
        <v>8</v>
      </c>
    </row>
    <row r="137" spans="1:5" x14ac:dyDescent="0.55000000000000004">
      <c r="A137" t="s">
        <v>451</v>
      </c>
      <c r="B137" t="s">
        <v>450</v>
      </c>
      <c r="C137" t="s">
        <v>10</v>
      </c>
      <c r="D137">
        <v>5285625</v>
      </c>
      <c r="E137" t="s">
        <v>8</v>
      </c>
    </row>
    <row r="138" spans="1:5" x14ac:dyDescent="0.55000000000000004">
      <c r="A138" t="s">
        <v>464</v>
      </c>
      <c r="B138" t="s">
        <v>463</v>
      </c>
      <c r="C138" t="s">
        <v>6</v>
      </c>
      <c r="D138">
        <v>5020950</v>
      </c>
      <c r="E138" t="s">
        <v>8</v>
      </c>
    </row>
    <row r="139" spans="1:5" x14ac:dyDescent="0.55000000000000004">
      <c r="A139" t="s">
        <v>466</v>
      </c>
      <c r="B139" t="s">
        <v>465</v>
      </c>
      <c r="C139" t="s">
        <v>76</v>
      </c>
      <c r="D139">
        <v>6936762</v>
      </c>
      <c r="E139" t="s">
        <v>8</v>
      </c>
    </row>
    <row r="140" spans="1:5" x14ac:dyDescent="0.55000000000000004">
      <c r="A140" t="s">
        <v>470</v>
      </c>
      <c r="B140" t="s">
        <v>469</v>
      </c>
      <c r="C140" t="s">
        <v>10</v>
      </c>
      <c r="D140">
        <v>429109</v>
      </c>
      <c r="E140" t="s">
        <v>8</v>
      </c>
    </row>
    <row r="141" spans="1:5" x14ac:dyDescent="0.55000000000000004">
      <c r="A141" t="s">
        <v>713</v>
      </c>
      <c r="B141" t="s">
        <v>712</v>
      </c>
      <c r="C141" t="s">
        <v>10</v>
      </c>
      <c r="D141">
        <v>784079</v>
      </c>
      <c r="E141" t="s">
        <v>8</v>
      </c>
    </row>
    <row r="142" spans="1:5" x14ac:dyDescent="0.55000000000000004">
      <c r="A142" t="s">
        <v>715</v>
      </c>
      <c r="B142" t="s">
        <v>714</v>
      </c>
      <c r="C142" t="s">
        <v>10</v>
      </c>
      <c r="D142">
        <v>2476541</v>
      </c>
      <c r="E142" t="s">
        <v>8</v>
      </c>
    </row>
    <row r="143" spans="1:5" x14ac:dyDescent="0.55000000000000004">
      <c r="A143" t="s">
        <v>478</v>
      </c>
      <c r="B143" t="s">
        <v>477</v>
      </c>
      <c r="C143" t="s">
        <v>6</v>
      </c>
      <c r="D143">
        <v>2913257</v>
      </c>
      <c r="E143" t="s">
        <v>8</v>
      </c>
    </row>
    <row r="144" spans="1:5" x14ac:dyDescent="0.55000000000000004">
      <c r="A144" t="s">
        <v>719</v>
      </c>
      <c r="B144" t="s">
        <v>718</v>
      </c>
      <c r="C144" t="s">
        <v>10</v>
      </c>
      <c r="D144">
        <v>234292</v>
      </c>
      <c r="E144" t="s">
        <v>8</v>
      </c>
    </row>
    <row r="145" spans="1:5" x14ac:dyDescent="0.55000000000000004">
      <c r="A145" t="s">
        <v>721</v>
      </c>
      <c r="B145" t="s">
        <v>720</v>
      </c>
      <c r="C145" t="s">
        <v>6</v>
      </c>
      <c r="D145">
        <v>5345327</v>
      </c>
      <c r="E145" t="s">
        <v>8</v>
      </c>
    </row>
    <row r="146" spans="1:5" x14ac:dyDescent="0.55000000000000004">
      <c r="A146" t="s">
        <v>484</v>
      </c>
      <c r="B146" t="s">
        <v>483</v>
      </c>
      <c r="C146" t="s">
        <v>13</v>
      </c>
      <c r="D146">
        <v>8819909</v>
      </c>
      <c r="E146" t="s">
        <v>8</v>
      </c>
    </row>
    <row r="147" spans="1:5" x14ac:dyDescent="0.55000000000000004">
      <c r="A147" t="s">
        <v>486</v>
      </c>
      <c r="B147" t="s">
        <v>485</v>
      </c>
      <c r="C147" t="s">
        <v>76</v>
      </c>
      <c r="D147">
        <v>1113803</v>
      </c>
      <c r="E147" t="s">
        <v>8</v>
      </c>
    </row>
    <row r="148" spans="1:5" x14ac:dyDescent="0.55000000000000004">
      <c r="A148" t="s">
        <v>533</v>
      </c>
      <c r="B148" t="s">
        <v>532</v>
      </c>
      <c r="C148" t="s">
        <v>18</v>
      </c>
      <c r="D148">
        <v>1633846</v>
      </c>
      <c r="E148" t="s">
        <v>8</v>
      </c>
    </row>
    <row r="149" spans="1:5" x14ac:dyDescent="0.55000000000000004">
      <c r="A149" t="s">
        <v>19</v>
      </c>
      <c r="B149" t="s">
        <v>17</v>
      </c>
      <c r="C149" t="s">
        <v>18</v>
      </c>
      <c r="D149">
        <v>2104121</v>
      </c>
      <c r="E149" t="s">
        <v>8</v>
      </c>
    </row>
    <row r="150" spans="1:5" x14ac:dyDescent="0.55000000000000004">
      <c r="A150" t="s">
        <v>639</v>
      </c>
      <c r="B150" t="s">
        <v>638</v>
      </c>
      <c r="C150" t="s">
        <v>18</v>
      </c>
      <c r="D150">
        <v>1750993</v>
      </c>
      <c r="E150" t="s">
        <v>8</v>
      </c>
    </row>
    <row r="151" spans="1:5" x14ac:dyDescent="0.55000000000000004">
      <c r="A151" t="s">
        <v>321</v>
      </c>
      <c r="B151" t="s">
        <v>320</v>
      </c>
      <c r="C151" t="s">
        <v>10</v>
      </c>
      <c r="D151">
        <v>7150010</v>
      </c>
      <c r="E151" t="s">
        <v>8</v>
      </c>
    </row>
    <row r="152" spans="1:5" x14ac:dyDescent="0.55000000000000004">
      <c r="A152" t="s">
        <v>657</v>
      </c>
      <c r="B152" t="s">
        <v>656</v>
      </c>
      <c r="C152" t="s">
        <v>10</v>
      </c>
      <c r="D152">
        <v>349971</v>
      </c>
      <c r="E152" t="s">
        <v>8</v>
      </c>
    </row>
    <row r="153" spans="1:5" x14ac:dyDescent="0.55000000000000004">
      <c r="A153" t="s">
        <v>577</v>
      </c>
      <c r="B153" t="s">
        <v>576</v>
      </c>
      <c r="C153" t="s">
        <v>10</v>
      </c>
      <c r="D153">
        <v>3598471</v>
      </c>
      <c r="E153" t="s">
        <v>8</v>
      </c>
    </row>
    <row r="154" spans="1:5" x14ac:dyDescent="0.55000000000000004">
      <c r="A154" t="s">
        <v>681</v>
      </c>
      <c r="B154" t="s">
        <v>680</v>
      </c>
      <c r="C154" t="s">
        <v>10</v>
      </c>
      <c r="D154">
        <v>1989887</v>
      </c>
      <c r="E154" t="s">
        <v>8</v>
      </c>
    </row>
    <row r="155" spans="1:5" x14ac:dyDescent="0.55000000000000004">
      <c r="A155" t="s">
        <v>556</v>
      </c>
      <c r="B155" t="s">
        <v>555</v>
      </c>
      <c r="C155" t="s">
        <v>215</v>
      </c>
      <c r="D155">
        <v>1767446</v>
      </c>
      <c r="E155" t="s">
        <v>8</v>
      </c>
    </row>
    <row r="156" spans="1:5" x14ac:dyDescent="0.55000000000000004">
      <c r="A156" t="s">
        <v>559</v>
      </c>
      <c r="B156" t="s">
        <v>557</v>
      </c>
      <c r="C156" t="s">
        <v>558</v>
      </c>
      <c r="D156">
        <v>650802</v>
      </c>
      <c r="E156" t="s">
        <v>8</v>
      </c>
    </row>
    <row r="157" spans="1:5" x14ac:dyDescent="0.55000000000000004">
      <c r="A157" t="s">
        <v>699</v>
      </c>
      <c r="B157" t="s">
        <v>698</v>
      </c>
      <c r="C157" t="s">
        <v>13</v>
      </c>
      <c r="D157">
        <v>8179324</v>
      </c>
      <c r="E157" t="s">
        <v>8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398FC-2EC6-4EAF-ABB3-2F2EAF9A853A}">
  <dimension ref="A1:E112"/>
  <sheetViews>
    <sheetView topLeftCell="A88" workbookViewId="0">
      <selection activeCell="D2" sqref="D2:D112"/>
    </sheetView>
  </sheetViews>
  <sheetFormatPr defaultRowHeight="18" x14ac:dyDescent="0.55000000000000004"/>
  <cols>
    <col min="1" max="1" width="10.9140625" bestFit="1" customWidth="1"/>
    <col min="2" max="2" width="34.5" bestFit="1" customWidth="1"/>
    <col min="3" max="3" width="18.4140625" bestFit="1" customWidth="1"/>
    <col min="5" max="5" width="8.25" bestFit="1" customWidth="1"/>
    <col min="6" max="6" width="23.33203125" bestFit="1" customWidth="1"/>
  </cols>
  <sheetData>
    <row r="1" spans="1:5" x14ac:dyDescent="0.55000000000000004">
      <c r="A1" t="s">
        <v>2</v>
      </c>
      <c r="B1" t="s">
        <v>0</v>
      </c>
      <c r="C1" t="s">
        <v>1</v>
      </c>
      <c r="D1" t="s">
        <v>1595</v>
      </c>
      <c r="E1" t="s">
        <v>4</v>
      </c>
    </row>
    <row r="2" spans="1:5" x14ac:dyDescent="0.55000000000000004">
      <c r="A2" t="s">
        <v>1479</v>
      </c>
      <c r="B2" t="s">
        <v>1478</v>
      </c>
      <c r="C2" t="s">
        <v>10</v>
      </c>
      <c r="D2">
        <v>1176400</v>
      </c>
      <c r="E2" t="s">
        <v>8</v>
      </c>
    </row>
    <row r="3" spans="1:5" x14ac:dyDescent="0.55000000000000004">
      <c r="A3" t="s">
        <v>508</v>
      </c>
      <c r="B3" t="s">
        <v>507</v>
      </c>
      <c r="C3" t="s">
        <v>10</v>
      </c>
      <c r="D3">
        <v>93966</v>
      </c>
      <c r="E3" t="s">
        <v>8</v>
      </c>
    </row>
    <row r="4" spans="1:5" x14ac:dyDescent="0.55000000000000004">
      <c r="A4" t="s">
        <v>1497</v>
      </c>
      <c r="B4" t="s">
        <v>1496</v>
      </c>
      <c r="C4" t="s">
        <v>10</v>
      </c>
      <c r="D4">
        <v>188627</v>
      </c>
      <c r="E4" t="s">
        <v>8</v>
      </c>
    </row>
    <row r="5" spans="1:5" x14ac:dyDescent="0.55000000000000004">
      <c r="A5" t="s">
        <v>1491</v>
      </c>
      <c r="B5" t="s">
        <v>1490</v>
      </c>
      <c r="C5" t="s">
        <v>10</v>
      </c>
      <c r="D5">
        <v>371199</v>
      </c>
      <c r="E5" t="s">
        <v>8</v>
      </c>
    </row>
    <row r="6" spans="1:5" x14ac:dyDescent="0.55000000000000004">
      <c r="A6" t="s">
        <v>1493</v>
      </c>
      <c r="B6" t="s">
        <v>1492</v>
      </c>
      <c r="C6" t="s">
        <v>6</v>
      </c>
      <c r="D6">
        <v>4642228</v>
      </c>
      <c r="E6" t="s">
        <v>8</v>
      </c>
    </row>
    <row r="7" spans="1:5" x14ac:dyDescent="0.55000000000000004">
      <c r="A7" t="s">
        <v>1495</v>
      </c>
      <c r="B7" t="s">
        <v>1494</v>
      </c>
      <c r="C7" t="s">
        <v>10</v>
      </c>
      <c r="D7">
        <v>1119984</v>
      </c>
      <c r="E7" t="s">
        <v>8</v>
      </c>
    </row>
    <row r="8" spans="1:5" x14ac:dyDescent="0.55000000000000004">
      <c r="A8" t="s">
        <v>550</v>
      </c>
      <c r="B8" t="s">
        <v>549</v>
      </c>
      <c r="C8" t="s">
        <v>10</v>
      </c>
      <c r="D8">
        <v>493527</v>
      </c>
      <c r="E8" t="s">
        <v>8</v>
      </c>
    </row>
    <row r="9" spans="1:5" x14ac:dyDescent="0.55000000000000004">
      <c r="A9" t="s">
        <v>122</v>
      </c>
      <c r="B9" t="s">
        <v>121</v>
      </c>
      <c r="C9" t="s">
        <v>10</v>
      </c>
      <c r="D9">
        <v>1128562</v>
      </c>
      <c r="E9" t="s">
        <v>8</v>
      </c>
    </row>
    <row r="10" spans="1:5" x14ac:dyDescent="0.55000000000000004">
      <c r="A10" t="s">
        <v>128</v>
      </c>
      <c r="B10" t="s">
        <v>127</v>
      </c>
      <c r="C10" t="s">
        <v>10</v>
      </c>
      <c r="D10">
        <v>1734288</v>
      </c>
      <c r="E10" t="s">
        <v>8</v>
      </c>
    </row>
    <row r="11" spans="1:5" x14ac:dyDescent="0.55000000000000004">
      <c r="A11" t="s">
        <v>745</v>
      </c>
      <c r="B11" t="s">
        <v>744</v>
      </c>
      <c r="C11" t="s">
        <v>10</v>
      </c>
      <c r="D11">
        <v>266668</v>
      </c>
      <c r="E11" t="s">
        <v>8</v>
      </c>
    </row>
    <row r="12" spans="1:5" x14ac:dyDescent="0.55000000000000004">
      <c r="A12" t="s">
        <v>1499</v>
      </c>
      <c r="B12" t="s">
        <v>1498</v>
      </c>
      <c r="C12" t="s">
        <v>10</v>
      </c>
      <c r="D12">
        <v>359119</v>
      </c>
      <c r="E12" t="s">
        <v>8</v>
      </c>
    </row>
    <row r="13" spans="1:5" x14ac:dyDescent="0.55000000000000004">
      <c r="A13" t="s">
        <v>190</v>
      </c>
      <c r="B13" t="s">
        <v>189</v>
      </c>
      <c r="C13" t="s">
        <v>10</v>
      </c>
      <c r="D13">
        <v>941767</v>
      </c>
      <c r="E13" t="s">
        <v>8</v>
      </c>
    </row>
    <row r="14" spans="1:5" x14ac:dyDescent="0.55000000000000004">
      <c r="A14" t="s">
        <v>579</v>
      </c>
      <c r="B14" t="s">
        <v>578</v>
      </c>
      <c r="C14" t="s">
        <v>6</v>
      </c>
      <c r="D14">
        <v>459998</v>
      </c>
      <c r="E14" t="s">
        <v>8</v>
      </c>
    </row>
    <row r="15" spans="1:5" x14ac:dyDescent="0.55000000000000004">
      <c r="A15" t="s">
        <v>1507</v>
      </c>
      <c r="B15" t="s">
        <v>1506</v>
      </c>
      <c r="C15" t="s">
        <v>10</v>
      </c>
      <c r="D15">
        <v>702687</v>
      </c>
      <c r="E15" t="s">
        <v>8</v>
      </c>
    </row>
    <row r="16" spans="1:5" x14ac:dyDescent="0.55000000000000004">
      <c r="A16" t="s">
        <v>585</v>
      </c>
      <c r="B16" t="s">
        <v>584</v>
      </c>
      <c r="C16" t="s">
        <v>10</v>
      </c>
      <c r="D16">
        <v>1202097</v>
      </c>
      <c r="E16" t="s">
        <v>8</v>
      </c>
    </row>
    <row r="17" spans="1:5" x14ac:dyDescent="0.55000000000000004">
      <c r="A17" t="s">
        <v>226</v>
      </c>
      <c r="B17" t="s">
        <v>225</v>
      </c>
      <c r="C17" t="s">
        <v>10</v>
      </c>
      <c r="D17">
        <v>1204691</v>
      </c>
      <c r="E17" t="s">
        <v>8</v>
      </c>
    </row>
    <row r="18" spans="1:5" x14ac:dyDescent="0.55000000000000004">
      <c r="A18" t="s">
        <v>233</v>
      </c>
      <c r="B18" t="s">
        <v>232</v>
      </c>
      <c r="C18" t="s">
        <v>10</v>
      </c>
      <c r="D18">
        <v>389550</v>
      </c>
      <c r="E18" t="s">
        <v>8</v>
      </c>
    </row>
    <row r="19" spans="1:5" x14ac:dyDescent="0.55000000000000004">
      <c r="A19" t="s">
        <v>1509</v>
      </c>
      <c r="B19" t="s">
        <v>1508</v>
      </c>
      <c r="C19" t="s">
        <v>10</v>
      </c>
      <c r="D19">
        <v>546079</v>
      </c>
      <c r="E19" t="s">
        <v>8</v>
      </c>
    </row>
    <row r="20" spans="1:5" x14ac:dyDescent="0.55000000000000004">
      <c r="A20" t="s">
        <v>243</v>
      </c>
      <c r="B20" t="s">
        <v>242</v>
      </c>
      <c r="C20" t="s">
        <v>10</v>
      </c>
      <c r="D20">
        <v>1200396</v>
      </c>
      <c r="E20" t="s">
        <v>8</v>
      </c>
    </row>
    <row r="21" spans="1:5" x14ac:dyDescent="0.55000000000000004">
      <c r="A21" t="s">
        <v>603</v>
      </c>
      <c r="B21" t="s">
        <v>602</v>
      </c>
      <c r="C21" t="s">
        <v>10</v>
      </c>
      <c r="D21">
        <v>1927002</v>
      </c>
      <c r="E21" t="s">
        <v>8</v>
      </c>
    </row>
    <row r="22" spans="1:5" x14ac:dyDescent="0.55000000000000004">
      <c r="A22" t="s">
        <v>1520</v>
      </c>
      <c r="B22" t="s">
        <v>1519</v>
      </c>
      <c r="C22" t="s">
        <v>10</v>
      </c>
      <c r="D22">
        <v>870108</v>
      </c>
      <c r="E22" t="s">
        <v>8</v>
      </c>
    </row>
    <row r="23" spans="1:5" x14ac:dyDescent="0.55000000000000004">
      <c r="A23" t="s">
        <v>625</v>
      </c>
      <c r="B23" t="s">
        <v>624</v>
      </c>
      <c r="C23" t="s">
        <v>10</v>
      </c>
      <c r="D23">
        <v>578811</v>
      </c>
      <c r="E23" t="s">
        <v>8</v>
      </c>
    </row>
    <row r="24" spans="1:5" x14ac:dyDescent="0.55000000000000004">
      <c r="A24" t="s">
        <v>1527</v>
      </c>
      <c r="B24" t="s">
        <v>1526</v>
      </c>
      <c r="C24" t="s">
        <v>10</v>
      </c>
      <c r="D24">
        <v>79864</v>
      </c>
      <c r="E24" t="s">
        <v>8</v>
      </c>
    </row>
    <row r="25" spans="1:5" x14ac:dyDescent="0.55000000000000004">
      <c r="A25" t="s">
        <v>643</v>
      </c>
      <c r="B25" t="s">
        <v>642</v>
      </c>
      <c r="C25" t="s">
        <v>10</v>
      </c>
      <c r="D25">
        <v>586698</v>
      </c>
      <c r="E25" t="s">
        <v>8</v>
      </c>
    </row>
    <row r="26" spans="1:5" x14ac:dyDescent="0.55000000000000004">
      <c r="A26" t="s">
        <v>1533</v>
      </c>
      <c r="B26" t="s">
        <v>1532</v>
      </c>
      <c r="C26" t="s">
        <v>6</v>
      </c>
      <c r="D26">
        <v>916017</v>
      </c>
      <c r="E26" t="s">
        <v>8</v>
      </c>
    </row>
    <row r="27" spans="1:5" x14ac:dyDescent="0.55000000000000004">
      <c r="A27" t="s">
        <v>883</v>
      </c>
      <c r="B27" t="s">
        <v>1534</v>
      </c>
      <c r="C27" t="s">
        <v>10</v>
      </c>
      <c r="D27">
        <v>558181</v>
      </c>
      <c r="E27" t="s">
        <v>8</v>
      </c>
    </row>
    <row r="28" spans="1:5" x14ac:dyDescent="0.55000000000000004">
      <c r="A28" t="s">
        <v>1536</v>
      </c>
      <c r="B28" t="s">
        <v>1535</v>
      </c>
      <c r="C28" t="s">
        <v>10</v>
      </c>
      <c r="D28">
        <v>234966</v>
      </c>
      <c r="E28" t="s">
        <v>8</v>
      </c>
    </row>
    <row r="29" spans="1:5" x14ac:dyDescent="0.55000000000000004">
      <c r="A29" t="s">
        <v>661</v>
      </c>
      <c r="B29" t="s">
        <v>660</v>
      </c>
      <c r="C29" t="s">
        <v>10</v>
      </c>
      <c r="D29">
        <v>977257</v>
      </c>
      <c r="E29" t="s">
        <v>8</v>
      </c>
    </row>
    <row r="30" spans="1:5" x14ac:dyDescent="0.55000000000000004">
      <c r="A30" t="s">
        <v>1540</v>
      </c>
      <c r="B30" t="s">
        <v>1539</v>
      </c>
      <c r="C30" t="s">
        <v>10</v>
      </c>
      <c r="D30">
        <v>1882368</v>
      </c>
      <c r="E30" t="s">
        <v>8</v>
      </c>
    </row>
    <row r="31" spans="1:5" x14ac:dyDescent="0.55000000000000004">
      <c r="A31" t="s">
        <v>781</v>
      </c>
      <c r="B31" t="s">
        <v>780</v>
      </c>
      <c r="C31" t="s">
        <v>10</v>
      </c>
      <c r="D31">
        <v>802056</v>
      </c>
      <c r="E31" t="s">
        <v>8</v>
      </c>
    </row>
    <row r="32" spans="1:5" x14ac:dyDescent="0.55000000000000004">
      <c r="A32" t="s">
        <v>370</v>
      </c>
      <c r="B32" t="s">
        <v>369</v>
      </c>
      <c r="C32" t="s">
        <v>10</v>
      </c>
      <c r="D32">
        <v>1991008</v>
      </c>
      <c r="E32" t="s">
        <v>8</v>
      </c>
    </row>
    <row r="33" spans="1:5" x14ac:dyDescent="0.55000000000000004">
      <c r="A33" t="s">
        <v>1548</v>
      </c>
      <c r="B33" t="s">
        <v>1547</v>
      </c>
      <c r="C33" t="s">
        <v>10</v>
      </c>
      <c r="D33">
        <v>287728</v>
      </c>
      <c r="E33" t="s">
        <v>8</v>
      </c>
    </row>
    <row r="34" spans="1:5" x14ac:dyDescent="0.55000000000000004">
      <c r="A34" t="s">
        <v>1550</v>
      </c>
      <c r="B34" t="s">
        <v>1549</v>
      </c>
      <c r="C34" t="s">
        <v>10</v>
      </c>
      <c r="D34">
        <v>488156</v>
      </c>
      <c r="E34" t="s">
        <v>8</v>
      </c>
    </row>
    <row r="35" spans="1:5" x14ac:dyDescent="0.55000000000000004">
      <c r="A35" t="s">
        <v>398</v>
      </c>
      <c r="B35" t="s">
        <v>397</v>
      </c>
      <c r="C35" t="s">
        <v>10</v>
      </c>
      <c r="D35">
        <v>5070269</v>
      </c>
      <c r="E35" t="s">
        <v>8</v>
      </c>
    </row>
    <row r="36" spans="1:5" x14ac:dyDescent="0.55000000000000004">
      <c r="A36" t="s">
        <v>693</v>
      </c>
      <c r="B36" t="s">
        <v>692</v>
      </c>
      <c r="C36" t="s">
        <v>10</v>
      </c>
      <c r="D36">
        <v>801080</v>
      </c>
      <c r="E36" t="s">
        <v>8</v>
      </c>
    </row>
    <row r="37" spans="1:5" x14ac:dyDescent="0.55000000000000004">
      <c r="A37" t="s">
        <v>705</v>
      </c>
      <c r="B37" t="s">
        <v>704</v>
      </c>
      <c r="C37" t="s">
        <v>10</v>
      </c>
      <c r="D37">
        <v>480630</v>
      </c>
      <c r="E37" t="s">
        <v>8</v>
      </c>
    </row>
    <row r="38" spans="1:5" x14ac:dyDescent="0.55000000000000004">
      <c r="A38" t="s">
        <v>439</v>
      </c>
      <c r="B38" t="s">
        <v>438</v>
      </c>
      <c r="C38" t="s">
        <v>10</v>
      </c>
      <c r="D38">
        <v>2079610</v>
      </c>
      <c r="E38" t="s">
        <v>8</v>
      </c>
    </row>
    <row r="39" spans="1:5" x14ac:dyDescent="0.55000000000000004">
      <c r="A39" t="s">
        <v>441</v>
      </c>
      <c r="B39" t="s">
        <v>440</v>
      </c>
      <c r="C39" t="s">
        <v>13</v>
      </c>
      <c r="D39">
        <v>272282</v>
      </c>
      <c r="E39" t="s">
        <v>8</v>
      </c>
    </row>
    <row r="40" spans="1:5" x14ac:dyDescent="0.55000000000000004">
      <c r="A40" t="s">
        <v>711</v>
      </c>
      <c r="B40" t="s">
        <v>710</v>
      </c>
      <c r="C40" t="s">
        <v>10</v>
      </c>
      <c r="D40">
        <v>560720</v>
      </c>
      <c r="E40" t="s">
        <v>8</v>
      </c>
    </row>
    <row r="41" spans="1:5" x14ac:dyDescent="0.55000000000000004">
      <c r="A41" t="s">
        <v>1564</v>
      </c>
      <c r="B41" t="s">
        <v>1563</v>
      </c>
      <c r="C41" t="s">
        <v>10</v>
      </c>
      <c r="D41">
        <v>2614503</v>
      </c>
      <c r="E41" t="s">
        <v>8</v>
      </c>
    </row>
    <row r="42" spans="1:5" x14ac:dyDescent="0.55000000000000004">
      <c r="A42" t="s">
        <v>717</v>
      </c>
      <c r="B42" t="s">
        <v>716</v>
      </c>
      <c r="C42" t="s">
        <v>6</v>
      </c>
      <c r="D42">
        <v>1080512</v>
      </c>
      <c r="E42" t="s">
        <v>8</v>
      </c>
    </row>
    <row r="43" spans="1:5" x14ac:dyDescent="0.55000000000000004">
      <c r="A43" t="s">
        <v>1568</v>
      </c>
      <c r="B43" t="s">
        <v>1567</v>
      </c>
      <c r="C43" t="s">
        <v>13</v>
      </c>
      <c r="D43">
        <v>501282</v>
      </c>
      <c r="E43" t="s">
        <v>8</v>
      </c>
    </row>
    <row r="44" spans="1:5" x14ac:dyDescent="0.55000000000000004">
      <c r="A44" t="s">
        <v>723</v>
      </c>
      <c r="B44" t="s">
        <v>722</v>
      </c>
      <c r="C44" t="s">
        <v>10</v>
      </c>
      <c r="D44">
        <v>1246108</v>
      </c>
      <c r="E44" t="s">
        <v>8</v>
      </c>
    </row>
    <row r="45" spans="1:5" x14ac:dyDescent="0.55000000000000004">
      <c r="A45" t="s">
        <v>496</v>
      </c>
      <c r="B45" t="s">
        <v>495</v>
      </c>
      <c r="C45" t="s">
        <v>10</v>
      </c>
      <c r="D45">
        <v>1456263</v>
      </c>
      <c r="E45" t="s">
        <v>8</v>
      </c>
    </row>
    <row r="46" spans="1:5" x14ac:dyDescent="0.55000000000000004">
      <c r="A46" t="s">
        <v>521</v>
      </c>
      <c r="B46" t="s">
        <v>520</v>
      </c>
      <c r="C46" t="s">
        <v>10</v>
      </c>
      <c r="D46">
        <v>1047425</v>
      </c>
      <c r="E46" t="s">
        <v>8</v>
      </c>
    </row>
    <row r="47" spans="1:5" x14ac:dyDescent="0.55000000000000004">
      <c r="A47" t="s">
        <v>504</v>
      </c>
      <c r="B47" t="s">
        <v>503</v>
      </c>
      <c r="C47" t="s">
        <v>41</v>
      </c>
      <c r="D47">
        <v>2473483</v>
      </c>
      <c r="E47" t="s">
        <v>8</v>
      </c>
    </row>
    <row r="48" spans="1:5" x14ac:dyDescent="0.55000000000000004">
      <c r="A48" t="s">
        <v>512</v>
      </c>
      <c r="B48" t="s">
        <v>511</v>
      </c>
      <c r="C48" t="s">
        <v>10</v>
      </c>
      <c r="D48">
        <v>429806</v>
      </c>
      <c r="E48" t="s">
        <v>8</v>
      </c>
    </row>
    <row r="49" spans="1:5" x14ac:dyDescent="0.55000000000000004">
      <c r="A49" t="s">
        <v>1481</v>
      </c>
      <c r="B49" t="s">
        <v>1480</v>
      </c>
      <c r="C49" t="s">
        <v>10</v>
      </c>
      <c r="D49">
        <v>226269</v>
      </c>
      <c r="E49" t="s">
        <v>8</v>
      </c>
    </row>
    <row r="50" spans="1:5" x14ac:dyDescent="0.55000000000000004">
      <c r="A50" t="s">
        <v>1160</v>
      </c>
      <c r="B50" t="s">
        <v>1159</v>
      </c>
      <c r="C50" t="s">
        <v>13</v>
      </c>
      <c r="D50">
        <v>778738</v>
      </c>
      <c r="E50" t="s">
        <v>8</v>
      </c>
    </row>
    <row r="51" spans="1:5" x14ac:dyDescent="0.55000000000000004">
      <c r="A51" t="s">
        <v>1484</v>
      </c>
      <c r="B51" t="s">
        <v>1482</v>
      </c>
      <c r="C51" t="s">
        <v>1483</v>
      </c>
      <c r="D51">
        <v>1441979</v>
      </c>
      <c r="E51" t="s">
        <v>8</v>
      </c>
    </row>
    <row r="52" spans="1:5" x14ac:dyDescent="0.55000000000000004">
      <c r="A52" t="s">
        <v>1486</v>
      </c>
      <c r="B52" t="s">
        <v>1485</v>
      </c>
      <c r="C52" t="s">
        <v>10</v>
      </c>
      <c r="D52">
        <v>743241</v>
      </c>
      <c r="E52" t="s">
        <v>8</v>
      </c>
    </row>
    <row r="53" spans="1:5" x14ac:dyDescent="0.55000000000000004">
      <c r="A53" t="s">
        <v>535</v>
      </c>
      <c r="B53" t="s">
        <v>534</v>
      </c>
      <c r="C53" t="s">
        <v>141</v>
      </c>
      <c r="D53">
        <v>1014572</v>
      </c>
      <c r="E53" t="s">
        <v>8</v>
      </c>
    </row>
    <row r="54" spans="1:5" x14ac:dyDescent="0.55000000000000004">
      <c r="A54" t="s">
        <v>1206</v>
      </c>
      <c r="B54" t="s">
        <v>1205</v>
      </c>
      <c r="C54" t="s">
        <v>10</v>
      </c>
      <c r="D54">
        <v>2610516</v>
      </c>
      <c r="E54" t="s">
        <v>8</v>
      </c>
    </row>
    <row r="55" spans="1:5" x14ac:dyDescent="0.55000000000000004">
      <c r="A55" t="s">
        <v>102</v>
      </c>
      <c r="B55" t="s">
        <v>101</v>
      </c>
      <c r="C55" t="s">
        <v>41</v>
      </c>
      <c r="D55">
        <v>1882916</v>
      </c>
      <c r="E55" t="s">
        <v>8</v>
      </c>
    </row>
    <row r="56" spans="1:5" x14ac:dyDescent="0.55000000000000004">
      <c r="A56" t="s">
        <v>548</v>
      </c>
      <c r="B56" t="s">
        <v>547</v>
      </c>
      <c r="C56" t="s">
        <v>10</v>
      </c>
      <c r="D56">
        <v>1271280</v>
      </c>
      <c r="E56" t="s">
        <v>8</v>
      </c>
    </row>
    <row r="57" spans="1:5" x14ac:dyDescent="0.55000000000000004">
      <c r="A57" t="s">
        <v>182</v>
      </c>
      <c r="B57" t="s">
        <v>181</v>
      </c>
      <c r="C57" t="s">
        <v>10</v>
      </c>
      <c r="D57">
        <v>4103436</v>
      </c>
      <c r="E57" t="s">
        <v>8</v>
      </c>
    </row>
    <row r="58" spans="1:5" x14ac:dyDescent="0.55000000000000004">
      <c r="A58" t="s">
        <v>1501</v>
      </c>
      <c r="B58" t="s">
        <v>1500</v>
      </c>
      <c r="C58" t="s">
        <v>10</v>
      </c>
      <c r="D58">
        <v>123984</v>
      </c>
      <c r="E58" t="s">
        <v>8</v>
      </c>
    </row>
    <row r="59" spans="1:5" x14ac:dyDescent="0.55000000000000004">
      <c r="A59" t="s">
        <v>192</v>
      </c>
      <c r="B59" t="s">
        <v>191</v>
      </c>
      <c r="C59" t="s">
        <v>13</v>
      </c>
      <c r="D59">
        <v>3327056</v>
      </c>
      <c r="E59" t="s">
        <v>8</v>
      </c>
    </row>
    <row r="60" spans="1:5" x14ac:dyDescent="0.55000000000000004">
      <c r="A60" t="s">
        <v>569</v>
      </c>
      <c r="B60" t="s">
        <v>568</v>
      </c>
      <c r="C60" t="s">
        <v>13</v>
      </c>
      <c r="D60">
        <v>1104266</v>
      </c>
      <c r="E60" t="s">
        <v>8</v>
      </c>
    </row>
    <row r="61" spans="1:5" x14ac:dyDescent="0.55000000000000004">
      <c r="A61" t="s">
        <v>1505</v>
      </c>
      <c r="B61" t="s">
        <v>1504</v>
      </c>
      <c r="C61" t="s">
        <v>10</v>
      </c>
      <c r="D61">
        <v>413286</v>
      </c>
      <c r="E61" t="s">
        <v>8</v>
      </c>
    </row>
    <row r="62" spans="1:5" x14ac:dyDescent="0.55000000000000004">
      <c r="A62" t="s">
        <v>593</v>
      </c>
      <c r="B62" t="s">
        <v>592</v>
      </c>
      <c r="C62" t="s">
        <v>10</v>
      </c>
      <c r="D62">
        <v>3432491</v>
      </c>
      <c r="E62" t="s">
        <v>8</v>
      </c>
    </row>
    <row r="63" spans="1:5" x14ac:dyDescent="0.55000000000000004">
      <c r="A63" t="s">
        <v>249</v>
      </c>
      <c r="B63" t="s">
        <v>248</v>
      </c>
      <c r="C63" t="s">
        <v>10</v>
      </c>
      <c r="D63">
        <v>343897</v>
      </c>
      <c r="E63" t="s">
        <v>8</v>
      </c>
    </row>
    <row r="64" spans="1:5" x14ac:dyDescent="0.55000000000000004">
      <c r="A64" t="s">
        <v>1512</v>
      </c>
      <c r="B64" t="s">
        <v>1510</v>
      </c>
      <c r="C64" t="s">
        <v>1511</v>
      </c>
      <c r="D64">
        <v>550054</v>
      </c>
      <c r="E64" t="s">
        <v>8</v>
      </c>
    </row>
    <row r="65" spans="1:5" x14ac:dyDescent="0.55000000000000004">
      <c r="A65" t="s">
        <v>271</v>
      </c>
      <c r="B65" t="s">
        <v>270</v>
      </c>
      <c r="C65" t="s">
        <v>10</v>
      </c>
      <c r="D65">
        <v>1043074</v>
      </c>
      <c r="E65" t="s">
        <v>8</v>
      </c>
    </row>
    <row r="66" spans="1:5" x14ac:dyDescent="0.55000000000000004">
      <c r="A66" t="s">
        <v>1514</v>
      </c>
      <c r="B66" t="s">
        <v>1513</v>
      </c>
      <c r="C66" t="s">
        <v>10</v>
      </c>
      <c r="D66">
        <v>501029</v>
      </c>
      <c r="E66" t="s">
        <v>8</v>
      </c>
    </row>
    <row r="67" spans="1:5" x14ac:dyDescent="0.55000000000000004">
      <c r="A67" t="s">
        <v>1516</v>
      </c>
      <c r="B67" t="s">
        <v>1515</v>
      </c>
      <c r="C67" t="s">
        <v>6</v>
      </c>
      <c r="D67">
        <v>1271888</v>
      </c>
      <c r="E67" t="s">
        <v>8</v>
      </c>
    </row>
    <row r="68" spans="1:5" x14ac:dyDescent="0.55000000000000004">
      <c r="A68" t="s">
        <v>619</v>
      </c>
      <c r="B68" t="s">
        <v>618</v>
      </c>
      <c r="C68" t="s">
        <v>10</v>
      </c>
      <c r="D68">
        <v>905442</v>
      </c>
      <c r="E68" t="s">
        <v>8</v>
      </c>
    </row>
    <row r="69" spans="1:5" x14ac:dyDescent="0.55000000000000004">
      <c r="A69" t="s">
        <v>1522</v>
      </c>
      <c r="B69" t="s">
        <v>1521</v>
      </c>
      <c r="C69" t="s">
        <v>41</v>
      </c>
      <c r="D69">
        <v>181828</v>
      </c>
      <c r="E69" t="s">
        <v>8</v>
      </c>
    </row>
    <row r="70" spans="1:5" x14ac:dyDescent="0.55000000000000004">
      <c r="A70" t="s">
        <v>285</v>
      </c>
      <c r="B70" t="s">
        <v>284</v>
      </c>
      <c r="C70" t="s">
        <v>10</v>
      </c>
      <c r="D70">
        <v>1084877</v>
      </c>
      <c r="E70" t="s">
        <v>8</v>
      </c>
    </row>
    <row r="71" spans="1:5" x14ac:dyDescent="0.55000000000000004">
      <c r="A71" t="s">
        <v>1529</v>
      </c>
      <c r="B71" t="s">
        <v>1528</v>
      </c>
      <c r="C71" t="s">
        <v>41</v>
      </c>
      <c r="D71">
        <v>977820</v>
      </c>
      <c r="E71" t="s">
        <v>8</v>
      </c>
    </row>
    <row r="72" spans="1:5" x14ac:dyDescent="0.55000000000000004">
      <c r="A72" t="s">
        <v>1531</v>
      </c>
      <c r="B72" t="s">
        <v>1530</v>
      </c>
      <c r="C72" t="s">
        <v>10</v>
      </c>
      <c r="D72">
        <v>3413110</v>
      </c>
      <c r="E72" t="s">
        <v>8</v>
      </c>
    </row>
    <row r="73" spans="1:5" x14ac:dyDescent="0.55000000000000004">
      <c r="A73" t="s">
        <v>629</v>
      </c>
      <c r="B73" t="s">
        <v>628</v>
      </c>
      <c r="C73" t="s">
        <v>10</v>
      </c>
      <c r="D73">
        <v>2598066</v>
      </c>
      <c r="E73" t="s">
        <v>8</v>
      </c>
    </row>
    <row r="74" spans="1:5" x14ac:dyDescent="0.55000000000000004">
      <c r="A74" t="s">
        <v>633</v>
      </c>
      <c r="B74" t="s">
        <v>632</v>
      </c>
      <c r="C74" t="s">
        <v>10</v>
      </c>
      <c r="D74">
        <v>571154</v>
      </c>
      <c r="E74" t="s">
        <v>8</v>
      </c>
    </row>
    <row r="75" spans="1:5" x14ac:dyDescent="0.55000000000000004">
      <c r="A75" t="s">
        <v>641</v>
      </c>
      <c r="B75" t="s">
        <v>640</v>
      </c>
      <c r="C75" t="s">
        <v>10</v>
      </c>
      <c r="D75">
        <v>1781024</v>
      </c>
      <c r="E75" t="s">
        <v>8</v>
      </c>
    </row>
    <row r="76" spans="1:5" x14ac:dyDescent="0.55000000000000004">
      <c r="A76" t="s">
        <v>645</v>
      </c>
      <c r="B76" t="s">
        <v>644</v>
      </c>
      <c r="C76" t="s">
        <v>6</v>
      </c>
      <c r="D76">
        <v>187229</v>
      </c>
      <c r="E76" t="s">
        <v>8</v>
      </c>
    </row>
    <row r="77" spans="1:5" x14ac:dyDescent="0.55000000000000004">
      <c r="A77" t="s">
        <v>325</v>
      </c>
      <c r="B77" t="s">
        <v>324</v>
      </c>
      <c r="C77" t="s">
        <v>13</v>
      </c>
      <c r="D77">
        <v>1052420</v>
      </c>
      <c r="E77" t="s">
        <v>8</v>
      </c>
    </row>
    <row r="78" spans="1:5" x14ac:dyDescent="0.55000000000000004">
      <c r="A78" t="s">
        <v>335</v>
      </c>
      <c r="B78" t="s">
        <v>334</v>
      </c>
      <c r="C78" t="s">
        <v>10</v>
      </c>
      <c r="D78">
        <v>2321286</v>
      </c>
      <c r="E78" t="s">
        <v>8</v>
      </c>
    </row>
    <row r="79" spans="1:5" x14ac:dyDescent="0.55000000000000004">
      <c r="A79" t="s">
        <v>653</v>
      </c>
      <c r="B79" t="s">
        <v>652</v>
      </c>
      <c r="C79" t="s">
        <v>10</v>
      </c>
      <c r="D79">
        <v>1222612</v>
      </c>
      <c r="E79" t="s">
        <v>8</v>
      </c>
    </row>
    <row r="80" spans="1:5" x14ac:dyDescent="0.55000000000000004">
      <c r="A80" t="s">
        <v>655</v>
      </c>
      <c r="B80" t="s">
        <v>654</v>
      </c>
      <c r="C80" t="s">
        <v>10</v>
      </c>
      <c r="D80">
        <v>2363409</v>
      </c>
      <c r="E80" t="s">
        <v>8</v>
      </c>
    </row>
    <row r="81" spans="1:5" x14ac:dyDescent="0.55000000000000004">
      <c r="A81" t="s">
        <v>1538</v>
      </c>
      <c r="B81" t="s">
        <v>1537</v>
      </c>
      <c r="C81" t="s">
        <v>10</v>
      </c>
      <c r="D81">
        <v>225625</v>
      </c>
      <c r="E81" t="s">
        <v>8</v>
      </c>
    </row>
    <row r="82" spans="1:5" x14ac:dyDescent="0.55000000000000004">
      <c r="A82" t="s">
        <v>663</v>
      </c>
      <c r="B82" t="s">
        <v>662</v>
      </c>
      <c r="C82" t="s">
        <v>41</v>
      </c>
      <c r="D82">
        <v>639794</v>
      </c>
      <c r="E82" t="s">
        <v>8</v>
      </c>
    </row>
    <row r="83" spans="1:5" x14ac:dyDescent="0.55000000000000004">
      <c r="A83" t="s">
        <v>665</v>
      </c>
      <c r="B83" t="s">
        <v>664</v>
      </c>
      <c r="C83" t="s">
        <v>10</v>
      </c>
      <c r="D83">
        <v>1273471</v>
      </c>
      <c r="E83" t="s">
        <v>8</v>
      </c>
    </row>
    <row r="84" spans="1:5" x14ac:dyDescent="0.55000000000000004">
      <c r="A84" t="s">
        <v>1542</v>
      </c>
      <c r="B84" t="s">
        <v>1541</v>
      </c>
      <c r="C84" t="s">
        <v>10</v>
      </c>
      <c r="D84">
        <v>408594</v>
      </c>
      <c r="E84" t="s">
        <v>8</v>
      </c>
    </row>
    <row r="85" spans="1:5" x14ac:dyDescent="0.55000000000000004">
      <c r="A85" t="s">
        <v>1544</v>
      </c>
      <c r="B85" t="s">
        <v>1543</v>
      </c>
      <c r="C85" t="s">
        <v>10</v>
      </c>
      <c r="D85">
        <v>731356</v>
      </c>
      <c r="E85" t="s">
        <v>8</v>
      </c>
    </row>
    <row r="86" spans="1:5" x14ac:dyDescent="0.55000000000000004">
      <c r="A86" t="s">
        <v>1093</v>
      </c>
      <c r="B86" t="s">
        <v>1092</v>
      </c>
      <c r="C86" t="s">
        <v>13</v>
      </c>
      <c r="D86">
        <v>1330480</v>
      </c>
      <c r="E86" t="s">
        <v>8</v>
      </c>
    </row>
    <row r="87" spans="1:5" x14ac:dyDescent="0.55000000000000004">
      <c r="A87" t="s">
        <v>1546</v>
      </c>
      <c r="B87" t="s">
        <v>1545</v>
      </c>
      <c r="C87" t="s">
        <v>10</v>
      </c>
      <c r="D87">
        <v>525372</v>
      </c>
      <c r="E87" t="s">
        <v>8</v>
      </c>
    </row>
    <row r="88" spans="1:5" x14ac:dyDescent="0.55000000000000004">
      <c r="A88" t="s">
        <v>1552</v>
      </c>
      <c r="B88" t="s">
        <v>1551</v>
      </c>
      <c r="C88" t="s">
        <v>13</v>
      </c>
      <c r="D88">
        <v>393018</v>
      </c>
      <c r="E88" t="s">
        <v>8</v>
      </c>
    </row>
    <row r="89" spans="1:5" x14ac:dyDescent="0.55000000000000004">
      <c r="A89" t="s">
        <v>1554</v>
      </c>
      <c r="B89" t="s">
        <v>1553</v>
      </c>
      <c r="C89" t="s">
        <v>10</v>
      </c>
      <c r="D89">
        <v>1195408</v>
      </c>
      <c r="E89" t="s">
        <v>8</v>
      </c>
    </row>
    <row r="90" spans="1:5" x14ac:dyDescent="0.55000000000000004">
      <c r="A90" t="s">
        <v>1556</v>
      </c>
      <c r="B90" t="s">
        <v>1555</v>
      </c>
      <c r="C90" t="s">
        <v>13</v>
      </c>
      <c r="D90">
        <v>4017120</v>
      </c>
      <c r="E90" t="s">
        <v>8</v>
      </c>
    </row>
    <row r="91" spans="1:5" x14ac:dyDescent="0.55000000000000004">
      <c r="A91" t="s">
        <v>695</v>
      </c>
      <c r="B91" t="s">
        <v>694</v>
      </c>
      <c r="C91" t="s">
        <v>10</v>
      </c>
      <c r="D91">
        <v>628094</v>
      </c>
      <c r="E91" t="s">
        <v>8</v>
      </c>
    </row>
    <row r="92" spans="1:5" x14ac:dyDescent="0.55000000000000004">
      <c r="A92" t="s">
        <v>1558</v>
      </c>
      <c r="B92" t="s">
        <v>1557</v>
      </c>
      <c r="C92" t="s">
        <v>10</v>
      </c>
      <c r="D92">
        <v>1552077</v>
      </c>
      <c r="E92" t="s">
        <v>8</v>
      </c>
    </row>
    <row r="93" spans="1:5" x14ac:dyDescent="0.55000000000000004">
      <c r="A93" t="s">
        <v>415</v>
      </c>
      <c r="B93" t="s">
        <v>414</v>
      </c>
      <c r="C93" t="s">
        <v>10</v>
      </c>
      <c r="D93">
        <v>501167</v>
      </c>
      <c r="E93" t="s">
        <v>8</v>
      </c>
    </row>
    <row r="94" spans="1:5" x14ac:dyDescent="0.55000000000000004">
      <c r="A94" t="s">
        <v>810</v>
      </c>
      <c r="B94" t="s">
        <v>809</v>
      </c>
      <c r="C94" t="s">
        <v>41</v>
      </c>
      <c r="D94">
        <v>343937</v>
      </c>
      <c r="E94" t="s">
        <v>8</v>
      </c>
    </row>
    <row r="95" spans="1:5" x14ac:dyDescent="0.55000000000000004">
      <c r="A95" t="s">
        <v>437</v>
      </c>
      <c r="B95" t="s">
        <v>436</v>
      </c>
      <c r="C95" t="s">
        <v>10</v>
      </c>
      <c r="D95">
        <v>396729</v>
      </c>
      <c r="E95" t="s">
        <v>8</v>
      </c>
    </row>
    <row r="96" spans="1:5" x14ac:dyDescent="0.55000000000000004">
      <c r="A96" t="s">
        <v>451</v>
      </c>
      <c r="B96" t="s">
        <v>450</v>
      </c>
      <c r="C96" t="s">
        <v>10</v>
      </c>
      <c r="D96">
        <v>4549616</v>
      </c>
      <c r="E96" t="s">
        <v>8</v>
      </c>
    </row>
    <row r="97" spans="1:5" x14ac:dyDescent="0.55000000000000004">
      <c r="A97" t="s">
        <v>1560</v>
      </c>
      <c r="B97" t="s">
        <v>1559</v>
      </c>
      <c r="C97" t="s">
        <v>208</v>
      </c>
      <c r="D97">
        <v>262079</v>
      </c>
      <c r="E97" t="s">
        <v>8</v>
      </c>
    </row>
    <row r="98" spans="1:5" x14ac:dyDescent="0.55000000000000004">
      <c r="A98" t="s">
        <v>466</v>
      </c>
      <c r="B98" t="s">
        <v>465</v>
      </c>
      <c r="C98" t="s">
        <v>76</v>
      </c>
      <c r="D98">
        <v>4418687</v>
      </c>
      <c r="E98" t="s">
        <v>8</v>
      </c>
    </row>
    <row r="99" spans="1:5" x14ac:dyDescent="0.55000000000000004">
      <c r="A99" t="s">
        <v>1562</v>
      </c>
      <c r="B99" t="s">
        <v>1561</v>
      </c>
      <c r="C99" t="s">
        <v>1317</v>
      </c>
      <c r="D99">
        <v>387616</v>
      </c>
      <c r="E99" t="s">
        <v>8</v>
      </c>
    </row>
    <row r="100" spans="1:5" x14ac:dyDescent="0.55000000000000004">
      <c r="A100" t="s">
        <v>1566</v>
      </c>
      <c r="B100" t="s">
        <v>1565</v>
      </c>
      <c r="C100" t="s">
        <v>13</v>
      </c>
      <c r="D100">
        <v>1107694</v>
      </c>
      <c r="E100" t="s">
        <v>8</v>
      </c>
    </row>
    <row r="101" spans="1:5" x14ac:dyDescent="0.55000000000000004">
      <c r="A101" t="s">
        <v>721</v>
      </c>
      <c r="B101" t="s">
        <v>720</v>
      </c>
      <c r="C101" t="s">
        <v>6</v>
      </c>
      <c r="D101">
        <v>2221986</v>
      </c>
      <c r="E101" t="s">
        <v>8</v>
      </c>
    </row>
    <row r="102" spans="1:5" x14ac:dyDescent="0.55000000000000004">
      <c r="A102" t="s">
        <v>484</v>
      </c>
      <c r="B102" t="s">
        <v>483</v>
      </c>
      <c r="C102" t="s">
        <v>13</v>
      </c>
      <c r="D102">
        <v>5217909</v>
      </c>
      <c r="E102" t="s">
        <v>8</v>
      </c>
    </row>
    <row r="103" spans="1:5" x14ac:dyDescent="0.55000000000000004">
      <c r="A103" t="s">
        <v>1489</v>
      </c>
      <c r="B103" t="s">
        <v>1487</v>
      </c>
      <c r="C103" t="s">
        <v>1488</v>
      </c>
      <c r="D103">
        <v>1109442</v>
      </c>
      <c r="E103" t="s">
        <v>8</v>
      </c>
    </row>
    <row r="104" spans="1:5" x14ac:dyDescent="0.55000000000000004">
      <c r="A104" t="s">
        <v>1503</v>
      </c>
      <c r="B104" t="s">
        <v>1502</v>
      </c>
      <c r="C104" t="s">
        <v>215</v>
      </c>
      <c r="D104">
        <v>3208092</v>
      </c>
      <c r="E104" t="s">
        <v>8</v>
      </c>
    </row>
    <row r="105" spans="1:5" x14ac:dyDescent="0.55000000000000004">
      <c r="A105" t="s">
        <v>1518</v>
      </c>
      <c r="B105" t="s">
        <v>1517</v>
      </c>
      <c r="C105" t="s">
        <v>926</v>
      </c>
      <c r="D105">
        <v>925324</v>
      </c>
      <c r="E105" t="s">
        <v>8</v>
      </c>
    </row>
    <row r="106" spans="1:5" x14ac:dyDescent="0.55000000000000004">
      <c r="A106" t="s">
        <v>321</v>
      </c>
      <c r="B106" t="s">
        <v>320</v>
      </c>
      <c r="C106" t="s">
        <v>10</v>
      </c>
      <c r="D106">
        <v>4913081</v>
      </c>
      <c r="E106" t="s">
        <v>8</v>
      </c>
    </row>
    <row r="107" spans="1:5" x14ac:dyDescent="0.55000000000000004">
      <c r="A107" t="s">
        <v>885</v>
      </c>
      <c r="B107" t="s">
        <v>884</v>
      </c>
      <c r="C107" t="s">
        <v>18</v>
      </c>
      <c r="D107">
        <v>191727</v>
      </c>
      <c r="E107" t="s">
        <v>8</v>
      </c>
    </row>
    <row r="108" spans="1:5" x14ac:dyDescent="0.55000000000000004">
      <c r="A108" t="s">
        <v>1525</v>
      </c>
      <c r="B108" t="s">
        <v>1523</v>
      </c>
      <c r="C108" t="s">
        <v>1524</v>
      </c>
      <c r="D108">
        <v>867266</v>
      </c>
      <c r="E108" t="s">
        <v>8</v>
      </c>
    </row>
    <row r="109" spans="1:5" x14ac:dyDescent="0.55000000000000004">
      <c r="A109" t="s">
        <v>795</v>
      </c>
      <c r="B109" t="s">
        <v>794</v>
      </c>
      <c r="C109" t="s">
        <v>18</v>
      </c>
      <c r="D109">
        <v>1055798</v>
      </c>
      <c r="E109" t="s">
        <v>8</v>
      </c>
    </row>
    <row r="110" spans="1:5" x14ac:dyDescent="0.55000000000000004">
      <c r="A110" t="s">
        <v>1164</v>
      </c>
      <c r="B110" t="s">
        <v>1163</v>
      </c>
      <c r="C110" t="s">
        <v>10</v>
      </c>
      <c r="D110">
        <v>406708</v>
      </c>
      <c r="E110" t="s">
        <v>8</v>
      </c>
    </row>
    <row r="111" spans="1:5" x14ac:dyDescent="0.55000000000000004">
      <c r="A111" t="s">
        <v>556</v>
      </c>
      <c r="B111" t="s">
        <v>555</v>
      </c>
      <c r="C111" t="s">
        <v>215</v>
      </c>
      <c r="D111">
        <v>1028464</v>
      </c>
      <c r="E111" t="s">
        <v>8</v>
      </c>
    </row>
    <row r="112" spans="1:5" x14ac:dyDescent="0.55000000000000004">
      <c r="A112" t="s">
        <v>699</v>
      </c>
      <c r="B112" t="s">
        <v>698</v>
      </c>
      <c r="C112" t="s">
        <v>13</v>
      </c>
      <c r="D112">
        <v>5179870</v>
      </c>
      <c r="E112" t="s">
        <v>8</v>
      </c>
    </row>
  </sheetData>
  <phoneticPr fontId="1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e6ca236-6180-448a-ab1a-015602c250c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8F3EE61EEAD24C88D3405C2D21A8CF" ma:contentTypeVersion="15" ma:contentTypeDescription="Create a new document." ma:contentTypeScope="" ma:versionID="1bc79196a77d7d68d0b065f01f62015c">
  <xsd:schema xmlns:xsd="http://www.w3.org/2001/XMLSchema" xmlns:xs="http://www.w3.org/2001/XMLSchema" xmlns:p="http://schemas.microsoft.com/office/2006/metadata/properties" xmlns:ns3="1f403ba5-b2c4-4f38-a17f-c5052eb8025e" xmlns:ns4="7e6ca236-6180-448a-ab1a-015602c250c3" targetNamespace="http://schemas.microsoft.com/office/2006/metadata/properties" ma:root="true" ma:fieldsID="6a40b36fd394adb8fa12d05b82f9974d" ns3:_="" ns4:_="">
    <xsd:import namespace="1f403ba5-b2c4-4f38-a17f-c5052eb8025e"/>
    <xsd:import namespace="7e6ca236-6180-448a-ab1a-015602c250c3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GenerationTime" minOccurs="0"/>
                <xsd:element ref="ns4:MediaServiceEventHashCode" minOccurs="0"/>
                <xsd:element ref="ns4:MediaServiceDateTaken" minOccurs="0"/>
                <xsd:element ref="ns4:MediaLengthInSeconds" minOccurs="0"/>
                <xsd:element ref="ns4:_activity" minOccurs="0"/>
                <xsd:element ref="ns4:MediaServiceObjectDetectorVersions" minOccurs="0"/>
                <xsd:element ref="ns4:MediaServiceOCR" minOccurs="0"/>
                <xsd:element ref="ns4:MediaServiceSearchProperties" minOccurs="0"/>
                <xsd:element ref="ns4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403ba5-b2c4-4f38-a17f-c5052eb8025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6ca236-6180-448a-ab1a-015602c250c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8" nillable="true" ma:displayName="_activity" ma:hidden="true" ma:internalName="_activity">
      <xsd:simpleType>
        <xsd:restriction base="dms:Note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1FEF228D-3DE3-4F47-918C-854134F7E5F4}">
  <ds:schemaRefs>
    <ds:schemaRef ds:uri="http://schemas.microsoft.com/office/2006/metadata/properties"/>
    <ds:schemaRef ds:uri="http://schemas.microsoft.com/office/infopath/2007/PartnerControls"/>
    <ds:schemaRef ds:uri="http://purl.org/dc/elements/1.1/"/>
    <ds:schemaRef ds:uri="7e6ca236-6180-448a-ab1a-015602c250c3"/>
    <ds:schemaRef ds:uri="http://purl.org/dc/dcmitype/"/>
    <ds:schemaRef ds:uri="http://www.w3.org/XML/1998/namespace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1f403ba5-b2c4-4f38-a17f-c5052eb8025e"/>
  </ds:schemaRefs>
</ds:datastoreItem>
</file>

<file path=customXml/itemProps2.xml><?xml version="1.0" encoding="utf-8"?>
<ds:datastoreItem xmlns:ds="http://schemas.openxmlformats.org/officeDocument/2006/customXml" ds:itemID="{E17BBBF3-24B0-4BB1-9755-B48962AFFCA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7ADA7B5-26B1-494C-B017-D46124D9C4B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403ba5-b2c4-4f38-a17f-c5052eb8025e"/>
    <ds:schemaRef ds:uri="7e6ca236-6180-448a-ab1a-015602c250c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10424401-2E70-40F5-A272-40525ED3F59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16</vt:i4>
      </vt:variant>
    </vt:vector>
  </HeadingPairs>
  <TitlesOfParts>
    <vt:vector size="16" baseType="lpstr">
      <vt:lpstr>Change History</vt:lpstr>
      <vt:lpstr>ALL</vt:lpstr>
      <vt:lpstr>2026-03-31</vt:lpstr>
      <vt:lpstr>2025-12-31</vt:lpstr>
      <vt:lpstr>2025-09-30</vt:lpstr>
      <vt:lpstr>2025-06-30</vt:lpstr>
      <vt:lpstr>2025-03-31</vt:lpstr>
      <vt:lpstr>2024-12-31</vt:lpstr>
      <vt:lpstr>2024-09-30</vt:lpstr>
      <vt:lpstr>2024-06-30</vt:lpstr>
      <vt:lpstr>2024-03-31</vt:lpstr>
      <vt:lpstr>2023-12-31</vt:lpstr>
      <vt:lpstr>2023-09-30</vt:lpstr>
      <vt:lpstr>2023-06-30</vt:lpstr>
      <vt:lpstr>2023-03-31</vt:lpstr>
      <vt:lpstr>2022-12-31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Masaki Oda(小田　正城)</dc:creator>
  <cp:lastModifiedBy>M Oda</cp:lastModifiedBy>
  <dcterms:created xsi:type="dcterms:W3CDTF">2024-06-12T16:05:40Z</dcterms:created>
  <dcterms:modified xsi:type="dcterms:W3CDTF">2026-06-06T08:31:04Z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0x0101005F8F3EE61EEAD24C88D3405C2D21A8CF</vt:lpwstr>
  </property>
</Properties>
</file>